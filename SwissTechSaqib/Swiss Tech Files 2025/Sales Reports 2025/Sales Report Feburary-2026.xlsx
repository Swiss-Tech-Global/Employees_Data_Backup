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3E2C8C10-5346-40C7-85AF-EC7CAA4297D1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Sale_wise_Profit" sheetId="1" r:id="rId1"/>
    <sheet name="Australia" sheetId="2" r:id="rId2"/>
    <sheet name="Usa" sheetId="3" r:id="rId3"/>
    <sheet name="Newzealand" sheetId="4" r:id="rId4"/>
    <sheet name="Karachi" sheetId="6" r:id="rId5"/>
    <sheet name="Dubai" sheetId="7" r:id="rId6"/>
    <sheet name="Usa Loss" sheetId="5" r:id="rId7"/>
  </sheets>
  <definedNames>
    <definedName name="_xlnm._FilterDatabase" localSheetId="0" hidden="1">Sale_wise_Profit!$A$4:$I$1909</definedName>
    <definedName name="_xlnm._FilterDatabase" localSheetId="2" hidden="1">Usa!$A$1:$I$667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50" i="1" l="1"/>
  <c r="B1960" i="1"/>
  <c r="C1925" i="1"/>
  <c r="C51" i="7" l="1"/>
  <c r="C49" i="7"/>
  <c r="E39" i="7"/>
  <c r="F39" i="7"/>
  <c r="G39" i="7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C33" i="6"/>
  <c r="C31" i="6"/>
  <c r="E21" i="6"/>
  <c r="F21" i="6"/>
  <c r="G21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" i="6"/>
  <c r="C184" i="4"/>
  <c r="C182" i="4"/>
  <c r="C1037" i="2"/>
  <c r="C1035" i="2"/>
  <c r="E1025" i="2"/>
  <c r="F1025" i="2"/>
  <c r="H940" i="2"/>
  <c r="I940" i="2" s="1"/>
  <c r="H948" i="2"/>
  <c r="I948" i="2" s="1"/>
  <c r="H955" i="2"/>
  <c r="J955" i="2" s="1"/>
  <c r="H956" i="2"/>
  <c r="I956" i="2" s="1"/>
  <c r="H964" i="2"/>
  <c r="I964" i="2" s="1"/>
  <c r="H972" i="2"/>
  <c r="I972" i="2" s="1"/>
  <c r="H980" i="2"/>
  <c r="I980" i="2" s="1"/>
  <c r="H987" i="2"/>
  <c r="J987" i="2" s="1"/>
  <c r="H988" i="2"/>
  <c r="I988" i="2" s="1"/>
  <c r="H996" i="2"/>
  <c r="I996" i="2" s="1"/>
  <c r="H1004" i="2"/>
  <c r="I1004" i="2" s="1"/>
  <c r="H1012" i="2"/>
  <c r="I1012" i="2" s="1"/>
  <c r="H1019" i="2"/>
  <c r="J1019" i="2" s="1"/>
  <c r="H1020" i="2"/>
  <c r="I1020" i="2" s="1"/>
  <c r="G938" i="2"/>
  <c r="H938" i="2" s="1"/>
  <c r="G939" i="2"/>
  <c r="H939" i="2" s="1"/>
  <c r="J939" i="2" s="1"/>
  <c r="G940" i="2"/>
  <c r="G941" i="2"/>
  <c r="H941" i="2" s="1"/>
  <c r="G942" i="2"/>
  <c r="H942" i="2" s="1"/>
  <c r="G943" i="2"/>
  <c r="H943" i="2" s="1"/>
  <c r="G944" i="2"/>
  <c r="H944" i="2" s="1"/>
  <c r="G945" i="2"/>
  <c r="H945" i="2" s="1"/>
  <c r="G946" i="2"/>
  <c r="H946" i="2" s="1"/>
  <c r="G947" i="2"/>
  <c r="H947" i="2" s="1"/>
  <c r="J947" i="2" s="1"/>
  <c r="G948" i="2"/>
  <c r="G949" i="2"/>
  <c r="H949" i="2" s="1"/>
  <c r="G950" i="2"/>
  <c r="H950" i="2" s="1"/>
  <c r="G951" i="2"/>
  <c r="H951" i="2" s="1"/>
  <c r="G952" i="2"/>
  <c r="H952" i="2" s="1"/>
  <c r="G953" i="2"/>
  <c r="H953" i="2" s="1"/>
  <c r="G954" i="2"/>
  <c r="H954" i="2" s="1"/>
  <c r="G955" i="2"/>
  <c r="G956" i="2"/>
  <c r="G957" i="2"/>
  <c r="H957" i="2" s="1"/>
  <c r="G958" i="2"/>
  <c r="H958" i="2" s="1"/>
  <c r="G959" i="2"/>
  <c r="H959" i="2" s="1"/>
  <c r="G960" i="2"/>
  <c r="H960" i="2" s="1"/>
  <c r="G961" i="2"/>
  <c r="H961" i="2" s="1"/>
  <c r="G962" i="2"/>
  <c r="H962" i="2" s="1"/>
  <c r="G963" i="2"/>
  <c r="H963" i="2" s="1"/>
  <c r="J963" i="2" s="1"/>
  <c r="G964" i="2"/>
  <c r="G965" i="2"/>
  <c r="H965" i="2" s="1"/>
  <c r="G966" i="2"/>
  <c r="H966" i="2" s="1"/>
  <c r="G967" i="2"/>
  <c r="H967" i="2" s="1"/>
  <c r="G968" i="2"/>
  <c r="H968" i="2" s="1"/>
  <c r="G969" i="2"/>
  <c r="H969" i="2" s="1"/>
  <c r="G970" i="2"/>
  <c r="H970" i="2" s="1"/>
  <c r="G971" i="2"/>
  <c r="H971" i="2" s="1"/>
  <c r="J971" i="2" s="1"/>
  <c r="G972" i="2"/>
  <c r="G973" i="2"/>
  <c r="H973" i="2" s="1"/>
  <c r="G974" i="2"/>
  <c r="H974" i="2" s="1"/>
  <c r="G975" i="2"/>
  <c r="H975" i="2" s="1"/>
  <c r="G976" i="2"/>
  <c r="H976" i="2" s="1"/>
  <c r="G977" i="2"/>
  <c r="H977" i="2" s="1"/>
  <c r="G978" i="2"/>
  <c r="H978" i="2" s="1"/>
  <c r="G979" i="2"/>
  <c r="H979" i="2" s="1"/>
  <c r="J979" i="2" s="1"/>
  <c r="G980" i="2"/>
  <c r="G981" i="2"/>
  <c r="H981" i="2" s="1"/>
  <c r="G982" i="2"/>
  <c r="H982" i="2" s="1"/>
  <c r="G983" i="2"/>
  <c r="H983" i="2" s="1"/>
  <c r="G984" i="2"/>
  <c r="H984" i="2" s="1"/>
  <c r="G985" i="2"/>
  <c r="H985" i="2" s="1"/>
  <c r="G986" i="2"/>
  <c r="H986" i="2" s="1"/>
  <c r="G987" i="2"/>
  <c r="G988" i="2"/>
  <c r="G989" i="2"/>
  <c r="H989" i="2" s="1"/>
  <c r="G990" i="2"/>
  <c r="H990" i="2" s="1"/>
  <c r="G991" i="2"/>
  <c r="H991" i="2" s="1"/>
  <c r="G992" i="2"/>
  <c r="H992" i="2" s="1"/>
  <c r="G993" i="2"/>
  <c r="H993" i="2" s="1"/>
  <c r="G994" i="2"/>
  <c r="H994" i="2" s="1"/>
  <c r="G995" i="2"/>
  <c r="H995" i="2" s="1"/>
  <c r="J995" i="2" s="1"/>
  <c r="G996" i="2"/>
  <c r="G997" i="2"/>
  <c r="H997" i="2" s="1"/>
  <c r="G998" i="2"/>
  <c r="H998" i="2" s="1"/>
  <c r="G999" i="2"/>
  <c r="H999" i="2" s="1"/>
  <c r="G1000" i="2"/>
  <c r="H1000" i="2" s="1"/>
  <c r="G1001" i="2"/>
  <c r="H1001" i="2" s="1"/>
  <c r="G1002" i="2"/>
  <c r="H1002" i="2" s="1"/>
  <c r="G1003" i="2"/>
  <c r="H1003" i="2" s="1"/>
  <c r="J1003" i="2" s="1"/>
  <c r="G1004" i="2"/>
  <c r="G1005" i="2"/>
  <c r="H1005" i="2" s="1"/>
  <c r="G1006" i="2"/>
  <c r="H1006" i="2" s="1"/>
  <c r="G1007" i="2"/>
  <c r="H1007" i="2" s="1"/>
  <c r="G1008" i="2"/>
  <c r="H1008" i="2" s="1"/>
  <c r="G1009" i="2"/>
  <c r="H1009" i="2" s="1"/>
  <c r="G1010" i="2"/>
  <c r="H1010" i="2" s="1"/>
  <c r="G1011" i="2"/>
  <c r="H1011" i="2" s="1"/>
  <c r="J1011" i="2" s="1"/>
  <c r="G1012" i="2"/>
  <c r="G1013" i="2"/>
  <c r="H1013" i="2" s="1"/>
  <c r="G1014" i="2"/>
  <c r="H1014" i="2" s="1"/>
  <c r="G1015" i="2"/>
  <c r="H1015" i="2" s="1"/>
  <c r="G1016" i="2"/>
  <c r="H1016" i="2" s="1"/>
  <c r="G1017" i="2"/>
  <c r="H1017" i="2" s="1"/>
  <c r="G1018" i="2"/>
  <c r="H1018" i="2" s="1"/>
  <c r="G1019" i="2"/>
  <c r="G1020" i="2"/>
  <c r="G1021" i="2"/>
  <c r="H1021" i="2" s="1"/>
  <c r="G1022" i="2"/>
  <c r="H1022" i="2" s="1"/>
  <c r="G1023" i="2"/>
  <c r="H1023" i="2" s="1"/>
  <c r="E683" i="3"/>
  <c r="E682" i="3"/>
  <c r="E681" i="3"/>
  <c r="E680" i="3"/>
  <c r="E679" i="3"/>
  <c r="E678" i="3"/>
  <c r="E677" i="3"/>
  <c r="G229" i="3"/>
  <c r="H229" i="3"/>
  <c r="E667" i="3"/>
  <c r="F667" i="3"/>
  <c r="H937" i="2"/>
  <c r="I937" i="2" s="1"/>
  <c r="G934" i="2"/>
  <c r="H934" i="2" s="1"/>
  <c r="G935" i="2"/>
  <c r="H935" i="2" s="1"/>
  <c r="I935" i="2" s="1"/>
  <c r="G936" i="2"/>
  <c r="H936" i="2" s="1"/>
  <c r="I936" i="2" s="1"/>
  <c r="G937" i="2"/>
  <c r="G459" i="3"/>
  <c r="H459" i="3"/>
  <c r="G460" i="3"/>
  <c r="H460" i="3"/>
  <c r="G461" i="3"/>
  <c r="H461" i="3"/>
  <c r="G462" i="3"/>
  <c r="H462" i="3"/>
  <c r="G463" i="3"/>
  <c r="H463" i="3"/>
  <c r="G464" i="3"/>
  <c r="H464" i="3"/>
  <c r="G465" i="3"/>
  <c r="H465" i="3"/>
  <c r="G466" i="3"/>
  <c r="H466" i="3"/>
  <c r="G467" i="3"/>
  <c r="H467" i="3"/>
  <c r="G468" i="3"/>
  <c r="H468" i="3"/>
  <c r="G469" i="3"/>
  <c r="H469" i="3"/>
  <c r="G470" i="3"/>
  <c r="H470" i="3"/>
  <c r="G471" i="3"/>
  <c r="H471" i="3"/>
  <c r="G472" i="3"/>
  <c r="H472" i="3"/>
  <c r="G473" i="3"/>
  <c r="H473" i="3"/>
  <c r="G474" i="3"/>
  <c r="H474" i="3"/>
  <c r="G475" i="3"/>
  <c r="H475" i="3"/>
  <c r="G476" i="3"/>
  <c r="H476" i="3"/>
  <c r="G477" i="3"/>
  <c r="H477" i="3"/>
  <c r="G478" i="3"/>
  <c r="H478" i="3"/>
  <c r="G479" i="3"/>
  <c r="H479" i="3"/>
  <c r="G480" i="3"/>
  <c r="H480" i="3"/>
  <c r="G481" i="3"/>
  <c r="H481" i="3"/>
  <c r="G482" i="3"/>
  <c r="H482" i="3"/>
  <c r="G483" i="3"/>
  <c r="H483" i="3"/>
  <c r="G484" i="3"/>
  <c r="H484" i="3"/>
  <c r="G485" i="3"/>
  <c r="H485" i="3"/>
  <c r="G486" i="3"/>
  <c r="H486" i="3"/>
  <c r="G487" i="3"/>
  <c r="H487" i="3"/>
  <c r="G488" i="3"/>
  <c r="H488" i="3"/>
  <c r="G489" i="3"/>
  <c r="H489" i="3"/>
  <c r="G490" i="3"/>
  <c r="H490" i="3"/>
  <c r="G491" i="3"/>
  <c r="H491" i="3"/>
  <c r="G492" i="3"/>
  <c r="H492" i="3"/>
  <c r="G493" i="3"/>
  <c r="H493" i="3"/>
  <c r="G494" i="3"/>
  <c r="H494" i="3"/>
  <c r="G495" i="3"/>
  <c r="H495" i="3"/>
  <c r="G496" i="3"/>
  <c r="H496" i="3"/>
  <c r="G497" i="3"/>
  <c r="H497" i="3"/>
  <c r="G498" i="3"/>
  <c r="H498" i="3"/>
  <c r="G499" i="3"/>
  <c r="H499" i="3"/>
  <c r="G500" i="3"/>
  <c r="H500" i="3"/>
  <c r="G501" i="3"/>
  <c r="H501" i="3"/>
  <c r="G502" i="3"/>
  <c r="H502" i="3"/>
  <c r="G503" i="3"/>
  <c r="H503" i="3"/>
  <c r="G504" i="3"/>
  <c r="H504" i="3"/>
  <c r="G505" i="3"/>
  <c r="H505" i="3"/>
  <c r="G506" i="3"/>
  <c r="H506" i="3"/>
  <c r="G507" i="3"/>
  <c r="H507" i="3"/>
  <c r="G508" i="3"/>
  <c r="H508" i="3"/>
  <c r="G509" i="3"/>
  <c r="H509" i="3"/>
  <c r="G510" i="3"/>
  <c r="H510" i="3"/>
  <c r="G511" i="3"/>
  <c r="H511" i="3"/>
  <c r="G512" i="3"/>
  <c r="H512" i="3"/>
  <c r="G513" i="3"/>
  <c r="H513" i="3"/>
  <c r="G514" i="3"/>
  <c r="H514" i="3"/>
  <c r="G515" i="3"/>
  <c r="H515" i="3"/>
  <c r="G516" i="3"/>
  <c r="H516" i="3"/>
  <c r="G517" i="3"/>
  <c r="H517" i="3"/>
  <c r="G518" i="3"/>
  <c r="H518" i="3"/>
  <c r="G519" i="3"/>
  <c r="H519" i="3"/>
  <c r="G520" i="3"/>
  <c r="H520" i="3"/>
  <c r="G521" i="3"/>
  <c r="H521" i="3"/>
  <c r="G522" i="3"/>
  <c r="H522" i="3"/>
  <c r="G523" i="3"/>
  <c r="H523" i="3"/>
  <c r="G524" i="3"/>
  <c r="H524" i="3"/>
  <c r="G525" i="3"/>
  <c r="H525" i="3"/>
  <c r="G526" i="3"/>
  <c r="H526" i="3"/>
  <c r="G527" i="3"/>
  <c r="H527" i="3"/>
  <c r="G528" i="3"/>
  <c r="H528" i="3"/>
  <c r="G529" i="3"/>
  <c r="H529" i="3"/>
  <c r="G530" i="3"/>
  <c r="H530" i="3"/>
  <c r="G531" i="3"/>
  <c r="H531" i="3"/>
  <c r="G532" i="3"/>
  <c r="H532" i="3"/>
  <c r="G533" i="3"/>
  <c r="H533" i="3"/>
  <c r="G534" i="3"/>
  <c r="H534" i="3"/>
  <c r="G535" i="3"/>
  <c r="H535" i="3"/>
  <c r="G536" i="3"/>
  <c r="H536" i="3"/>
  <c r="G537" i="3"/>
  <c r="H537" i="3"/>
  <c r="G538" i="3"/>
  <c r="H538" i="3"/>
  <c r="G539" i="3"/>
  <c r="H539" i="3"/>
  <c r="G540" i="3"/>
  <c r="H540" i="3"/>
  <c r="G541" i="3"/>
  <c r="H541" i="3"/>
  <c r="G542" i="3"/>
  <c r="H542" i="3"/>
  <c r="G543" i="3"/>
  <c r="H543" i="3"/>
  <c r="G544" i="3"/>
  <c r="H544" i="3"/>
  <c r="G545" i="3"/>
  <c r="H545" i="3"/>
  <c r="G546" i="3"/>
  <c r="H546" i="3"/>
  <c r="G547" i="3"/>
  <c r="H547" i="3"/>
  <c r="G548" i="3"/>
  <c r="H548" i="3"/>
  <c r="G549" i="3"/>
  <c r="H549" i="3"/>
  <c r="G550" i="3"/>
  <c r="H550" i="3"/>
  <c r="G551" i="3"/>
  <c r="H551" i="3"/>
  <c r="G552" i="3"/>
  <c r="H552" i="3"/>
  <c r="G553" i="3"/>
  <c r="H553" i="3"/>
  <c r="G554" i="3"/>
  <c r="H554" i="3"/>
  <c r="G555" i="3"/>
  <c r="H555" i="3"/>
  <c r="G556" i="3"/>
  <c r="H556" i="3"/>
  <c r="G557" i="3"/>
  <c r="H557" i="3"/>
  <c r="G558" i="3"/>
  <c r="H558" i="3"/>
  <c r="G559" i="3"/>
  <c r="H559" i="3"/>
  <c r="G560" i="3"/>
  <c r="H560" i="3"/>
  <c r="G561" i="3"/>
  <c r="H561" i="3"/>
  <c r="G562" i="3"/>
  <c r="H562" i="3"/>
  <c r="G563" i="3"/>
  <c r="H563" i="3"/>
  <c r="G564" i="3"/>
  <c r="H564" i="3"/>
  <c r="G565" i="3"/>
  <c r="H565" i="3"/>
  <c r="G566" i="3"/>
  <c r="H566" i="3"/>
  <c r="G567" i="3"/>
  <c r="H567" i="3"/>
  <c r="G568" i="3"/>
  <c r="H568" i="3"/>
  <c r="G569" i="3"/>
  <c r="H569" i="3"/>
  <c r="G570" i="3"/>
  <c r="H570" i="3"/>
  <c r="G571" i="3"/>
  <c r="H571" i="3"/>
  <c r="G572" i="3"/>
  <c r="H572" i="3"/>
  <c r="G573" i="3"/>
  <c r="H573" i="3"/>
  <c r="G574" i="3"/>
  <c r="H574" i="3"/>
  <c r="G575" i="3"/>
  <c r="H575" i="3"/>
  <c r="G576" i="3"/>
  <c r="H576" i="3"/>
  <c r="G577" i="3"/>
  <c r="H577" i="3"/>
  <c r="G578" i="3"/>
  <c r="H578" i="3"/>
  <c r="G579" i="3"/>
  <c r="H579" i="3"/>
  <c r="G580" i="3"/>
  <c r="H580" i="3"/>
  <c r="G581" i="3"/>
  <c r="H581" i="3"/>
  <c r="G582" i="3"/>
  <c r="H582" i="3"/>
  <c r="G583" i="3"/>
  <c r="H583" i="3"/>
  <c r="G584" i="3"/>
  <c r="H584" i="3"/>
  <c r="G585" i="3"/>
  <c r="H585" i="3"/>
  <c r="G586" i="3"/>
  <c r="H586" i="3"/>
  <c r="G587" i="3"/>
  <c r="H587" i="3"/>
  <c r="G588" i="3"/>
  <c r="H588" i="3"/>
  <c r="G589" i="3"/>
  <c r="H589" i="3"/>
  <c r="G590" i="3"/>
  <c r="H590" i="3"/>
  <c r="G591" i="3"/>
  <c r="H591" i="3"/>
  <c r="G592" i="3"/>
  <c r="H592" i="3"/>
  <c r="G593" i="3"/>
  <c r="H593" i="3"/>
  <c r="G594" i="3"/>
  <c r="H594" i="3"/>
  <c r="G595" i="3"/>
  <c r="H595" i="3"/>
  <c r="G596" i="3"/>
  <c r="H596" i="3"/>
  <c r="G597" i="3"/>
  <c r="H597" i="3"/>
  <c r="G598" i="3"/>
  <c r="H598" i="3"/>
  <c r="G599" i="3"/>
  <c r="H599" i="3"/>
  <c r="G600" i="3"/>
  <c r="H600" i="3"/>
  <c r="G601" i="3"/>
  <c r="H601" i="3"/>
  <c r="G602" i="3"/>
  <c r="H602" i="3"/>
  <c r="G603" i="3"/>
  <c r="H603" i="3"/>
  <c r="G604" i="3"/>
  <c r="H604" i="3"/>
  <c r="G605" i="3"/>
  <c r="H605" i="3"/>
  <c r="G606" i="3"/>
  <c r="H606" i="3"/>
  <c r="G607" i="3"/>
  <c r="H607" i="3"/>
  <c r="G608" i="3"/>
  <c r="H608" i="3"/>
  <c r="G609" i="3"/>
  <c r="H609" i="3"/>
  <c r="G610" i="3"/>
  <c r="H610" i="3"/>
  <c r="G611" i="3"/>
  <c r="H611" i="3"/>
  <c r="G612" i="3"/>
  <c r="H612" i="3"/>
  <c r="G613" i="3"/>
  <c r="H613" i="3"/>
  <c r="G614" i="3"/>
  <c r="H614" i="3"/>
  <c r="G615" i="3"/>
  <c r="H615" i="3"/>
  <c r="G616" i="3"/>
  <c r="H616" i="3"/>
  <c r="G617" i="3"/>
  <c r="H617" i="3"/>
  <c r="G618" i="3"/>
  <c r="H618" i="3"/>
  <c r="G619" i="3"/>
  <c r="H619" i="3"/>
  <c r="G620" i="3"/>
  <c r="H620" i="3"/>
  <c r="G621" i="3"/>
  <c r="H621" i="3"/>
  <c r="G622" i="3"/>
  <c r="H622" i="3"/>
  <c r="G623" i="3"/>
  <c r="H623" i="3"/>
  <c r="G624" i="3"/>
  <c r="H624" i="3"/>
  <c r="G625" i="3"/>
  <c r="H625" i="3"/>
  <c r="G626" i="3"/>
  <c r="H626" i="3"/>
  <c r="G627" i="3"/>
  <c r="H627" i="3"/>
  <c r="G628" i="3"/>
  <c r="H628" i="3"/>
  <c r="G629" i="3"/>
  <c r="H629" i="3"/>
  <c r="G630" i="3"/>
  <c r="H630" i="3"/>
  <c r="G631" i="3"/>
  <c r="H631" i="3"/>
  <c r="G632" i="3"/>
  <c r="H632" i="3"/>
  <c r="G633" i="3"/>
  <c r="H633" i="3"/>
  <c r="G634" i="3"/>
  <c r="H634" i="3"/>
  <c r="G635" i="3"/>
  <c r="H635" i="3"/>
  <c r="G636" i="3"/>
  <c r="H636" i="3"/>
  <c r="G637" i="3"/>
  <c r="H637" i="3"/>
  <c r="G638" i="3"/>
  <c r="H638" i="3"/>
  <c r="G639" i="3"/>
  <c r="H639" i="3"/>
  <c r="G640" i="3"/>
  <c r="H640" i="3"/>
  <c r="G641" i="3"/>
  <c r="H641" i="3"/>
  <c r="G642" i="3"/>
  <c r="H642" i="3"/>
  <c r="G643" i="3"/>
  <c r="H643" i="3"/>
  <c r="G644" i="3"/>
  <c r="H644" i="3"/>
  <c r="G645" i="3"/>
  <c r="H645" i="3"/>
  <c r="G646" i="3"/>
  <c r="H646" i="3"/>
  <c r="G647" i="3"/>
  <c r="H647" i="3"/>
  <c r="G648" i="3"/>
  <c r="H648" i="3"/>
  <c r="G649" i="3"/>
  <c r="H649" i="3"/>
  <c r="G650" i="3"/>
  <c r="H650" i="3"/>
  <c r="G651" i="3"/>
  <c r="H651" i="3"/>
  <c r="G652" i="3"/>
  <c r="H652" i="3"/>
  <c r="G653" i="3"/>
  <c r="H653" i="3"/>
  <c r="G654" i="3"/>
  <c r="H654" i="3"/>
  <c r="G655" i="3"/>
  <c r="H655" i="3"/>
  <c r="G656" i="3"/>
  <c r="H656" i="3"/>
  <c r="G657" i="3"/>
  <c r="H657" i="3"/>
  <c r="G658" i="3"/>
  <c r="H658" i="3"/>
  <c r="G659" i="3"/>
  <c r="H659" i="3"/>
  <c r="G660" i="3"/>
  <c r="H660" i="3"/>
  <c r="G661" i="3"/>
  <c r="H661" i="3"/>
  <c r="G662" i="3"/>
  <c r="H662" i="3"/>
  <c r="G663" i="3"/>
  <c r="H663" i="3"/>
  <c r="G664" i="3"/>
  <c r="H664" i="3"/>
  <c r="G665" i="3"/>
  <c r="H665" i="3"/>
  <c r="G99" i="3"/>
  <c r="H99" i="3"/>
  <c r="G100" i="3"/>
  <c r="H100" i="3"/>
  <c r="G101" i="3"/>
  <c r="H101" i="3"/>
  <c r="G102" i="3"/>
  <c r="H102" i="3"/>
  <c r="G103" i="3"/>
  <c r="H103" i="3"/>
  <c r="G104" i="3"/>
  <c r="H104" i="3"/>
  <c r="G105" i="3"/>
  <c r="H105" i="3"/>
  <c r="G106" i="3"/>
  <c r="H106" i="3"/>
  <c r="G107" i="3"/>
  <c r="H107" i="3"/>
  <c r="G108" i="3"/>
  <c r="H108" i="3"/>
  <c r="G109" i="3"/>
  <c r="H109" i="3"/>
  <c r="G110" i="3"/>
  <c r="H110" i="3"/>
  <c r="G111" i="3"/>
  <c r="H111" i="3"/>
  <c r="G112" i="3"/>
  <c r="H112" i="3"/>
  <c r="G113" i="3"/>
  <c r="H113" i="3"/>
  <c r="G114" i="3"/>
  <c r="H114" i="3"/>
  <c r="G115" i="3"/>
  <c r="H115" i="3"/>
  <c r="G116" i="3"/>
  <c r="H116" i="3"/>
  <c r="G117" i="3"/>
  <c r="H117" i="3"/>
  <c r="G118" i="3"/>
  <c r="H118" i="3"/>
  <c r="G119" i="3"/>
  <c r="H119" i="3"/>
  <c r="G120" i="3"/>
  <c r="H120" i="3"/>
  <c r="G121" i="3"/>
  <c r="H121" i="3"/>
  <c r="G122" i="3"/>
  <c r="H122" i="3"/>
  <c r="G123" i="3"/>
  <c r="H123" i="3"/>
  <c r="J171" i="4"/>
  <c r="I171" i="4"/>
  <c r="E171" i="4"/>
  <c r="F171" i="4"/>
  <c r="G171" i="4"/>
  <c r="H171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2" i="4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124" i="3"/>
  <c r="G3" i="2"/>
  <c r="H3" i="2" s="1"/>
  <c r="G4" i="2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G70" i="2"/>
  <c r="H70" i="2" s="1"/>
  <c r="G71" i="2"/>
  <c r="H71" i="2" s="1"/>
  <c r="G72" i="2"/>
  <c r="H72" i="2" s="1"/>
  <c r="G73" i="2"/>
  <c r="H73" i="2" s="1"/>
  <c r="G74" i="2"/>
  <c r="H74" i="2" s="1"/>
  <c r="G75" i="2"/>
  <c r="H75" i="2" s="1"/>
  <c r="G76" i="2"/>
  <c r="H76" i="2" s="1"/>
  <c r="G77" i="2"/>
  <c r="H77" i="2" s="1"/>
  <c r="G78" i="2"/>
  <c r="H78" i="2" s="1"/>
  <c r="G79" i="2"/>
  <c r="H79" i="2" s="1"/>
  <c r="G80" i="2"/>
  <c r="H80" i="2" s="1"/>
  <c r="G81" i="2"/>
  <c r="H81" i="2" s="1"/>
  <c r="G82" i="2"/>
  <c r="H82" i="2" s="1"/>
  <c r="G83" i="2"/>
  <c r="H83" i="2" s="1"/>
  <c r="G84" i="2"/>
  <c r="H84" i="2" s="1"/>
  <c r="G85" i="2"/>
  <c r="H85" i="2" s="1"/>
  <c r="G86" i="2"/>
  <c r="H86" i="2" s="1"/>
  <c r="G87" i="2"/>
  <c r="H87" i="2" s="1"/>
  <c r="G88" i="2"/>
  <c r="H88" i="2" s="1"/>
  <c r="G89" i="2"/>
  <c r="H89" i="2" s="1"/>
  <c r="G90" i="2"/>
  <c r="H90" i="2" s="1"/>
  <c r="G91" i="2"/>
  <c r="H91" i="2" s="1"/>
  <c r="G92" i="2"/>
  <c r="H92" i="2" s="1"/>
  <c r="G93" i="2"/>
  <c r="H93" i="2" s="1"/>
  <c r="G94" i="2"/>
  <c r="H94" i="2" s="1"/>
  <c r="G95" i="2"/>
  <c r="H95" i="2" s="1"/>
  <c r="G96" i="2"/>
  <c r="H96" i="2" s="1"/>
  <c r="G97" i="2"/>
  <c r="H97" i="2" s="1"/>
  <c r="G98" i="2"/>
  <c r="H98" i="2" s="1"/>
  <c r="G99" i="2"/>
  <c r="H99" i="2" s="1"/>
  <c r="G100" i="2"/>
  <c r="H100" i="2" s="1"/>
  <c r="G101" i="2"/>
  <c r="H101" i="2" s="1"/>
  <c r="I101" i="2" s="1"/>
  <c r="G102" i="2"/>
  <c r="H102" i="2" s="1"/>
  <c r="G103" i="2"/>
  <c r="H103" i="2" s="1"/>
  <c r="G104" i="2"/>
  <c r="H104" i="2" s="1"/>
  <c r="G105" i="2"/>
  <c r="H105" i="2" s="1"/>
  <c r="G106" i="2"/>
  <c r="H106" i="2" s="1"/>
  <c r="G107" i="2"/>
  <c r="H107" i="2" s="1"/>
  <c r="G108" i="2"/>
  <c r="H108" i="2" s="1"/>
  <c r="G109" i="2"/>
  <c r="H109" i="2" s="1"/>
  <c r="G110" i="2"/>
  <c r="H110" i="2" s="1"/>
  <c r="G111" i="2"/>
  <c r="H111" i="2" s="1"/>
  <c r="G112" i="2"/>
  <c r="H112" i="2" s="1"/>
  <c r="G113" i="2"/>
  <c r="H113" i="2" s="1"/>
  <c r="G114" i="2"/>
  <c r="H114" i="2" s="1"/>
  <c r="G115" i="2"/>
  <c r="H115" i="2" s="1"/>
  <c r="G116" i="2"/>
  <c r="H116" i="2" s="1"/>
  <c r="G117" i="2"/>
  <c r="H117" i="2" s="1"/>
  <c r="G118" i="2"/>
  <c r="H118" i="2" s="1"/>
  <c r="G119" i="2"/>
  <c r="H119" i="2" s="1"/>
  <c r="G120" i="2"/>
  <c r="H120" i="2" s="1"/>
  <c r="G121" i="2"/>
  <c r="H121" i="2" s="1"/>
  <c r="G122" i="2"/>
  <c r="H122" i="2" s="1"/>
  <c r="J122" i="2" s="1"/>
  <c r="G123" i="2"/>
  <c r="H123" i="2" s="1"/>
  <c r="G124" i="2"/>
  <c r="H124" i="2" s="1"/>
  <c r="G125" i="2"/>
  <c r="H125" i="2" s="1"/>
  <c r="G126" i="2"/>
  <c r="H126" i="2" s="1"/>
  <c r="G127" i="2"/>
  <c r="H127" i="2" s="1"/>
  <c r="G128" i="2"/>
  <c r="H128" i="2" s="1"/>
  <c r="G129" i="2"/>
  <c r="H129" i="2" s="1"/>
  <c r="G130" i="2"/>
  <c r="H130" i="2" s="1"/>
  <c r="G131" i="2"/>
  <c r="H131" i="2" s="1"/>
  <c r="G132" i="2"/>
  <c r="H132" i="2" s="1"/>
  <c r="G133" i="2"/>
  <c r="H133" i="2" s="1"/>
  <c r="G134" i="2"/>
  <c r="H134" i="2" s="1"/>
  <c r="G135" i="2"/>
  <c r="H135" i="2" s="1"/>
  <c r="G136" i="2"/>
  <c r="H136" i="2" s="1"/>
  <c r="G137" i="2"/>
  <c r="H137" i="2" s="1"/>
  <c r="G138" i="2"/>
  <c r="H138" i="2" s="1"/>
  <c r="J138" i="2" s="1"/>
  <c r="G139" i="2"/>
  <c r="H139" i="2" s="1"/>
  <c r="G140" i="2"/>
  <c r="H140" i="2" s="1"/>
  <c r="G141" i="2"/>
  <c r="H141" i="2" s="1"/>
  <c r="G142" i="2"/>
  <c r="H142" i="2" s="1"/>
  <c r="G143" i="2"/>
  <c r="H143" i="2" s="1"/>
  <c r="G144" i="2"/>
  <c r="H144" i="2" s="1"/>
  <c r="G145" i="2"/>
  <c r="H145" i="2" s="1"/>
  <c r="G146" i="2"/>
  <c r="H146" i="2" s="1"/>
  <c r="G147" i="2"/>
  <c r="H147" i="2" s="1"/>
  <c r="G148" i="2"/>
  <c r="H148" i="2" s="1"/>
  <c r="G149" i="2"/>
  <c r="H149" i="2" s="1"/>
  <c r="G150" i="2"/>
  <c r="H150" i="2" s="1"/>
  <c r="J150" i="2" s="1"/>
  <c r="G151" i="2"/>
  <c r="H151" i="2" s="1"/>
  <c r="G152" i="2"/>
  <c r="H152" i="2" s="1"/>
  <c r="G153" i="2"/>
  <c r="H153" i="2" s="1"/>
  <c r="G154" i="2"/>
  <c r="H154" i="2" s="1"/>
  <c r="G155" i="2"/>
  <c r="H155" i="2" s="1"/>
  <c r="G156" i="2"/>
  <c r="H156" i="2" s="1"/>
  <c r="G157" i="2"/>
  <c r="H157" i="2" s="1"/>
  <c r="G158" i="2"/>
  <c r="H158" i="2" s="1"/>
  <c r="G159" i="2"/>
  <c r="H159" i="2" s="1"/>
  <c r="G160" i="2"/>
  <c r="H160" i="2" s="1"/>
  <c r="G161" i="2"/>
  <c r="H161" i="2" s="1"/>
  <c r="G162" i="2"/>
  <c r="H162" i="2" s="1"/>
  <c r="G163" i="2"/>
  <c r="H163" i="2" s="1"/>
  <c r="J163" i="2" s="1"/>
  <c r="G164" i="2"/>
  <c r="H164" i="2" s="1"/>
  <c r="G165" i="2"/>
  <c r="H165" i="2" s="1"/>
  <c r="G166" i="2"/>
  <c r="H166" i="2" s="1"/>
  <c r="G167" i="2"/>
  <c r="H167" i="2" s="1"/>
  <c r="G168" i="2"/>
  <c r="H168" i="2" s="1"/>
  <c r="G169" i="2"/>
  <c r="H169" i="2" s="1"/>
  <c r="G170" i="2"/>
  <c r="H170" i="2" s="1"/>
  <c r="G171" i="2"/>
  <c r="H171" i="2" s="1"/>
  <c r="G172" i="2"/>
  <c r="H172" i="2" s="1"/>
  <c r="G173" i="2"/>
  <c r="H173" i="2" s="1"/>
  <c r="J173" i="2" s="1"/>
  <c r="G174" i="2"/>
  <c r="H174" i="2" s="1"/>
  <c r="G175" i="2"/>
  <c r="H175" i="2" s="1"/>
  <c r="G176" i="2"/>
  <c r="H176" i="2" s="1"/>
  <c r="G177" i="2"/>
  <c r="H177" i="2" s="1"/>
  <c r="G178" i="2"/>
  <c r="H178" i="2" s="1"/>
  <c r="G179" i="2"/>
  <c r="H179" i="2" s="1"/>
  <c r="G180" i="2"/>
  <c r="H180" i="2" s="1"/>
  <c r="G181" i="2"/>
  <c r="H181" i="2" s="1"/>
  <c r="G182" i="2"/>
  <c r="H182" i="2" s="1"/>
  <c r="J182" i="2" s="1"/>
  <c r="G183" i="2"/>
  <c r="H183" i="2" s="1"/>
  <c r="G184" i="2"/>
  <c r="H184" i="2" s="1"/>
  <c r="G185" i="2"/>
  <c r="H185" i="2" s="1"/>
  <c r="G186" i="2"/>
  <c r="H186" i="2" s="1"/>
  <c r="G187" i="2"/>
  <c r="H187" i="2" s="1"/>
  <c r="G188" i="2"/>
  <c r="H188" i="2" s="1"/>
  <c r="G189" i="2"/>
  <c r="H189" i="2" s="1"/>
  <c r="G190" i="2"/>
  <c r="H190" i="2" s="1"/>
  <c r="G191" i="2"/>
  <c r="H191" i="2" s="1"/>
  <c r="G192" i="2"/>
  <c r="H192" i="2" s="1"/>
  <c r="G193" i="2"/>
  <c r="H193" i="2" s="1"/>
  <c r="G194" i="2"/>
  <c r="H194" i="2" s="1"/>
  <c r="G195" i="2"/>
  <c r="H195" i="2" s="1"/>
  <c r="G196" i="2"/>
  <c r="H196" i="2" s="1"/>
  <c r="G197" i="2"/>
  <c r="H197" i="2" s="1"/>
  <c r="G198" i="2"/>
  <c r="H198" i="2" s="1"/>
  <c r="G199" i="2"/>
  <c r="H199" i="2" s="1"/>
  <c r="G200" i="2"/>
  <c r="H200" i="2" s="1"/>
  <c r="G201" i="2"/>
  <c r="H201" i="2" s="1"/>
  <c r="G202" i="2"/>
  <c r="H202" i="2" s="1"/>
  <c r="G203" i="2"/>
  <c r="H203" i="2" s="1"/>
  <c r="G204" i="2"/>
  <c r="H204" i="2" s="1"/>
  <c r="G205" i="2"/>
  <c r="H205" i="2" s="1"/>
  <c r="G206" i="2"/>
  <c r="H206" i="2" s="1"/>
  <c r="J206" i="2" s="1"/>
  <c r="G207" i="2"/>
  <c r="H207" i="2" s="1"/>
  <c r="G208" i="2"/>
  <c r="H208" i="2" s="1"/>
  <c r="G209" i="2"/>
  <c r="H209" i="2" s="1"/>
  <c r="G210" i="2"/>
  <c r="H210" i="2" s="1"/>
  <c r="G211" i="2"/>
  <c r="H211" i="2" s="1"/>
  <c r="G212" i="2"/>
  <c r="H212" i="2" s="1"/>
  <c r="G213" i="2"/>
  <c r="H213" i="2" s="1"/>
  <c r="G214" i="2"/>
  <c r="H214" i="2" s="1"/>
  <c r="J214" i="2" s="1"/>
  <c r="G215" i="2"/>
  <c r="H215" i="2" s="1"/>
  <c r="G216" i="2"/>
  <c r="H216" i="2" s="1"/>
  <c r="G217" i="2"/>
  <c r="H217" i="2" s="1"/>
  <c r="G218" i="2"/>
  <c r="H218" i="2" s="1"/>
  <c r="G219" i="2"/>
  <c r="H219" i="2" s="1"/>
  <c r="G220" i="2"/>
  <c r="H220" i="2" s="1"/>
  <c r="G221" i="2"/>
  <c r="H221" i="2" s="1"/>
  <c r="G222" i="2"/>
  <c r="H222" i="2" s="1"/>
  <c r="G223" i="2"/>
  <c r="H223" i="2" s="1"/>
  <c r="G224" i="2"/>
  <c r="H224" i="2" s="1"/>
  <c r="G225" i="2"/>
  <c r="H225" i="2" s="1"/>
  <c r="G226" i="2"/>
  <c r="H226" i="2" s="1"/>
  <c r="G227" i="2"/>
  <c r="H227" i="2" s="1"/>
  <c r="G228" i="2"/>
  <c r="H228" i="2" s="1"/>
  <c r="G229" i="2"/>
  <c r="H229" i="2" s="1"/>
  <c r="G230" i="2"/>
  <c r="H230" i="2" s="1"/>
  <c r="J230" i="2" s="1"/>
  <c r="G231" i="2"/>
  <c r="H231" i="2" s="1"/>
  <c r="G232" i="2"/>
  <c r="H232" i="2" s="1"/>
  <c r="G233" i="2"/>
  <c r="H233" i="2" s="1"/>
  <c r="G234" i="2"/>
  <c r="H234" i="2" s="1"/>
  <c r="G235" i="2"/>
  <c r="H235" i="2" s="1"/>
  <c r="G236" i="2"/>
  <c r="H236" i="2" s="1"/>
  <c r="G237" i="2"/>
  <c r="H237" i="2" s="1"/>
  <c r="G238" i="2"/>
  <c r="H238" i="2" s="1"/>
  <c r="J238" i="2" s="1"/>
  <c r="G239" i="2"/>
  <c r="H239" i="2" s="1"/>
  <c r="G240" i="2"/>
  <c r="H240" i="2" s="1"/>
  <c r="G241" i="2"/>
  <c r="H241" i="2" s="1"/>
  <c r="G242" i="2"/>
  <c r="H242" i="2" s="1"/>
  <c r="G243" i="2"/>
  <c r="H243" i="2" s="1"/>
  <c r="G244" i="2"/>
  <c r="H244" i="2" s="1"/>
  <c r="G245" i="2"/>
  <c r="H245" i="2" s="1"/>
  <c r="G246" i="2"/>
  <c r="H246" i="2" s="1"/>
  <c r="J246" i="2" s="1"/>
  <c r="G247" i="2"/>
  <c r="H247" i="2" s="1"/>
  <c r="G248" i="2"/>
  <c r="H248" i="2" s="1"/>
  <c r="G249" i="2"/>
  <c r="H249" i="2" s="1"/>
  <c r="G250" i="2"/>
  <c r="H250" i="2" s="1"/>
  <c r="G251" i="2"/>
  <c r="H251" i="2" s="1"/>
  <c r="G252" i="2"/>
  <c r="H252" i="2" s="1"/>
  <c r="G253" i="2"/>
  <c r="H253" i="2" s="1"/>
  <c r="G254" i="2"/>
  <c r="H254" i="2" s="1"/>
  <c r="G255" i="2"/>
  <c r="H255" i="2" s="1"/>
  <c r="G256" i="2"/>
  <c r="H256" i="2" s="1"/>
  <c r="G257" i="2"/>
  <c r="H257" i="2" s="1"/>
  <c r="G258" i="2"/>
  <c r="H258" i="2" s="1"/>
  <c r="G259" i="2"/>
  <c r="H259" i="2" s="1"/>
  <c r="G260" i="2"/>
  <c r="H260" i="2" s="1"/>
  <c r="G261" i="2"/>
  <c r="H261" i="2" s="1"/>
  <c r="G262" i="2"/>
  <c r="H262" i="2" s="1"/>
  <c r="J262" i="2" s="1"/>
  <c r="G263" i="2"/>
  <c r="H263" i="2" s="1"/>
  <c r="G264" i="2"/>
  <c r="H264" i="2" s="1"/>
  <c r="G265" i="2"/>
  <c r="H265" i="2" s="1"/>
  <c r="G266" i="2"/>
  <c r="H266" i="2" s="1"/>
  <c r="G267" i="2"/>
  <c r="H267" i="2" s="1"/>
  <c r="G268" i="2"/>
  <c r="H268" i="2" s="1"/>
  <c r="G269" i="2"/>
  <c r="H269" i="2" s="1"/>
  <c r="G270" i="2"/>
  <c r="H270" i="2" s="1"/>
  <c r="J270" i="2" s="1"/>
  <c r="G271" i="2"/>
  <c r="H271" i="2" s="1"/>
  <c r="G272" i="2"/>
  <c r="H272" i="2" s="1"/>
  <c r="I272" i="2" s="1"/>
  <c r="G273" i="2"/>
  <c r="H273" i="2" s="1"/>
  <c r="G274" i="2"/>
  <c r="H274" i="2" s="1"/>
  <c r="G275" i="2"/>
  <c r="H275" i="2" s="1"/>
  <c r="G276" i="2"/>
  <c r="H276" i="2" s="1"/>
  <c r="G277" i="2"/>
  <c r="H277" i="2" s="1"/>
  <c r="G278" i="2"/>
  <c r="H278" i="2" s="1"/>
  <c r="G279" i="2"/>
  <c r="H279" i="2" s="1"/>
  <c r="G280" i="2"/>
  <c r="H280" i="2" s="1"/>
  <c r="G281" i="2"/>
  <c r="H281" i="2" s="1"/>
  <c r="G282" i="2"/>
  <c r="H282" i="2" s="1"/>
  <c r="G283" i="2"/>
  <c r="H283" i="2" s="1"/>
  <c r="G284" i="2"/>
  <c r="H284" i="2" s="1"/>
  <c r="G285" i="2"/>
  <c r="H285" i="2" s="1"/>
  <c r="G286" i="2"/>
  <c r="H286" i="2" s="1"/>
  <c r="J286" i="2" s="1"/>
  <c r="G287" i="2"/>
  <c r="H287" i="2" s="1"/>
  <c r="G288" i="2"/>
  <c r="H288" i="2" s="1"/>
  <c r="G289" i="2"/>
  <c r="H289" i="2" s="1"/>
  <c r="G290" i="2"/>
  <c r="H290" i="2" s="1"/>
  <c r="G291" i="2"/>
  <c r="H291" i="2" s="1"/>
  <c r="G292" i="2"/>
  <c r="H292" i="2" s="1"/>
  <c r="G293" i="2"/>
  <c r="H293" i="2" s="1"/>
  <c r="G294" i="2"/>
  <c r="H294" i="2" s="1"/>
  <c r="J294" i="2" s="1"/>
  <c r="G295" i="2"/>
  <c r="H295" i="2" s="1"/>
  <c r="G296" i="2"/>
  <c r="H296" i="2" s="1"/>
  <c r="G297" i="2"/>
  <c r="H297" i="2" s="1"/>
  <c r="G298" i="2"/>
  <c r="H298" i="2" s="1"/>
  <c r="G299" i="2"/>
  <c r="H299" i="2" s="1"/>
  <c r="G300" i="2"/>
  <c r="H300" i="2" s="1"/>
  <c r="G301" i="2"/>
  <c r="H301" i="2" s="1"/>
  <c r="G302" i="2"/>
  <c r="H302" i="2" s="1"/>
  <c r="J302" i="2" s="1"/>
  <c r="G303" i="2"/>
  <c r="H303" i="2" s="1"/>
  <c r="G304" i="2"/>
  <c r="H304" i="2" s="1"/>
  <c r="G305" i="2"/>
  <c r="H305" i="2" s="1"/>
  <c r="G306" i="2"/>
  <c r="H306" i="2" s="1"/>
  <c r="G307" i="2"/>
  <c r="H307" i="2" s="1"/>
  <c r="G308" i="2"/>
  <c r="H308" i="2" s="1"/>
  <c r="G309" i="2"/>
  <c r="H309" i="2" s="1"/>
  <c r="G310" i="2"/>
  <c r="H310" i="2" s="1"/>
  <c r="J310" i="2" s="1"/>
  <c r="G311" i="2"/>
  <c r="H311" i="2" s="1"/>
  <c r="G312" i="2"/>
  <c r="H312" i="2" s="1"/>
  <c r="G313" i="2"/>
  <c r="H313" i="2" s="1"/>
  <c r="G314" i="2"/>
  <c r="H314" i="2" s="1"/>
  <c r="G315" i="2"/>
  <c r="H315" i="2" s="1"/>
  <c r="G316" i="2"/>
  <c r="H316" i="2" s="1"/>
  <c r="G317" i="2"/>
  <c r="H317" i="2" s="1"/>
  <c r="G318" i="2"/>
  <c r="H318" i="2" s="1"/>
  <c r="J318" i="2" s="1"/>
  <c r="G319" i="2"/>
  <c r="H319" i="2" s="1"/>
  <c r="G320" i="2"/>
  <c r="H320" i="2" s="1"/>
  <c r="G321" i="2"/>
  <c r="H321" i="2" s="1"/>
  <c r="G322" i="2"/>
  <c r="H322" i="2" s="1"/>
  <c r="G323" i="2"/>
  <c r="H323" i="2" s="1"/>
  <c r="G324" i="2"/>
  <c r="H324" i="2" s="1"/>
  <c r="G325" i="2"/>
  <c r="H325" i="2" s="1"/>
  <c r="G326" i="2"/>
  <c r="H326" i="2" s="1"/>
  <c r="J326" i="2" s="1"/>
  <c r="G327" i="2"/>
  <c r="H327" i="2" s="1"/>
  <c r="G328" i="2"/>
  <c r="H328" i="2" s="1"/>
  <c r="G329" i="2"/>
  <c r="H329" i="2" s="1"/>
  <c r="G330" i="2"/>
  <c r="H330" i="2" s="1"/>
  <c r="G331" i="2"/>
  <c r="H331" i="2" s="1"/>
  <c r="G332" i="2"/>
  <c r="H332" i="2" s="1"/>
  <c r="G333" i="2"/>
  <c r="H333" i="2" s="1"/>
  <c r="G334" i="2"/>
  <c r="H334" i="2" s="1"/>
  <c r="J334" i="2" s="1"/>
  <c r="G335" i="2"/>
  <c r="H335" i="2" s="1"/>
  <c r="G336" i="2"/>
  <c r="H336" i="2" s="1"/>
  <c r="G337" i="2"/>
  <c r="H337" i="2" s="1"/>
  <c r="G338" i="2"/>
  <c r="H338" i="2" s="1"/>
  <c r="G339" i="2"/>
  <c r="H339" i="2" s="1"/>
  <c r="G340" i="2"/>
  <c r="H340" i="2" s="1"/>
  <c r="G341" i="2"/>
  <c r="H341" i="2" s="1"/>
  <c r="G342" i="2"/>
  <c r="H342" i="2" s="1"/>
  <c r="G343" i="2"/>
  <c r="H343" i="2" s="1"/>
  <c r="G344" i="2"/>
  <c r="H344" i="2" s="1"/>
  <c r="G345" i="2"/>
  <c r="H345" i="2" s="1"/>
  <c r="G346" i="2"/>
  <c r="H346" i="2" s="1"/>
  <c r="G347" i="2"/>
  <c r="H347" i="2" s="1"/>
  <c r="G348" i="2"/>
  <c r="H348" i="2" s="1"/>
  <c r="G349" i="2"/>
  <c r="H349" i="2" s="1"/>
  <c r="G350" i="2"/>
  <c r="H350" i="2" s="1"/>
  <c r="J350" i="2" s="1"/>
  <c r="G351" i="2"/>
  <c r="H351" i="2" s="1"/>
  <c r="G352" i="2"/>
  <c r="H352" i="2" s="1"/>
  <c r="G353" i="2"/>
  <c r="H353" i="2" s="1"/>
  <c r="G354" i="2"/>
  <c r="H354" i="2" s="1"/>
  <c r="G355" i="2"/>
  <c r="H355" i="2" s="1"/>
  <c r="G356" i="2"/>
  <c r="H356" i="2" s="1"/>
  <c r="G357" i="2"/>
  <c r="H357" i="2" s="1"/>
  <c r="G358" i="2"/>
  <c r="H358" i="2" s="1"/>
  <c r="J358" i="2" s="1"/>
  <c r="G359" i="2"/>
  <c r="H359" i="2" s="1"/>
  <c r="G360" i="2"/>
  <c r="H360" i="2" s="1"/>
  <c r="G361" i="2"/>
  <c r="H361" i="2" s="1"/>
  <c r="G362" i="2"/>
  <c r="H362" i="2" s="1"/>
  <c r="G363" i="2"/>
  <c r="H363" i="2" s="1"/>
  <c r="G364" i="2"/>
  <c r="H364" i="2" s="1"/>
  <c r="G365" i="2"/>
  <c r="H365" i="2" s="1"/>
  <c r="G366" i="2"/>
  <c r="H366" i="2" s="1"/>
  <c r="J366" i="2" s="1"/>
  <c r="G367" i="2"/>
  <c r="H367" i="2" s="1"/>
  <c r="G368" i="2"/>
  <c r="H368" i="2" s="1"/>
  <c r="G369" i="2"/>
  <c r="H369" i="2" s="1"/>
  <c r="G370" i="2"/>
  <c r="H370" i="2" s="1"/>
  <c r="G371" i="2"/>
  <c r="H371" i="2" s="1"/>
  <c r="G372" i="2"/>
  <c r="H372" i="2" s="1"/>
  <c r="G373" i="2"/>
  <c r="H373" i="2" s="1"/>
  <c r="G374" i="2"/>
  <c r="H374" i="2" s="1"/>
  <c r="J374" i="2" s="1"/>
  <c r="G375" i="2"/>
  <c r="H375" i="2" s="1"/>
  <c r="G376" i="2"/>
  <c r="H376" i="2" s="1"/>
  <c r="G377" i="2"/>
  <c r="H377" i="2" s="1"/>
  <c r="G378" i="2"/>
  <c r="H378" i="2" s="1"/>
  <c r="G379" i="2"/>
  <c r="H379" i="2" s="1"/>
  <c r="G380" i="2"/>
  <c r="H380" i="2" s="1"/>
  <c r="G381" i="2"/>
  <c r="H381" i="2" s="1"/>
  <c r="G382" i="2"/>
  <c r="H382" i="2" s="1"/>
  <c r="J382" i="2" s="1"/>
  <c r="G383" i="2"/>
  <c r="H383" i="2" s="1"/>
  <c r="G384" i="2"/>
  <c r="H384" i="2" s="1"/>
  <c r="G385" i="2"/>
  <c r="H385" i="2" s="1"/>
  <c r="G386" i="2"/>
  <c r="H386" i="2" s="1"/>
  <c r="G387" i="2"/>
  <c r="H387" i="2" s="1"/>
  <c r="G388" i="2"/>
  <c r="H388" i="2" s="1"/>
  <c r="G389" i="2"/>
  <c r="H389" i="2" s="1"/>
  <c r="G390" i="2"/>
  <c r="H390" i="2" s="1"/>
  <c r="J390" i="2" s="1"/>
  <c r="G391" i="2"/>
  <c r="H391" i="2" s="1"/>
  <c r="G392" i="2"/>
  <c r="H392" i="2" s="1"/>
  <c r="G393" i="2"/>
  <c r="H393" i="2" s="1"/>
  <c r="G394" i="2"/>
  <c r="H394" i="2" s="1"/>
  <c r="G395" i="2"/>
  <c r="H395" i="2" s="1"/>
  <c r="G396" i="2"/>
  <c r="H396" i="2" s="1"/>
  <c r="G397" i="2"/>
  <c r="H397" i="2" s="1"/>
  <c r="G398" i="2"/>
  <c r="H398" i="2" s="1"/>
  <c r="J398" i="2" s="1"/>
  <c r="G399" i="2"/>
  <c r="H399" i="2" s="1"/>
  <c r="G400" i="2"/>
  <c r="H400" i="2" s="1"/>
  <c r="J400" i="2" s="1"/>
  <c r="G401" i="2"/>
  <c r="H401" i="2" s="1"/>
  <c r="G402" i="2"/>
  <c r="H402" i="2" s="1"/>
  <c r="G403" i="2"/>
  <c r="H403" i="2" s="1"/>
  <c r="G404" i="2"/>
  <c r="H404" i="2" s="1"/>
  <c r="G405" i="2"/>
  <c r="H405" i="2" s="1"/>
  <c r="G406" i="2"/>
  <c r="H406" i="2" s="1"/>
  <c r="J406" i="2" s="1"/>
  <c r="G407" i="2"/>
  <c r="H407" i="2" s="1"/>
  <c r="G408" i="2"/>
  <c r="H408" i="2" s="1"/>
  <c r="J408" i="2" s="1"/>
  <c r="G409" i="2"/>
  <c r="H409" i="2" s="1"/>
  <c r="G410" i="2"/>
  <c r="H410" i="2" s="1"/>
  <c r="G411" i="2"/>
  <c r="H411" i="2" s="1"/>
  <c r="G412" i="2"/>
  <c r="H412" i="2" s="1"/>
  <c r="G413" i="2"/>
  <c r="H413" i="2" s="1"/>
  <c r="G414" i="2"/>
  <c r="H414" i="2" s="1"/>
  <c r="J414" i="2" s="1"/>
  <c r="G415" i="2"/>
  <c r="H415" i="2" s="1"/>
  <c r="G416" i="2"/>
  <c r="H416" i="2" s="1"/>
  <c r="J416" i="2" s="1"/>
  <c r="G417" i="2"/>
  <c r="H417" i="2" s="1"/>
  <c r="G418" i="2"/>
  <c r="H418" i="2" s="1"/>
  <c r="G419" i="2"/>
  <c r="H419" i="2" s="1"/>
  <c r="G420" i="2"/>
  <c r="H420" i="2" s="1"/>
  <c r="G421" i="2"/>
  <c r="H421" i="2" s="1"/>
  <c r="G422" i="2"/>
  <c r="H422" i="2" s="1"/>
  <c r="J422" i="2" s="1"/>
  <c r="G423" i="2"/>
  <c r="H423" i="2" s="1"/>
  <c r="G424" i="2"/>
  <c r="H424" i="2" s="1"/>
  <c r="J424" i="2" s="1"/>
  <c r="G425" i="2"/>
  <c r="H425" i="2" s="1"/>
  <c r="G426" i="2"/>
  <c r="H426" i="2" s="1"/>
  <c r="G427" i="2"/>
  <c r="H427" i="2" s="1"/>
  <c r="G428" i="2"/>
  <c r="H428" i="2" s="1"/>
  <c r="G429" i="2"/>
  <c r="H429" i="2" s="1"/>
  <c r="G430" i="2"/>
  <c r="H430" i="2" s="1"/>
  <c r="J430" i="2" s="1"/>
  <c r="G431" i="2"/>
  <c r="H431" i="2" s="1"/>
  <c r="G432" i="2"/>
  <c r="H432" i="2" s="1"/>
  <c r="J432" i="2" s="1"/>
  <c r="G433" i="2"/>
  <c r="H433" i="2" s="1"/>
  <c r="G434" i="2"/>
  <c r="H434" i="2" s="1"/>
  <c r="G435" i="2"/>
  <c r="H435" i="2" s="1"/>
  <c r="G436" i="2"/>
  <c r="H436" i="2" s="1"/>
  <c r="G437" i="2"/>
  <c r="H437" i="2" s="1"/>
  <c r="G438" i="2"/>
  <c r="H438" i="2" s="1"/>
  <c r="J438" i="2" s="1"/>
  <c r="G439" i="2"/>
  <c r="H439" i="2" s="1"/>
  <c r="G440" i="2"/>
  <c r="H440" i="2" s="1"/>
  <c r="J440" i="2" s="1"/>
  <c r="G441" i="2"/>
  <c r="H441" i="2" s="1"/>
  <c r="G442" i="2"/>
  <c r="H442" i="2" s="1"/>
  <c r="G443" i="2"/>
  <c r="H443" i="2" s="1"/>
  <c r="G444" i="2"/>
  <c r="H444" i="2" s="1"/>
  <c r="G445" i="2"/>
  <c r="H445" i="2" s="1"/>
  <c r="J445" i="2" s="1"/>
  <c r="G446" i="2"/>
  <c r="H446" i="2" s="1"/>
  <c r="J446" i="2" s="1"/>
  <c r="G447" i="2"/>
  <c r="H447" i="2" s="1"/>
  <c r="J447" i="2" s="1"/>
  <c r="G448" i="2"/>
  <c r="H448" i="2" s="1"/>
  <c r="J448" i="2" s="1"/>
  <c r="G449" i="2"/>
  <c r="H449" i="2" s="1"/>
  <c r="G450" i="2"/>
  <c r="H450" i="2" s="1"/>
  <c r="G451" i="2"/>
  <c r="H451" i="2" s="1"/>
  <c r="J451" i="2" s="1"/>
  <c r="G452" i="2"/>
  <c r="H452" i="2" s="1"/>
  <c r="G453" i="2"/>
  <c r="H453" i="2" s="1"/>
  <c r="J453" i="2" s="1"/>
  <c r="G454" i="2"/>
  <c r="H454" i="2" s="1"/>
  <c r="J454" i="2" s="1"/>
  <c r="G455" i="2"/>
  <c r="H455" i="2" s="1"/>
  <c r="G456" i="2"/>
  <c r="H456" i="2" s="1"/>
  <c r="J456" i="2" s="1"/>
  <c r="G457" i="2"/>
  <c r="H457" i="2" s="1"/>
  <c r="G458" i="2"/>
  <c r="H458" i="2" s="1"/>
  <c r="G459" i="2"/>
  <c r="H459" i="2" s="1"/>
  <c r="J459" i="2" s="1"/>
  <c r="G460" i="2"/>
  <c r="H460" i="2" s="1"/>
  <c r="G461" i="2"/>
  <c r="H461" i="2" s="1"/>
  <c r="J461" i="2" s="1"/>
  <c r="G462" i="2"/>
  <c r="H462" i="2" s="1"/>
  <c r="J462" i="2" s="1"/>
  <c r="G463" i="2"/>
  <c r="H463" i="2" s="1"/>
  <c r="J463" i="2" s="1"/>
  <c r="G464" i="2"/>
  <c r="H464" i="2" s="1"/>
  <c r="J464" i="2" s="1"/>
  <c r="G465" i="2"/>
  <c r="H465" i="2" s="1"/>
  <c r="G466" i="2"/>
  <c r="H466" i="2" s="1"/>
  <c r="G467" i="2"/>
  <c r="H467" i="2" s="1"/>
  <c r="J467" i="2" s="1"/>
  <c r="G468" i="2"/>
  <c r="H468" i="2" s="1"/>
  <c r="G469" i="2"/>
  <c r="H469" i="2" s="1"/>
  <c r="J469" i="2" s="1"/>
  <c r="G470" i="2"/>
  <c r="H470" i="2" s="1"/>
  <c r="G471" i="2"/>
  <c r="H471" i="2" s="1"/>
  <c r="G472" i="2"/>
  <c r="H472" i="2" s="1"/>
  <c r="J472" i="2" s="1"/>
  <c r="G473" i="2"/>
  <c r="H473" i="2" s="1"/>
  <c r="G474" i="2"/>
  <c r="H474" i="2" s="1"/>
  <c r="G475" i="2"/>
  <c r="H475" i="2" s="1"/>
  <c r="J475" i="2" s="1"/>
  <c r="G476" i="2"/>
  <c r="H476" i="2" s="1"/>
  <c r="G477" i="2"/>
  <c r="H477" i="2" s="1"/>
  <c r="J477" i="2" s="1"/>
  <c r="G478" i="2"/>
  <c r="H478" i="2" s="1"/>
  <c r="J478" i="2" s="1"/>
  <c r="G479" i="2"/>
  <c r="H479" i="2" s="1"/>
  <c r="I479" i="2" s="1"/>
  <c r="G480" i="2"/>
  <c r="H480" i="2" s="1"/>
  <c r="J480" i="2" s="1"/>
  <c r="G481" i="2"/>
  <c r="H481" i="2" s="1"/>
  <c r="J481" i="2" s="1"/>
  <c r="G482" i="2"/>
  <c r="H482" i="2" s="1"/>
  <c r="J482" i="2" s="1"/>
  <c r="G483" i="2"/>
  <c r="H483" i="2" s="1"/>
  <c r="J483" i="2" s="1"/>
  <c r="G484" i="2"/>
  <c r="H484" i="2" s="1"/>
  <c r="G485" i="2"/>
  <c r="H485" i="2" s="1"/>
  <c r="G486" i="2"/>
  <c r="H486" i="2" s="1"/>
  <c r="G487" i="2"/>
  <c r="H487" i="2" s="1"/>
  <c r="G488" i="2"/>
  <c r="H488" i="2" s="1"/>
  <c r="G489" i="2"/>
  <c r="H489" i="2" s="1"/>
  <c r="G490" i="2"/>
  <c r="H490" i="2" s="1"/>
  <c r="J490" i="2" s="1"/>
  <c r="G491" i="2"/>
  <c r="H491" i="2" s="1"/>
  <c r="J491" i="2" s="1"/>
  <c r="G492" i="2"/>
  <c r="H492" i="2" s="1"/>
  <c r="G493" i="2"/>
  <c r="H493" i="2" s="1"/>
  <c r="G494" i="2"/>
  <c r="H494" i="2" s="1"/>
  <c r="G495" i="2"/>
  <c r="H495" i="2" s="1"/>
  <c r="G496" i="2"/>
  <c r="H496" i="2" s="1"/>
  <c r="G497" i="2"/>
  <c r="H497" i="2" s="1"/>
  <c r="G498" i="2"/>
  <c r="H498" i="2" s="1"/>
  <c r="J498" i="2" s="1"/>
  <c r="G499" i="2"/>
  <c r="H499" i="2" s="1"/>
  <c r="J499" i="2" s="1"/>
  <c r="G500" i="2"/>
  <c r="H500" i="2" s="1"/>
  <c r="G501" i="2"/>
  <c r="H501" i="2" s="1"/>
  <c r="G502" i="2"/>
  <c r="H502" i="2" s="1"/>
  <c r="G503" i="2"/>
  <c r="H503" i="2" s="1"/>
  <c r="G504" i="2"/>
  <c r="H504" i="2" s="1"/>
  <c r="G505" i="2"/>
  <c r="H505" i="2" s="1"/>
  <c r="G506" i="2"/>
  <c r="H506" i="2" s="1"/>
  <c r="J506" i="2" s="1"/>
  <c r="G507" i="2"/>
  <c r="H507" i="2" s="1"/>
  <c r="G508" i="2"/>
  <c r="H508" i="2" s="1"/>
  <c r="G509" i="2"/>
  <c r="H509" i="2" s="1"/>
  <c r="G510" i="2"/>
  <c r="H510" i="2" s="1"/>
  <c r="J510" i="2" s="1"/>
  <c r="G511" i="2"/>
  <c r="H511" i="2" s="1"/>
  <c r="G512" i="2"/>
  <c r="H512" i="2" s="1"/>
  <c r="G513" i="2"/>
  <c r="H513" i="2" s="1"/>
  <c r="G514" i="2"/>
  <c r="H514" i="2" s="1"/>
  <c r="J514" i="2" s="1"/>
  <c r="G515" i="2"/>
  <c r="H515" i="2" s="1"/>
  <c r="J515" i="2" s="1"/>
  <c r="G516" i="2"/>
  <c r="H516" i="2" s="1"/>
  <c r="J516" i="2" s="1"/>
  <c r="G517" i="2"/>
  <c r="H517" i="2" s="1"/>
  <c r="G518" i="2"/>
  <c r="H518" i="2" s="1"/>
  <c r="G519" i="2"/>
  <c r="H519" i="2" s="1"/>
  <c r="G520" i="2"/>
  <c r="H520" i="2" s="1"/>
  <c r="G521" i="2"/>
  <c r="H521" i="2" s="1"/>
  <c r="G522" i="2"/>
  <c r="H522" i="2" s="1"/>
  <c r="J522" i="2" s="1"/>
  <c r="G523" i="2"/>
  <c r="H523" i="2" s="1"/>
  <c r="G524" i="2"/>
  <c r="H524" i="2" s="1"/>
  <c r="G525" i="2"/>
  <c r="H525" i="2" s="1"/>
  <c r="G526" i="2"/>
  <c r="H526" i="2" s="1"/>
  <c r="J526" i="2" s="1"/>
  <c r="G527" i="2"/>
  <c r="H527" i="2" s="1"/>
  <c r="J527" i="2" s="1"/>
  <c r="G528" i="2"/>
  <c r="H528" i="2" s="1"/>
  <c r="G529" i="2"/>
  <c r="H529" i="2" s="1"/>
  <c r="G530" i="2"/>
  <c r="H530" i="2" s="1"/>
  <c r="J530" i="2" s="1"/>
  <c r="G531" i="2"/>
  <c r="H531" i="2" s="1"/>
  <c r="J531" i="2" s="1"/>
  <c r="G532" i="2"/>
  <c r="H532" i="2" s="1"/>
  <c r="G533" i="2"/>
  <c r="H533" i="2" s="1"/>
  <c r="G534" i="2"/>
  <c r="H534" i="2" s="1"/>
  <c r="G535" i="2"/>
  <c r="H535" i="2" s="1"/>
  <c r="G536" i="2"/>
  <c r="H536" i="2" s="1"/>
  <c r="G537" i="2"/>
  <c r="H537" i="2" s="1"/>
  <c r="G538" i="2"/>
  <c r="H538" i="2" s="1"/>
  <c r="J538" i="2" s="1"/>
  <c r="G539" i="2"/>
  <c r="H539" i="2" s="1"/>
  <c r="G540" i="2"/>
  <c r="H540" i="2" s="1"/>
  <c r="G541" i="2"/>
  <c r="H541" i="2" s="1"/>
  <c r="G542" i="2"/>
  <c r="H542" i="2" s="1"/>
  <c r="J542" i="2" s="1"/>
  <c r="G543" i="2"/>
  <c r="H543" i="2" s="1"/>
  <c r="G544" i="2"/>
  <c r="H544" i="2" s="1"/>
  <c r="G545" i="2"/>
  <c r="H545" i="2" s="1"/>
  <c r="G546" i="2"/>
  <c r="H546" i="2" s="1"/>
  <c r="J546" i="2" s="1"/>
  <c r="G547" i="2"/>
  <c r="H547" i="2" s="1"/>
  <c r="J547" i="2" s="1"/>
  <c r="G548" i="2"/>
  <c r="H548" i="2" s="1"/>
  <c r="J548" i="2" s="1"/>
  <c r="G549" i="2"/>
  <c r="H549" i="2" s="1"/>
  <c r="G550" i="2"/>
  <c r="H550" i="2" s="1"/>
  <c r="G551" i="2"/>
  <c r="H551" i="2" s="1"/>
  <c r="G552" i="2"/>
  <c r="H552" i="2" s="1"/>
  <c r="G553" i="2"/>
  <c r="H553" i="2" s="1"/>
  <c r="G554" i="2"/>
  <c r="H554" i="2" s="1"/>
  <c r="J554" i="2" s="1"/>
  <c r="G555" i="2"/>
  <c r="H555" i="2" s="1"/>
  <c r="G556" i="2"/>
  <c r="H556" i="2" s="1"/>
  <c r="G557" i="2"/>
  <c r="H557" i="2" s="1"/>
  <c r="G558" i="2"/>
  <c r="H558" i="2" s="1"/>
  <c r="J558" i="2" s="1"/>
  <c r="G559" i="2"/>
  <c r="H559" i="2" s="1"/>
  <c r="J559" i="2" s="1"/>
  <c r="G560" i="2"/>
  <c r="H560" i="2" s="1"/>
  <c r="G561" i="2"/>
  <c r="H561" i="2" s="1"/>
  <c r="G562" i="2"/>
  <c r="H562" i="2" s="1"/>
  <c r="J562" i="2" s="1"/>
  <c r="G563" i="2"/>
  <c r="H563" i="2" s="1"/>
  <c r="J563" i="2" s="1"/>
  <c r="G564" i="2"/>
  <c r="H564" i="2" s="1"/>
  <c r="G565" i="2"/>
  <c r="H565" i="2" s="1"/>
  <c r="G566" i="2"/>
  <c r="H566" i="2" s="1"/>
  <c r="G567" i="2"/>
  <c r="H567" i="2" s="1"/>
  <c r="G568" i="2"/>
  <c r="H568" i="2" s="1"/>
  <c r="G569" i="2"/>
  <c r="H569" i="2" s="1"/>
  <c r="G570" i="2"/>
  <c r="H570" i="2" s="1"/>
  <c r="J570" i="2" s="1"/>
  <c r="G571" i="2"/>
  <c r="H571" i="2" s="1"/>
  <c r="G572" i="2"/>
  <c r="H572" i="2" s="1"/>
  <c r="G573" i="2"/>
  <c r="H573" i="2" s="1"/>
  <c r="G574" i="2"/>
  <c r="H574" i="2" s="1"/>
  <c r="J574" i="2" s="1"/>
  <c r="G575" i="2"/>
  <c r="H575" i="2" s="1"/>
  <c r="G576" i="2"/>
  <c r="H576" i="2" s="1"/>
  <c r="G577" i="2"/>
  <c r="H577" i="2" s="1"/>
  <c r="G578" i="2"/>
  <c r="H578" i="2" s="1"/>
  <c r="J578" i="2" s="1"/>
  <c r="G579" i="2"/>
  <c r="H579" i="2" s="1"/>
  <c r="J579" i="2" s="1"/>
  <c r="G580" i="2"/>
  <c r="H580" i="2" s="1"/>
  <c r="J580" i="2" s="1"/>
  <c r="G581" i="2"/>
  <c r="H581" i="2" s="1"/>
  <c r="G582" i="2"/>
  <c r="H582" i="2" s="1"/>
  <c r="G583" i="2"/>
  <c r="H583" i="2" s="1"/>
  <c r="G584" i="2"/>
  <c r="H584" i="2" s="1"/>
  <c r="G585" i="2"/>
  <c r="H585" i="2" s="1"/>
  <c r="G586" i="2"/>
  <c r="H586" i="2" s="1"/>
  <c r="J586" i="2" s="1"/>
  <c r="G587" i="2"/>
  <c r="H587" i="2" s="1"/>
  <c r="G588" i="2"/>
  <c r="H588" i="2" s="1"/>
  <c r="G589" i="2"/>
  <c r="H589" i="2" s="1"/>
  <c r="G590" i="2"/>
  <c r="H590" i="2" s="1"/>
  <c r="J590" i="2" s="1"/>
  <c r="G591" i="2"/>
  <c r="H591" i="2" s="1"/>
  <c r="J591" i="2" s="1"/>
  <c r="G592" i="2"/>
  <c r="H592" i="2" s="1"/>
  <c r="G593" i="2"/>
  <c r="H593" i="2" s="1"/>
  <c r="G594" i="2"/>
  <c r="H594" i="2" s="1"/>
  <c r="J594" i="2" s="1"/>
  <c r="G595" i="2"/>
  <c r="H595" i="2" s="1"/>
  <c r="G596" i="2"/>
  <c r="H596" i="2" s="1"/>
  <c r="G597" i="2"/>
  <c r="H597" i="2" s="1"/>
  <c r="G598" i="2"/>
  <c r="H598" i="2" s="1"/>
  <c r="G599" i="2"/>
  <c r="H599" i="2" s="1"/>
  <c r="G600" i="2"/>
  <c r="H600" i="2" s="1"/>
  <c r="G601" i="2"/>
  <c r="H601" i="2" s="1"/>
  <c r="G602" i="2"/>
  <c r="H602" i="2" s="1"/>
  <c r="J602" i="2" s="1"/>
  <c r="G603" i="2"/>
  <c r="H603" i="2" s="1"/>
  <c r="G604" i="2"/>
  <c r="H604" i="2" s="1"/>
  <c r="G605" i="2"/>
  <c r="H605" i="2" s="1"/>
  <c r="G606" i="2"/>
  <c r="H606" i="2" s="1"/>
  <c r="J606" i="2" s="1"/>
  <c r="G607" i="2"/>
  <c r="H607" i="2" s="1"/>
  <c r="G608" i="2"/>
  <c r="H608" i="2" s="1"/>
  <c r="G609" i="2"/>
  <c r="H609" i="2" s="1"/>
  <c r="G610" i="2"/>
  <c r="H610" i="2" s="1"/>
  <c r="J610" i="2" s="1"/>
  <c r="G611" i="2"/>
  <c r="H611" i="2" s="1"/>
  <c r="J611" i="2" s="1"/>
  <c r="G612" i="2"/>
  <c r="H612" i="2" s="1"/>
  <c r="G613" i="2"/>
  <c r="H613" i="2" s="1"/>
  <c r="G614" i="2"/>
  <c r="H614" i="2" s="1"/>
  <c r="G615" i="2"/>
  <c r="H615" i="2" s="1"/>
  <c r="G616" i="2"/>
  <c r="H616" i="2" s="1"/>
  <c r="G617" i="2"/>
  <c r="H617" i="2" s="1"/>
  <c r="G618" i="2"/>
  <c r="H618" i="2" s="1"/>
  <c r="J618" i="2" s="1"/>
  <c r="G619" i="2"/>
  <c r="H619" i="2" s="1"/>
  <c r="G620" i="2"/>
  <c r="H620" i="2" s="1"/>
  <c r="G621" i="2"/>
  <c r="H621" i="2" s="1"/>
  <c r="G622" i="2"/>
  <c r="H622" i="2" s="1"/>
  <c r="J622" i="2" s="1"/>
  <c r="G623" i="2"/>
  <c r="H623" i="2" s="1"/>
  <c r="G624" i="2"/>
  <c r="H624" i="2" s="1"/>
  <c r="G625" i="2"/>
  <c r="H625" i="2" s="1"/>
  <c r="G626" i="2"/>
  <c r="H626" i="2" s="1"/>
  <c r="J626" i="2" s="1"/>
  <c r="G627" i="2"/>
  <c r="H627" i="2" s="1"/>
  <c r="G628" i="2"/>
  <c r="H628" i="2" s="1"/>
  <c r="G629" i="2"/>
  <c r="H629" i="2" s="1"/>
  <c r="G630" i="2"/>
  <c r="H630" i="2" s="1"/>
  <c r="J630" i="2" s="1"/>
  <c r="G631" i="2"/>
  <c r="H631" i="2" s="1"/>
  <c r="G632" i="2"/>
  <c r="H632" i="2" s="1"/>
  <c r="G633" i="2"/>
  <c r="H633" i="2" s="1"/>
  <c r="G634" i="2"/>
  <c r="H634" i="2" s="1"/>
  <c r="J634" i="2" s="1"/>
  <c r="G635" i="2"/>
  <c r="H635" i="2" s="1"/>
  <c r="G636" i="2"/>
  <c r="H636" i="2" s="1"/>
  <c r="G637" i="2"/>
  <c r="H637" i="2" s="1"/>
  <c r="G638" i="2"/>
  <c r="H638" i="2" s="1"/>
  <c r="J638" i="2" s="1"/>
  <c r="G639" i="2"/>
  <c r="H639" i="2" s="1"/>
  <c r="J639" i="2" s="1"/>
  <c r="G640" i="2"/>
  <c r="H640" i="2" s="1"/>
  <c r="G641" i="2"/>
  <c r="H641" i="2" s="1"/>
  <c r="G642" i="2"/>
  <c r="H642" i="2" s="1"/>
  <c r="J642" i="2" s="1"/>
  <c r="G643" i="2"/>
  <c r="H643" i="2" s="1"/>
  <c r="G644" i="2"/>
  <c r="H644" i="2" s="1"/>
  <c r="G645" i="2"/>
  <c r="H645" i="2" s="1"/>
  <c r="G646" i="2"/>
  <c r="H646" i="2" s="1"/>
  <c r="G647" i="2"/>
  <c r="H647" i="2" s="1"/>
  <c r="G648" i="2"/>
  <c r="H648" i="2" s="1"/>
  <c r="J648" i="2" s="1"/>
  <c r="G649" i="2"/>
  <c r="H649" i="2" s="1"/>
  <c r="G650" i="2"/>
  <c r="H650" i="2" s="1"/>
  <c r="J650" i="2" s="1"/>
  <c r="G651" i="2"/>
  <c r="H651" i="2" s="1"/>
  <c r="G652" i="2"/>
  <c r="H652" i="2" s="1"/>
  <c r="G653" i="2"/>
  <c r="H653" i="2" s="1"/>
  <c r="G654" i="2"/>
  <c r="H654" i="2" s="1"/>
  <c r="J654" i="2" s="1"/>
  <c r="G655" i="2"/>
  <c r="H655" i="2" s="1"/>
  <c r="G656" i="2"/>
  <c r="H656" i="2" s="1"/>
  <c r="G657" i="2"/>
  <c r="H657" i="2" s="1"/>
  <c r="G658" i="2"/>
  <c r="H658" i="2" s="1"/>
  <c r="J658" i="2" s="1"/>
  <c r="G659" i="2"/>
  <c r="H659" i="2" s="1"/>
  <c r="G660" i="2"/>
  <c r="H660" i="2" s="1"/>
  <c r="G661" i="2"/>
  <c r="H661" i="2" s="1"/>
  <c r="G662" i="2"/>
  <c r="H662" i="2" s="1"/>
  <c r="G663" i="2"/>
  <c r="H663" i="2" s="1"/>
  <c r="G664" i="2"/>
  <c r="H664" i="2" s="1"/>
  <c r="J664" i="2" s="1"/>
  <c r="G665" i="2"/>
  <c r="H665" i="2" s="1"/>
  <c r="G666" i="2"/>
  <c r="H666" i="2" s="1"/>
  <c r="J666" i="2" s="1"/>
  <c r="G667" i="2"/>
  <c r="H667" i="2" s="1"/>
  <c r="G668" i="2"/>
  <c r="H668" i="2" s="1"/>
  <c r="G669" i="2"/>
  <c r="H669" i="2" s="1"/>
  <c r="G670" i="2"/>
  <c r="H670" i="2" s="1"/>
  <c r="G671" i="2"/>
  <c r="H671" i="2" s="1"/>
  <c r="G672" i="2"/>
  <c r="H672" i="2" s="1"/>
  <c r="G673" i="2"/>
  <c r="H673" i="2" s="1"/>
  <c r="G674" i="2"/>
  <c r="H674" i="2" s="1"/>
  <c r="G675" i="2"/>
  <c r="H675" i="2" s="1"/>
  <c r="J675" i="2" s="1"/>
  <c r="G676" i="2"/>
  <c r="H676" i="2" s="1"/>
  <c r="G677" i="2"/>
  <c r="H677" i="2" s="1"/>
  <c r="G678" i="2"/>
  <c r="H678" i="2" s="1"/>
  <c r="G679" i="2"/>
  <c r="H679" i="2" s="1"/>
  <c r="G680" i="2"/>
  <c r="H680" i="2" s="1"/>
  <c r="G681" i="2"/>
  <c r="H681" i="2" s="1"/>
  <c r="G682" i="2"/>
  <c r="H682" i="2" s="1"/>
  <c r="J682" i="2" s="1"/>
  <c r="G683" i="2"/>
  <c r="H683" i="2" s="1"/>
  <c r="G684" i="2"/>
  <c r="H684" i="2" s="1"/>
  <c r="G685" i="2"/>
  <c r="H685" i="2" s="1"/>
  <c r="G686" i="2"/>
  <c r="H686" i="2" s="1"/>
  <c r="G687" i="2"/>
  <c r="H687" i="2" s="1"/>
  <c r="J687" i="2" s="1"/>
  <c r="G688" i="2"/>
  <c r="H688" i="2" s="1"/>
  <c r="G689" i="2"/>
  <c r="H689" i="2" s="1"/>
  <c r="G690" i="2"/>
  <c r="H690" i="2" s="1"/>
  <c r="G691" i="2"/>
  <c r="H691" i="2" s="1"/>
  <c r="G692" i="2"/>
  <c r="H692" i="2" s="1"/>
  <c r="G693" i="2"/>
  <c r="H693" i="2" s="1"/>
  <c r="G694" i="2"/>
  <c r="H694" i="2" s="1"/>
  <c r="J694" i="2" s="1"/>
  <c r="G695" i="2"/>
  <c r="H695" i="2" s="1"/>
  <c r="G696" i="2"/>
  <c r="H696" i="2" s="1"/>
  <c r="G697" i="2"/>
  <c r="H697" i="2" s="1"/>
  <c r="G698" i="2"/>
  <c r="H698" i="2" s="1"/>
  <c r="G699" i="2"/>
  <c r="H699" i="2" s="1"/>
  <c r="G700" i="2"/>
  <c r="H700" i="2" s="1"/>
  <c r="G701" i="2"/>
  <c r="H701" i="2" s="1"/>
  <c r="G702" i="2"/>
  <c r="H702" i="2" s="1"/>
  <c r="G703" i="2"/>
  <c r="H703" i="2" s="1"/>
  <c r="J703" i="2" s="1"/>
  <c r="G704" i="2"/>
  <c r="H704" i="2" s="1"/>
  <c r="G705" i="2"/>
  <c r="H705" i="2" s="1"/>
  <c r="J705" i="2" s="1"/>
  <c r="G706" i="2"/>
  <c r="H706" i="2" s="1"/>
  <c r="G707" i="2"/>
  <c r="H707" i="2" s="1"/>
  <c r="G708" i="2"/>
  <c r="H708" i="2" s="1"/>
  <c r="G709" i="2"/>
  <c r="H709" i="2" s="1"/>
  <c r="G710" i="2"/>
  <c r="H710" i="2" s="1"/>
  <c r="G711" i="2"/>
  <c r="H711" i="2" s="1"/>
  <c r="G712" i="2"/>
  <c r="H712" i="2" s="1"/>
  <c r="G713" i="2"/>
  <c r="H713" i="2" s="1"/>
  <c r="G714" i="2"/>
  <c r="H714" i="2" s="1"/>
  <c r="G715" i="2"/>
  <c r="H715" i="2" s="1"/>
  <c r="G716" i="2"/>
  <c r="H716" i="2" s="1"/>
  <c r="G717" i="2"/>
  <c r="H717" i="2" s="1"/>
  <c r="G718" i="2"/>
  <c r="H718" i="2" s="1"/>
  <c r="G719" i="2"/>
  <c r="H719" i="2" s="1"/>
  <c r="G720" i="2"/>
  <c r="H720" i="2" s="1"/>
  <c r="G721" i="2"/>
  <c r="H721" i="2" s="1"/>
  <c r="G722" i="2"/>
  <c r="H722" i="2" s="1"/>
  <c r="G723" i="2"/>
  <c r="H723" i="2" s="1"/>
  <c r="G724" i="2"/>
  <c r="H724" i="2" s="1"/>
  <c r="G725" i="2"/>
  <c r="H725" i="2" s="1"/>
  <c r="G726" i="2"/>
  <c r="H726" i="2" s="1"/>
  <c r="G727" i="2"/>
  <c r="H727" i="2" s="1"/>
  <c r="G728" i="2"/>
  <c r="H728" i="2" s="1"/>
  <c r="G729" i="2"/>
  <c r="H729" i="2" s="1"/>
  <c r="G730" i="2"/>
  <c r="H730" i="2" s="1"/>
  <c r="G731" i="2"/>
  <c r="H731" i="2" s="1"/>
  <c r="G732" i="2"/>
  <c r="H732" i="2" s="1"/>
  <c r="G733" i="2"/>
  <c r="H733" i="2" s="1"/>
  <c r="G734" i="2"/>
  <c r="H734" i="2" s="1"/>
  <c r="G735" i="2"/>
  <c r="H735" i="2" s="1"/>
  <c r="G736" i="2"/>
  <c r="H736" i="2" s="1"/>
  <c r="G737" i="2"/>
  <c r="H737" i="2" s="1"/>
  <c r="G738" i="2"/>
  <c r="H738" i="2" s="1"/>
  <c r="G739" i="2"/>
  <c r="H739" i="2" s="1"/>
  <c r="G740" i="2"/>
  <c r="H740" i="2" s="1"/>
  <c r="G741" i="2"/>
  <c r="H741" i="2" s="1"/>
  <c r="G742" i="2"/>
  <c r="H742" i="2" s="1"/>
  <c r="G743" i="2"/>
  <c r="H743" i="2" s="1"/>
  <c r="G744" i="2"/>
  <c r="H744" i="2" s="1"/>
  <c r="G745" i="2"/>
  <c r="H745" i="2" s="1"/>
  <c r="G746" i="2"/>
  <c r="H746" i="2" s="1"/>
  <c r="G747" i="2"/>
  <c r="H747" i="2" s="1"/>
  <c r="G748" i="2"/>
  <c r="H748" i="2" s="1"/>
  <c r="G749" i="2"/>
  <c r="H749" i="2" s="1"/>
  <c r="G750" i="2"/>
  <c r="H750" i="2" s="1"/>
  <c r="G751" i="2"/>
  <c r="H751" i="2" s="1"/>
  <c r="G752" i="2"/>
  <c r="H752" i="2" s="1"/>
  <c r="G753" i="2"/>
  <c r="H753" i="2" s="1"/>
  <c r="G754" i="2"/>
  <c r="H754" i="2" s="1"/>
  <c r="G755" i="2"/>
  <c r="H755" i="2" s="1"/>
  <c r="G756" i="2"/>
  <c r="H756" i="2" s="1"/>
  <c r="G757" i="2"/>
  <c r="H757" i="2" s="1"/>
  <c r="G758" i="2"/>
  <c r="H758" i="2" s="1"/>
  <c r="G759" i="2"/>
  <c r="H759" i="2" s="1"/>
  <c r="G760" i="2"/>
  <c r="H760" i="2" s="1"/>
  <c r="G761" i="2"/>
  <c r="H761" i="2" s="1"/>
  <c r="G762" i="2"/>
  <c r="H762" i="2" s="1"/>
  <c r="G763" i="2"/>
  <c r="H763" i="2" s="1"/>
  <c r="G764" i="2"/>
  <c r="H764" i="2" s="1"/>
  <c r="G765" i="2"/>
  <c r="H765" i="2" s="1"/>
  <c r="G766" i="2"/>
  <c r="H766" i="2" s="1"/>
  <c r="G767" i="2"/>
  <c r="H767" i="2" s="1"/>
  <c r="G768" i="2"/>
  <c r="H768" i="2" s="1"/>
  <c r="G769" i="2"/>
  <c r="H769" i="2" s="1"/>
  <c r="G770" i="2"/>
  <c r="H770" i="2" s="1"/>
  <c r="G771" i="2"/>
  <c r="H771" i="2" s="1"/>
  <c r="G772" i="2"/>
  <c r="H772" i="2" s="1"/>
  <c r="G773" i="2"/>
  <c r="H773" i="2" s="1"/>
  <c r="G774" i="2"/>
  <c r="H774" i="2" s="1"/>
  <c r="G775" i="2"/>
  <c r="H775" i="2" s="1"/>
  <c r="G776" i="2"/>
  <c r="H776" i="2" s="1"/>
  <c r="G777" i="2"/>
  <c r="H777" i="2" s="1"/>
  <c r="G778" i="2"/>
  <c r="H778" i="2" s="1"/>
  <c r="G779" i="2"/>
  <c r="H779" i="2" s="1"/>
  <c r="G780" i="2"/>
  <c r="H780" i="2" s="1"/>
  <c r="G781" i="2"/>
  <c r="H781" i="2" s="1"/>
  <c r="G782" i="2"/>
  <c r="H782" i="2" s="1"/>
  <c r="G783" i="2"/>
  <c r="H783" i="2" s="1"/>
  <c r="G784" i="2"/>
  <c r="H784" i="2" s="1"/>
  <c r="G785" i="2"/>
  <c r="H785" i="2" s="1"/>
  <c r="G786" i="2"/>
  <c r="H786" i="2" s="1"/>
  <c r="G787" i="2"/>
  <c r="H787" i="2" s="1"/>
  <c r="G788" i="2"/>
  <c r="H788" i="2" s="1"/>
  <c r="G789" i="2"/>
  <c r="H789" i="2" s="1"/>
  <c r="G790" i="2"/>
  <c r="H790" i="2" s="1"/>
  <c r="G791" i="2"/>
  <c r="H791" i="2" s="1"/>
  <c r="G792" i="2"/>
  <c r="H792" i="2" s="1"/>
  <c r="G793" i="2"/>
  <c r="H793" i="2" s="1"/>
  <c r="G794" i="2"/>
  <c r="H794" i="2" s="1"/>
  <c r="G795" i="2"/>
  <c r="H795" i="2" s="1"/>
  <c r="G796" i="2"/>
  <c r="H796" i="2" s="1"/>
  <c r="G797" i="2"/>
  <c r="H797" i="2" s="1"/>
  <c r="G798" i="2"/>
  <c r="H798" i="2" s="1"/>
  <c r="G799" i="2"/>
  <c r="H799" i="2" s="1"/>
  <c r="G800" i="2"/>
  <c r="H800" i="2" s="1"/>
  <c r="G801" i="2"/>
  <c r="H801" i="2" s="1"/>
  <c r="G802" i="2"/>
  <c r="H802" i="2" s="1"/>
  <c r="G803" i="2"/>
  <c r="H803" i="2" s="1"/>
  <c r="G804" i="2"/>
  <c r="H804" i="2" s="1"/>
  <c r="G805" i="2"/>
  <c r="H805" i="2" s="1"/>
  <c r="G806" i="2"/>
  <c r="H806" i="2" s="1"/>
  <c r="G807" i="2"/>
  <c r="H807" i="2" s="1"/>
  <c r="G808" i="2"/>
  <c r="H808" i="2" s="1"/>
  <c r="G809" i="2"/>
  <c r="H809" i="2" s="1"/>
  <c r="G810" i="2"/>
  <c r="H810" i="2" s="1"/>
  <c r="G811" i="2"/>
  <c r="H811" i="2" s="1"/>
  <c r="G812" i="2"/>
  <c r="H812" i="2" s="1"/>
  <c r="G813" i="2"/>
  <c r="H813" i="2" s="1"/>
  <c r="G814" i="2"/>
  <c r="H814" i="2" s="1"/>
  <c r="G815" i="2"/>
  <c r="H815" i="2" s="1"/>
  <c r="G816" i="2"/>
  <c r="H816" i="2" s="1"/>
  <c r="G817" i="2"/>
  <c r="H817" i="2" s="1"/>
  <c r="G818" i="2"/>
  <c r="H818" i="2" s="1"/>
  <c r="G819" i="2"/>
  <c r="H819" i="2" s="1"/>
  <c r="G820" i="2"/>
  <c r="H820" i="2" s="1"/>
  <c r="G821" i="2"/>
  <c r="H821" i="2" s="1"/>
  <c r="G822" i="2"/>
  <c r="H822" i="2" s="1"/>
  <c r="G823" i="2"/>
  <c r="H823" i="2" s="1"/>
  <c r="G824" i="2"/>
  <c r="H824" i="2" s="1"/>
  <c r="G825" i="2"/>
  <c r="H825" i="2" s="1"/>
  <c r="G826" i="2"/>
  <c r="H826" i="2" s="1"/>
  <c r="G827" i="2"/>
  <c r="H827" i="2" s="1"/>
  <c r="G828" i="2"/>
  <c r="H828" i="2" s="1"/>
  <c r="G829" i="2"/>
  <c r="H829" i="2" s="1"/>
  <c r="G830" i="2"/>
  <c r="H830" i="2" s="1"/>
  <c r="G831" i="2"/>
  <c r="H831" i="2" s="1"/>
  <c r="G832" i="2"/>
  <c r="H832" i="2" s="1"/>
  <c r="G833" i="2"/>
  <c r="H833" i="2" s="1"/>
  <c r="G834" i="2"/>
  <c r="H834" i="2" s="1"/>
  <c r="G835" i="2"/>
  <c r="H835" i="2" s="1"/>
  <c r="G836" i="2"/>
  <c r="H836" i="2" s="1"/>
  <c r="G837" i="2"/>
  <c r="H837" i="2" s="1"/>
  <c r="G838" i="2"/>
  <c r="H838" i="2" s="1"/>
  <c r="G839" i="2"/>
  <c r="H839" i="2" s="1"/>
  <c r="G840" i="2"/>
  <c r="H840" i="2" s="1"/>
  <c r="G841" i="2"/>
  <c r="H841" i="2" s="1"/>
  <c r="G842" i="2"/>
  <c r="H842" i="2" s="1"/>
  <c r="G843" i="2"/>
  <c r="H843" i="2" s="1"/>
  <c r="G844" i="2"/>
  <c r="H844" i="2" s="1"/>
  <c r="G845" i="2"/>
  <c r="H845" i="2" s="1"/>
  <c r="G846" i="2"/>
  <c r="H846" i="2" s="1"/>
  <c r="G847" i="2"/>
  <c r="H847" i="2" s="1"/>
  <c r="G848" i="2"/>
  <c r="H848" i="2" s="1"/>
  <c r="G849" i="2"/>
  <c r="H849" i="2" s="1"/>
  <c r="G850" i="2"/>
  <c r="H850" i="2" s="1"/>
  <c r="G851" i="2"/>
  <c r="H851" i="2" s="1"/>
  <c r="G852" i="2"/>
  <c r="H852" i="2" s="1"/>
  <c r="G853" i="2"/>
  <c r="H853" i="2" s="1"/>
  <c r="G854" i="2"/>
  <c r="H854" i="2" s="1"/>
  <c r="G855" i="2"/>
  <c r="H855" i="2" s="1"/>
  <c r="G856" i="2"/>
  <c r="H856" i="2" s="1"/>
  <c r="G857" i="2"/>
  <c r="H857" i="2" s="1"/>
  <c r="G858" i="2"/>
  <c r="H858" i="2" s="1"/>
  <c r="G859" i="2"/>
  <c r="H859" i="2" s="1"/>
  <c r="G860" i="2"/>
  <c r="H860" i="2" s="1"/>
  <c r="G861" i="2"/>
  <c r="H861" i="2" s="1"/>
  <c r="G862" i="2"/>
  <c r="H862" i="2" s="1"/>
  <c r="G863" i="2"/>
  <c r="H863" i="2" s="1"/>
  <c r="G864" i="2"/>
  <c r="H864" i="2" s="1"/>
  <c r="G865" i="2"/>
  <c r="H865" i="2" s="1"/>
  <c r="G866" i="2"/>
  <c r="H866" i="2" s="1"/>
  <c r="G867" i="2"/>
  <c r="H867" i="2" s="1"/>
  <c r="G868" i="2"/>
  <c r="H868" i="2" s="1"/>
  <c r="G869" i="2"/>
  <c r="H869" i="2" s="1"/>
  <c r="G870" i="2"/>
  <c r="H870" i="2" s="1"/>
  <c r="G871" i="2"/>
  <c r="H871" i="2" s="1"/>
  <c r="G872" i="2"/>
  <c r="H872" i="2" s="1"/>
  <c r="G873" i="2"/>
  <c r="H873" i="2" s="1"/>
  <c r="G874" i="2"/>
  <c r="H874" i="2" s="1"/>
  <c r="G875" i="2"/>
  <c r="H875" i="2" s="1"/>
  <c r="G876" i="2"/>
  <c r="H876" i="2" s="1"/>
  <c r="G877" i="2"/>
  <c r="H877" i="2" s="1"/>
  <c r="G878" i="2"/>
  <c r="H878" i="2" s="1"/>
  <c r="G879" i="2"/>
  <c r="H879" i="2" s="1"/>
  <c r="G880" i="2"/>
  <c r="H880" i="2" s="1"/>
  <c r="G881" i="2"/>
  <c r="H881" i="2" s="1"/>
  <c r="G882" i="2"/>
  <c r="H882" i="2" s="1"/>
  <c r="G883" i="2"/>
  <c r="H883" i="2" s="1"/>
  <c r="G884" i="2"/>
  <c r="H884" i="2" s="1"/>
  <c r="G885" i="2"/>
  <c r="H885" i="2" s="1"/>
  <c r="G886" i="2"/>
  <c r="H886" i="2" s="1"/>
  <c r="G887" i="2"/>
  <c r="H887" i="2" s="1"/>
  <c r="G888" i="2"/>
  <c r="H888" i="2" s="1"/>
  <c r="G889" i="2"/>
  <c r="H889" i="2" s="1"/>
  <c r="G890" i="2"/>
  <c r="H890" i="2" s="1"/>
  <c r="G891" i="2"/>
  <c r="H891" i="2" s="1"/>
  <c r="G892" i="2"/>
  <c r="H892" i="2" s="1"/>
  <c r="G893" i="2"/>
  <c r="H893" i="2" s="1"/>
  <c r="G894" i="2"/>
  <c r="H894" i="2" s="1"/>
  <c r="G895" i="2"/>
  <c r="H895" i="2" s="1"/>
  <c r="G896" i="2"/>
  <c r="H896" i="2" s="1"/>
  <c r="G897" i="2"/>
  <c r="H897" i="2" s="1"/>
  <c r="G898" i="2"/>
  <c r="H898" i="2" s="1"/>
  <c r="G899" i="2"/>
  <c r="H899" i="2" s="1"/>
  <c r="G900" i="2"/>
  <c r="H900" i="2" s="1"/>
  <c r="G901" i="2"/>
  <c r="H901" i="2" s="1"/>
  <c r="G902" i="2"/>
  <c r="H902" i="2" s="1"/>
  <c r="G903" i="2"/>
  <c r="H903" i="2" s="1"/>
  <c r="G904" i="2"/>
  <c r="H904" i="2" s="1"/>
  <c r="G905" i="2"/>
  <c r="H905" i="2" s="1"/>
  <c r="G906" i="2"/>
  <c r="H906" i="2" s="1"/>
  <c r="G907" i="2"/>
  <c r="H907" i="2" s="1"/>
  <c r="G908" i="2"/>
  <c r="H908" i="2" s="1"/>
  <c r="G909" i="2"/>
  <c r="H909" i="2" s="1"/>
  <c r="G910" i="2"/>
  <c r="H910" i="2" s="1"/>
  <c r="G911" i="2"/>
  <c r="H911" i="2" s="1"/>
  <c r="G912" i="2"/>
  <c r="H912" i="2" s="1"/>
  <c r="G913" i="2"/>
  <c r="H913" i="2" s="1"/>
  <c r="G914" i="2"/>
  <c r="H914" i="2" s="1"/>
  <c r="G915" i="2"/>
  <c r="H915" i="2" s="1"/>
  <c r="G916" i="2"/>
  <c r="H916" i="2" s="1"/>
  <c r="G917" i="2"/>
  <c r="H917" i="2" s="1"/>
  <c r="G918" i="2"/>
  <c r="H918" i="2" s="1"/>
  <c r="G919" i="2"/>
  <c r="H919" i="2" s="1"/>
  <c r="G920" i="2"/>
  <c r="H920" i="2" s="1"/>
  <c r="G921" i="2"/>
  <c r="H921" i="2" s="1"/>
  <c r="G922" i="2"/>
  <c r="H922" i="2" s="1"/>
  <c r="G923" i="2"/>
  <c r="H923" i="2" s="1"/>
  <c r="G924" i="2"/>
  <c r="H924" i="2" s="1"/>
  <c r="G925" i="2"/>
  <c r="H925" i="2" s="1"/>
  <c r="G926" i="2"/>
  <c r="H926" i="2" s="1"/>
  <c r="G927" i="2"/>
  <c r="H927" i="2" s="1"/>
  <c r="G928" i="2"/>
  <c r="H928" i="2" s="1"/>
  <c r="G929" i="2"/>
  <c r="H929" i="2" s="1"/>
  <c r="G930" i="2"/>
  <c r="H930" i="2" s="1"/>
  <c r="G931" i="2"/>
  <c r="H931" i="2" s="1"/>
  <c r="G932" i="2"/>
  <c r="H932" i="2" s="1"/>
  <c r="G933" i="2"/>
  <c r="H933" i="2" s="1"/>
  <c r="G2" i="2"/>
  <c r="H2" i="2" s="1"/>
  <c r="H1025" i="2" s="1"/>
  <c r="G1025" i="2" l="1"/>
  <c r="E686" i="3"/>
  <c r="J1018" i="2"/>
  <c r="I1018" i="2"/>
  <c r="J1010" i="2"/>
  <c r="I1010" i="2"/>
  <c r="J1002" i="2"/>
  <c r="I1002" i="2"/>
  <c r="J994" i="2"/>
  <c r="I994" i="2"/>
  <c r="J986" i="2"/>
  <c r="I986" i="2"/>
  <c r="J978" i="2"/>
  <c r="I978" i="2"/>
  <c r="J970" i="2"/>
  <c r="I970" i="2"/>
  <c r="J962" i="2"/>
  <c r="I962" i="2"/>
  <c r="J954" i="2"/>
  <c r="I954" i="2"/>
  <c r="J946" i="2"/>
  <c r="I946" i="2"/>
  <c r="J938" i="2"/>
  <c r="I938" i="2"/>
  <c r="I1017" i="2"/>
  <c r="J1017" i="2"/>
  <c r="I1009" i="2"/>
  <c r="J1009" i="2"/>
  <c r="I1001" i="2"/>
  <c r="J1001" i="2"/>
  <c r="I993" i="2"/>
  <c r="J993" i="2"/>
  <c r="I985" i="2"/>
  <c r="J985" i="2"/>
  <c r="I977" i="2"/>
  <c r="J977" i="2"/>
  <c r="J969" i="2"/>
  <c r="I969" i="2"/>
  <c r="I961" i="2"/>
  <c r="J961" i="2"/>
  <c r="I953" i="2"/>
  <c r="J953" i="2"/>
  <c r="I945" i="2"/>
  <c r="J945" i="2"/>
  <c r="I1016" i="2"/>
  <c r="J1016" i="2"/>
  <c r="I1008" i="2"/>
  <c r="J1008" i="2"/>
  <c r="I1000" i="2"/>
  <c r="J1000" i="2"/>
  <c r="I992" i="2"/>
  <c r="J992" i="2"/>
  <c r="I984" i="2"/>
  <c r="J984" i="2"/>
  <c r="I976" i="2"/>
  <c r="J976" i="2"/>
  <c r="I968" i="2"/>
  <c r="J968" i="2"/>
  <c r="I960" i="2"/>
  <c r="J960" i="2"/>
  <c r="I952" i="2"/>
  <c r="J952" i="2"/>
  <c r="I944" i="2"/>
  <c r="J944" i="2"/>
  <c r="I1023" i="2"/>
  <c r="J1023" i="2"/>
  <c r="J1015" i="2"/>
  <c r="I1015" i="2"/>
  <c r="J1007" i="2"/>
  <c r="I1007" i="2"/>
  <c r="I999" i="2"/>
  <c r="J999" i="2"/>
  <c r="J991" i="2"/>
  <c r="I991" i="2"/>
  <c r="I983" i="2"/>
  <c r="J983" i="2"/>
  <c r="I975" i="2"/>
  <c r="J975" i="2"/>
  <c r="J967" i="2"/>
  <c r="I967" i="2"/>
  <c r="J959" i="2"/>
  <c r="I959" i="2"/>
  <c r="I951" i="2"/>
  <c r="J951" i="2"/>
  <c r="I943" i="2"/>
  <c r="J943" i="2"/>
  <c r="I1022" i="2"/>
  <c r="J1022" i="2"/>
  <c r="I1014" i="2"/>
  <c r="J1014" i="2"/>
  <c r="I1006" i="2"/>
  <c r="J1006" i="2"/>
  <c r="I998" i="2"/>
  <c r="J998" i="2"/>
  <c r="I990" i="2"/>
  <c r="J990" i="2"/>
  <c r="I982" i="2"/>
  <c r="J982" i="2"/>
  <c r="I974" i="2"/>
  <c r="J974" i="2"/>
  <c r="I966" i="2"/>
  <c r="J966" i="2"/>
  <c r="I958" i="2"/>
  <c r="J958" i="2"/>
  <c r="I950" i="2"/>
  <c r="J950" i="2"/>
  <c r="I942" i="2"/>
  <c r="J942" i="2"/>
  <c r="I1021" i="2"/>
  <c r="J1021" i="2"/>
  <c r="I1013" i="2"/>
  <c r="J1013" i="2"/>
  <c r="I1005" i="2"/>
  <c r="J1005" i="2"/>
  <c r="I997" i="2"/>
  <c r="J997" i="2"/>
  <c r="I989" i="2"/>
  <c r="J989" i="2"/>
  <c r="I981" i="2"/>
  <c r="J981" i="2"/>
  <c r="I973" i="2"/>
  <c r="J973" i="2"/>
  <c r="I965" i="2"/>
  <c r="J965" i="2"/>
  <c r="I957" i="2"/>
  <c r="J957" i="2"/>
  <c r="I949" i="2"/>
  <c r="J949" i="2"/>
  <c r="I941" i="2"/>
  <c r="J941" i="2"/>
  <c r="I1019" i="2"/>
  <c r="I1011" i="2"/>
  <c r="I1003" i="2"/>
  <c r="I995" i="2"/>
  <c r="I987" i="2"/>
  <c r="I979" i="2"/>
  <c r="I971" i="2"/>
  <c r="I963" i="2"/>
  <c r="I955" i="2"/>
  <c r="I947" i="2"/>
  <c r="I939" i="2"/>
  <c r="J935" i="2"/>
  <c r="J1020" i="2"/>
  <c r="J1012" i="2"/>
  <c r="J1004" i="2"/>
  <c r="J996" i="2"/>
  <c r="J988" i="2"/>
  <c r="J980" i="2"/>
  <c r="J972" i="2"/>
  <c r="J964" i="2"/>
  <c r="J956" i="2"/>
  <c r="J948" i="2"/>
  <c r="J940" i="2"/>
  <c r="I934" i="2"/>
  <c r="J934" i="2"/>
  <c r="J937" i="2"/>
  <c r="J936" i="2"/>
  <c r="H667" i="3"/>
  <c r="G667" i="3"/>
  <c r="E688" i="3" s="1"/>
  <c r="I602" i="2"/>
  <c r="I538" i="2"/>
  <c r="I398" i="2"/>
  <c r="I570" i="2"/>
  <c r="I334" i="2"/>
  <c r="I506" i="2"/>
  <c r="I206" i="2"/>
  <c r="I477" i="2"/>
  <c r="I463" i="2"/>
  <c r="I451" i="2"/>
  <c r="I430" i="2"/>
  <c r="J851" i="2"/>
  <c r="I851" i="2"/>
  <c r="J843" i="2"/>
  <c r="I843" i="2"/>
  <c r="J835" i="2"/>
  <c r="I835" i="2"/>
  <c r="J827" i="2"/>
  <c r="I827" i="2"/>
  <c r="J819" i="2"/>
  <c r="I819" i="2"/>
  <c r="J811" i="2"/>
  <c r="I811" i="2"/>
  <c r="J803" i="2"/>
  <c r="I803" i="2"/>
  <c r="J795" i="2"/>
  <c r="I795" i="2"/>
  <c r="J787" i="2"/>
  <c r="I787" i="2"/>
  <c r="J779" i="2"/>
  <c r="I779" i="2"/>
  <c r="J771" i="2"/>
  <c r="I771" i="2"/>
  <c r="J763" i="2"/>
  <c r="I763" i="2"/>
  <c r="J755" i="2"/>
  <c r="I755" i="2"/>
  <c r="J747" i="2"/>
  <c r="I747" i="2"/>
  <c r="J739" i="2"/>
  <c r="I739" i="2"/>
  <c r="J731" i="2"/>
  <c r="I731" i="2"/>
  <c r="J723" i="2"/>
  <c r="I723" i="2"/>
  <c r="J715" i="2"/>
  <c r="I715" i="2"/>
  <c r="J709" i="2"/>
  <c r="I709" i="2"/>
  <c r="J609" i="2"/>
  <c r="I609" i="2"/>
  <c r="J545" i="2"/>
  <c r="I545" i="2"/>
  <c r="J476" i="2"/>
  <c r="I476" i="2"/>
  <c r="J875" i="2"/>
  <c r="I875" i="2"/>
  <c r="J897" i="2"/>
  <c r="I897" i="2"/>
  <c r="J866" i="2"/>
  <c r="I866" i="2"/>
  <c r="J842" i="2"/>
  <c r="I842" i="2"/>
  <c r="J834" i="2"/>
  <c r="I834" i="2"/>
  <c r="J826" i="2"/>
  <c r="I826" i="2"/>
  <c r="J818" i="2"/>
  <c r="I818" i="2"/>
  <c r="J810" i="2"/>
  <c r="I810" i="2"/>
  <c r="J802" i="2"/>
  <c r="I802" i="2"/>
  <c r="J794" i="2"/>
  <c r="I794" i="2"/>
  <c r="J786" i="2"/>
  <c r="I786" i="2"/>
  <c r="J778" i="2"/>
  <c r="I778" i="2"/>
  <c r="J770" i="2"/>
  <c r="I770" i="2"/>
  <c r="J762" i="2"/>
  <c r="I762" i="2"/>
  <c r="J754" i="2"/>
  <c r="I754" i="2"/>
  <c r="J746" i="2"/>
  <c r="I746" i="2"/>
  <c r="J738" i="2"/>
  <c r="I738" i="2"/>
  <c r="J730" i="2"/>
  <c r="I730" i="2"/>
  <c r="J722" i="2"/>
  <c r="I722" i="2"/>
  <c r="J708" i="2"/>
  <c r="I708" i="2"/>
  <c r="J620" i="2"/>
  <c r="I620" i="2"/>
  <c r="J556" i="2"/>
  <c r="I556" i="2"/>
  <c r="J492" i="2"/>
  <c r="I492" i="2"/>
  <c r="J867" i="2"/>
  <c r="I867" i="2"/>
  <c r="J889" i="2"/>
  <c r="I889" i="2"/>
  <c r="J865" i="2"/>
  <c r="I865" i="2"/>
  <c r="J833" i="2"/>
  <c r="I833" i="2"/>
  <c r="J825" i="2"/>
  <c r="I825" i="2"/>
  <c r="J817" i="2"/>
  <c r="I817" i="2"/>
  <c r="J809" i="2"/>
  <c r="I809" i="2"/>
  <c r="J801" i="2"/>
  <c r="I801" i="2"/>
  <c r="J793" i="2"/>
  <c r="I793" i="2"/>
  <c r="J785" i="2"/>
  <c r="I785" i="2"/>
  <c r="J777" i="2"/>
  <c r="I777" i="2"/>
  <c r="J769" i="2"/>
  <c r="I769" i="2"/>
  <c r="J761" i="2"/>
  <c r="I761" i="2"/>
  <c r="J753" i="2"/>
  <c r="I753" i="2"/>
  <c r="J745" i="2"/>
  <c r="I745" i="2"/>
  <c r="J737" i="2"/>
  <c r="I737" i="2"/>
  <c r="J729" i="2"/>
  <c r="I729" i="2"/>
  <c r="J721" i="2"/>
  <c r="I721" i="2"/>
  <c r="J707" i="2"/>
  <c r="I707" i="2"/>
  <c r="J700" i="2"/>
  <c r="I700" i="2"/>
  <c r="J625" i="2"/>
  <c r="I625" i="2"/>
  <c r="J561" i="2"/>
  <c r="I561" i="2"/>
  <c r="J497" i="2"/>
  <c r="I497" i="2"/>
  <c r="J883" i="2"/>
  <c r="I883" i="2"/>
  <c r="J858" i="2"/>
  <c r="I858" i="2"/>
  <c r="J857" i="2"/>
  <c r="I857" i="2"/>
  <c r="J880" i="2"/>
  <c r="I880" i="2"/>
  <c r="J872" i="2"/>
  <c r="I872" i="2"/>
  <c r="J864" i="2"/>
  <c r="I864" i="2"/>
  <c r="J856" i="2"/>
  <c r="I856" i="2"/>
  <c r="J848" i="2"/>
  <c r="I848" i="2"/>
  <c r="J840" i="2"/>
  <c r="I840" i="2"/>
  <c r="J832" i="2"/>
  <c r="I832" i="2"/>
  <c r="J824" i="2"/>
  <c r="I824" i="2"/>
  <c r="J816" i="2"/>
  <c r="I816" i="2"/>
  <c r="J808" i="2"/>
  <c r="I808" i="2"/>
  <c r="J800" i="2"/>
  <c r="I800" i="2"/>
  <c r="J792" i="2"/>
  <c r="I792" i="2"/>
  <c r="J784" i="2"/>
  <c r="I784" i="2"/>
  <c r="J776" i="2"/>
  <c r="I776" i="2"/>
  <c r="J768" i="2"/>
  <c r="I768" i="2"/>
  <c r="J760" i="2"/>
  <c r="I760" i="2"/>
  <c r="J752" i="2"/>
  <c r="I752" i="2"/>
  <c r="J744" i="2"/>
  <c r="I744" i="2"/>
  <c r="J736" i="2"/>
  <c r="I736" i="2"/>
  <c r="J728" i="2"/>
  <c r="I728" i="2"/>
  <c r="J720" i="2"/>
  <c r="I720" i="2"/>
  <c r="J713" i="2"/>
  <c r="I713" i="2"/>
  <c r="J636" i="2"/>
  <c r="I636" i="2"/>
  <c r="J572" i="2"/>
  <c r="I572" i="2"/>
  <c r="J508" i="2"/>
  <c r="I508" i="2"/>
  <c r="J927" i="2"/>
  <c r="I927" i="2"/>
  <c r="J874" i="2"/>
  <c r="I874" i="2"/>
  <c r="J841" i="2"/>
  <c r="I841" i="2"/>
  <c r="J931" i="2"/>
  <c r="I931" i="2"/>
  <c r="J930" i="2"/>
  <c r="I930" i="2"/>
  <c r="J887" i="2"/>
  <c r="I887" i="2"/>
  <c r="J879" i="2"/>
  <c r="I879" i="2"/>
  <c r="J871" i="2"/>
  <c r="I871" i="2"/>
  <c r="J863" i="2"/>
  <c r="I863" i="2"/>
  <c r="J855" i="2"/>
  <c r="I855" i="2"/>
  <c r="J847" i="2"/>
  <c r="I847" i="2"/>
  <c r="J839" i="2"/>
  <c r="I839" i="2"/>
  <c r="I831" i="2"/>
  <c r="J831" i="2"/>
  <c r="J823" i="2"/>
  <c r="I823" i="2"/>
  <c r="J815" i="2"/>
  <c r="I815" i="2"/>
  <c r="J807" i="2"/>
  <c r="I807" i="2"/>
  <c r="J799" i="2"/>
  <c r="I799" i="2"/>
  <c r="J791" i="2"/>
  <c r="I791" i="2"/>
  <c r="J783" i="2"/>
  <c r="I783" i="2"/>
  <c r="J775" i="2"/>
  <c r="I775" i="2"/>
  <c r="J767" i="2"/>
  <c r="I767" i="2"/>
  <c r="J759" i="2"/>
  <c r="I759" i="2"/>
  <c r="J751" i="2"/>
  <c r="I751" i="2"/>
  <c r="J743" i="2"/>
  <c r="I743" i="2"/>
  <c r="J735" i="2"/>
  <c r="I735" i="2"/>
  <c r="J727" i="2"/>
  <c r="I727" i="2"/>
  <c r="J719" i="2"/>
  <c r="I719" i="2"/>
  <c r="J712" i="2"/>
  <c r="I712" i="2"/>
  <c r="J685" i="2"/>
  <c r="I685" i="2"/>
  <c r="J641" i="2"/>
  <c r="I641" i="2"/>
  <c r="J577" i="2"/>
  <c r="I577" i="2"/>
  <c r="J513" i="2"/>
  <c r="I513" i="2"/>
  <c r="J859" i="2"/>
  <c r="I859" i="2"/>
  <c r="J890" i="2"/>
  <c r="I890" i="2"/>
  <c r="J926" i="2"/>
  <c r="I926" i="2"/>
  <c r="J881" i="2"/>
  <c r="I881" i="2"/>
  <c r="J895" i="2"/>
  <c r="I895" i="2"/>
  <c r="J886" i="2"/>
  <c r="I886" i="2"/>
  <c r="J878" i="2"/>
  <c r="I878" i="2"/>
  <c r="J870" i="2"/>
  <c r="I870" i="2"/>
  <c r="J862" i="2"/>
  <c r="I862" i="2"/>
  <c r="J854" i="2"/>
  <c r="I854" i="2"/>
  <c r="J846" i="2"/>
  <c r="I846" i="2"/>
  <c r="J838" i="2"/>
  <c r="I838" i="2"/>
  <c r="J830" i="2"/>
  <c r="I830" i="2"/>
  <c r="J822" i="2"/>
  <c r="I822" i="2"/>
  <c r="J814" i="2"/>
  <c r="I814" i="2"/>
  <c r="J806" i="2"/>
  <c r="I806" i="2"/>
  <c r="J798" i="2"/>
  <c r="I798" i="2"/>
  <c r="J790" i="2"/>
  <c r="I790" i="2"/>
  <c r="J782" i="2"/>
  <c r="I782" i="2"/>
  <c r="J774" i="2"/>
  <c r="I774" i="2"/>
  <c r="J766" i="2"/>
  <c r="I766" i="2"/>
  <c r="J758" i="2"/>
  <c r="I758" i="2"/>
  <c r="J750" i="2"/>
  <c r="I750" i="2"/>
  <c r="J742" i="2"/>
  <c r="I742" i="2"/>
  <c r="J734" i="2"/>
  <c r="I734" i="2"/>
  <c r="J726" i="2"/>
  <c r="I726" i="2"/>
  <c r="J718" i="2"/>
  <c r="I718" i="2"/>
  <c r="J711" i="2"/>
  <c r="I711" i="2"/>
  <c r="J684" i="2"/>
  <c r="I684" i="2"/>
  <c r="J652" i="2"/>
  <c r="I652" i="2"/>
  <c r="J588" i="2"/>
  <c r="I588" i="2"/>
  <c r="J524" i="2"/>
  <c r="I524" i="2"/>
  <c r="J891" i="2"/>
  <c r="I891" i="2"/>
  <c r="J850" i="2"/>
  <c r="I850" i="2"/>
  <c r="J896" i="2"/>
  <c r="I896" i="2"/>
  <c r="J873" i="2"/>
  <c r="I873" i="2"/>
  <c r="J888" i="2"/>
  <c r="I888" i="2"/>
  <c r="J893" i="2"/>
  <c r="I893" i="2"/>
  <c r="J877" i="2"/>
  <c r="I877" i="2"/>
  <c r="J869" i="2"/>
  <c r="I869" i="2"/>
  <c r="J853" i="2"/>
  <c r="I853" i="2"/>
  <c r="J845" i="2"/>
  <c r="I845" i="2"/>
  <c r="J837" i="2"/>
  <c r="I837" i="2"/>
  <c r="J829" i="2"/>
  <c r="I829" i="2"/>
  <c r="J821" i="2"/>
  <c r="I821" i="2"/>
  <c r="J813" i="2"/>
  <c r="I813" i="2"/>
  <c r="J805" i="2"/>
  <c r="I805" i="2"/>
  <c r="J797" i="2"/>
  <c r="I797" i="2"/>
  <c r="J789" i="2"/>
  <c r="I789" i="2"/>
  <c r="J781" i="2"/>
  <c r="I781" i="2"/>
  <c r="J773" i="2"/>
  <c r="I773" i="2"/>
  <c r="J765" i="2"/>
  <c r="I765" i="2"/>
  <c r="J757" i="2"/>
  <c r="I757" i="2"/>
  <c r="J749" i="2"/>
  <c r="I749" i="2"/>
  <c r="J741" i="2"/>
  <c r="I741" i="2"/>
  <c r="J733" i="2"/>
  <c r="I733" i="2"/>
  <c r="J725" i="2"/>
  <c r="I725" i="2"/>
  <c r="J717" i="2"/>
  <c r="I717" i="2"/>
  <c r="J683" i="2"/>
  <c r="I683" i="2"/>
  <c r="J657" i="2"/>
  <c r="I657" i="2"/>
  <c r="J593" i="2"/>
  <c r="I593" i="2"/>
  <c r="J529" i="2"/>
  <c r="I529" i="2"/>
  <c r="J460" i="2"/>
  <c r="I460" i="2"/>
  <c r="J898" i="2"/>
  <c r="I898" i="2"/>
  <c r="J882" i="2"/>
  <c r="I882" i="2"/>
  <c r="J849" i="2"/>
  <c r="I849" i="2"/>
  <c r="J900" i="2"/>
  <c r="I900" i="2"/>
  <c r="J885" i="2"/>
  <c r="I885" i="2"/>
  <c r="J861" i="2"/>
  <c r="I861" i="2"/>
  <c r="J899" i="2"/>
  <c r="I899" i="2"/>
  <c r="J892" i="2"/>
  <c r="I892" i="2"/>
  <c r="J884" i="2"/>
  <c r="I884" i="2"/>
  <c r="J876" i="2"/>
  <c r="I876" i="2"/>
  <c r="J868" i="2"/>
  <c r="I868" i="2"/>
  <c r="J860" i="2"/>
  <c r="I860" i="2"/>
  <c r="J852" i="2"/>
  <c r="I852" i="2"/>
  <c r="J844" i="2"/>
  <c r="I844" i="2"/>
  <c r="J836" i="2"/>
  <c r="I836" i="2"/>
  <c r="J828" i="2"/>
  <c r="I828" i="2"/>
  <c r="J820" i="2"/>
  <c r="I820" i="2"/>
  <c r="J812" i="2"/>
  <c r="I812" i="2"/>
  <c r="J804" i="2"/>
  <c r="I804" i="2"/>
  <c r="J796" i="2"/>
  <c r="I796" i="2"/>
  <c r="J788" i="2"/>
  <c r="I788" i="2"/>
  <c r="J780" i="2"/>
  <c r="I780" i="2"/>
  <c r="J772" i="2"/>
  <c r="I772" i="2"/>
  <c r="J764" i="2"/>
  <c r="I764" i="2"/>
  <c r="J756" i="2"/>
  <c r="I756" i="2"/>
  <c r="J748" i="2"/>
  <c r="I748" i="2"/>
  <c r="J740" i="2"/>
  <c r="I740" i="2"/>
  <c r="J732" i="2"/>
  <c r="I732" i="2"/>
  <c r="J724" i="2"/>
  <c r="I724" i="2"/>
  <c r="J716" i="2"/>
  <c r="I716" i="2"/>
  <c r="J604" i="2"/>
  <c r="I604" i="2"/>
  <c r="J540" i="2"/>
  <c r="I540" i="2"/>
  <c r="J465" i="2"/>
  <c r="I465" i="2"/>
  <c r="I920" i="2"/>
  <c r="J920" i="2"/>
  <c r="I912" i="2"/>
  <c r="J912" i="2"/>
  <c r="I904" i="2"/>
  <c r="J904" i="2"/>
  <c r="J894" i="2"/>
  <c r="I894" i="2"/>
  <c r="J714" i="2"/>
  <c r="I714" i="2"/>
  <c r="J710" i="2"/>
  <c r="I710" i="2"/>
  <c r="J706" i="2"/>
  <c r="I706" i="2"/>
  <c r="J669" i="2"/>
  <c r="I669" i="2"/>
  <c r="J662" i="2"/>
  <c r="I662" i="2"/>
  <c r="J646" i="2"/>
  <c r="I646" i="2"/>
  <c r="J614" i="2"/>
  <c r="I614" i="2"/>
  <c r="J598" i="2"/>
  <c r="I598" i="2"/>
  <c r="J582" i="2"/>
  <c r="I582" i="2"/>
  <c r="J566" i="2"/>
  <c r="I566" i="2"/>
  <c r="J550" i="2"/>
  <c r="I550" i="2"/>
  <c r="J534" i="2"/>
  <c r="I534" i="2"/>
  <c r="J518" i="2"/>
  <c r="I518" i="2"/>
  <c r="J502" i="2"/>
  <c r="I502" i="2"/>
  <c r="J486" i="2"/>
  <c r="I486" i="2"/>
  <c r="J470" i="2"/>
  <c r="I470" i="2"/>
  <c r="J340" i="2"/>
  <c r="I340" i="2"/>
  <c r="J250" i="2"/>
  <c r="I250" i="2"/>
  <c r="J243" i="2"/>
  <c r="I243" i="2"/>
  <c r="J235" i="2"/>
  <c r="I235" i="2"/>
  <c r="J229" i="2"/>
  <c r="I229" i="2"/>
  <c r="J140" i="2"/>
  <c r="I140" i="2"/>
  <c r="J133" i="2"/>
  <c r="I133" i="2"/>
  <c r="J74" i="2"/>
  <c r="I74" i="2"/>
  <c r="I44" i="2"/>
  <c r="J44" i="2"/>
  <c r="I37" i="2"/>
  <c r="J37" i="2"/>
  <c r="I694" i="2"/>
  <c r="J933" i="2"/>
  <c r="I933" i="2"/>
  <c r="J925" i="2"/>
  <c r="I925" i="2"/>
  <c r="J699" i="2"/>
  <c r="I699" i="2"/>
  <c r="J692" i="2"/>
  <c r="I692" i="2"/>
  <c r="J686" i="2"/>
  <c r="I686" i="2"/>
  <c r="J681" i="2"/>
  <c r="I681" i="2"/>
  <c r="J668" i="2"/>
  <c r="I668" i="2"/>
  <c r="J661" i="2"/>
  <c r="I661" i="2"/>
  <c r="J656" i="2"/>
  <c r="I656" i="2"/>
  <c r="J651" i="2"/>
  <c r="I651" i="2"/>
  <c r="J645" i="2"/>
  <c r="I645" i="2"/>
  <c r="J640" i="2"/>
  <c r="I640" i="2"/>
  <c r="J635" i="2"/>
  <c r="I635" i="2"/>
  <c r="J629" i="2"/>
  <c r="I629" i="2"/>
  <c r="J624" i="2"/>
  <c r="I624" i="2"/>
  <c r="J619" i="2"/>
  <c r="I619" i="2"/>
  <c r="J613" i="2"/>
  <c r="I613" i="2"/>
  <c r="J608" i="2"/>
  <c r="I608" i="2"/>
  <c r="J603" i="2"/>
  <c r="I603" i="2"/>
  <c r="J597" i="2"/>
  <c r="I597" i="2"/>
  <c r="J592" i="2"/>
  <c r="I592" i="2"/>
  <c r="J587" i="2"/>
  <c r="I587" i="2"/>
  <c r="J581" i="2"/>
  <c r="I581" i="2"/>
  <c r="J576" i="2"/>
  <c r="I576" i="2"/>
  <c r="J571" i="2"/>
  <c r="I571" i="2"/>
  <c r="J565" i="2"/>
  <c r="I565" i="2"/>
  <c r="J560" i="2"/>
  <c r="I560" i="2"/>
  <c r="J555" i="2"/>
  <c r="I555" i="2"/>
  <c r="J549" i="2"/>
  <c r="I549" i="2"/>
  <c r="J544" i="2"/>
  <c r="I544" i="2"/>
  <c r="J539" i="2"/>
  <c r="I539" i="2"/>
  <c r="J533" i="2"/>
  <c r="I533" i="2"/>
  <c r="J528" i="2"/>
  <c r="I528" i="2"/>
  <c r="J523" i="2"/>
  <c r="I523" i="2"/>
  <c r="J517" i="2"/>
  <c r="I517" i="2"/>
  <c r="J512" i="2"/>
  <c r="I512" i="2"/>
  <c r="J507" i="2"/>
  <c r="I507" i="2"/>
  <c r="J332" i="2"/>
  <c r="I332" i="2"/>
  <c r="J278" i="2"/>
  <c r="I278" i="2"/>
  <c r="J263" i="2"/>
  <c r="I263" i="2"/>
  <c r="J257" i="2"/>
  <c r="I257" i="2"/>
  <c r="J198" i="2"/>
  <c r="I198" i="2"/>
  <c r="J154" i="2"/>
  <c r="I154" i="2"/>
  <c r="J147" i="2"/>
  <c r="I147" i="2"/>
  <c r="J58" i="2"/>
  <c r="I58" i="2"/>
  <c r="J51" i="2"/>
  <c r="I51" i="2"/>
  <c r="I611" i="2"/>
  <c r="I527" i="2"/>
  <c r="I918" i="2"/>
  <c r="J918" i="2"/>
  <c r="I910" i="2"/>
  <c r="J910" i="2"/>
  <c r="I902" i="2"/>
  <c r="J902" i="2"/>
  <c r="J704" i="2"/>
  <c r="I704" i="2"/>
  <c r="J698" i="2"/>
  <c r="I698" i="2"/>
  <c r="J680" i="2"/>
  <c r="I680" i="2"/>
  <c r="J345" i="2"/>
  <c r="I345" i="2"/>
  <c r="J298" i="2"/>
  <c r="I298" i="2"/>
  <c r="J291" i="2"/>
  <c r="I291" i="2"/>
  <c r="J285" i="2"/>
  <c r="I285" i="2"/>
  <c r="J190" i="2"/>
  <c r="I190" i="2"/>
  <c r="J161" i="2"/>
  <c r="I161" i="2"/>
  <c r="J146" i="2"/>
  <c r="I146" i="2"/>
  <c r="J72" i="2"/>
  <c r="I72" i="2"/>
  <c r="J65" i="2"/>
  <c r="I65" i="2"/>
  <c r="J50" i="2"/>
  <c r="I50" i="2"/>
  <c r="I675" i="2"/>
  <c r="I516" i="2"/>
  <c r="J929" i="2"/>
  <c r="I929" i="2"/>
  <c r="J924" i="2"/>
  <c r="I924" i="2"/>
  <c r="J697" i="2"/>
  <c r="I697" i="2"/>
  <c r="J691" i="2"/>
  <c r="I691" i="2"/>
  <c r="J679" i="2"/>
  <c r="I679" i="2"/>
  <c r="J674" i="2"/>
  <c r="I674" i="2"/>
  <c r="J667" i="2"/>
  <c r="I667" i="2"/>
  <c r="J660" i="2"/>
  <c r="I660" i="2"/>
  <c r="J644" i="2"/>
  <c r="I644" i="2"/>
  <c r="J633" i="2"/>
  <c r="I633" i="2"/>
  <c r="J628" i="2"/>
  <c r="I628" i="2"/>
  <c r="J623" i="2"/>
  <c r="I623" i="2"/>
  <c r="J617" i="2"/>
  <c r="I617" i="2"/>
  <c r="J612" i="2"/>
  <c r="I612" i="2"/>
  <c r="J607" i="2"/>
  <c r="I607" i="2"/>
  <c r="J601" i="2"/>
  <c r="I601" i="2"/>
  <c r="J596" i="2"/>
  <c r="I596" i="2"/>
  <c r="J585" i="2"/>
  <c r="I585" i="2"/>
  <c r="J575" i="2"/>
  <c r="I575" i="2"/>
  <c r="J569" i="2"/>
  <c r="I569" i="2"/>
  <c r="J564" i="2"/>
  <c r="I564" i="2"/>
  <c r="J553" i="2"/>
  <c r="I553" i="2"/>
  <c r="J543" i="2"/>
  <c r="I543" i="2"/>
  <c r="J537" i="2"/>
  <c r="I537" i="2"/>
  <c r="J532" i="2"/>
  <c r="I532" i="2"/>
  <c r="J521" i="2"/>
  <c r="I521" i="2"/>
  <c r="J511" i="2"/>
  <c r="I511" i="2"/>
  <c r="J505" i="2"/>
  <c r="I505" i="2"/>
  <c r="J500" i="2"/>
  <c r="I500" i="2"/>
  <c r="J495" i="2"/>
  <c r="I495" i="2"/>
  <c r="J489" i="2"/>
  <c r="I489" i="2"/>
  <c r="J484" i="2"/>
  <c r="I484" i="2"/>
  <c r="J473" i="2"/>
  <c r="I473" i="2"/>
  <c r="J468" i="2"/>
  <c r="I468" i="2"/>
  <c r="J344" i="2"/>
  <c r="I344" i="2"/>
  <c r="J330" i="2"/>
  <c r="I330" i="2"/>
  <c r="J325" i="2"/>
  <c r="I325" i="2"/>
  <c r="J319" i="2"/>
  <c r="I319" i="2"/>
  <c r="J313" i="2"/>
  <c r="I313" i="2"/>
  <c r="J305" i="2"/>
  <c r="I305" i="2"/>
  <c r="J226" i="2"/>
  <c r="I226" i="2"/>
  <c r="J174" i="2"/>
  <c r="I174" i="2"/>
  <c r="J167" i="2"/>
  <c r="I167" i="2"/>
  <c r="J130" i="2"/>
  <c r="I130" i="2"/>
  <c r="J86" i="2"/>
  <c r="I86" i="2"/>
  <c r="J79" i="2"/>
  <c r="I79" i="2"/>
  <c r="J34" i="2"/>
  <c r="I34" i="2"/>
  <c r="I666" i="2"/>
  <c r="I591" i="2"/>
  <c r="I270" i="2"/>
  <c r="J2" i="2"/>
  <c r="I2" i="2"/>
  <c r="I903" i="2"/>
  <c r="J903" i="2"/>
  <c r="J932" i="2"/>
  <c r="I932" i="2"/>
  <c r="I917" i="2"/>
  <c r="J917" i="2"/>
  <c r="J649" i="2"/>
  <c r="I649" i="2"/>
  <c r="I916" i="2"/>
  <c r="J916" i="2"/>
  <c r="I908" i="2"/>
  <c r="J908" i="2"/>
  <c r="J702" i="2"/>
  <c r="I702" i="2"/>
  <c r="J696" i="2"/>
  <c r="I696" i="2"/>
  <c r="J678" i="2"/>
  <c r="I678" i="2"/>
  <c r="J673" i="2"/>
  <c r="I673" i="2"/>
  <c r="J337" i="2"/>
  <c r="I337" i="2"/>
  <c r="J254" i="2"/>
  <c r="I254" i="2"/>
  <c r="J218" i="2"/>
  <c r="I218" i="2"/>
  <c r="J188" i="2"/>
  <c r="I188" i="2"/>
  <c r="J181" i="2"/>
  <c r="I181" i="2"/>
  <c r="J166" i="2"/>
  <c r="I166" i="2"/>
  <c r="J93" i="2"/>
  <c r="I93" i="2"/>
  <c r="J26" i="2"/>
  <c r="I26" i="2"/>
  <c r="I580" i="2"/>
  <c r="I911" i="2"/>
  <c r="J911" i="2"/>
  <c r="J928" i="2"/>
  <c r="I928" i="2"/>
  <c r="I901" i="2"/>
  <c r="J901" i="2"/>
  <c r="J655" i="2"/>
  <c r="I655" i="2"/>
  <c r="I923" i="2"/>
  <c r="J923" i="2"/>
  <c r="I915" i="2"/>
  <c r="J915" i="2"/>
  <c r="I907" i="2"/>
  <c r="J907" i="2"/>
  <c r="J701" i="2"/>
  <c r="I701" i="2"/>
  <c r="J695" i="2"/>
  <c r="I695" i="2"/>
  <c r="J690" i="2"/>
  <c r="I690" i="2"/>
  <c r="J677" i="2"/>
  <c r="I677" i="2"/>
  <c r="J672" i="2"/>
  <c r="I672" i="2"/>
  <c r="J665" i="2"/>
  <c r="I665" i="2"/>
  <c r="J659" i="2"/>
  <c r="I659" i="2"/>
  <c r="J653" i="2"/>
  <c r="I653" i="2"/>
  <c r="J643" i="2"/>
  <c r="I643" i="2"/>
  <c r="J637" i="2"/>
  <c r="I637" i="2"/>
  <c r="J632" i="2"/>
  <c r="I632" i="2"/>
  <c r="J627" i="2"/>
  <c r="I627" i="2"/>
  <c r="J621" i="2"/>
  <c r="I621" i="2"/>
  <c r="J616" i="2"/>
  <c r="I616" i="2"/>
  <c r="J605" i="2"/>
  <c r="I605" i="2"/>
  <c r="J600" i="2"/>
  <c r="I600" i="2"/>
  <c r="J595" i="2"/>
  <c r="I595" i="2"/>
  <c r="J589" i="2"/>
  <c r="I589" i="2"/>
  <c r="J584" i="2"/>
  <c r="I584" i="2"/>
  <c r="J342" i="2"/>
  <c r="I342" i="2"/>
  <c r="J282" i="2"/>
  <c r="I282" i="2"/>
  <c r="J194" i="2"/>
  <c r="I194" i="2"/>
  <c r="J158" i="2"/>
  <c r="I158" i="2"/>
  <c r="J106" i="2"/>
  <c r="I106" i="2"/>
  <c r="J99" i="2"/>
  <c r="I99" i="2"/>
  <c r="J62" i="2"/>
  <c r="I62" i="2"/>
  <c r="J10" i="2"/>
  <c r="I10" i="2"/>
  <c r="J3" i="2"/>
  <c r="I3" i="2"/>
  <c r="I648" i="2"/>
  <c r="I122" i="2"/>
  <c r="I919" i="2"/>
  <c r="J919" i="2"/>
  <c r="I909" i="2"/>
  <c r="J909" i="2"/>
  <c r="I922" i="2"/>
  <c r="J922" i="2"/>
  <c r="I914" i="2"/>
  <c r="J914" i="2"/>
  <c r="I906" i="2"/>
  <c r="J906" i="2"/>
  <c r="J689" i="2"/>
  <c r="I689" i="2"/>
  <c r="J671" i="2"/>
  <c r="I671" i="2"/>
  <c r="J216" i="2"/>
  <c r="I216" i="2"/>
  <c r="J208" i="2"/>
  <c r="I208" i="2"/>
  <c r="J201" i="2"/>
  <c r="I201" i="2"/>
  <c r="I120" i="2"/>
  <c r="J120" i="2"/>
  <c r="J113" i="2"/>
  <c r="I113" i="2"/>
  <c r="J98" i="2"/>
  <c r="I98" i="2"/>
  <c r="J24" i="2"/>
  <c r="I24" i="2"/>
  <c r="J17" i="2"/>
  <c r="I17" i="2"/>
  <c r="I639" i="2"/>
  <c r="I559" i="2"/>
  <c r="I921" i="2"/>
  <c r="J921" i="2"/>
  <c r="I913" i="2"/>
  <c r="J913" i="2"/>
  <c r="I905" i="2"/>
  <c r="J905" i="2"/>
  <c r="J693" i="2"/>
  <c r="I693" i="2"/>
  <c r="J688" i="2"/>
  <c r="I688" i="2"/>
  <c r="J676" i="2"/>
  <c r="I676" i="2"/>
  <c r="J670" i="2"/>
  <c r="I670" i="2"/>
  <c r="J663" i="2"/>
  <c r="I663" i="2"/>
  <c r="J647" i="2"/>
  <c r="I647" i="2"/>
  <c r="J631" i="2"/>
  <c r="I631" i="2"/>
  <c r="J615" i="2"/>
  <c r="I615" i="2"/>
  <c r="J599" i="2"/>
  <c r="I599" i="2"/>
  <c r="J583" i="2"/>
  <c r="I583" i="2"/>
  <c r="J567" i="2"/>
  <c r="I567" i="2"/>
  <c r="J551" i="2"/>
  <c r="I551" i="2"/>
  <c r="J535" i="2"/>
  <c r="I535" i="2"/>
  <c r="J519" i="2"/>
  <c r="I519" i="2"/>
  <c r="J503" i="2"/>
  <c r="I503" i="2"/>
  <c r="J487" i="2"/>
  <c r="I487" i="2"/>
  <c r="J471" i="2"/>
  <c r="I471" i="2"/>
  <c r="J455" i="2"/>
  <c r="I455" i="2"/>
  <c r="J449" i="2"/>
  <c r="I449" i="2"/>
  <c r="I444" i="2"/>
  <c r="J444" i="2"/>
  <c r="J439" i="2"/>
  <c r="I439" i="2"/>
  <c r="J433" i="2"/>
  <c r="I433" i="2"/>
  <c r="J428" i="2"/>
  <c r="I428" i="2"/>
  <c r="J423" i="2"/>
  <c r="I423" i="2"/>
  <c r="J417" i="2"/>
  <c r="I417" i="2"/>
  <c r="J412" i="2"/>
  <c r="I412" i="2"/>
  <c r="J407" i="2"/>
  <c r="I407" i="2"/>
  <c r="J401" i="2"/>
  <c r="I401" i="2"/>
  <c r="J396" i="2"/>
  <c r="I396" i="2"/>
  <c r="J391" i="2"/>
  <c r="I391" i="2"/>
  <c r="J385" i="2"/>
  <c r="I385" i="2"/>
  <c r="J380" i="2"/>
  <c r="I380" i="2"/>
  <c r="J375" i="2"/>
  <c r="I375" i="2"/>
  <c r="J369" i="2"/>
  <c r="I369" i="2"/>
  <c r="J364" i="2"/>
  <c r="I364" i="2"/>
  <c r="J359" i="2"/>
  <c r="I359" i="2"/>
  <c r="J353" i="2"/>
  <c r="I353" i="2"/>
  <c r="J348" i="2"/>
  <c r="I348" i="2"/>
  <c r="J222" i="2"/>
  <c r="I222" i="2"/>
  <c r="J178" i="2"/>
  <c r="I178" i="2"/>
  <c r="J126" i="2"/>
  <c r="I126" i="2"/>
  <c r="J90" i="2"/>
  <c r="I90" i="2"/>
  <c r="J30" i="2"/>
  <c r="I30" i="2"/>
  <c r="I703" i="2"/>
  <c r="I630" i="2"/>
  <c r="I548" i="2"/>
  <c r="J347" i="2"/>
  <c r="I347" i="2"/>
  <c r="J341" i="2"/>
  <c r="I341" i="2"/>
  <c r="J336" i="2"/>
  <c r="I336" i="2"/>
  <c r="J324" i="2"/>
  <c r="I324" i="2"/>
  <c r="J312" i="2"/>
  <c r="I312" i="2"/>
  <c r="J304" i="2"/>
  <c r="I304" i="2"/>
  <c r="J297" i="2"/>
  <c r="I297" i="2"/>
  <c r="J290" i="2"/>
  <c r="I290" i="2"/>
  <c r="J284" i="2"/>
  <c r="I284" i="2"/>
  <c r="J277" i="2"/>
  <c r="I277" i="2"/>
  <c r="J269" i="2"/>
  <c r="I269" i="2"/>
  <c r="J256" i="2"/>
  <c r="I256" i="2"/>
  <c r="J242" i="2"/>
  <c r="I242" i="2"/>
  <c r="J234" i="2"/>
  <c r="I234" i="2"/>
  <c r="J228" i="2"/>
  <c r="I228" i="2"/>
  <c r="J215" i="2"/>
  <c r="I215" i="2"/>
  <c r="J207" i="2"/>
  <c r="I207" i="2"/>
  <c r="J200" i="2"/>
  <c r="I200" i="2"/>
  <c r="J187" i="2"/>
  <c r="I187" i="2"/>
  <c r="J180" i="2"/>
  <c r="I180" i="2"/>
  <c r="J160" i="2"/>
  <c r="I160" i="2"/>
  <c r="J139" i="2"/>
  <c r="I139" i="2"/>
  <c r="J132" i="2"/>
  <c r="I132" i="2"/>
  <c r="J119" i="2"/>
  <c r="I119" i="2"/>
  <c r="J112" i="2"/>
  <c r="I112" i="2"/>
  <c r="J105" i="2"/>
  <c r="I105" i="2"/>
  <c r="J92" i="2"/>
  <c r="I92" i="2"/>
  <c r="J85" i="2"/>
  <c r="I85" i="2"/>
  <c r="J78" i="2"/>
  <c r="I78" i="2"/>
  <c r="J71" i="2"/>
  <c r="I71" i="2"/>
  <c r="I64" i="2"/>
  <c r="J64" i="2"/>
  <c r="J43" i="2"/>
  <c r="I43" i="2"/>
  <c r="J36" i="2"/>
  <c r="I36" i="2"/>
  <c r="J23" i="2"/>
  <c r="I23" i="2"/>
  <c r="I16" i="2"/>
  <c r="J16" i="2"/>
  <c r="J9" i="2"/>
  <c r="I9" i="2"/>
  <c r="I638" i="2"/>
  <c r="I610" i="2"/>
  <c r="I590" i="2"/>
  <c r="I579" i="2"/>
  <c r="I558" i="2"/>
  <c r="I547" i="2"/>
  <c r="I526" i="2"/>
  <c r="I515" i="2"/>
  <c r="I491" i="2"/>
  <c r="I475" i="2"/>
  <c r="I462" i="2"/>
  <c r="I448" i="2"/>
  <c r="I424" i="2"/>
  <c r="I390" i="2"/>
  <c r="I326" i="2"/>
  <c r="I262" i="2"/>
  <c r="J501" i="2"/>
  <c r="I501" i="2"/>
  <c r="J496" i="2"/>
  <c r="I496" i="2"/>
  <c r="J485" i="2"/>
  <c r="I485" i="2"/>
  <c r="J443" i="2"/>
  <c r="I443" i="2"/>
  <c r="J437" i="2"/>
  <c r="I437" i="2"/>
  <c r="J427" i="2"/>
  <c r="I427" i="2"/>
  <c r="J421" i="2"/>
  <c r="I421" i="2"/>
  <c r="J411" i="2"/>
  <c r="I411" i="2"/>
  <c r="J405" i="2"/>
  <c r="I405" i="2"/>
  <c r="J395" i="2"/>
  <c r="I395" i="2"/>
  <c r="J389" i="2"/>
  <c r="I389" i="2"/>
  <c r="J384" i="2"/>
  <c r="I384" i="2"/>
  <c r="J379" i="2"/>
  <c r="I379" i="2"/>
  <c r="J373" i="2"/>
  <c r="I373" i="2"/>
  <c r="J368" i="2"/>
  <c r="I368" i="2"/>
  <c r="J363" i="2"/>
  <c r="I363" i="2"/>
  <c r="J357" i="2"/>
  <c r="I357" i="2"/>
  <c r="J352" i="2"/>
  <c r="I352" i="2"/>
  <c r="J346" i="2"/>
  <c r="I346" i="2"/>
  <c r="J335" i="2"/>
  <c r="I335" i="2"/>
  <c r="J329" i="2"/>
  <c r="I329" i="2"/>
  <c r="J311" i="2"/>
  <c r="I311" i="2"/>
  <c r="J303" i="2"/>
  <c r="I303" i="2"/>
  <c r="J296" i="2"/>
  <c r="I296" i="2"/>
  <c r="J283" i="2"/>
  <c r="I283" i="2"/>
  <c r="J276" i="2"/>
  <c r="I276" i="2"/>
  <c r="J268" i="2"/>
  <c r="I268" i="2"/>
  <c r="J255" i="2"/>
  <c r="I255" i="2"/>
  <c r="J249" i="2"/>
  <c r="I249" i="2"/>
  <c r="J241" i="2"/>
  <c r="I241" i="2"/>
  <c r="J227" i="2"/>
  <c r="I227" i="2"/>
  <c r="J221" i="2"/>
  <c r="I221" i="2"/>
  <c r="J199" i="2"/>
  <c r="I199" i="2"/>
  <c r="J193" i="2"/>
  <c r="I193" i="2"/>
  <c r="J186" i="2"/>
  <c r="I186" i="2"/>
  <c r="J179" i="2"/>
  <c r="I179" i="2"/>
  <c r="J172" i="2"/>
  <c r="I172" i="2"/>
  <c r="J159" i="2"/>
  <c r="I159" i="2"/>
  <c r="J153" i="2"/>
  <c r="I153" i="2"/>
  <c r="J131" i="2"/>
  <c r="I131" i="2"/>
  <c r="J125" i="2"/>
  <c r="I125" i="2"/>
  <c r="J118" i="2"/>
  <c r="I118" i="2"/>
  <c r="J111" i="2"/>
  <c r="I111" i="2"/>
  <c r="I104" i="2"/>
  <c r="J104" i="2"/>
  <c r="J91" i="2"/>
  <c r="I91" i="2"/>
  <c r="J84" i="2"/>
  <c r="I84" i="2"/>
  <c r="J77" i="2"/>
  <c r="I77" i="2"/>
  <c r="J70" i="2"/>
  <c r="I70" i="2"/>
  <c r="J63" i="2"/>
  <c r="I63" i="2"/>
  <c r="J57" i="2"/>
  <c r="I57" i="2"/>
  <c r="J42" i="2"/>
  <c r="I42" i="2"/>
  <c r="J35" i="2"/>
  <c r="I35" i="2"/>
  <c r="J29" i="2"/>
  <c r="I29" i="2"/>
  <c r="J22" i="2"/>
  <c r="I22" i="2"/>
  <c r="J15" i="2"/>
  <c r="I15" i="2"/>
  <c r="J8" i="2"/>
  <c r="I8" i="2"/>
  <c r="I682" i="2"/>
  <c r="I664" i="2"/>
  <c r="I618" i="2"/>
  <c r="I578" i="2"/>
  <c r="I546" i="2"/>
  <c r="I514" i="2"/>
  <c r="I490" i="2"/>
  <c r="I472" i="2"/>
  <c r="I461" i="2"/>
  <c r="I447" i="2"/>
  <c r="I422" i="2"/>
  <c r="I382" i="2"/>
  <c r="I318" i="2"/>
  <c r="J474" i="2"/>
  <c r="I474" i="2"/>
  <c r="J458" i="2"/>
  <c r="I458" i="2"/>
  <c r="J442" i="2"/>
  <c r="I442" i="2"/>
  <c r="J426" i="2"/>
  <c r="I426" i="2"/>
  <c r="J410" i="2"/>
  <c r="I410" i="2"/>
  <c r="J394" i="2"/>
  <c r="I394" i="2"/>
  <c r="J378" i="2"/>
  <c r="I378" i="2"/>
  <c r="J362" i="2"/>
  <c r="I362" i="2"/>
  <c r="J323" i="2"/>
  <c r="I323" i="2"/>
  <c r="J317" i="2"/>
  <c r="I317" i="2"/>
  <c r="J295" i="2"/>
  <c r="I295" i="2"/>
  <c r="J289" i="2"/>
  <c r="I289" i="2"/>
  <c r="J275" i="2"/>
  <c r="I275" i="2"/>
  <c r="J267" i="2"/>
  <c r="I267" i="2"/>
  <c r="J261" i="2"/>
  <c r="I261" i="2"/>
  <c r="J248" i="2"/>
  <c r="I248" i="2"/>
  <c r="J240" i="2"/>
  <c r="I240" i="2"/>
  <c r="J233" i="2"/>
  <c r="I233" i="2"/>
  <c r="J220" i="2"/>
  <c r="I220" i="2"/>
  <c r="J213" i="2"/>
  <c r="I213" i="2"/>
  <c r="J205" i="2"/>
  <c r="I205" i="2"/>
  <c r="J192" i="2"/>
  <c r="I192" i="2"/>
  <c r="J171" i="2"/>
  <c r="I171" i="2"/>
  <c r="J165" i="2"/>
  <c r="I165" i="2"/>
  <c r="J152" i="2"/>
  <c r="I152" i="2"/>
  <c r="J145" i="2"/>
  <c r="I145" i="2"/>
  <c r="J137" i="2"/>
  <c r="I137" i="2"/>
  <c r="J124" i="2"/>
  <c r="I124" i="2"/>
  <c r="J117" i="2"/>
  <c r="I117" i="2"/>
  <c r="J110" i="2"/>
  <c r="I110" i="2"/>
  <c r="J103" i="2"/>
  <c r="I103" i="2"/>
  <c r="J97" i="2"/>
  <c r="I97" i="2"/>
  <c r="J83" i="2"/>
  <c r="I83" i="2"/>
  <c r="J76" i="2"/>
  <c r="I76" i="2"/>
  <c r="J69" i="2"/>
  <c r="I69" i="2"/>
  <c r="I56" i="2"/>
  <c r="J56" i="2"/>
  <c r="J49" i="2"/>
  <c r="I49" i="2"/>
  <c r="J28" i="2"/>
  <c r="I28" i="2"/>
  <c r="J21" i="2"/>
  <c r="I21" i="2"/>
  <c r="J14" i="2"/>
  <c r="I14" i="2"/>
  <c r="J7" i="2"/>
  <c r="I7" i="2"/>
  <c r="I654" i="2"/>
  <c r="I626" i="2"/>
  <c r="I459" i="2"/>
  <c r="I446" i="2"/>
  <c r="I416" i="2"/>
  <c r="I374" i="2"/>
  <c r="I310" i="2"/>
  <c r="I246" i="2"/>
  <c r="I182" i="2"/>
  <c r="J457" i="2"/>
  <c r="I457" i="2"/>
  <c r="J452" i="2"/>
  <c r="I452" i="2"/>
  <c r="J441" i="2"/>
  <c r="I441" i="2"/>
  <c r="J436" i="2"/>
  <c r="I436" i="2"/>
  <c r="J431" i="2"/>
  <c r="I431" i="2"/>
  <c r="J425" i="2"/>
  <c r="I425" i="2"/>
  <c r="J420" i="2"/>
  <c r="I420" i="2"/>
  <c r="J415" i="2"/>
  <c r="I415" i="2"/>
  <c r="J409" i="2"/>
  <c r="I409" i="2"/>
  <c r="J404" i="2"/>
  <c r="I404" i="2"/>
  <c r="J399" i="2"/>
  <c r="I399" i="2"/>
  <c r="J393" i="2"/>
  <c r="I393" i="2"/>
  <c r="J388" i="2"/>
  <c r="I388" i="2"/>
  <c r="J383" i="2"/>
  <c r="I383" i="2"/>
  <c r="J377" i="2"/>
  <c r="I377" i="2"/>
  <c r="J372" i="2"/>
  <c r="I372" i="2"/>
  <c r="J367" i="2"/>
  <c r="I367" i="2"/>
  <c r="J361" i="2"/>
  <c r="I361" i="2"/>
  <c r="J356" i="2"/>
  <c r="I356" i="2"/>
  <c r="J351" i="2"/>
  <c r="I351" i="2"/>
  <c r="J333" i="2"/>
  <c r="I333" i="2"/>
  <c r="J328" i="2"/>
  <c r="I328" i="2"/>
  <c r="J322" i="2"/>
  <c r="I322" i="2"/>
  <c r="I316" i="2"/>
  <c r="J316" i="2"/>
  <c r="J309" i="2"/>
  <c r="I309" i="2"/>
  <c r="J301" i="2"/>
  <c r="I301" i="2"/>
  <c r="J288" i="2"/>
  <c r="I288" i="2"/>
  <c r="J274" i="2"/>
  <c r="I274" i="2"/>
  <c r="J266" i="2"/>
  <c r="I266" i="2"/>
  <c r="J260" i="2"/>
  <c r="I260" i="2"/>
  <c r="J247" i="2"/>
  <c r="I247" i="2"/>
  <c r="J239" i="2"/>
  <c r="I239" i="2"/>
  <c r="J232" i="2"/>
  <c r="I232" i="2"/>
  <c r="J219" i="2"/>
  <c r="I219" i="2"/>
  <c r="J212" i="2"/>
  <c r="I212" i="2"/>
  <c r="J204" i="2"/>
  <c r="I204" i="2"/>
  <c r="J191" i="2"/>
  <c r="I191" i="2"/>
  <c r="J185" i="2"/>
  <c r="I185" i="2"/>
  <c r="J170" i="2"/>
  <c r="I170" i="2"/>
  <c r="J164" i="2"/>
  <c r="I164" i="2"/>
  <c r="J151" i="2"/>
  <c r="I151" i="2"/>
  <c r="I144" i="2"/>
  <c r="J144" i="2"/>
  <c r="J136" i="2"/>
  <c r="I136" i="2"/>
  <c r="J123" i="2"/>
  <c r="I123" i="2"/>
  <c r="J116" i="2"/>
  <c r="I116" i="2"/>
  <c r="J109" i="2"/>
  <c r="I109" i="2"/>
  <c r="J102" i="2"/>
  <c r="I102" i="2"/>
  <c r="I96" i="2"/>
  <c r="J96" i="2"/>
  <c r="J82" i="2"/>
  <c r="I82" i="2"/>
  <c r="J75" i="2"/>
  <c r="I75" i="2"/>
  <c r="J68" i="2"/>
  <c r="I68" i="2"/>
  <c r="J55" i="2"/>
  <c r="I55" i="2"/>
  <c r="J48" i="2"/>
  <c r="I48" i="2"/>
  <c r="J41" i="2"/>
  <c r="I41" i="2"/>
  <c r="J27" i="2"/>
  <c r="I27" i="2"/>
  <c r="J20" i="2"/>
  <c r="I20" i="2"/>
  <c r="J13" i="2"/>
  <c r="I13" i="2"/>
  <c r="J6" i="2"/>
  <c r="I6" i="2"/>
  <c r="I634" i="2"/>
  <c r="I586" i="2"/>
  <c r="I554" i="2"/>
  <c r="I522" i="2"/>
  <c r="I499" i="2"/>
  <c r="I456" i="2"/>
  <c r="I445" i="2"/>
  <c r="I414" i="2"/>
  <c r="I366" i="2"/>
  <c r="I302" i="2"/>
  <c r="I238" i="2"/>
  <c r="I173" i="2"/>
  <c r="J494" i="2"/>
  <c r="I494" i="2"/>
  <c r="J339" i="2"/>
  <c r="I339" i="2"/>
  <c r="J327" i="2"/>
  <c r="I327" i="2"/>
  <c r="J315" i="2"/>
  <c r="I315" i="2"/>
  <c r="J308" i="2"/>
  <c r="I308" i="2"/>
  <c r="J300" i="2"/>
  <c r="I300" i="2"/>
  <c r="J287" i="2"/>
  <c r="I287" i="2"/>
  <c r="J281" i="2"/>
  <c r="I281" i="2"/>
  <c r="J273" i="2"/>
  <c r="I273" i="2"/>
  <c r="J259" i="2"/>
  <c r="I259" i="2"/>
  <c r="J253" i="2"/>
  <c r="I253" i="2"/>
  <c r="J231" i="2"/>
  <c r="I231" i="2"/>
  <c r="J225" i="2"/>
  <c r="I225" i="2"/>
  <c r="J211" i="2"/>
  <c r="I211" i="2"/>
  <c r="J203" i="2"/>
  <c r="I203" i="2"/>
  <c r="J197" i="2"/>
  <c r="I197" i="2"/>
  <c r="J184" i="2"/>
  <c r="I184" i="2"/>
  <c r="J177" i="2"/>
  <c r="I177" i="2"/>
  <c r="J157" i="2"/>
  <c r="I157" i="2"/>
  <c r="J143" i="2"/>
  <c r="I143" i="2"/>
  <c r="J135" i="2"/>
  <c r="I135" i="2"/>
  <c r="J129" i="2"/>
  <c r="I129" i="2"/>
  <c r="J115" i="2"/>
  <c r="I115" i="2"/>
  <c r="J108" i="2"/>
  <c r="I108" i="2"/>
  <c r="J95" i="2"/>
  <c r="I95" i="2"/>
  <c r="J89" i="2"/>
  <c r="I89" i="2"/>
  <c r="J67" i="2"/>
  <c r="I67" i="2"/>
  <c r="J61" i="2"/>
  <c r="I61" i="2"/>
  <c r="J54" i="2"/>
  <c r="I54" i="2"/>
  <c r="J47" i="2"/>
  <c r="I47" i="2"/>
  <c r="I40" i="2"/>
  <c r="J40" i="2"/>
  <c r="J33" i="2"/>
  <c r="I33" i="2"/>
  <c r="J19" i="2"/>
  <c r="I19" i="2"/>
  <c r="J12" i="2"/>
  <c r="I12" i="2"/>
  <c r="I642" i="2"/>
  <c r="I606" i="2"/>
  <c r="I574" i="2"/>
  <c r="I563" i="2"/>
  <c r="I542" i="2"/>
  <c r="I531" i="2"/>
  <c r="I510" i="2"/>
  <c r="I498" i="2"/>
  <c r="I469" i="2"/>
  <c r="I440" i="2"/>
  <c r="I408" i="2"/>
  <c r="I358" i="2"/>
  <c r="I294" i="2"/>
  <c r="I230" i="2"/>
  <c r="I163" i="2"/>
  <c r="J272" i="2"/>
  <c r="J573" i="2"/>
  <c r="I573" i="2"/>
  <c r="J568" i="2"/>
  <c r="I568" i="2"/>
  <c r="J557" i="2"/>
  <c r="I557" i="2"/>
  <c r="J552" i="2"/>
  <c r="I552" i="2"/>
  <c r="J541" i="2"/>
  <c r="I541" i="2"/>
  <c r="J536" i="2"/>
  <c r="I536" i="2"/>
  <c r="J525" i="2"/>
  <c r="I525" i="2"/>
  <c r="J520" i="2"/>
  <c r="I520" i="2"/>
  <c r="J509" i="2"/>
  <c r="I509" i="2"/>
  <c r="J504" i="2"/>
  <c r="I504" i="2"/>
  <c r="J493" i="2"/>
  <c r="I493" i="2"/>
  <c r="J488" i="2"/>
  <c r="I488" i="2"/>
  <c r="J435" i="2"/>
  <c r="I435" i="2"/>
  <c r="J429" i="2"/>
  <c r="I429" i="2"/>
  <c r="J419" i="2"/>
  <c r="I419" i="2"/>
  <c r="J413" i="2"/>
  <c r="I413" i="2"/>
  <c r="J403" i="2"/>
  <c r="I403" i="2"/>
  <c r="J397" i="2"/>
  <c r="I397" i="2"/>
  <c r="J392" i="2"/>
  <c r="I392" i="2"/>
  <c r="J387" i="2"/>
  <c r="I387" i="2"/>
  <c r="J381" i="2"/>
  <c r="I381" i="2"/>
  <c r="J376" i="2"/>
  <c r="I376" i="2"/>
  <c r="J371" i="2"/>
  <c r="I371" i="2"/>
  <c r="J365" i="2"/>
  <c r="I365" i="2"/>
  <c r="J360" i="2"/>
  <c r="I360" i="2"/>
  <c r="J355" i="2"/>
  <c r="I355" i="2"/>
  <c r="J349" i="2"/>
  <c r="I349" i="2"/>
  <c r="J338" i="2"/>
  <c r="I338" i="2"/>
  <c r="J321" i="2"/>
  <c r="I321" i="2"/>
  <c r="J314" i="2"/>
  <c r="I314" i="2"/>
  <c r="J307" i="2"/>
  <c r="I307" i="2"/>
  <c r="J299" i="2"/>
  <c r="I299" i="2"/>
  <c r="I293" i="2"/>
  <c r="J293" i="2"/>
  <c r="J280" i="2"/>
  <c r="I280" i="2"/>
  <c r="J265" i="2"/>
  <c r="I265" i="2"/>
  <c r="J258" i="2"/>
  <c r="I258" i="2"/>
  <c r="I252" i="2"/>
  <c r="J252" i="2"/>
  <c r="J245" i="2"/>
  <c r="I245" i="2"/>
  <c r="J237" i="2"/>
  <c r="I237" i="2"/>
  <c r="J224" i="2"/>
  <c r="I224" i="2"/>
  <c r="J210" i="2"/>
  <c r="I210" i="2"/>
  <c r="J202" i="2"/>
  <c r="I202" i="2"/>
  <c r="J196" i="2"/>
  <c r="I196" i="2"/>
  <c r="J183" i="2"/>
  <c r="I183" i="2"/>
  <c r="J176" i="2"/>
  <c r="I176" i="2"/>
  <c r="J169" i="2"/>
  <c r="I169" i="2"/>
  <c r="J162" i="2"/>
  <c r="I162" i="2"/>
  <c r="J156" i="2"/>
  <c r="I156" i="2"/>
  <c r="J149" i="2"/>
  <c r="I149" i="2"/>
  <c r="J142" i="2"/>
  <c r="I142" i="2"/>
  <c r="J134" i="2"/>
  <c r="I134" i="2"/>
  <c r="I128" i="2"/>
  <c r="J128" i="2"/>
  <c r="J114" i="2"/>
  <c r="I114" i="2"/>
  <c r="J107" i="2"/>
  <c r="I107" i="2"/>
  <c r="J94" i="2"/>
  <c r="I94" i="2"/>
  <c r="J88" i="2"/>
  <c r="I88" i="2"/>
  <c r="J81" i="2"/>
  <c r="I81" i="2"/>
  <c r="J66" i="2"/>
  <c r="I66" i="2"/>
  <c r="J60" i="2"/>
  <c r="I60" i="2"/>
  <c r="J53" i="2"/>
  <c r="I53" i="2"/>
  <c r="J46" i="2"/>
  <c r="I46" i="2"/>
  <c r="J39" i="2"/>
  <c r="I39" i="2"/>
  <c r="I32" i="2"/>
  <c r="J32" i="2"/>
  <c r="J18" i="2"/>
  <c r="I18" i="2"/>
  <c r="J11" i="2"/>
  <c r="I11" i="2"/>
  <c r="J5" i="2"/>
  <c r="I5" i="2"/>
  <c r="I705" i="2"/>
  <c r="I687" i="2"/>
  <c r="I650" i="2"/>
  <c r="I594" i="2"/>
  <c r="I562" i="2"/>
  <c r="I530" i="2"/>
  <c r="I483" i="2"/>
  <c r="I467" i="2"/>
  <c r="I454" i="2"/>
  <c r="I438" i="2"/>
  <c r="I406" i="2"/>
  <c r="I350" i="2"/>
  <c r="I286" i="2"/>
  <c r="I150" i="2"/>
  <c r="J101" i="2"/>
  <c r="J466" i="2"/>
  <c r="I466" i="2"/>
  <c r="J450" i="2"/>
  <c r="I450" i="2"/>
  <c r="J434" i="2"/>
  <c r="I434" i="2"/>
  <c r="J418" i="2"/>
  <c r="I418" i="2"/>
  <c r="J402" i="2"/>
  <c r="I402" i="2"/>
  <c r="J386" i="2"/>
  <c r="I386" i="2"/>
  <c r="J370" i="2"/>
  <c r="I370" i="2"/>
  <c r="J354" i="2"/>
  <c r="I354" i="2"/>
  <c r="J343" i="2"/>
  <c r="I343" i="2"/>
  <c r="J331" i="2"/>
  <c r="I331" i="2"/>
  <c r="J320" i="2"/>
  <c r="I320" i="2"/>
  <c r="J306" i="2"/>
  <c r="I306" i="2"/>
  <c r="J292" i="2"/>
  <c r="I292" i="2"/>
  <c r="J279" i="2"/>
  <c r="I279" i="2"/>
  <c r="J271" i="2"/>
  <c r="I271" i="2"/>
  <c r="J264" i="2"/>
  <c r="I264" i="2"/>
  <c r="J251" i="2"/>
  <c r="I251" i="2"/>
  <c r="J244" i="2"/>
  <c r="I244" i="2"/>
  <c r="J236" i="2"/>
  <c r="I236" i="2"/>
  <c r="J223" i="2"/>
  <c r="I223" i="2"/>
  <c r="J217" i="2"/>
  <c r="I217" i="2"/>
  <c r="J209" i="2"/>
  <c r="I209" i="2"/>
  <c r="J195" i="2"/>
  <c r="I195" i="2"/>
  <c r="J189" i="2"/>
  <c r="I189" i="2"/>
  <c r="J175" i="2"/>
  <c r="I175" i="2"/>
  <c r="J168" i="2"/>
  <c r="I168" i="2"/>
  <c r="J155" i="2"/>
  <c r="I155" i="2"/>
  <c r="J148" i="2"/>
  <c r="I148" i="2"/>
  <c r="J141" i="2"/>
  <c r="I141" i="2"/>
  <c r="J127" i="2"/>
  <c r="I127" i="2"/>
  <c r="J121" i="2"/>
  <c r="I121" i="2"/>
  <c r="J100" i="2"/>
  <c r="I100" i="2"/>
  <c r="J87" i="2"/>
  <c r="I87" i="2"/>
  <c r="I80" i="2"/>
  <c r="J80" i="2"/>
  <c r="J73" i="2"/>
  <c r="I73" i="2"/>
  <c r="J59" i="2"/>
  <c r="I59" i="2"/>
  <c r="J52" i="2"/>
  <c r="I52" i="2"/>
  <c r="J45" i="2"/>
  <c r="I45" i="2"/>
  <c r="J38" i="2"/>
  <c r="I38" i="2"/>
  <c r="J31" i="2"/>
  <c r="I31" i="2"/>
  <c r="J25" i="2"/>
  <c r="I25" i="2"/>
  <c r="J4" i="2"/>
  <c r="I4" i="2"/>
  <c r="I658" i="2"/>
  <c r="I622" i="2"/>
  <c r="I478" i="2"/>
  <c r="I464" i="2"/>
  <c r="I453" i="2"/>
  <c r="I432" i="2"/>
  <c r="I400" i="2"/>
  <c r="I214" i="2"/>
  <c r="I138" i="2"/>
  <c r="I482" i="2"/>
  <c r="I481" i="2"/>
  <c r="I480" i="2"/>
  <c r="J479" i="2"/>
  <c r="I1025" i="2" l="1"/>
</calcChain>
</file>

<file path=xl/sharedStrings.xml><?xml version="1.0" encoding="utf-8"?>
<sst xmlns="http://schemas.openxmlformats.org/spreadsheetml/2006/main" count="18889" uniqueCount="2100">
  <si>
    <t>Sale wise Profit Report</t>
  </si>
  <si>
    <t>From: 2026-02-01</t>
  </si>
  <si>
    <t>To: 2026-02-25</t>
  </si>
  <si>
    <t>sale date</t>
  </si>
  <si>
    <t>item name</t>
  </si>
  <si>
    <t>serial number</t>
  </si>
  <si>
    <t>serial comment</t>
  </si>
  <si>
    <t>sale price</t>
  </si>
  <si>
    <t>purchase price</t>
  </si>
  <si>
    <t>profit loss</t>
  </si>
  <si>
    <t>profit loss percent</t>
  </si>
  <si>
    <t>vendor name</t>
  </si>
  <si>
    <t>2026-02-02</t>
  </si>
  <si>
    <t>CANON SX 740 HS</t>
  </si>
  <si>
    <t>]C121105081000920</t>
  </si>
  <si>
    <t/>
  </si>
  <si>
    <t>WAHEED BHAI</t>
  </si>
  <si>
    <t>DJI MAVIC 4 PRO CREATOR COMBO</t>
  </si>
  <si>
    <t>1581F986C257S0022VS4</t>
  </si>
  <si>
    <t>DJI MINI 5 PRO FLY MORE COMBO 52 MINS</t>
  </si>
  <si>
    <t>1581F9DEC258U029X6E4</t>
  </si>
  <si>
    <t>GO PRO 13</t>
  </si>
  <si>
    <t>C3535424564583</t>
  </si>
  <si>
    <t>OWAIS HOUSTON</t>
  </si>
  <si>
    <t>GO PRO FLOATY HERO</t>
  </si>
  <si>
    <t>810116381937</t>
  </si>
  <si>
    <t>HOLD</t>
  </si>
  <si>
    <t>IPHONE 16 128 GB</t>
  </si>
  <si>
    <t>351525510727416</t>
  </si>
  <si>
    <t>MUDASSIR</t>
  </si>
  <si>
    <t>351525510878441</t>
  </si>
  <si>
    <t>IPHONE 16E 128 GB</t>
  </si>
  <si>
    <t>352700323139724</t>
  </si>
  <si>
    <t>IPHONE 17 PRO MAX 256 GB</t>
  </si>
  <si>
    <t>356605227804917</t>
  </si>
  <si>
    <t>2026-02-03</t>
  </si>
  <si>
    <t>MACBOOK AIR M4 15 16 GB, 512 GB</t>
  </si>
  <si>
    <t>SM5J2KJ4X0Q</t>
  </si>
  <si>
    <t>PS5 PRO</t>
  </si>
  <si>
    <t>S01K15501M8110427662</t>
  </si>
  <si>
    <t>S01K15501M8110454774</t>
  </si>
  <si>
    <t>S01K25701VJ910336156</t>
  </si>
  <si>
    <t>2026-02-04</t>
  </si>
  <si>
    <t>APPLE WATCH ULTRA 3 49MM</t>
  </si>
  <si>
    <t>358135790631933</t>
  </si>
  <si>
    <t>358135792616791</t>
  </si>
  <si>
    <t>358135792871644</t>
  </si>
  <si>
    <t>358135792930002</t>
  </si>
  <si>
    <t>358135793507676</t>
  </si>
  <si>
    <t>358135794155822</t>
  </si>
  <si>
    <t>350599861383278</t>
  </si>
  <si>
    <t>350599861807607</t>
  </si>
  <si>
    <t>350599862268221</t>
  </si>
  <si>
    <t>350599864494262</t>
  </si>
  <si>
    <t>350599869504909</t>
  </si>
  <si>
    <t>350889866122700</t>
  </si>
  <si>
    <t>350889867584825</t>
  </si>
  <si>
    <t>353263429532580</t>
  </si>
  <si>
    <t>355224255218510</t>
  </si>
  <si>
    <t>355246657041414</t>
  </si>
  <si>
    <t>356605225521885</t>
  </si>
  <si>
    <t>356605226777189</t>
  </si>
  <si>
    <t>356605227652662</t>
  </si>
  <si>
    <t>356605228962862</t>
  </si>
  <si>
    <t>356605229177262</t>
  </si>
  <si>
    <t>357586348307940</t>
  </si>
  <si>
    <t>357586349420825</t>
  </si>
  <si>
    <t>358051326483055</t>
  </si>
  <si>
    <t>359614549213846</t>
  </si>
  <si>
    <t>2026-02-05</t>
  </si>
  <si>
    <t>CANON G7X MARK III</t>
  </si>
  <si>
    <t>]C121115082000176</t>
  </si>
  <si>
    <t>DJI MIC 3</t>
  </si>
  <si>
    <t>9SDXN570120QYN</t>
  </si>
  <si>
    <t>9SDXN5G01215JY</t>
  </si>
  <si>
    <t>9SDXN5K02202MW</t>
  </si>
  <si>
    <t>9SDXN660220J7G</t>
  </si>
  <si>
    <t>9SDXN6Q0122K0Z</t>
  </si>
  <si>
    <t>9SDXN7B0122ZFE</t>
  </si>
  <si>
    <t>9SDXN7G0221TMP</t>
  </si>
  <si>
    <t>9SDXN8L0124RTV</t>
  </si>
  <si>
    <t>AUSTRALIA PURCHASING</t>
  </si>
  <si>
    <t>9SDXN950125ESB</t>
  </si>
  <si>
    <t>9SDXN980233VAF</t>
  </si>
  <si>
    <t>9SDXN980233W52</t>
  </si>
  <si>
    <t>9SDXN9C0125KQM</t>
  </si>
  <si>
    <t>9SDXN9C0125L03</t>
  </si>
  <si>
    <t>9SDXN9N01260TE</t>
  </si>
  <si>
    <t>9SDXN9N01260X6</t>
  </si>
  <si>
    <t>9SDXN9N012615E</t>
  </si>
  <si>
    <t>9SDXN9N01261EK</t>
  </si>
  <si>
    <t>9SDXN9N01261ER</t>
  </si>
  <si>
    <t>9SDXN9N01261FA</t>
  </si>
  <si>
    <t>9SDXN9N01261FN</t>
  </si>
  <si>
    <t>9SDXN9N01261KE</t>
  </si>
  <si>
    <t>9SDXN9N01261WG</t>
  </si>
  <si>
    <t>9SDXN9N01264RS</t>
  </si>
  <si>
    <t>9SDXN9S012668Q</t>
  </si>
  <si>
    <t>9SDXNA70126HJ6</t>
  </si>
  <si>
    <t>9SDXNA70126HK1</t>
  </si>
  <si>
    <t>GALAXY S25 ULTRA 256 GB</t>
  </si>
  <si>
    <t>351878871577510</t>
  </si>
  <si>
    <t>351878871686550</t>
  </si>
  <si>
    <t>351878872024330</t>
  </si>
  <si>
    <t>351878872078856</t>
  </si>
  <si>
    <t>INSTAX MINI EVO</t>
  </si>
  <si>
    <t>4WM13669</t>
  </si>
  <si>
    <t>4WM54552</t>
  </si>
  <si>
    <t>4WM54553</t>
  </si>
  <si>
    <t>5SM00524</t>
  </si>
  <si>
    <t>5SM00529</t>
  </si>
  <si>
    <t>5SM00535</t>
  </si>
  <si>
    <t>5SM27169</t>
  </si>
  <si>
    <t>5SM27178</t>
  </si>
  <si>
    <t>5SM27179</t>
  </si>
  <si>
    <t>5SM27191</t>
  </si>
  <si>
    <t>5SM27194</t>
  </si>
  <si>
    <t>5SM27198</t>
  </si>
  <si>
    <t>5SM27239</t>
  </si>
  <si>
    <t>5TM38719</t>
  </si>
  <si>
    <t>5TM38745</t>
  </si>
  <si>
    <t>5TM38752</t>
  </si>
  <si>
    <t>5TM38763</t>
  </si>
  <si>
    <t>5TM38765</t>
  </si>
  <si>
    <t>5TM38767</t>
  </si>
  <si>
    <t>5TM38770</t>
  </si>
  <si>
    <t>5TM38825</t>
  </si>
  <si>
    <t>5TM38826</t>
  </si>
  <si>
    <t>5TM38827</t>
  </si>
  <si>
    <t>5TM38828</t>
  </si>
  <si>
    <t>5TM38829</t>
  </si>
  <si>
    <t>5TM38830</t>
  </si>
  <si>
    <t>5TM38832</t>
  </si>
  <si>
    <t>5TM38835</t>
  </si>
  <si>
    <t>5TM38836</t>
  </si>
  <si>
    <t>5TM38841</t>
  </si>
  <si>
    <t>5TM38842</t>
  </si>
  <si>
    <t>5TM38844</t>
  </si>
  <si>
    <t>5TM38849</t>
  </si>
  <si>
    <t>5TM38855</t>
  </si>
  <si>
    <t>5TM38860</t>
  </si>
  <si>
    <t>5TM38872</t>
  </si>
  <si>
    <t>5TM38893</t>
  </si>
  <si>
    <t>5TM38894</t>
  </si>
  <si>
    <t>5TM38895</t>
  </si>
  <si>
    <t>5TM38896</t>
  </si>
  <si>
    <t>5TM38897</t>
  </si>
  <si>
    <t>5TM38899</t>
  </si>
  <si>
    <t>5TM38900</t>
  </si>
  <si>
    <t>5TM38901</t>
  </si>
  <si>
    <t>5TM38902</t>
  </si>
  <si>
    <t>5TM38904</t>
  </si>
  <si>
    <t>5TM38913</t>
  </si>
  <si>
    <t>5TM38943</t>
  </si>
  <si>
    <t>5TM38944</t>
  </si>
  <si>
    <t>5TM38948</t>
  </si>
  <si>
    <t>5UN42231</t>
  </si>
  <si>
    <t>5UN42232</t>
  </si>
  <si>
    <t>5UN42233</t>
  </si>
  <si>
    <t>5UN42234</t>
  </si>
  <si>
    <t>5UN42235</t>
  </si>
  <si>
    <t>5UN42236</t>
  </si>
  <si>
    <t>5UN42237</t>
  </si>
  <si>
    <t>5UN42238</t>
  </si>
  <si>
    <t>5UN42239</t>
  </si>
  <si>
    <t>5UN42240</t>
  </si>
  <si>
    <t>5UN60141</t>
  </si>
  <si>
    <t>5UN60142</t>
  </si>
  <si>
    <t>5UN60143</t>
  </si>
  <si>
    <t>5UN60144</t>
  </si>
  <si>
    <t>5UN60145</t>
  </si>
  <si>
    <t>5UN60146</t>
  </si>
  <si>
    <t>5UN60147</t>
  </si>
  <si>
    <t>5UN60148</t>
  </si>
  <si>
    <t>5UN60149</t>
  </si>
  <si>
    <t>5UN60150</t>
  </si>
  <si>
    <t>5UN60191</t>
  </si>
  <si>
    <t>5UN60192</t>
  </si>
  <si>
    <t>5UN60193</t>
  </si>
  <si>
    <t>5UN60194</t>
  </si>
  <si>
    <t>5UN60195</t>
  </si>
  <si>
    <t>5UN60196</t>
  </si>
  <si>
    <t>5UN60197</t>
  </si>
  <si>
    <t>5UN60198</t>
  </si>
  <si>
    <t>5UN60199</t>
  </si>
  <si>
    <t>5UN60200</t>
  </si>
  <si>
    <t>5UN60541</t>
  </si>
  <si>
    <t>5UN60542</t>
  </si>
  <si>
    <t>5UN60543</t>
  </si>
  <si>
    <t>5UN60544</t>
  </si>
  <si>
    <t>5UN60545</t>
  </si>
  <si>
    <t>5UN60546</t>
  </si>
  <si>
    <t>5UN60547</t>
  </si>
  <si>
    <t>5UN60548</t>
  </si>
  <si>
    <t>5UN60549</t>
  </si>
  <si>
    <t>5UN60550</t>
  </si>
  <si>
    <t>5UN60571</t>
  </si>
  <si>
    <t>5UN60572</t>
  </si>
  <si>
    <t>5UN60573</t>
  </si>
  <si>
    <t>5UN60574</t>
  </si>
  <si>
    <t>5UN60575</t>
  </si>
  <si>
    <t>5UN60576</t>
  </si>
  <si>
    <t>5UN60577</t>
  </si>
  <si>
    <t>5UN60578</t>
  </si>
  <si>
    <t>5UN60579</t>
  </si>
  <si>
    <t>5UN60580</t>
  </si>
  <si>
    <t>IPHONE 17 AIR 256 GB</t>
  </si>
  <si>
    <t>350795045798791</t>
  </si>
  <si>
    <t>350795045828762</t>
  </si>
  <si>
    <t>350795045916294</t>
  </si>
  <si>
    <t>350795046044732</t>
  </si>
  <si>
    <t>357223746136966</t>
  </si>
  <si>
    <t>357247592397729</t>
  </si>
  <si>
    <t>357247592806984</t>
  </si>
  <si>
    <t>357247593362060</t>
  </si>
  <si>
    <t>IPHONE 17 PRO 256 GB</t>
  </si>
  <si>
    <t>350208035593446</t>
  </si>
  <si>
    <t>350208035900146</t>
  </si>
  <si>
    <t>355832515765870</t>
  </si>
  <si>
    <t>355832517114960</t>
  </si>
  <si>
    <t>355832517794936</t>
  </si>
  <si>
    <t>356250544736300</t>
  </si>
  <si>
    <t>350599860076667</t>
  </si>
  <si>
    <t>350599860131520</t>
  </si>
  <si>
    <t>350599860798815</t>
  </si>
  <si>
    <t>350599861007257</t>
  </si>
  <si>
    <t>350599864265969</t>
  </si>
  <si>
    <t>350599865976879</t>
  </si>
  <si>
    <t>350599869739604</t>
  </si>
  <si>
    <t>353263423774428</t>
  </si>
  <si>
    <t>353263426837701</t>
  </si>
  <si>
    <t>355224251777493</t>
  </si>
  <si>
    <t>355246652423377</t>
  </si>
  <si>
    <t>355246653388124</t>
  </si>
  <si>
    <t>355246654440031</t>
  </si>
  <si>
    <t>356188165683536</t>
  </si>
  <si>
    <t>356188165867840</t>
  </si>
  <si>
    <t>356605229794470</t>
  </si>
  <si>
    <t>357586342027957</t>
  </si>
  <si>
    <t>357586343122690</t>
  </si>
  <si>
    <t>357586348499325</t>
  </si>
  <si>
    <t>357586348762284</t>
  </si>
  <si>
    <t>358051329690722</t>
  </si>
  <si>
    <t>358051329731229</t>
  </si>
  <si>
    <t>359614541276585</t>
  </si>
  <si>
    <t>359614541474362</t>
  </si>
  <si>
    <t>359614542852145</t>
  </si>
  <si>
    <t>359614548897359</t>
  </si>
  <si>
    <t>359614548970909</t>
  </si>
  <si>
    <t>359614549197783</t>
  </si>
  <si>
    <t>359614549472368</t>
  </si>
  <si>
    <t>359614549578180</t>
  </si>
  <si>
    <t>359614549584527</t>
  </si>
  <si>
    <t>359614549647191</t>
  </si>
  <si>
    <t>JBL CHARGE 6</t>
  </si>
  <si>
    <t>GG1363-EP0196606</t>
  </si>
  <si>
    <t>GG1363-EP0197452</t>
  </si>
  <si>
    <t>GG1363-FP0212970</t>
  </si>
  <si>
    <t>GG1363-GP0310793</t>
  </si>
  <si>
    <t>GG1363-HP0323972</t>
  </si>
  <si>
    <t>GG1363-HP0324026</t>
  </si>
  <si>
    <t>GG1363-HP0325242</t>
  </si>
  <si>
    <t>GG1363-IP0360909</t>
  </si>
  <si>
    <t>GG1363-IP0370039</t>
  </si>
  <si>
    <t>GG1363-IP0370220</t>
  </si>
  <si>
    <t>GG1365-GP0194673</t>
  </si>
  <si>
    <t>GG1365-GP0194682</t>
  </si>
  <si>
    <t>GG1365-GP0194692</t>
  </si>
  <si>
    <t>GG1365-GP0194696</t>
  </si>
  <si>
    <t>GG1365-HP0208237</t>
  </si>
  <si>
    <t>GG1365-HP0208250</t>
  </si>
  <si>
    <t>GG1365-HP0209156</t>
  </si>
  <si>
    <t>GG1365-KP0250145</t>
  </si>
  <si>
    <t>GG1365-KP0250184</t>
  </si>
  <si>
    <t>GG1365-KP0250452</t>
  </si>
  <si>
    <t>GG1365-KP0250453</t>
  </si>
  <si>
    <t>GG1365-KP0250454</t>
  </si>
  <si>
    <t>GG1365-KP0250455</t>
  </si>
  <si>
    <t>GG1365-KP0250463</t>
  </si>
  <si>
    <t>GG1365-KP0250465</t>
  </si>
  <si>
    <t>GG1365-KP0250467</t>
  </si>
  <si>
    <t>GG1365-KP0250468</t>
  </si>
  <si>
    <t>GG1365-KP0250511</t>
  </si>
  <si>
    <t>GG1365-KP0250516</t>
  </si>
  <si>
    <t>GG1365-KP0250568</t>
  </si>
  <si>
    <t>GG1365-KP0250570</t>
  </si>
  <si>
    <t>GG1365-KP0250571</t>
  </si>
  <si>
    <t>GG1365-KP0250572</t>
  </si>
  <si>
    <t>META QUEST 3 512 GB</t>
  </si>
  <si>
    <t>2G97BMMH5N01BP</t>
  </si>
  <si>
    <t>2G97BMMH5S00B2</t>
  </si>
  <si>
    <t>2G97BMMH9Q057K</t>
  </si>
  <si>
    <t>2G97BMMH9S00J0</t>
  </si>
  <si>
    <t>2G97BMMH9X03ZS</t>
  </si>
  <si>
    <t>2G97BMMHB5044H</t>
  </si>
  <si>
    <t>2G97BMMHB600R2</t>
  </si>
  <si>
    <t>2G97BMMHB6010Y</t>
  </si>
  <si>
    <t>2G97BMMHB601NS</t>
  </si>
  <si>
    <t>2G97BMMHB601NY</t>
  </si>
  <si>
    <t>2G97BMMHB601P5</t>
  </si>
  <si>
    <t>2026-02-06</t>
  </si>
  <si>
    <t>353938643621919</t>
  </si>
  <si>
    <t>356187984681119</t>
  </si>
  <si>
    <t>9SDXN570120SUR</t>
  </si>
  <si>
    <t>9SDXN6U0122PYP</t>
  </si>
  <si>
    <t>9SDXN7H0123A7B</t>
  </si>
  <si>
    <t>9SDXN8L0124R44</t>
  </si>
  <si>
    <t>9SDXN8N0124ZMQ</t>
  </si>
  <si>
    <t>9SDXN9N01260TD</t>
  </si>
  <si>
    <t>9SDXN9N01260TG</t>
  </si>
  <si>
    <t>9SDXN9N01260U2</t>
  </si>
  <si>
    <t>9SDXN9N01260WX</t>
  </si>
  <si>
    <t>9SDXN9N012611Q</t>
  </si>
  <si>
    <t>9SDXN9N012613Q</t>
  </si>
  <si>
    <t>9SDXN9N01261E5</t>
  </si>
  <si>
    <t>9SDXN9N01261EF</t>
  </si>
  <si>
    <t>9SDXN9N01261F0</t>
  </si>
  <si>
    <t>9SDXN9N01261F9</t>
  </si>
  <si>
    <t>9SDXN9N01261MA</t>
  </si>
  <si>
    <t>9SDXN9N01261XR</t>
  </si>
  <si>
    <t>9SDXN9N01261ZJ</t>
  </si>
  <si>
    <t>9SDXN9N0126472</t>
  </si>
  <si>
    <t>9SDXN9S0126667</t>
  </si>
  <si>
    <t>9SDXN9S012669G</t>
  </si>
  <si>
    <t>9SDXN9S01267DA</t>
  </si>
  <si>
    <t>9SDXNA70126HEV</t>
  </si>
  <si>
    <t>9SDXNA70126HF4</t>
  </si>
  <si>
    <t>350889861073445</t>
  </si>
  <si>
    <t>STARLINK V4</t>
  </si>
  <si>
    <t>starlinkv40615</t>
  </si>
  <si>
    <t>all Ok</t>
  </si>
  <si>
    <t>starlinkv40616</t>
  </si>
  <si>
    <t>starlinkv40617</t>
  </si>
  <si>
    <t>starlinkv40618</t>
  </si>
  <si>
    <t>starlinkv40619</t>
  </si>
  <si>
    <t>starlinkv40620</t>
  </si>
  <si>
    <t>starlinkv40621</t>
  </si>
  <si>
    <t>starlinkv40622</t>
  </si>
  <si>
    <t>starlinkv40623</t>
  </si>
  <si>
    <t>starlinkv40624</t>
  </si>
  <si>
    <t>starlinkv40625</t>
  </si>
  <si>
    <t>starlinkv40626</t>
  </si>
  <si>
    <t>starlinkv40627</t>
  </si>
  <si>
    <t>starlinkv40628</t>
  </si>
  <si>
    <t>starlinkv40629</t>
  </si>
  <si>
    <t>starlinkv40630</t>
  </si>
  <si>
    <t>starlinkv40631</t>
  </si>
  <si>
    <t>starlinkv40632</t>
  </si>
  <si>
    <t>starlinkv40633</t>
  </si>
  <si>
    <t>starlinkv40634</t>
  </si>
  <si>
    <t>starlinkv40635</t>
  </si>
  <si>
    <t>starlinkv40636</t>
  </si>
  <si>
    <t>starlinkv40637</t>
  </si>
  <si>
    <t>starlinkv40638</t>
  </si>
  <si>
    <t>starlinkv40639</t>
  </si>
  <si>
    <t>starlinkv40640</t>
  </si>
  <si>
    <t>starlinkv40641</t>
  </si>
  <si>
    <t>starlinkv40642</t>
  </si>
  <si>
    <t>starlinkv40643</t>
  </si>
  <si>
    <t>starlinkv40644</t>
  </si>
  <si>
    <t>starlinkv40645</t>
  </si>
  <si>
    <t>starlinkv40646</t>
  </si>
  <si>
    <t>starlinkv40647</t>
  </si>
  <si>
    <t>starlinkv40648</t>
  </si>
  <si>
    <t>starlinkv40649</t>
  </si>
  <si>
    <t>starlinkv40650</t>
  </si>
  <si>
    <t>starlinkv40651</t>
  </si>
  <si>
    <t>starlinkv40652</t>
  </si>
  <si>
    <t>starlinkv40653</t>
  </si>
  <si>
    <t>starlinkv40654</t>
  </si>
  <si>
    <t>starlinkv40655</t>
  </si>
  <si>
    <t>starlinkv40656</t>
  </si>
  <si>
    <t>starlinkv40657</t>
  </si>
  <si>
    <t>starlinkv40658</t>
  </si>
  <si>
    <t>starlinkv40659</t>
  </si>
  <si>
    <t>starlinkv40660</t>
  </si>
  <si>
    <t>starlinkv40661</t>
  </si>
  <si>
    <t>starlinkv40662</t>
  </si>
  <si>
    <t>starlinkv40663</t>
  </si>
  <si>
    <t>starlinkv40664</t>
  </si>
  <si>
    <t>starlinkv40665</t>
  </si>
  <si>
    <t>starlinkv40666</t>
  </si>
  <si>
    <t>starlinkv40667</t>
  </si>
  <si>
    <t>starlinkv40668</t>
  </si>
  <si>
    <t>starlinkv40669</t>
  </si>
  <si>
    <t>starlinkv40670</t>
  </si>
  <si>
    <t>starlinkv40671</t>
  </si>
  <si>
    <t>starlinkv40672</t>
  </si>
  <si>
    <t>starlinkv40673</t>
  </si>
  <si>
    <t>starlinkv40674</t>
  </si>
  <si>
    <t>2026-02-07</t>
  </si>
  <si>
    <t>]C121105082002506</t>
  </si>
  <si>
    <t>1581F986C258U0023NHK</t>
  </si>
  <si>
    <t>IPHONE 16 PRO MAX 256 GB</t>
  </si>
  <si>
    <t>355008282401839</t>
  </si>
  <si>
    <t>350889867351605</t>
  </si>
  <si>
    <t>FARAZ GVT</t>
  </si>
  <si>
    <t>356188168995952</t>
  </si>
  <si>
    <t>MISSION TECHNOLOGY</t>
  </si>
  <si>
    <t>358051325669902</t>
  </si>
  <si>
    <t>358051325792381</t>
  </si>
  <si>
    <t>359614549256241</t>
  </si>
  <si>
    <t>META HEADLINER GEN 2</t>
  </si>
  <si>
    <t>4V0ZH17H7Q00RS</t>
  </si>
  <si>
    <t>4V0ZH17H7X01K1</t>
  </si>
  <si>
    <t>4V0ZL22HB2002P</t>
  </si>
  <si>
    <t>4V0ZL22HBB00V0</t>
  </si>
  <si>
    <t>4V0ZL22HBB00Y8</t>
  </si>
  <si>
    <t>4V0ZL22HBB01W6</t>
  </si>
  <si>
    <t>META SKYLER</t>
  </si>
  <si>
    <t>2Q0ZY01H6R0088</t>
  </si>
  <si>
    <t>META SKYLER GEN 2</t>
  </si>
  <si>
    <t>4V0ZS12H8M0121</t>
  </si>
  <si>
    <t>4V0ZS16H9202SJ</t>
  </si>
  <si>
    <t>4V0ZS16H9601JK</t>
  </si>
  <si>
    <t>4V0ZS16H9901K2</t>
  </si>
  <si>
    <t>4V0ZS17H8401ZZ</t>
  </si>
  <si>
    <t>4V0ZS17H8H02KD</t>
  </si>
  <si>
    <t>4V0ZS17H8J02DM</t>
  </si>
  <si>
    <t>4V0ZS17H8J04HC</t>
  </si>
  <si>
    <t>4V0ZS17H8J05TJ</t>
  </si>
  <si>
    <t>4V0ZS17H8K02KF</t>
  </si>
  <si>
    <t>META VANGUARD</t>
  </si>
  <si>
    <t>3Z37V01H9Z02GQ</t>
  </si>
  <si>
    <t>3Z37V02HB000CW</t>
  </si>
  <si>
    <t>3Z37V03HBM007D</t>
  </si>
  <si>
    <t>META WAYFARER</t>
  </si>
  <si>
    <t>2Q0ZT00H9108MM</t>
  </si>
  <si>
    <t>META WAYFARER GEN 2</t>
  </si>
  <si>
    <t>4V0ZW25HB605T5</t>
  </si>
  <si>
    <t>4V0ZW26H9901XZ</t>
  </si>
  <si>
    <t>4V0ZW26H9J01ZY</t>
  </si>
  <si>
    <t>4V0ZW26H9K01BR</t>
  </si>
  <si>
    <t>4V37W23H8Y03BB</t>
  </si>
  <si>
    <t>4V37W25HBT059B</t>
  </si>
  <si>
    <t>4V37W25HBT05W5</t>
  </si>
  <si>
    <t>4V37W26H8M0057</t>
  </si>
  <si>
    <t>4V37W32H9H02HR</t>
  </si>
  <si>
    <t>4V37W32HBM006R</t>
  </si>
  <si>
    <t>NINJA CREAMI</t>
  </si>
  <si>
    <t>ninjacreami0001</t>
  </si>
  <si>
    <t>PLAYSTATION VR2</t>
  </si>
  <si>
    <t>S01G13200K1J11901709</t>
  </si>
  <si>
    <t>S01G13300K1J11995513</t>
  </si>
  <si>
    <t>S01G13300K1J11995587</t>
  </si>
  <si>
    <t>S01G13300K1J11995588</t>
  </si>
  <si>
    <t>S01G14B00K1J12319241</t>
  </si>
  <si>
    <t>S01K15101M8110303945</t>
  </si>
  <si>
    <t>RAYBAN GLASSES</t>
  </si>
  <si>
    <t>2Q0ZY12H6F00DM</t>
  </si>
  <si>
    <t>2Q9GS00H9K091G</t>
  </si>
  <si>
    <t>2Q9GS00H9R0MPL</t>
  </si>
  <si>
    <t>2Q9GS02H7607MX</t>
  </si>
  <si>
    <t>2Q9GS11H7Q0BX3</t>
  </si>
  <si>
    <t>2Q9GS11H9G01M4</t>
  </si>
  <si>
    <t>2Q9GS11H9H0204</t>
  </si>
  <si>
    <t>2Q9GS11H9H04GR</t>
  </si>
  <si>
    <t>2Q9GS11H9H04ZK</t>
  </si>
  <si>
    <t>2Q9GS11H9H0C2P</t>
  </si>
  <si>
    <t>2Q9GS11H9J03Q1</t>
  </si>
  <si>
    <t>2Q9GS11H9J0438</t>
  </si>
  <si>
    <t>2Q9GS11H9J04VT</t>
  </si>
  <si>
    <t>2Q9GS11HBG08WZ</t>
  </si>
  <si>
    <t>4V0ZW04H9F04PK</t>
  </si>
  <si>
    <t>4V0ZW23H6Z00DY</t>
  </si>
  <si>
    <t>4V0ZW23H7602XL</t>
  </si>
  <si>
    <t>4V0ZW27H9L0132</t>
  </si>
  <si>
    <t>4V37W29H7X00MG</t>
  </si>
  <si>
    <t>4V37W31H9900B3</t>
  </si>
  <si>
    <t>4V37W32H99022W</t>
  </si>
  <si>
    <t>4V37W32H99023B</t>
  </si>
  <si>
    <t>4V37W32H99025S</t>
  </si>
  <si>
    <t>starlinkv40571</t>
  </si>
  <si>
    <t>starlinkv40572</t>
  </si>
  <si>
    <t>starlinkv40573</t>
  </si>
  <si>
    <t>starlinkv40574</t>
  </si>
  <si>
    <t>XBOX SERIES X</t>
  </si>
  <si>
    <t>610528253621</t>
  </si>
  <si>
    <t>2026-02-09</t>
  </si>
  <si>
    <t>IPHONE 13 PRO MAX 256 GB</t>
  </si>
  <si>
    <t>351605725846399</t>
  </si>
  <si>
    <t>Fully Damaged Bo</t>
  </si>
  <si>
    <t>351605725975859</t>
  </si>
  <si>
    <t>351605726004006</t>
  </si>
  <si>
    <t>351605726091755</t>
  </si>
  <si>
    <t>357223741959446</t>
  </si>
  <si>
    <t>357247595315819</t>
  </si>
  <si>
    <t>351317523248402</t>
  </si>
  <si>
    <t>Active, Damaged Box</t>
  </si>
  <si>
    <t>355832515680889</t>
  </si>
  <si>
    <t>Active</t>
  </si>
  <si>
    <t>355832519622440</t>
  </si>
  <si>
    <t>356250549992031</t>
  </si>
  <si>
    <t>350599861566120</t>
  </si>
  <si>
    <t>355224250496475</t>
  </si>
  <si>
    <t>356605226749428</t>
  </si>
  <si>
    <t>356605226917652</t>
  </si>
  <si>
    <t>357586348055192</t>
  </si>
  <si>
    <t>358051326198919</t>
  </si>
  <si>
    <t>359912581596726</t>
  </si>
  <si>
    <t>STARLINK MINI</t>
  </si>
  <si>
    <t>starlinkmini0021</t>
  </si>
  <si>
    <t>starlinkmini0022</t>
  </si>
  <si>
    <t>starlinkmini0023</t>
  </si>
  <si>
    <t>starlinkmini0024</t>
  </si>
  <si>
    <t>starlinkv40575</t>
  </si>
  <si>
    <t>starlinkv40576</t>
  </si>
  <si>
    <t>starlinkv40577</t>
  </si>
  <si>
    <t>starlinkv40578</t>
  </si>
  <si>
    <t>starlinkv40579</t>
  </si>
  <si>
    <t>starlinkv40580</t>
  </si>
  <si>
    <t>starlinkv40581</t>
  </si>
  <si>
    <t>starlinkv40582</t>
  </si>
  <si>
    <t>starlinkv40583</t>
  </si>
  <si>
    <t>starlinkv40584</t>
  </si>
  <si>
    <t>starlinkv40585</t>
  </si>
  <si>
    <t>starlinkv40586</t>
  </si>
  <si>
    <t>starlinkv40587</t>
  </si>
  <si>
    <t>starlinkv40588</t>
  </si>
  <si>
    <t>starlinkv40589</t>
  </si>
  <si>
    <t>starlinkv40590</t>
  </si>
  <si>
    <t>starlinkv40591</t>
  </si>
  <si>
    <t>starlinkv40592</t>
  </si>
  <si>
    <t>starlinkv40593</t>
  </si>
  <si>
    <t>starlinkv40594</t>
  </si>
  <si>
    <t>starlinkv40595</t>
  </si>
  <si>
    <t>starlinkv40596</t>
  </si>
  <si>
    <t>starlinkv40597</t>
  </si>
  <si>
    <t>starlinkv40598</t>
  </si>
  <si>
    <t>starlinkv40599</t>
  </si>
  <si>
    <t>starlinkv40600</t>
  </si>
  <si>
    <t>starlinkv40601</t>
  </si>
  <si>
    <t>starlinkv40602</t>
  </si>
  <si>
    <t>starlinkv40603</t>
  </si>
  <si>
    <t>starlinkv40604</t>
  </si>
  <si>
    <t>starlinkv40605</t>
  </si>
  <si>
    <t>starlinkv40606</t>
  </si>
  <si>
    <t>starlinkv40607</t>
  </si>
  <si>
    <t>starlinkv40608</t>
  </si>
  <si>
    <t>starlinkv40609</t>
  </si>
  <si>
    <t>starlinkv40610</t>
  </si>
  <si>
    <t>starlinkv40611</t>
  </si>
  <si>
    <t>starlinkv40612</t>
  </si>
  <si>
    <t>starlinkv40613</t>
  </si>
  <si>
    <t>starlinkv40614</t>
  </si>
  <si>
    <t>2026-02-10</t>
  </si>
  <si>
    <t>]C121105082002503</t>
  </si>
  <si>
    <t>]C121105082002504</t>
  </si>
  <si>
    <t>]C121105082002507</t>
  </si>
  <si>
    <t>]C121105082002728</t>
  </si>
  <si>
    <t>]C121105082002729</t>
  </si>
  <si>
    <t>]C121105081000311</t>
  </si>
  <si>
    <t>]C121105081001700</t>
  </si>
  <si>
    <t>]C121105081001815</t>
  </si>
  <si>
    <t>]C121105081001817</t>
  </si>
  <si>
    <t>]C121105081001819</t>
  </si>
  <si>
    <t>]C121105081001820</t>
  </si>
  <si>
    <t>5TN42485</t>
  </si>
  <si>
    <t>5TN42487</t>
  </si>
  <si>
    <t>5UN37233</t>
  </si>
  <si>
    <t>5UN37238</t>
  </si>
  <si>
    <t>5UN37240</t>
  </si>
  <si>
    <t>5UN42061</t>
  </si>
  <si>
    <t>5UN42068</t>
  </si>
  <si>
    <t>5UN42187</t>
  </si>
  <si>
    <t>5UN42188</t>
  </si>
  <si>
    <t>5UN60170</t>
  </si>
  <si>
    <t>353065383178866</t>
  </si>
  <si>
    <t>358302115419374</t>
  </si>
  <si>
    <t>Cloud White</t>
  </si>
  <si>
    <t>358838942194557</t>
  </si>
  <si>
    <t>Sky Blue</t>
  </si>
  <si>
    <t>351317522351918</t>
  </si>
  <si>
    <t>357254473152595</t>
  </si>
  <si>
    <t>357254473304543</t>
  </si>
  <si>
    <t>357254473437210</t>
  </si>
  <si>
    <t>357254473457093</t>
  </si>
  <si>
    <t>357254473510214</t>
  </si>
  <si>
    <t>357254473534115</t>
  </si>
  <si>
    <t>357254473545210</t>
  </si>
  <si>
    <t>350599868575991</t>
  </si>
  <si>
    <t>355246650625650</t>
  </si>
  <si>
    <t>IPHONE 17 PRO MAX 512 GB</t>
  </si>
  <si>
    <t>353263428008269</t>
  </si>
  <si>
    <t>ninjacreami0002</t>
  </si>
  <si>
    <t>ninjacreami0003</t>
  </si>
  <si>
    <t>S01K15301M8110364247</t>
  </si>
  <si>
    <t>S01K15401M8110401394</t>
  </si>
  <si>
    <t>S01K15401M8110414717</t>
  </si>
  <si>
    <t>starlinkv40675</t>
  </si>
  <si>
    <t>starlinkv40676</t>
  </si>
  <si>
    <t>starlinkv40677</t>
  </si>
  <si>
    <t>starlinkv40678</t>
  </si>
  <si>
    <t>starlinkv40679</t>
  </si>
  <si>
    <t>starlinkv40680</t>
  </si>
  <si>
    <t>starlinkv40681</t>
  </si>
  <si>
    <t>starlinkv40682</t>
  </si>
  <si>
    <t>starlinkv40683</t>
  </si>
  <si>
    <t>starlinkv40684</t>
  </si>
  <si>
    <t>starlinkv40685</t>
  </si>
  <si>
    <t>starlinkv40686</t>
  </si>
  <si>
    <t>starlinkv40687</t>
  </si>
  <si>
    <t>starlinkv40688</t>
  </si>
  <si>
    <t>starlinkv40689</t>
  </si>
  <si>
    <t>starlinkv40690</t>
  </si>
  <si>
    <t>starlinkv40691</t>
  </si>
  <si>
    <t>starlinkv40692</t>
  </si>
  <si>
    <t>starlinkv40693</t>
  </si>
  <si>
    <t>starlinkv40694</t>
  </si>
  <si>
    <t>starlinkv40695</t>
  </si>
  <si>
    <t>starlinkv40696</t>
  </si>
  <si>
    <t>starlinkv40697</t>
  </si>
  <si>
    <t>starlinkv40698</t>
  </si>
  <si>
    <t>starlinkv40699</t>
  </si>
  <si>
    <t>starlinkv40700</t>
  </si>
  <si>
    <t>starlinkv40701</t>
  </si>
  <si>
    <t>starlinkv40702</t>
  </si>
  <si>
    <t>starlinkv40703</t>
  </si>
  <si>
    <t>starlinkv40704</t>
  </si>
  <si>
    <t>starlinkv40705</t>
  </si>
  <si>
    <t>starlinkv40706</t>
  </si>
  <si>
    <t>starlinkv40707</t>
  </si>
  <si>
    <t>starlinkv40708</t>
  </si>
  <si>
    <t>2026-02-11</t>
  </si>
  <si>
    <t>APPLE WATCH SE 3 40MM</t>
  </si>
  <si>
    <t>352673831095177</t>
  </si>
  <si>
    <t>APPLE WATCH SERIES 11 42MM</t>
  </si>
  <si>
    <t>356865260896796</t>
  </si>
  <si>
    <t>SL454CH9954</t>
  </si>
  <si>
    <t>SMY6VPPG1Q6</t>
  </si>
  <si>
    <t>APPLE WATCH SERIES 11 46MM</t>
  </si>
  <si>
    <t>357324132104624</t>
  </si>
  <si>
    <t>SH4R3KHCXCW</t>
  </si>
  <si>
    <t>353938643664943</t>
  </si>
  <si>
    <t>355827872816332</t>
  </si>
  <si>
    <t>356768325410696</t>
  </si>
  <si>
    <t>]C121105082002498</t>
  </si>
  <si>
    <t>]C121105082002898</t>
  </si>
  <si>
    <t>]C121105081001694</t>
  </si>
  <si>
    <t>]C121105081001823</t>
  </si>
  <si>
    <t>]C121105081001827</t>
  </si>
  <si>
    <t>]C121105081001828</t>
  </si>
  <si>
    <t>IPHONE 17 PRO 512 GB</t>
  </si>
  <si>
    <t>355122365010001</t>
  </si>
  <si>
    <t>Unlock</t>
  </si>
  <si>
    <t>350599860400362</t>
  </si>
  <si>
    <t>T-Mobile</t>
  </si>
  <si>
    <t>350599860438636</t>
  </si>
  <si>
    <t>350599861078688</t>
  </si>
  <si>
    <t>350599861997440</t>
  </si>
  <si>
    <t>350599864309106</t>
  </si>
  <si>
    <t>350889860270851</t>
  </si>
  <si>
    <t>Active T-Mobile</t>
  </si>
  <si>
    <t>353263423631370</t>
  </si>
  <si>
    <t>353263423726956</t>
  </si>
  <si>
    <t>353263423995601</t>
  </si>
  <si>
    <t>353263424014055</t>
  </si>
  <si>
    <t>353263424016977</t>
  </si>
  <si>
    <t>353263424081401</t>
  </si>
  <si>
    <t>353263424113543</t>
  </si>
  <si>
    <t>353263424147939</t>
  </si>
  <si>
    <t>353263424158514</t>
  </si>
  <si>
    <t>353263424223136</t>
  </si>
  <si>
    <t>353263424486485</t>
  </si>
  <si>
    <t>353263429317628</t>
  </si>
  <si>
    <t>353263429421313</t>
  </si>
  <si>
    <t>356188168685678</t>
  </si>
  <si>
    <t>356392240417536</t>
  </si>
  <si>
    <t>358419941371486</t>
  </si>
  <si>
    <t>359614543570472</t>
  </si>
  <si>
    <t>359614543648872</t>
  </si>
  <si>
    <t>359614543832328</t>
  </si>
  <si>
    <t>359614548991376</t>
  </si>
  <si>
    <t>PS5 SLIM DIGITAL</t>
  </si>
  <si>
    <t>S01E44A01X4912823801</t>
  </si>
  <si>
    <t>S01E456016ER10403419</t>
  </si>
  <si>
    <t>starlinkv40709</t>
  </si>
  <si>
    <t>starlinkv40710</t>
  </si>
  <si>
    <t>starlinkv40711</t>
  </si>
  <si>
    <t>starlinkv40712</t>
  </si>
  <si>
    <t>starlinkv40713</t>
  </si>
  <si>
    <t>starlinkv40714</t>
  </si>
  <si>
    <t>starlinkv40715</t>
  </si>
  <si>
    <t>starlinkv40716</t>
  </si>
  <si>
    <t>starlinkv40717</t>
  </si>
  <si>
    <t>starlinkv40718</t>
  </si>
  <si>
    <t>starlinkv40719</t>
  </si>
  <si>
    <t>starlinkv40720</t>
  </si>
  <si>
    <t>starlinkv40721</t>
  </si>
  <si>
    <t>starlinkv40722</t>
  </si>
  <si>
    <t>starlinkv40723</t>
  </si>
  <si>
    <t>starlinkv40724</t>
  </si>
  <si>
    <t>starlinkv40725</t>
  </si>
  <si>
    <t>starlinkv40726</t>
  </si>
  <si>
    <t>starlinkv40727</t>
  </si>
  <si>
    <t>starlinkv40728</t>
  </si>
  <si>
    <t>starlinkv40729</t>
  </si>
  <si>
    <t>starlinkv40730</t>
  </si>
  <si>
    <t>starlinkv40731</t>
  </si>
  <si>
    <t>starlinkv40732</t>
  </si>
  <si>
    <t>starlinkv40733</t>
  </si>
  <si>
    <t>starlinkv40734</t>
  </si>
  <si>
    <t>starlinkv40735</t>
  </si>
  <si>
    <t>starlinkv40736</t>
  </si>
  <si>
    <t>starlinkv40737</t>
  </si>
  <si>
    <t>starlinkv40738</t>
  </si>
  <si>
    <t>starlinkv40739</t>
  </si>
  <si>
    <t>starlinkv40740</t>
  </si>
  <si>
    <t>starlinkv40741</t>
  </si>
  <si>
    <t>starlinkv40742</t>
  </si>
  <si>
    <t>starlinkv40743</t>
  </si>
  <si>
    <t>starlinkv40744</t>
  </si>
  <si>
    <t>starlinkv40745</t>
  </si>
  <si>
    <t>starlinkv40746</t>
  </si>
  <si>
    <t>starlinkv40747</t>
  </si>
  <si>
    <t>starlinkv40748</t>
  </si>
  <si>
    <t>starlinkv40749</t>
  </si>
  <si>
    <t>starlinkv40750</t>
  </si>
  <si>
    <t>starlinkv40751</t>
  </si>
  <si>
    <t>starlinkv40752</t>
  </si>
  <si>
    <t>starlinkv40753</t>
  </si>
  <si>
    <t>starlinkv40754</t>
  </si>
  <si>
    <t>starlinkv40755</t>
  </si>
  <si>
    <t>starlinkv40756</t>
  </si>
  <si>
    <t>starlinkv40757</t>
  </si>
  <si>
    <t>starlinkv40758</t>
  </si>
  <si>
    <t>2026-02-12</t>
  </si>
  <si>
    <t>]C121105082002499</t>
  </si>
  <si>
    <t>]C121105082002501</t>
  </si>
  <si>
    <t>]C121105082002502</t>
  </si>
  <si>
    <t>]C121115082000173</t>
  </si>
  <si>
    <t>]C121115082000175</t>
  </si>
  <si>
    <t>350599860871810</t>
  </si>
  <si>
    <t>350599869476702</t>
  </si>
  <si>
    <t>353263429694141</t>
  </si>
  <si>
    <t>355246650228620</t>
  </si>
  <si>
    <t>PS5 CD DISCS</t>
  </si>
  <si>
    <t>cddragonage011</t>
  </si>
  <si>
    <t>GIFT ACCOUNT</t>
  </si>
  <si>
    <t>cddragonage012</t>
  </si>
  <si>
    <t>cddragonage013</t>
  </si>
  <si>
    <t>cddragonage014</t>
  </si>
  <si>
    <t>cddragonage015</t>
  </si>
  <si>
    <t>cddragonage016</t>
  </si>
  <si>
    <t>cddragonage017</t>
  </si>
  <si>
    <t>cddragonage018</t>
  </si>
  <si>
    <t>cddragonage019</t>
  </si>
  <si>
    <t>cddragonage020</t>
  </si>
  <si>
    <t>cddragonage021</t>
  </si>
  <si>
    <t>cddragonage022</t>
  </si>
  <si>
    <t>cddragonage023</t>
  </si>
  <si>
    <t>cddragonage024</t>
  </si>
  <si>
    <t>cddragonage025</t>
  </si>
  <si>
    <t>cddragonage026</t>
  </si>
  <si>
    <t>cddragonage027</t>
  </si>
  <si>
    <t>cddragonage028</t>
  </si>
  <si>
    <t>cddragonage029</t>
  </si>
  <si>
    <t>S01E55901J5310251068</t>
  </si>
  <si>
    <t>S01E55901J5310251070</t>
  </si>
  <si>
    <t>S01E55901J5310256430</t>
  </si>
  <si>
    <t>S01E55901J5310257041</t>
  </si>
  <si>
    <t>S01E55901J5310257042</t>
  </si>
  <si>
    <t>S01E55901J5310257073</t>
  </si>
  <si>
    <t>S01E55901J5310257079</t>
  </si>
  <si>
    <t>S01E55901J5310257080</t>
  </si>
  <si>
    <t>S01E55901J5310257093</t>
  </si>
  <si>
    <t>S01E55901J5310258737</t>
  </si>
  <si>
    <t>S01E55901J5310258770</t>
  </si>
  <si>
    <t>S01E55901J5310258774</t>
  </si>
  <si>
    <t>S01E55901J5310258777</t>
  </si>
  <si>
    <t>S01E55901J5310258792</t>
  </si>
  <si>
    <t>S01E55901J5310258814</t>
  </si>
  <si>
    <t>S01E55901J5310258821</t>
  </si>
  <si>
    <t>S01E55901J5310258822</t>
  </si>
  <si>
    <t>S01E55901J5310261152</t>
  </si>
  <si>
    <t>S01E55901J5310261157</t>
  </si>
  <si>
    <t>S01E55901J5310261158</t>
  </si>
  <si>
    <t>S01E55901J5310261165</t>
  </si>
  <si>
    <t>S01E55901J5310261178</t>
  </si>
  <si>
    <t>S01E55901J5310261191</t>
  </si>
  <si>
    <t>S01E55901J5310261192</t>
  </si>
  <si>
    <t>S01E55A01J5310261213</t>
  </si>
  <si>
    <t>S01E55A01J5310261219</t>
  </si>
  <si>
    <t>S01E55A01J5310261220</t>
  </si>
  <si>
    <t>S01E55A01J5310266640</t>
  </si>
  <si>
    <t>S01E55A01J5310266651</t>
  </si>
  <si>
    <t>S01E55A01J5310266652</t>
  </si>
  <si>
    <t>S01E55A01J5310266653</t>
  </si>
  <si>
    <t>S01E55A01J5310266654</t>
  </si>
  <si>
    <t>S01E55A01J5310266655</t>
  </si>
  <si>
    <t>S01E55A01J5310266661</t>
  </si>
  <si>
    <t>S01E55A01J5310266678</t>
  </si>
  <si>
    <t>S01E55A01J5310266698</t>
  </si>
  <si>
    <t>starlinkv40759</t>
  </si>
  <si>
    <t>starlinkv40760</t>
  </si>
  <si>
    <t>starlinkv40761</t>
  </si>
  <si>
    <t>starlinkv40762</t>
  </si>
  <si>
    <t>starlinkv40763</t>
  </si>
  <si>
    <t>starlinkv40764</t>
  </si>
  <si>
    <t>starlinkv40765</t>
  </si>
  <si>
    <t>starlinkv40766</t>
  </si>
  <si>
    <t>starlinkv40767</t>
  </si>
  <si>
    <t>starlinkv40768</t>
  </si>
  <si>
    <t>starlinkv40769</t>
  </si>
  <si>
    <t>starlinkv40770</t>
  </si>
  <si>
    <t>starlinkv40771</t>
  </si>
  <si>
    <t>starlinkv40772</t>
  </si>
  <si>
    <t>starlinkv40773</t>
  </si>
  <si>
    <t>starlinkv40774</t>
  </si>
  <si>
    <t>starlinkv40775</t>
  </si>
  <si>
    <t>starlinkv40776</t>
  </si>
  <si>
    <t>starlinkv40777</t>
  </si>
  <si>
    <t>starlinkv40778</t>
  </si>
  <si>
    <t>starlinkv40779</t>
  </si>
  <si>
    <t>starlinkv40780</t>
  </si>
  <si>
    <t>starlinkv40781</t>
  </si>
  <si>
    <t>starlinkv40782</t>
  </si>
  <si>
    <t>starlinkv40783</t>
  </si>
  <si>
    <t>starlinkv40784</t>
  </si>
  <si>
    <t>starlinkv40785</t>
  </si>
  <si>
    <t>starlinkv40786</t>
  </si>
  <si>
    <t>starlinkv40787</t>
  </si>
  <si>
    <t>starlinkv40788</t>
  </si>
  <si>
    <t>starlinkv40789</t>
  </si>
  <si>
    <t>starlinkv40790</t>
  </si>
  <si>
    <t>starlinkv40791</t>
  </si>
  <si>
    <t>starlinkv40792</t>
  </si>
  <si>
    <t>starlinkv40793</t>
  </si>
  <si>
    <t>starlinkv40794</t>
  </si>
  <si>
    <t>starlinkv40795</t>
  </si>
  <si>
    <t>starlinkv40796</t>
  </si>
  <si>
    <t>starlinkv40797</t>
  </si>
  <si>
    <t>starlinkv40798</t>
  </si>
  <si>
    <t>starlinkv40799</t>
  </si>
  <si>
    <t>starlinkv40800</t>
  </si>
  <si>
    <t>starlinkv40801</t>
  </si>
  <si>
    <t>starlinkv40802</t>
  </si>
  <si>
    <t>starlinkv40803</t>
  </si>
  <si>
    <t>starlinkv40804</t>
  </si>
  <si>
    <t>starlinkv40805</t>
  </si>
  <si>
    <t>starlinkv40806</t>
  </si>
  <si>
    <t>starlinkv40807</t>
  </si>
  <si>
    <t>starlinkv40808</t>
  </si>
  <si>
    <t>starlinkv40809</t>
  </si>
  <si>
    <t>starlinkv40810</t>
  </si>
  <si>
    <t>starlinkv40811</t>
  </si>
  <si>
    <t>starlinkv40812</t>
  </si>
  <si>
    <t>starlinkv40813</t>
  </si>
  <si>
    <t>starlinkv40814</t>
  </si>
  <si>
    <t>starlinkv40815</t>
  </si>
  <si>
    <t>STEAM DECK 256 GB</t>
  </si>
  <si>
    <t>FW1A31902D02</t>
  </si>
  <si>
    <t>STEAM DECK OLED 1 TB</t>
  </si>
  <si>
    <t>AFYZZ53701D2A</t>
  </si>
  <si>
    <t>AFYZZ542048F7</t>
  </si>
  <si>
    <t>STEAM DECK OLED 512 GB</t>
  </si>
  <si>
    <t>AFVZZ53401A7C</t>
  </si>
  <si>
    <t>2026-02-13</t>
  </si>
  <si>
    <t>AIRPODS 4 (ANC)</t>
  </si>
  <si>
    <t>SCQKVQ0VFJ0</t>
  </si>
  <si>
    <t>SFW9YV767Q2</t>
  </si>
  <si>
    <t>SGQN9464K69</t>
  </si>
  <si>
    <t>AIRPODS PRO 3</t>
  </si>
  <si>
    <t>SH7M49W234P</t>
  </si>
  <si>
    <t>BOSE QUIETCOMFORT ULTRA HEADPHONES 2</t>
  </si>
  <si>
    <t>085954T53164697AE</t>
  </si>
  <si>
    <t>BOSE SOUNDLINK MICRO SPEAKER</t>
  </si>
  <si>
    <t>076842950653250AE</t>
  </si>
  <si>
    <t>INSTAX FILM 20 PACK</t>
  </si>
  <si>
    <t>instaxfilm20pack00465</t>
  </si>
  <si>
    <t>instaxfilm20pack00466</t>
  </si>
  <si>
    <t>instaxfilm20pack00467</t>
  </si>
  <si>
    <t>instaxfilm20pack00468</t>
  </si>
  <si>
    <t>instaxfilm20pack00469</t>
  </si>
  <si>
    <t>instaxfilm20pack00470</t>
  </si>
  <si>
    <t>instaxfilm20pack00471</t>
  </si>
  <si>
    <t>instaxfilm20pack00472</t>
  </si>
  <si>
    <t>instaxfilm20pack00473</t>
  </si>
  <si>
    <t>instaxfilm20pack00474</t>
  </si>
  <si>
    <t>instaxfilm20pack00475</t>
  </si>
  <si>
    <t>instaxfilm20pack00476</t>
  </si>
  <si>
    <t>instaxfilm20pack00477</t>
  </si>
  <si>
    <t>instaxfilm20pack00478</t>
  </si>
  <si>
    <t>instaxfilm20pack00479</t>
  </si>
  <si>
    <t>instaxfilm20pack00480</t>
  </si>
  <si>
    <t>instaxfilm20pack00481</t>
  </si>
  <si>
    <t>instaxfilm20pack00482</t>
  </si>
  <si>
    <t>instaxfilm20pack00483</t>
  </si>
  <si>
    <t>instaxfilm20pack00484</t>
  </si>
  <si>
    <t>instaxfilm20pack00485</t>
  </si>
  <si>
    <t>instaxfilm20pack00486</t>
  </si>
  <si>
    <t>instaxfilm20pack00487</t>
  </si>
  <si>
    <t>instaxfilm20pack00488</t>
  </si>
  <si>
    <t>instaxfilm20pack00489</t>
  </si>
  <si>
    <t>instaxfilm20pack00490</t>
  </si>
  <si>
    <t>instaxfilm20pack00491</t>
  </si>
  <si>
    <t>instaxfilm20pack00492</t>
  </si>
  <si>
    <t>instaxfilm20pack00493</t>
  </si>
  <si>
    <t>instaxfilm20pack00494</t>
  </si>
  <si>
    <t>instaxfilm20pack00495</t>
  </si>
  <si>
    <t>instaxfilm20pack00496</t>
  </si>
  <si>
    <t>instaxfilm20pack00497</t>
  </si>
  <si>
    <t>instaxfilm20pack00498</t>
  </si>
  <si>
    <t>instaxfilm20pack00499</t>
  </si>
  <si>
    <t>instaxfilm20pack00500</t>
  </si>
  <si>
    <t>INSTAX MINI LIPLAY</t>
  </si>
  <si>
    <t>fujiinstaxminiliply00001</t>
  </si>
  <si>
    <t>HAZARTO</t>
  </si>
  <si>
    <t>fujiinstaxminiliply00002</t>
  </si>
  <si>
    <t>fujiinstaxminiliply00003</t>
  </si>
  <si>
    <t>fujiinstaxminiliply00004</t>
  </si>
  <si>
    <t>fujiinstaxminiliply00005</t>
  </si>
  <si>
    <t>fujiinstaxminiliply00006</t>
  </si>
  <si>
    <t>352190320562518</t>
  </si>
  <si>
    <t>352190320801965</t>
  </si>
  <si>
    <t>352440634409025</t>
  </si>
  <si>
    <t>354956978099849</t>
  </si>
  <si>
    <t>350599861426267</t>
  </si>
  <si>
    <t>350889868201080</t>
  </si>
  <si>
    <t>350889868387681</t>
  </si>
  <si>
    <t>355246656807930</t>
  </si>
  <si>
    <t>357586348010205</t>
  </si>
  <si>
    <t>357586348769776</t>
  </si>
  <si>
    <t>357586349148152</t>
  </si>
  <si>
    <t>355190203129630</t>
  </si>
  <si>
    <t>JBL FLIP 7</t>
  </si>
  <si>
    <t>RS0290-GP0348792</t>
  </si>
  <si>
    <t>RS0290-GP0349113</t>
  </si>
  <si>
    <t>2G0YBMTH0700FL</t>
  </si>
  <si>
    <t>META QUEST 3S</t>
  </si>
  <si>
    <t>3497BMMH9303DP</t>
  </si>
  <si>
    <t>NINTENDO SWITCH 2 MARIOKART</t>
  </si>
  <si>
    <t>HAW10430234159</t>
  </si>
  <si>
    <t>HAW10588033796</t>
  </si>
  <si>
    <t>HAW50872099053</t>
  </si>
  <si>
    <t>PS5 DUAL SENSE CONTROLLER</t>
  </si>
  <si>
    <t>711719023227</t>
  </si>
  <si>
    <t>711719024422</t>
  </si>
  <si>
    <t>711719574309</t>
  </si>
  <si>
    <t>711719574330</t>
  </si>
  <si>
    <t>starlinkv40816</t>
  </si>
  <si>
    <t>starlinkv40817</t>
  </si>
  <si>
    <t>starlinkv40818</t>
  </si>
  <si>
    <t>starlinkv40819</t>
  </si>
  <si>
    <t>starlinkv40820</t>
  </si>
  <si>
    <t>starlinkv40821</t>
  </si>
  <si>
    <t>starlinkv40822</t>
  </si>
  <si>
    <t>starlinkv40823</t>
  </si>
  <si>
    <t>starlinkv40824</t>
  </si>
  <si>
    <t>starlinkv40825</t>
  </si>
  <si>
    <t>starlinkv40826</t>
  </si>
  <si>
    <t>starlinkv40827</t>
  </si>
  <si>
    <t>starlinkv40828</t>
  </si>
  <si>
    <t>starlinkv40829</t>
  </si>
  <si>
    <t>starlinkv40830</t>
  </si>
  <si>
    <t>starlinkv40831</t>
  </si>
  <si>
    <t>starlinkv40832</t>
  </si>
  <si>
    <t>starlinkv40833</t>
  </si>
  <si>
    <t>starlinkv40834</t>
  </si>
  <si>
    <t>starlinkv40835</t>
  </si>
  <si>
    <t>starlinkv40836</t>
  </si>
  <si>
    <t>starlinkv40837</t>
  </si>
  <si>
    <t>starlinkv40838</t>
  </si>
  <si>
    <t>starlinkv40839</t>
  </si>
  <si>
    <t>starlinkv40840</t>
  </si>
  <si>
    <t>starlinkv40841</t>
  </si>
  <si>
    <t>starlinkv40842</t>
  </si>
  <si>
    <t>starlinkv40843</t>
  </si>
  <si>
    <t>starlinkv40844</t>
  </si>
  <si>
    <t>starlinkv40845</t>
  </si>
  <si>
    <t>starlinkv40846</t>
  </si>
  <si>
    <t>starlinkv40847</t>
  </si>
  <si>
    <t>starlinkv40848</t>
  </si>
  <si>
    <t>starlinkv40849</t>
  </si>
  <si>
    <t>starlinkv40850</t>
  </si>
  <si>
    <t>starlinkv40851</t>
  </si>
  <si>
    <t>starlinkv40852</t>
  </si>
  <si>
    <t>starlinkv40853</t>
  </si>
  <si>
    <t>starlinkv40854</t>
  </si>
  <si>
    <t>starlinkv40855</t>
  </si>
  <si>
    <t>starlinkv40856</t>
  </si>
  <si>
    <t>starlinkv40857</t>
  </si>
  <si>
    <t>starlinkv40858</t>
  </si>
  <si>
    <t>starlinkv40859</t>
  </si>
  <si>
    <t>starlinkv40860</t>
  </si>
  <si>
    <t>starlinkv40861</t>
  </si>
  <si>
    <t>starlinkv40862</t>
  </si>
  <si>
    <t>starlinkv40863</t>
  </si>
  <si>
    <t>starlinkv40864</t>
  </si>
  <si>
    <t>starlinkv40865</t>
  </si>
  <si>
    <t>starlinkv40866</t>
  </si>
  <si>
    <t>starlinkv40867</t>
  </si>
  <si>
    <t>starlinkv40868</t>
  </si>
  <si>
    <t>starlinkv40869</t>
  </si>
  <si>
    <t>starlinkv40870</t>
  </si>
  <si>
    <t>starlinkv40871</t>
  </si>
  <si>
    <t>starlinkv40872</t>
  </si>
  <si>
    <t>starlinkv40873</t>
  </si>
  <si>
    <t>starlinkv40874</t>
  </si>
  <si>
    <t>2026-02-14</t>
  </si>
  <si>
    <t>CANON IXUS 285 HA</t>
  </si>
  <si>
    <t>]C121159503000060</t>
  </si>
  <si>
    <t>DJI OSMO POCKET 3 CREATOR COMBO</t>
  </si>
  <si>
    <t>5WTZN8800234DJ</t>
  </si>
  <si>
    <t>5WTZN8N002ML5R</t>
  </si>
  <si>
    <t>5WTZN8W002K4LH</t>
  </si>
  <si>
    <t>5WTZN99002RTU6</t>
  </si>
  <si>
    <t>351420494380632</t>
  </si>
  <si>
    <t>351420494815363</t>
  </si>
  <si>
    <t>358594364461483</t>
  </si>
  <si>
    <t>350889864680956</t>
  </si>
  <si>
    <t>352791396508374</t>
  </si>
  <si>
    <t>358902510326775</t>
  </si>
  <si>
    <t>starlinkv40875</t>
  </si>
  <si>
    <t>starlinkv40876</t>
  </si>
  <si>
    <t>starlinkv40877</t>
  </si>
  <si>
    <t>starlinkv40878</t>
  </si>
  <si>
    <t>starlinkv40879</t>
  </si>
  <si>
    <t>starlinkv40880</t>
  </si>
  <si>
    <t>starlinkv40881</t>
  </si>
  <si>
    <t>starlinkv40882</t>
  </si>
  <si>
    <t>starlinkv40883</t>
  </si>
  <si>
    <t>starlinkv40884</t>
  </si>
  <si>
    <t>starlinkv40885</t>
  </si>
  <si>
    <t>starlinkv40886</t>
  </si>
  <si>
    <t>starlinkv40887</t>
  </si>
  <si>
    <t>starlinkv40888</t>
  </si>
  <si>
    <t>starlinkv40889</t>
  </si>
  <si>
    <t>starlinkv40890</t>
  </si>
  <si>
    <t>starlinkv40891</t>
  </si>
  <si>
    <t>starlinkv40892</t>
  </si>
  <si>
    <t>starlinkv40893</t>
  </si>
  <si>
    <t>starlinkv40894</t>
  </si>
  <si>
    <t>starlinkv40895</t>
  </si>
  <si>
    <t>starlinkv40896</t>
  </si>
  <si>
    <t>starlinkv40897</t>
  </si>
  <si>
    <t>starlinkv40898</t>
  </si>
  <si>
    <t>starlinkv40899</t>
  </si>
  <si>
    <t>starlinkv40900</t>
  </si>
  <si>
    <t>starlinkv40901</t>
  </si>
  <si>
    <t>starlinkv40902</t>
  </si>
  <si>
    <t>starlinkv40903</t>
  </si>
  <si>
    <t>starlinkv40904</t>
  </si>
  <si>
    <t>starlinkv40905</t>
  </si>
  <si>
    <t>starlinkv40906</t>
  </si>
  <si>
    <t>starlinkv40907</t>
  </si>
  <si>
    <t>starlinkv40908</t>
  </si>
  <si>
    <t>starlinkv40909</t>
  </si>
  <si>
    <t>starlinkv40910</t>
  </si>
  <si>
    <t>starlinkv40911</t>
  </si>
  <si>
    <t>starlinkv40912</t>
  </si>
  <si>
    <t>starlinkv40913</t>
  </si>
  <si>
    <t>starlinkv40914</t>
  </si>
  <si>
    <t>starlinkv40915</t>
  </si>
  <si>
    <t>starlinkv40916</t>
  </si>
  <si>
    <t>starlinkv40917</t>
  </si>
  <si>
    <t>starlinkv40918</t>
  </si>
  <si>
    <t>starlinkv40919</t>
  </si>
  <si>
    <t>starlinkv40920</t>
  </si>
  <si>
    <t>starlinkv40921</t>
  </si>
  <si>
    <t>starlinkv40922</t>
  </si>
  <si>
    <t>starlinkv40923</t>
  </si>
  <si>
    <t>starlinkv40924</t>
  </si>
  <si>
    <t>2026-02-16</t>
  </si>
  <si>
    <t>SCK9KQ96JMF</t>
  </si>
  <si>
    <t>5TN33851</t>
  </si>
  <si>
    <t>IPHONE 17 PRO MAX 2 TB</t>
  </si>
  <si>
    <t>356605226479034</t>
  </si>
  <si>
    <t>350599867351444</t>
  </si>
  <si>
    <t>355224256001535</t>
  </si>
  <si>
    <t>355246652977711</t>
  </si>
  <si>
    <t>357586345594383</t>
  </si>
  <si>
    <t>357586345930520</t>
  </si>
  <si>
    <t>357586348706521</t>
  </si>
  <si>
    <t>357586349172541</t>
  </si>
  <si>
    <t>358051328938171</t>
  </si>
  <si>
    <t>359614544569002</t>
  </si>
  <si>
    <t>359614547404140</t>
  </si>
  <si>
    <t>S01F14B01GH910943285</t>
  </si>
  <si>
    <t>S01K15101M8110310006</t>
  </si>
  <si>
    <t>S01K15501M8110427617</t>
  </si>
  <si>
    <t>starlinkv40925</t>
  </si>
  <si>
    <t>starlinkv40926</t>
  </si>
  <si>
    <t>starlinkv40927</t>
  </si>
  <si>
    <t>strlinkv40928</t>
  </si>
  <si>
    <t>strlinkv40929</t>
  </si>
  <si>
    <t>strlinkv40930</t>
  </si>
  <si>
    <t>strlinkv40931</t>
  </si>
  <si>
    <t>strlinkv40932</t>
  </si>
  <si>
    <t>strlinkv40933</t>
  </si>
  <si>
    <t>strlinkv40934</t>
  </si>
  <si>
    <t>strlinkv40935</t>
  </si>
  <si>
    <t>strlinkv40936</t>
  </si>
  <si>
    <t>strlinkv40937</t>
  </si>
  <si>
    <t>strlinkv40938</t>
  </si>
  <si>
    <t>strlinkv40939</t>
  </si>
  <si>
    <t>strlinkv40940</t>
  </si>
  <si>
    <t>strlinkv40941</t>
  </si>
  <si>
    <t>strlinkv40942</t>
  </si>
  <si>
    <t>strlinkv40943</t>
  </si>
  <si>
    <t>strlinkv40944</t>
  </si>
  <si>
    <t>strlinkv40945</t>
  </si>
  <si>
    <t>strlinkv40946</t>
  </si>
  <si>
    <t>strlinkv40947</t>
  </si>
  <si>
    <t>strlinkv40948</t>
  </si>
  <si>
    <t>strlinkv40949</t>
  </si>
  <si>
    <t>strlinkv40950</t>
  </si>
  <si>
    <t>strlinkv40951</t>
  </si>
  <si>
    <t>strlinkv40952</t>
  </si>
  <si>
    <t>strlinkv40953</t>
  </si>
  <si>
    <t>strlinkv40954</t>
  </si>
  <si>
    <t>strlinkv40955</t>
  </si>
  <si>
    <t>strlinkv40956</t>
  </si>
  <si>
    <t>strlinkv40957</t>
  </si>
  <si>
    <t>strlinkv40958</t>
  </si>
  <si>
    <t>strlinkv40959</t>
  </si>
  <si>
    <t>strlinkv40960</t>
  </si>
  <si>
    <t>strlinkv40961</t>
  </si>
  <si>
    <t>strlinkv40962</t>
  </si>
  <si>
    <t>strlinkv40963</t>
  </si>
  <si>
    <t>strlinkv40964</t>
  </si>
  <si>
    <t>strlinkv40965</t>
  </si>
  <si>
    <t>strlinkv40966</t>
  </si>
  <si>
    <t>strlinkv40967</t>
  </si>
  <si>
    <t>strlinkv40968</t>
  </si>
  <si>
    <t>strlinkv40969</t>
  </si>
  <si>
    <t>strlinkv40970</t>
  </si>
  <si>
    <t>strlinkv40971</t>
  </si>
  <si>
    <t>strlinkv40972</t>
  </si>
  <si>
    <t>strlinkv40973</t>
  </si>
  <si>
    <t>strlinkv40974</t>
  </si>
  <si>
    <t>strlinkv40975</t>
  </si>
  <si>
    <t>strlinkv40976</t>
  </si>
  <si>
    <t>strlinkv40977</t>
  </si>
  <si>
    <t>strlinkv40978</t>
  </si>
  <si>
    <t>strlinkv40979</t>
  </si>
  <si>
    <t>strlinkv40980</t>
  </si>
  <si>
    <t>strlinkv40981</t>
  </si>
  <si>
    <t>strlinkv40982</t>
  </si>
  <si>
    <t>strlinkv40983</t>
  </si>
  <si>
    <t>strlinkv40984</t>
  </si>
  <si>
    <t>strlinkv40985</t>
  </si>
  <si>
    <t>strlinkv40986</t>
  </si>
  <si>
    <t>strlinkv40987</t>
  </si>
  <si>
    <t>strlinkv40988</t>
  </si>
  <si>
    <t>strlinkv40989</t>
  </si>
  <si>
    <t>2026-02-17</t>
  </si>
  <si>
    <t>APPLE WATCH SE 3 44MM</t>
  </si>
  <si>
    <t>353660340448400</t>
  </si>
  <si>
    <t>Damaged Box</t>
  </si>
  <si>
    <t>353938640642165</t>
  </si>
  <si>
    <t>Black Ti, Alp</t>
  </si>
  <si>
    <t>353938642685824</t>
  </si>
  <si>
    <t>Black Ti, Ocean</t>
  </si>
  <si>
    <t>353938642689149</t>
  </si>
  <si>
    <t>355827874088450</t>
  </si>
  <si>
    <t>356187980708502</t>
  </si>
  <si>
    <t>Black Ti, Trail</t>
  </si>
  <si>
    <t>356187982562022</t>
  </si>
  <si>
    <t>356187983701322</t>
  </si>
  <si>
    <t>356187983977641</t>
  </si>
  <si>
    <t>Natural Ti, Alp</t>
  </si>
  <si>
    <t>356187984996814</t>
  </si>
  <si>
    <t>358135790659777</t>
  </si>
  <si>
    <t>358135792981187</t>
  </si>
  <si>
    <t>]C121159503000491</t>
  </si>
  <si>
    <t>358302110725908</t>
  </si>
  <si>
    <t>350599869770708</t>
  </si>
  <si>
    <t>350599869958063</t>
  </si>
  <si>
    <t>351784398758668</t>
  </si>
  <si>
    <t>351784398760383</t>
  </si>
  <si>
    <t>351784398774574</t>
  </si>
  <si>
    <t>351784398944524</t>
  </si>
  <si>
    <t>351784398960173</t>
  </si>
  <si>
    <t>351784398989180</t>
  </si>
  <si>
    <t>351784398999825</t>
  </si>
  <si>
    <t>351784399025976</t>
  </si>
  <si>
    <t>351784399117633</t>
  </si>
  <si>
    <t>351784399158041</t>
  </si>
  <si>
    <t>351784399238439</t>
  </si>
  <si>
    <t>352758408372867</t>
  </si>
  <si>
    <t>353263424525753</t>
  </si>
  <si>
    <t>353263424600770</t>
  </si>
  <si>
    <t>353263429425751</t>
  </si>
  <si>
    <t>355224257755600</t>
  </si>
  <si>
    <t>355224258441432</t>
  </si>
  <si>
    <t>356722731048954</t>
  </si>
  <si>
    <t>356722731228671</t>
  </si>
  <si>
    <t>356722732122964</t>
  </si>
  <si>
    <t>356722732318984</t>
  </si>
  <si>
    <t>356722732436992</t>
  </si>
  <si>
    <t>356722732492409</t>
  </si>
  <si>
    <t>356722737327212</t>
  </si>
  <si>
    <t>356722737348721</t>
  </si>
  <si>
    <t>356722737436211</t>
  </si>
  <si>
    <t>356722737557578</t>
  </si>
  <si>
    <t>356722737664176</t>
  </si>
  <si>
    <t>356722737714245</t>
  </si>
  <si>
    <t>356722738049112</t>
  </si>
  <si>
    <t>356722738052967</t>
  </si>
  <si>
    <t>356722738091312</t>
  </si>
  <si>
    <t>356722738173250</t>
  </si>
  <si>
    <t>356722738283067</t>
  </si>
  <si>
    <t>356722738455111</t>
  </si>
  <si>
    <t>356722738462760</t>
  </si>
  <si>
    <t>356908918928668</t>
  </si>
  <si>
    <t>356908918984257</t>
  </si>
  <si>
    <t>357311288544547</t>
  </si>
  <si>
    <t>357586343876725</t>
  </si>
  <si>
    <t>357739168891804</t>
  </si>
  <si>
    <t>357739168928176</t>
  </si>
  <si>
    <t>357903255981775</t>
  </si>
  <si>
    <t>357903256164868</t>
  </si>
  <si>
    <t>357903256189915</t>
  </si>
  <si>
    <t>358051323667940</t>
  </si>
  <si>
    <t>358051324028654</t>
  </si>
  <si>
    <t>358051324119321</t>
  </si>
  <si>
    <t>358051324181743</t>
  </si>
  <si>
    <t>358051324209452</t>
  </si>
  <si>
    <t>358051324423301</t>
  </si>
  <si>
    <t>358902511462249</t>
  </si>
  <si>
    <t>358902511663218</t>
  </si>
  <si>
    <t>358902512369583</t>
  </si>
  <si>
    <t>359614548969208</t>
  </si>
  <si>
    <t>359614549097686</t>
  </si>
  <si>
    <t>strlinkv40990</t>
  </si>
  <si>
    <t>strlinkv40991</t>
  </si>
  <si>
    <t>strlinkv40992</t>
  </si>
  <si>
    <t>strlinkv40993</t>
  </si>
  <si>
    <t>strlinkv40994</t>
  </si>
  <si>
    <t>strlinkv40995</t>
  </si>
  <si>
    <t>strlinkv40996</t>
  </si>
  <si>
    <t>strlinkv40997</t>
  </si>
  <si>
    <t>strlinkv40998</t>
  </si>
  <si>
    <t>strlinkv40999</t>
  </si>
  <si>
    <t>strlinkv41000</t>
  </si>
  <si>
    <t>strlinkv41001</t>
  </si>
  <si>
    <t>strlinkv41002</t>
  </si>
  <si>
    <t>strlinkv41003</t>
  </si>
  <si>
    <t>strlinkv41004</t>
  </si>
  <si>
    <t>strlinkv41005</t>
  </si>
  <si>
    <t>strlinkv41006</t>
  </si>
  <si>
    <t>strlinkv41007</t>
  </si>
  <si>
    <t>strlinkv41008</t>
  </si>
  <si>
    <t>strlinkv41009</t>
  </si>
  <si>
    <t>strlinkv41010</t>
  </si>
  <si>
    <t>strlinkv41011</t>
  </si>
  <si>
    <t>strlinkv41012</t>
  </si>
  <si>
    <t>strlinkv41013</t>
  </si>
  <si>
    <t>strlinkv41014</t>
  </si>
  <si>
    <t>strlinkv41015</t>
  </si>
  <si>
    <t>strlinkv41016</t>
  </si>
  <si>
    <t>strlinkv41017</t>
  </si>
  <si>
    <t>strlinkv41018</t>
  </si>
  <si>
    <t>strlinkv41019</t>
  </si>
  <si>
    <t>strlinkv41020</t>
  </si>
  <si>
    <t>strlinkv41021</t>
  </si>
  <si>
    <t>strlinkv41022</t>
  </si>
  <si>
    <t>strlinkv41023</t>
  </si>
  <si>
    <t>strlinkv41024</t>
  </si>
  <si>
    <t>strlinkv41025</t>
  </si>
  <si>
    <t>strlinkv41026</t>
  </si>
  <si>
    <t>strlinkv41027</t>
  </si>
  <si>
    <t>strlinkv41028</t>
  </si>
  <si>
    <t>strlinkv41029</t>
  </si>
  <si>
    <t>strlinkv41030</t>
  </si>
  <si>
    <t>strlinkv41031</t>
  </si>
  <si>
    <t>strlinkv41032</t>
  </si>
  <si>
    <t>strlinkv41033</t>
  </si>
  <si>
    <t>strlinkv41034</t>
  </si>
  <si>
    <t>strlinkv41035</t>
  </si>
  <si>
    <t>strlinkv41036</t>
  </si>
  <si>
    <t>strlinkv41037</t>
  </si>
  <si>
    <t>strlinkv41038</t>
  </si>
  <si>
    <t>strlinkv41039</t>
  </si>
  <si>
    <t>strlinkv41040</t>
  </si>
  <si>
    <t>strlinkv41041</t>
  </si>
  <si>
    <t>strlinkv41042</t>
  </si>
  <si>
    <t>strlinkv41043</t>
  </si>
  <si>
    <t>strlinkv41044</t>
  </si>
  <si>
    <t>strlinkv41045</t>
  </si>
  <si>
    <t>strlinkv41046</t>
  </si>
  <si>
    <t>strlinkv41047</t>
  </si>
  <si>
    <t>strlinkv41048</t>
  </si>
  <si>
    <t>strlinkv41049</t>
  </si>
  <si>
    <t>strlinkv41050</t>
  </si>
  <si>
    <t>strlinkv41051</t>
  </si>
  <si>
    <t>strlinkv41052</t>
  </si>
  <si>
    <t>strlinkv41053</t>
  </si>
  <si>
    <t>strlinkv41054</t>
  </si>
  <si>
    <t>strlinkv41055</t>
  </si>
  <si>
    <t>strlinkv41056</t>
  </si>
  <si>
    <t>strlinkv41057</t>
  </si>
  <si>
    <t>strlinkv41058</t>
  </si>
  <si>
    <t>strlinkv41059</t>
  </si>
  <si>
    <t>strlinkv41060</t>
  </si>
  <si>
    <t>strlinkv41061</t>
  </si>
  <si>
    <t>strlinkv41062</t>
  </si>
  <si>
    <t>strlinkv41063</t>
  </si>
  <si>
    <t>strlinkv41064</t>
  </si>
  <si>
    <t>strlinkv41065</t>
  </si>
  <si>
    <t>strlinkv41066</t>
  </si>
  <si>
    <t>strlinkv41067</t>
  </si>
  <si>
    <t>strlinkv41068</t>
  </si>
  <si>
    <t>strlinkv41069</t>
  </si>
  <si>
    <t>strlinkv41070</t>
  </si>
  <si>
    <t>strlinkv41071</t>
  </si>
  <si>
    <t>strlinkv41072</t>
  </si>
  <si>
    <t>strlinkv41073</t>
  </si>
  <si>
    <t>strlinkv41074</t>
  </si>
  <si>
    <t>strlinkv41075</t>
  </si>
  <si>
    <t>strlinkv41076</t>
  </si>
  <si>
    <t>strlinkv41077</t>
  </si>
  <si>
    <t>strlinkv41078</t>
  </si>
  <si>
    <t>strlinkv41079</t>
  </si>
  <si>
    <t>strlinkv41080</t>
  </si>
  <si>
    <t>strlinkv41081</t>
  </si>
  <si>
    <t>strlinkv41082</t>
  </si>
  <si>
    <t>strlinkv41083</t>
  </si>
  <si>
    <t>strlinkv41084</t>
  </si>
  <si>
    <t>strlinkv41085</t>
  </si>
  <si>
    <t>strlinkv41086</t>
  </si>
  <si>
    <t>strlinkv41087</t>
  </si>
  <si>
    <t>strlinkv41088</t>
  </si>
  <si>
    <t>strlinkv41089</t>
  </si>
  <si>
    <t>strlinkv41090</t>
  </si>
  <si>
    <t>strlinkv41091</t>
  </si>
  <si>
    <t>strlinkv41092</t>
  </si>
  <si>
    <t>strlinkv41093</t>
  </si>
  <si>
    <t>strlinkv41094</t>
  </si>
  <si>
    <t>strlinkv41095</t>
  </si>
  <si>
    <t>strlinkv41096</t>
  </si>
  <si>
    <t>strlinkv41097</t>
  </si>
  <si>
    <t>strlinkv41098</t>
  </si>
  <si>
    <t>strlinkv41099</t>
  </si>
  <si>
    <t>2026-02-18</t>
  </si>
  <si>
    <t>]C121159503000377</t>
  </si>
  <si>
    <t>DJI MINI 4 PRO STANDARD</t>
  </si>
  <si>
    <t>1581F6Z9A248WML3V5FG</t>
  </si>
  <si>
    <t>IPHONE 16 PRO 512 GB</t>
  </si>
  <si>
    <t>351317528497962</t>
  </si>
  <si>
    <t>353708846516277</t>
  </si>
  <si>
    <t>355820200559732</t>
  </si>
  <si>
    <t>355832512695849</t>
  </si>
  <si>
    <t>IPHONE 17 PRO MAX 1 TB</t>
  </si>
  <si>
    <t>355478872556005</t>
  </si>
  <si>
    <t>350599860673851</t>
  </si>
  <si>
    <t>350599863390958</t>
  </si>
  <si>
    <t>350599865078429</t>
  </si>
  <si>
    <t>Active Unlock</t>
  </si>
  <si>
    <t>350599866165662</t>
  </si>
  <si>
    <t>350599868319796</t>
  </si>
  <si>
    <t>350599869599719</t>
  </si>
  <si>
    <t>350889869613903</t>
  </si>
  <si>
    <t>350889869652414</t>
  </si>
  <si>
    <t>353497850073967</t>
  </si>
  <si>
    <t>353497853696020</t>
  </si>
  <si>
    <t>355224255215847</t>
  </si>
  <si>
    <t>355224259003793</t>
  </si>
  <si>
    <t>355246650171143</t>
  </si>
  <si>
    <t>355246650565849</t>
  </si>
  <si>
    <t>355246651399586</t>
  </si>
  <si>
    <t>355246651890659</t>
  </si>
  <si>
    <t>355246651900102</t>
  </si>
  <si>
    <t>355246652379694</t>
  </si>
  <si>
    <t>355246652765959</t>
  </si>
  <si>
    <t>355246655870152</t>
  </si>
  <si>
    <t>355246658058086</t>
  </si>
  <si>
    <t>355246658276621</t>
  </si>
  <si>
    <t>355246658814819</t>
  </si>
  <si>
    <t>355246659339295</t>
  </si>
  <si>
    <t>356392242146018</t>
  </si>
  <si>
    <t>356392242311067</t>
  </si>
  <si>
    <t>356392243538593</t>
  </si>
  <si>
    <t>356392243799245</t>
  </si>
  <si>
    <t>356392244848629</t>
  </si>
  <si>
    <t>356605223104544</t>
  </si>
  <si>
    <t>356605228885659</t>
  </si>
  <si>
    <t>357329441189398</t>
  </si>
  <si>
    <t>357586349004827</t>
  </si>
  <si>
    <t>357586349496411</t>
  </si>
  <si>
    <t>357586349547700</t>
  </si>
  <si>
    <t>358051329931936</t>
  </si>
  <si>
    <t>358902511179199</t>
  </si>
  <si>
    <t>358902512382537</t>
  </si>
  <si>
    <t>358902513335823</t>
  </si>
  <si>
    <t>359614549800444</t>
  </si>
  <si>
    <t>PS5 SLIM DISC</t>
  </si>
  <si>
    <t>S01F55901DR210291093</t>
  </si>
  <si>
    <t>S01F55901DR210294297</t>
  </si>
  <si>
    <t>S01F55901DR210294300</t>
  </si>
  <si>
    <t>S01F55901DR210295627</t>
  </si>
  <si>
    <t>S01F55901DR210295628</t>
  </si>
  <si>
    <t>S01F55901DR210307410</t>
  </si>
  <si>
    <t>S01F55901DR210307413</t>
  </si>
  <si>
    <t>S01F55901DR210307417</t>
  </si>
  <si>
    <t>S01F55901DR210312178</t>
  </si>
  <si>
    <t>S01F55901DR210315409</t>
  </si>
  <si>
    <t>S01F55901DR210318709</t>
  </si>
  <si>
    <t>S01F55901DR210318710</t>
  </si>
  <si>
    <t>starlinkmini0025</t>
  </si>
  <si>
    <t>starlinkmini0026</t>
  </si>
  <si>
    <t>starlinkmini0027</t>
  </si>
  <si>
    <t>starlinkmini0028</t>
  </si>
  <si>
    <t>starlinkmini0029</t>
  </si>
  <si>
    <t>starlinkmini0030</t>
  </si>
  <si>
    <t>starlinkmini0031</t>
  </si>
  <si>
    <t>starlinkmini0032</t>
  </si>
  <si>
    <t>starlinkmini0033</t>
  </si>
  <si>
    <t>starlinkmini0034</t>
  </si>
  <si>
    <t>strlinkv41100</t>
  </si>
  <si>
    <t>strlinkv41101</t>
  </si>
  <si>
    <t>strlinkv41102</t>
  </si>
  <si>
    <t>strlinkv41103</t>
  </si>
  <si>
    <t>strlinkv41104</t>
  </si>
  <si>
    <t>strlinkv41105</t>
  </si>
  <si>
    <t>strlinkv41106</t>
  </si>
  <si>
    <t>strlinkv41107</t>
  </si>
  <si>
    <t>strlinkv41108</t>
  </si>
  <si>
    <t>strlinkv41109</t>
  </si>
  <si>
    <t>strlinkv41110</t>
  </si>
  <si>
    <t>strlinkv41111</t>
  </si>
  <si>
    <t>strlinkv41112</t>
  </si>
  <si>
    <t>strlinkv41113</t>
  </si>
  <si>
    <t>strlinkv41114</t>
  </si>
  <si>
    <t>strlinkv41115</t>
  </si>
  <si>
    <t>strlinkv41116</t>
  </si>
  <si>
    <t>strlinkv41117</t>
  </si>
  <si>
    <t>strlinkv41118</t>
  </si>
  <si>
    <t>strlinkv41119</t>
  </si>
  <si>
    <t>strlinkv41120</t>
  </si>
  <si>
    <t>strlinkv41121</t>
  </si>
  <si>
    <t>strlinkv41122</t>
  </si>
  <si>
    <t>strlinkv41123</t>
  </si>
  <si>
    <t>strlinkv41124</t>
  </si>
  <si>
    <t>strlinkv41125</t>
  </si>
  <si>
    <t>strlinkv41126</t>
  </si>
  <si>
    <t>strlinkv41127</t>
  </si>
  <si>
    <t>strlinkv41128</t>
  </si>
  <si>
    <t>strlinkv41129</t>
  </si>
  <si>
    <t>strlinkv41130</t>
  </si>
  <si>
    <t>strlinkv41131</t>
  </si>
  <si>
    <t>strlinkv41132</t>
  </si>
  <si>
    <t>strlinkv41133</t>
  </si>
  <si>
    <t>strlinkv41134</t>
  </si>
  <si>
    <t>strlinkv41135</t>
  </si>
  <si>
    <t>strlinkv41136</t>
  </si>
  <si>
    <t>strlinkv41137</t>
  </si>
  <si>
    <t>strlinkv41138</t>
  </si>
  <si>
    <t>strlinkv41139</t>
  </si>
  <si>
    <t>2026-02-19</t>
  </si>
  <si>
    <t>351878871583716</t>
  </si>
  <si>
    <t>351878872026194</t>
  </si>
  <si>
    <t>351878872065606</t>
  </si>
  <si>
    <t>351878872070945</t>
  </si>
  <si>
    <t>351878872135193</t>
  </si>
  <si>
    <t>351878872298041</t>
  </si>
  <si>
    <t>351878872313915</t>
  </si>
  <si>
    <t>GALAXY Z FOLD 7 256 GB</t>
  </si>
  <si>
    <t>353478903515030</t>
  </si>
  <si>
    <t>IPHONE 16 PRO 128 GB</t>
  </si>
  <si>
    <t>356043381249259</t>
  </si>
  <si>
    <t>IPHONE 16 PRO 256 GB</t>
  </si>
  <si>
    <t>353357355939908</t>
  </si>
  <si>
    <t>354136652550926</t>
  </si>
  <si>
    <t>357719281961635</t>
  </si>
  <si>
    <t>starlinkmini0035</t>
  </si>
  <si>
    <t>strlinkv41140</t>
  </si>
  <si>
    <t>strlinkv41141</t>
  </si>
  <si>
    <t>strlinkv41142</t>
  </si>
  <si>
    <t>strlinkv41143</t>
  </si>
  <si>
    <t>strlinkv41144</t>
  </si>
  <si>
    <t>strlinkv41145</t>
  </si>
  <si>
    <t>strlinkv41146</t>
  </si>
  <si>
    <t>strlinkv41147</t>
  </si>
  <si>
    <t>strlinkv41148</t>
  </si>
  <si>
    <t>strlinkv41149</t>
  </si>
  <si>
    <t>strlinkv41150</t>
  </si>
  <si>
    <t>strlinkv41151</t>
  </si>
  <si>
    <t>strlinkv41152</t>
  </si>
  <si>
    <t>strlinkv41153</t>
  </si>
  <si>
    <t>strlinkv41154</t>
  </si>
  <si>
    <t>strlinkv41155</t>
  </si>
  <si>
    <t>strlinkv41156</t>
  </si>
  <si>
    <t>strlinkv41157</t>
  </si>
  <si>
    <t>strlinkv41158</t>
  </si>
  <si>
    <t>strlinkv41159</t>
  </si>
  <si>
    <t>strlinkv41160</t>
  </si>
  <si>
    <t>strlinkv41161</t>
  </si>
  <si>
    <t>strlinkv41162</t>
  </si>
  <si>
    <t>strlinkv41163</t>
  </si>
  <si>
    <t>strlinkv41164</t>
  </si>
  <si>
    <t>strlinkv41165</t>
  </si>
  <si>
    <t>strlinkv41166</t>
  </si>
  <si>
    <t>strlinkv41167</t>
  </si>
  <si>
    <t>strlinkv41168</t>
  </si>
  <si>
    <t>strlinkv41169</t>
  </si>
  <si>
    <t>strlinkv41170</t>
  </si>
  <si>
    <t>strlinkv41171</t>
  </si>
  <si>
    <t>strlinkv41172</t>
  </si>
  <si>
    <t>strlinkv41173</t>
  </si>
  <si>
    <t>strlinkv41174</t>
  </si>
  <si>
    <t>strlinkv41175</t>
  </si>
  <si>
    <t>strlinkv41176</t>
  </si>
  <si>
    <t>strlinkv41177</t>
  </si>
  <si>
    <t>strlinkv41178</t>
  </si>
  <si>
    <t>strlinkv41179</t>
  </si>
  <si>
    <t>strlinkv41180</t>
  </si>
  <si>
    <t>strlinkv41181</t>
  </si>
  <si>
    <t>strlinkv41182</t>
  </si>
  <si>
    <t>strlinkv41183</t>
  </si>
  <si>
    <t>strlinkv41184</t>
  </si>
  <si>
    <t>strlinkv41185</t>
  </si>
  <si>
    <t>strlinkv41186</t>
  </si>
  <si>
    <t>strlinkv41187</t>
  </si>
  <si>
    <t>strlinkv41188</t>
  </si>
  <si>
    <t>strlinkv41189</t>
  </si>
  <si>
    <t>strlinkv41190</t>
  </si>
  <si>
    <t>strlinkv41191</t>
  </si>
  <si>
    <t>strlinkv41192</t>
  </si>
  <si>
    <t>strlinkv41193</t>
  </si>
  <si>
    <t>strlinkv41194</t>
  </si>
  <si>
    <t>strlinkv41195</t>
  </si>
  <si>
    <t>strlinkv41196</t>
  </si>
  <si>
    <t>strlinkv41197</t>
  </si>
  <si>
    <t>strlinkv41198</t>
  </si>
  <si>
    <t>strlinkv41199</t>
  </si>
  <si>
    <t>strlinkv41200</t>
  </si>
  <si>
    <t>strlinkv41201</t>
  </si>
  <si>
    <t>strlinkv41202</t>
  </si>
  <si>
    <t>strlinkv41203</t>
  </si>
  <si>
    <t>strlinkv41204</t>
  </si>
  <si>
    <t>strlinkv41205</t>
  </si>
  <si>
    <t>strlinkv41206</t>
  </si>
  <si>
    <t>strlinkv41207</t>
  </si>
  <si>
    <t>strlinkv41208</t>
  </si>
  <si>
    <t>strlinkv41209</t>
  </si>
  <si>
    <t>strlinkv41210</t>
  </si>
  <si>
    <t>strlinkv41211</t>
  </si>
  <si>
    <t>strlinkv41212</t>
  </si>
  <si>
    <t>strlinkv41213</t>
  </si>
  <si>
    <t>strlinkv41214</t>
  </si>
  <si>
    <t>strlinkv41215</t>
  </si>
  <si>
    <t>strlinkv41216</t>
  </si>
  <si>
    <t>strlinkv41217</t>
  </si>
  <si>
    <t>strlinkv41218</t>
  </si>
  <si>
    <t>strlinkv41219</t>
  </si>
  <si>
    <t>strlinkv41220</t>
  </si>
  <si>
    <t>strlinkv41221</t>
  </si>
  <si>
    <t>strlinkv41222</t>
  </si>
  <si>
    <t>strlinkv41223</t>
  </si>
  <si>
    <t>strlinkv41224</t>
  </si>
  <si>
    <t>strlinkv41225</t>
  </si>
  <si>
    <t>strlinkv41226</t>
  </si>
  <si>
    <t>strlinkv41227</t>
  </si>
  <si>
    <t>strlinkv41228</t>
  </si>
  <si>
    <t>strlinkv41229</t>
  </si>
  <si>
    <t>strlinkv41230</t>
  </si>
  <si>
    <t>strlinkv41231</t>
  </si>
  <si>
    <t>strlinkv41232</t>
  </si>
  <si>
    <t>strlinkv41233</t>
  </si>
  <si>
    <t>strlinkv41234</t>
  </si>
  <si>
    <t>strlinkv41235</t>
  </si>
  <si>
    <t>strlinkv41236</t>
  </si>
  <si>
    <t>strlinkv41237</t>
  </si>
  <si>
    <t>strlinkv41238</t>
  </si>
  <si>
    <t>strlinkv41239</t>
  </si>
  <si>
    <t>strlinkv41240</t>
  </si>
  <si>
    <t>strlinkv41241</t>
  </si>
  <si>
    <t>strlinkv41242</t>
  </si>
  <si>
    <t>strlinkv41243</t>
  </si>
  <si>
    <t>strlinkv41244</t>
  </si>
  <si>
    <t>strlinkv41245</t>
  </si>
  <si>
    <t>strlinkv41246</t>
  </si>
  <si>
    <t>strlinkv41247</t>
  </si>
  <si>
    <t>strlinkv41248</t>
  </si>
  <si>
    <t>strlinkv41249</t>
  </si>
  <si>
    <t>strlinkv41250</t>
  </si>
  <si>
    <t>strlinkv41251</t>
  </si>
  <si>
    <t>strlinkv41252</t>
  </si>
  <si>
    <t>strlinkv41253</t>
  </si>
  <si>
    <t>strlinkv41254</t>
  </si>
  <si>
    <t>strlinkv41255</t>
  </si>
  <si>
    <t>strlinkv41256</t>
  </si>
  <si>
    <t>strlinkv41257</t>
  </si>
  <si>
    <t>strlinkv41258</t>
  </si>
  <si>
    <t>strlinkv41259</t>
  </si>
  <si>
    <t>strlinkv41260</t>
  </si>
  <si>
    <t>strlinkv41261</t>
  </si>
  <si>
    <t>strlinkv41262</t>
  </si>
  <si>
    <t>strlinkv41263</t>
  </si>
  <si>
    <t>strlinkv41264</t>
  </si>
  <si>
    <t>strlinkv41265</t>
  </si>
  <si>
    <t>strlinkv41266</t>
  </si>
  <si>
    <t>strlinkv41267</t>
  </si>
  <si>
    <t>strlinkv41268</t>
  </si>
  <si>
    <t>strlinkv41269</t>
  </si>
  <si>
    <t>strlinkv41270</t>
  </si>
  <si>
    <t>strlinkv41271</t>
  </si>
  <si>
    <t>strlinkv41272</t>
  </si>
  <si>
    <t>strlinkv41273</t>
  </si>
  <si>
    <t>2026-02-20</t>
  </si>
  <si>
    <t>1581F986C25990023WMN</t>
  </si>
  <si>
    <t>5TN33859</t>
  </si>
  <si>
    <t>5TN33885</t>
  </si>
  <si>
    <t>5TN33908</t>
  </si>
  <si>
    <t>5TN34097</t>
  </si>
  <si>
    <t>5TN34136</t>
  </si>
  <si>
    <t>5UN10395</t>
  </si>
  <si>
    <t>5UN10397</t>
  </si>
  <si>
    <t>5UN37211</t>
  </si>
  <si>
    <t>5UN37212</t>
  </si>
  <si>
    <t>5UN37213</t>
  </si>
  <si>
    <t>5UN37214</t>
  </si>
  <si>
    <t>5UN37215</t>
  </si>
  <si>
    <t>5UN37216</t>
  </si>
  <si>
    <t>5UN37217</t>
  </si>
  <si>
    <t>5UN37218</t>
  </si>
  <si>
    <t>2026-02-21</t>
  </si>
  <si>
    <t>DJI MINI 4 PRO 34 MINS</t>
  </si>
  <si>
    <t>1581F6Z9C2458003SP1X</t>
  </si>
  <si>
    <t>1581F6Z9C251C003BAQ4</t>
  </si>
  <si>
    <t>1581F6Z9C251D003BKKT</t>
  </si>
  <si>
    <t>352190328154797</t>
  </si>
  <si>
    <t>352190328534956</t>
  </si>
  <si>
    <t>355832512664332</t>
  </si>
  <si>
    <t>355832513724234</t>
  </si>
  <si>
    <t>355832516130116</t>
  </si>
  <si>
    <t>355832516958219</t>
  </si>
  <si>
    <t>359477632806128</t>
  </si>
  <si>
    <t>355246652282609</t>
  </si>
  <si>
    <t>357586349143344</t>
  </si>
  <si>
    <t>ninjacreami0004</t>
  </si>
  <si>
    <t>ninjacreami0005</t>
  </si>
  <si>
    <t>ninjacreami0006</t>
  </si>
  <si>
    <t>S01K14C01M8110300239</t>
  </si>
  <si>
    <t>S01K15301M8110375050</t>
  </si>
  <si>
    <t>S01K15301M8110376657</t>
  </si>
  <si>
    <t>S01K15301M8110377076</t>
  </si>
  <si>
    <t>S01K25601VJ910256849</t>
  </si>
  <si>
    <t>S01K25601VJ910298734</t>
  </si>
  <si>
    <t>S01K25601VJ910298756</t>
  </si>
  <si>
    <t>S01K25701VJ910323124</t>
  </si>
  <si>
    <t>S01K25701VJ910337971</t>
  </si>
  <si>
    <t>S01K25701VJ910344029</t>
  </si>
  <si>
    <t>S01K25701VJ910361291</t>
  </si>
  <si>
    <t>S01K25801VJ910369954</t>
  </si>
  <si>
    <t>2026-02-22</t>
  </si>
  <si>
    <t>355832516469084</t>
  </si>
  <si>
    <t>2026-02-23</t>
  </si>
  <si>
    <t>APPLE WATCH SE 2 40MM</t>
  </si>
  <si>
    <t>SFHWVH6N9PP</t>
  </si>
  <si>
    <t>SJN33XWG43V</t>
  </si>
  <si>
    <t>SM340WL9WWV</t>
  </si>
  <si>
    <t>SHL9FDHQ7V1</t>
  </si>
  <si>
    <t>353660340926249</t>
  </si>
  <si>
    <t>357550245539393</t>
  </si>
  <si>
    <t>SGQL3KM9VPW</t>
  </si>
  <si>
    <t>SL4Q75063HT</t>
  </si>
  <si>
    <t>APPLE WATCH SERIES 10 46MM</t>
  </si>
  <si>
    <t>SGF7LYCDWK0</t>
  </si>
  <si>
    <t>SGF9PFWFQH4</t>
  </si>
  <si>
    <t>SD90054CGWR</t>
  </si>
  <si>
    <t>SDC42H20PV7</t>
  </si>
  <si>
    <t>SJ3XLMW4RHJ</t>
  </si>
  <si>
    <t>SLY527PR6NL</t>
  </si>
  <si>
    <t>353938645582275</t>
  </si>
  <si>
    <t>Black Ti, Ocean  Damaged Box</t>
  </si>
  <si>
    <t>356187982394590</t>
  </si>
  <si>
    <t>356187982713435</t>
  </si>
  <si>
    <t>356187982825569</t>
  </si>
  <si>
    <t>356187983162202</t>
  </si>
  <si>
    <t>356187983240560</t>
  </si>
  <si>
    <t>356187983506895</t>
  </si>
  <si>
    <t>356187984771530</t>
  </si>
  <si>
    <t>356187984887690</t>
  </si>
  <si>
    <t>358135792802425</t>
  </si>
  <si>
    <t>]C121159503000308</t>
  </si>
  <si>
    <t>351878871545277</t>
  </si>
  <si>
    <t>351878872082296</t>
  </si>
  <si>
    <t>351878872148907</t>
  </si>
  <si>
    <t>351878872195262</t>
  </si>
  <si>
    <t>351878872230002</t>
  </si>
  <si>
    <t>351878872239300</t>
  </si>
  <si>
    <t>351878872247196</t>
  </si>
  <si>
    <t>351878872364561</t>
  </si>
  <si>
    <t>GALAXY S25 ULTRA 512 GB</t>
  </si>
  <si>
    <t>351878870695198</t>
  </si>
  <si>
    <t>351878872166503</t>
  </si>
  <si>
    <t>351878872462159</t>
  </si>
  <si>
    <t>ninjacreami0007</t>
  </si>
  <si>
    <t>ninjacreami0008</t>
  </si>
  <si>
    <t>ninjacreami0009</t>
  </si>
  <si>
    <t>2026-02-24</t>
  </si>
  <si>
    <t>AIRPODS 4</t>
  </si>
  <si>
    <t>SD25915JQKP</t>
  </si>
  <si>
    <t>SHVWDW0NQC7</t>
  </si>
  <si>
    <t>SHYD12GT7FV</t>
  </si>
  <si>
    <t>SLRF744V4H6</t>
  </si>
  <si>
    <t>SMMWL7LXD2H</t>
  </si>
  <si>
    <t>AIRPODS PRO 2</t>
  </si>
  <si>
    <t>SM37D7CT6GQ</t>
  </si>
  <si>
    <t>SDG23G2HK3D</t>
  </si>
  <si>
    <t>SF763RW6RL9</t>
  </si>
  <si>
    <t>SFVPF2WK17T</t>
  </si>
  <si>
    <t>SHD41FW72PM</t>
  </si>
  <si>
    <t>SHH9MYNR6LN</t>
  </si>
  <si>
    <t>SLH3C7P541R</t>
  </si>
  <si>
    <t>355832511985480</t>
  </si>
  <si>
    <t>355832513170552</t>
  </si>
  <si>
    <t>355832514177853</t>
  </si>
  <si>
    <t>355832514351615</t>
  </si>
  <si>
    <t>357254470072135</t>
  </si>
  <si>
    <t>350599861255583</t>
  </si>
  <si>
    <t>353263429701987</t>
  </si>
  <si>
    <t>355246655294064</t>
  </si>
  <si>
    <t>356605229043761</t>
  </si>
  <si>
    <t>356605229065079</t>
  </si>
  <si>
    <t>356605229474420</t>
  </si>
  <si>
    <t>355450218484960</t>
  </si>
  <si>
    <t>After Gst Price</t>
  </si>
  <si>
    <t>Less Gst</t>
  </si>
  <si>
    <t xml:space="preserve"> Total profit loss</t>
  </si>
  <si>
    <t>Total Gst</t>
  </si>
  <si>
    <t>Total Purchasing</t>
  </si>
  <si>
    <t>Average Percentage</t>
  </si>
  <si>
    <t>Total Puchase</t>
  </si>
  <si>
    <t>Total Sale</t>
  </si>
  <si>
    <t>After Gst Cost</t>
  </si>
  <si>
    <t>353497852188797</t>
  </si>
  <si>
    <t>IPHONE 17 256 GB</t>
  </si>
  <si>
    <t>354717536243570</t>
  </si>
  <si>
    <t>350599867831882</t>
  </si>
  <si>
    <t>350599867852086</t>
  </si>
  <si>
    <t>350889867621262</t>
  </si>
  <si>
    <t>353837411601402</t>
  </si>
  <si>
    <t>353837412434381</t>
  </si>
  <si>
    <t>355246650065485</t>
  </si>
  <si>
    <t>355246658428792</t>
  </si>
  <si>
    <t>355246658908090</t>
  </si>
  <si>
    <t>2026-02-25</t>
  </si>
  <si>
    <t>SCYDJ4CQP61</t>
  </si>
  <si>
    <t>SFR2MTF47V1</t>
  </si>
  <si>
    <t>AIRPODS MAX</t>
  </si>
  <si>
    <t>SF7GWR52XXV</t>
  </si>
  <si>
    <t>SFH657P16FF</t>
  </si>
  <si>
    <t>SFK2LYK2VTG</t>
  </si>
  <si>
    <t>SFX94F22022</t>
  </si>
  <si>
    <t>SJJ39W71WXL</t>
  </si>
  <si>
    <t>SKW2TFVCTPF</t>
  </si>
  <si>
    <t>SDKDWDXNV5W</t>
  </si>
  <si>
    <t>SF07JKQGHRX</t>
  </si>
  <si>
    <t>SLNQWT2T4YG</t>
  </si>
  <si>
    <t>SMC4WKW9CYR</t>
  </si>
  <si>
    <t>SMH9T4V24RX</t>
  </si>
  <si>
    <t>DUAL SENSE WIRELESS CONTROLLER</t>
  </si>
  <si>
    <t>dualsensewirelesscontroller00052</t>
  </si>
  <si>
    <t>dualsensewirelesscontroller00053</t>
  </si>
  <si>
    <t>dualsensewirelesscontroller00054</t>
  </si>
  <si>
    <t>dualsensewirelesscontroller00055</t>
  </si>
  <si>
    <t>dualsensewirelesscontroller00056</t>
  </si>
  <si>
    <t>4V0ZL22HBB010Y</t>
  </si>
  <si>
    <t>2G97BMMH3K02NQ</t>
  </si>
  <si>
    <t>2G97BMMH4M04V9</t>
  </si>
  <si>
    <t>2G97BMMH5B013P</t>
  </si>
  <si>
    <t>2G97BMMH5K025C</t>
  </si>
  <si>
    <t>2G97BMMH5L0324</t>
  </si>
  <si>
    <t>2G97BMMH5L0353</t>
  </si>
  <si>
    <t>2G97BMMH6203B2</t>
  </si>
  <si>
    <t>2G97BMMH9G01YN</t>
  </si>
  <si>
    <t>2G97BMMH9G02DK</t>
  </si>
  <si>
    <t>2G97BMMH9X04CK</t>
  </si>
  <si>
    <t>4V0ZS16H99017P</t>
  </si>
  <si>
    <t>4V0ZS16H9B00XW</t>
  </si>
  <si>
    <t>4V0ZS17H8J0C6D</t>
  </si>
  <si>
    <t>4V37S15HC2003Z</t>
  </si>
  <si>
    <t>4V37S15HCQ00PY</t>
  </si>
  <si>
    <t>4V37S17H8X00L6</t>
  </si>
  <si>
    <t>2Q9GS02H7V02WQ</t>
  </si>
  <si>
    <t>Matte Black, Polar Graphite</t>
  </si>
  <si>
    <t>2Q9GS11H9J03FZ</t>
  </si>
  <si>
    <t>Matte Black, Graphite Green</t>
  </si>
  <si>
    <t>4V0ZW23H7303H1</t>
  </si>
  <si>
    <t>4V0ZW26H9K043R</t>
  </si>
  <si>
    <t>4V0ZW26H9K061X</t>
  </si>
  <si>
    <t>4V37W26HBM009T</t>
  </si>
  <si>
    <t>4V37W32H9J01FD</t>
  </si>
  <si>
    <t>dualsensewirelesscontroller00044</t>
  </si>
  <si>
    <t>dualsensewirelesscontroller00045</t>
  </si>
  <si>
    <t>dualsensewirelesscontroller00046</t>
  </si>
  <si>
    <t>dualsensewirelesscontroller00047</t>
  </si>
  <si>
    <t>dualsensewirelesscontroller00048</t>
  </si>
  <si>
    <t>S01F14801GH910643791</t>
  </si>
  <si>
    <t>S01F14901GH910663484</t>
  </si>
  <si>
    <t>S01F14A01GH910776398</t>
  </si>
  <si>
    <t>S01F14A01GH910776793</t>
  </si>
  <si>
    <t>S01F14B01GH910888000</t>
  </si>
  <si>
    <t>S01F14C01GH910979595</t>
  </si>
  <si>
    <t>S01F15101GH911002663</t>
  </si>
  <si>
    <t>S01K15201M8110331481</t>
  </si>
  <si>
    <t>S01K15301M8110344277</t>
  </si>
  <si>
    <t>S01K15301M8110361596</t>
  </si>
  <si>
    <t>S01K15301M8110374901</t>
  </si>
  <si>
    <t>S01K15301M8110375119</t>
  </si>
  <si>
    <t>S01K15301M8110375188</t>
  </si>
  <si>
    <t>S01K15301M8110376642</t>
  </si>
  <si>
    <t>S01K15301M8110377117</t>
  </si>
  <si>
    <t>S01K15301M8110377146</t>
  </si>
  <si>
    <t>S01K15301M8110377208</t>
  </si>
  <si>
    <t>S01K15301M8110379197</t>
  </si>
  <si>
    <t>S01K15301M8110379331</t>
  </si>
  <si>
    <t>S01K15301M8110379340</t>
  </si>
  <si>
    <t>S01K15301M8110379364</t>
  </si>
  <si>
    <t>S01K15301M8110379389</t>
  </si>
  <si>
    <t>S01K15401M8110383615</t>
  </si>
  <si>
    <t>S01K15401M8110385205</t>
  </si>
  <si>
    <t>S01K15401M8110400997</t>
  </si>
  <si>
    <t>S01K15401M8110415281</t>
  </si>
  <si>
    <t>S01K15401M8110424471</t>
  </si>
  <si>
    <t>S01K15501M8110427635</t>
  </si>
  <si>
    <t>S01K15501M8110456256</t>
  </si>
  <si>
    <t>S01K15501M8110457838</t>
  </si>
  <si>
    <t>S01K25601VJ910252432</t>
  </si>
  <si>
    <t>S01K25601VJ910256332</t>
  </si>
  <si>
    <t>S01K25601VJ910260945</t>
  </si>
  <si>
    <t>S01K25601VJ910265675</t>
  </si>
  <si>
    <t>S01K25601VJ910265689</t>
  </si>
  <si>
    <t>S01K25601VJ910265694</t>
  </si>
  <si>
    <t>S01K25601VJ910271141</t>
  </si>
  <si>
    <t>S01K25601VJ910271148</t>
  </si>
  <si>
    <t>S01K25601VJ910271151</t>
  </si>
  <si>
    <t>S01K25601VJ910271159</t>
  </si>
  <si>
    <t>S01K25601VJ910271165</t>
  </si>
  <si>
    <t>S01K25601VJ910271324</t>
  </si>
  <si>
    <t>S01K25601VJ910271325</t>
  </si>
  <si>
    <t>S01K25601VJ910271328</t>
  </si>
  <si>
    <t>S01K25601VJ910271333</t>
  </si>
  <si>
    <t>S01K25601VJ910271340</t>
  </si>
  <si>
    <t>S01K25601VJ910271342</t>
  </si>
  <si>
    <t>S01K25601VJ910271354</t>
  </si>
  <si>
    <t>S01K25601VJ910271355</t>
  </si>
  <si>
    <t>S01K25601VJ910271373</t>
  </si>
  <si>
    <t>S01K25601VJ910271706</t>
  </si>
  <si>
    <t>S01K25601VJ910298733</t>
  </si>
  <si>
    <t>S01K25601VJ910298762</t>
  </si>
  <si>
    <t>S01K25601VJ910298768</t>
  </si>
  <si>
    <t>S01K25601VJ910298899</t>
  </si>
  <si>
    <t>S01K25601VJ910298992</t>
  </si>
  <si>
    <t>S01K25601VJ910299106</t>
  </si>
  <si>
    <t>S01K25601VJ910302147</t>
  </si>
  <si>
    <t>S01K25701VJ910314797</t>
  </si>
  <si>
    <t>S01K25701VJ910318641</t>
  </si>
  <si>
    <t>S01K25701VJ910318662</t>
  </si>
  <si>
    <t>S01K25701VJ910318671</t>
  </si>
  <si>
    <t>S01K25701VJ910318672</t>
  </si>
  <si>
    <t>S01K25701VJ910318677</t>
  </si>
  <si>
    <t>S01K25701VJ910318678</t>
  </si>
  <si>
    <t>S01K25701VJ910318679</t>
  </si>
  <si>
    <t>S01K25701VJ910321139</t>
  </si>
  <si>
    <t>S01K25701VJ910321641</t>
  </si>
  <si>
    <t>S01K25701VJ910321652</t>
  </si>
  <si>
    <t>S01K25701VJ910324414</t>
  </si>
  <si>
    <t>S01K25701VJ910324429</t>
  </si>
  <si>
    <t>S01K25701VJ910324431</t>
  </si>
  <si>
    <t>S01K25701VJ910327736</t>
  </si>
  <si>
    <t>S01K25701VJ910330702</t>
  </si>
  <si>
    <t>S01K25701VJ910337980</t>
  </si>
  <si>
    <t>S01K25701VJ910338009</t>
  </si>
  <si>
    <t>S01K25701VJ910338759</t>
  </si>
  <si>
    <t>S01K25701VJ910338761</t>
  </si>
  <si>
    <t>S01K25701VJ910338770</t>
  </si>
  <si>
    <t>S01K25701VJ910338783</t>
  </si>
  <si>
    <t>S01K25701VJ910338784</t>
  </si>
  <si>
    <t>S01K25701VJ910338785</t>
  </si>
  <si>
    <t>S01K25701VJ910338989</t>
  </si>
  <si>
    <t>S01K25701VJ910338990</t>
  </si>
  <si>
    <t>S01K25701VJ910339375</t>
  </si>
  <si>
    <t>S01K25701VJ910339400</t>
  </si>
  <si>
    <t>S01K25701VJ910339622</t>
  </si>
  <si>
    <t>S01K25701VJ910339634</t>
  </si>
  <si>
    <t>S01K25701VJ910343445</t>
  </si>
  <si>
    <t>S01K25701VJ910343448</t>
  </si>
  <si>
    <t>S01K25701VJ910343459</t>
  </si>
  <si>
    <t>S01K25701VJ910343473</t>
  </si>
  <si>
    <t>S01K25701VJ910343489</t>
  </si>
  <si>
    <t>S01K25701VJ910343504</t>
  </si>
  <si>
    <t>S01K25701VJ910343863</t>
  </si>
  <si>
    <t>S01K25701VJ910343880</t>
  </si>
  <si>
    <t>S01K25701VJ910343889</t>
  </si>
  <si>
    <t>S01K25701VJ910344011</t>
  </si>
  <si>
    <t>S01K25701VJ910344012</t>
  </si>
  <si>
    <t>S01K25701VJ910344036</t>
  </si>
  <si>
    <t>S01K25701VJ910344041</t>
  </si>
  <si>
    <t>S01K25701VJ910344042</t>
  </si>
  <si>
    <t>S01K25701VJ910344686</t>
  </si>
  <si>
    <t>S01K25801VJ910362533</t>
  </si>
  <si>
    <t>S01K25801VJ910368511</t>
  </si>
  <si>
    <t>S01K25801VJ910368517</t>
  </si>
  <si>
    <t>S01K25801VJ910368559</t>
  </si>
  <si>
    <t>S01K25801VJ910368616</t>
  </si>
  <si>
    <t>S01K25A01VJ910473603</t>
  </si>
  <si>
    <t>S01K25A01VJ910475054</t>
  </si>
  <si>
    <t>2026-02-26</t>
  </si>
  <si>
    <t>357586343452733</t>
  </si>
  <si>
    <t>Active Kit</t>
  </si>
  <si>
    <t>358419945377059</t>
  </si>
  <si>
    <t>359802897630881</t>
  </si>
  <si>
    <t>359912588398365</t>
  </si>
  <si>
    <t>2026-02-27</t>
  </si>
  <si>
    <t>353497852298786</t>
  </si>
  <si>
    <t>355224259994231</t>
  </si>
  <si>
    <t>355246658984901</t>
  </si>
  <si>
    <t>356392240101569</t>
  </si>
  <si>
    <t>357329444749586</t>
  </si>
  <si>
    <t>358206130059489</t>
  </si>
  <si>
    <t>358206130422398</t>
  </si>
  <si>
    <t>358206130581136</t>
  </si>
  <si>
    <t>358206135017094</t>
  </si>
  <si>
    <t>358902514424857</t>
  </si>
  <si>
    <t>MACBOOK AIR M4 13 16 GB, 512 GB</t>
  </si>
  <si>
    <t>SKR7HMW2RH2</t>
  </si>
  <si>
    <t>MACBOOK AIR M4 15 24GB, 512 GB</t>
  </si>
  <si>
    <t>SGKMG3PYHJT</t>
  </si>
  <si>
    <t>MACBOOK PRO M4 PRO 14 24 GB, 512 GB</t>
  </si>
  <si>
    <t>SCQRXR9RK41</t>
  </si>
  <si>
    <t>MACBOOK PRO M5 14 16 GB, 1 TB</t>
  </si>
  <si>
    <t>SMJF72R0W6K</t>
  </si>
  <si>
    <t>2026-02-28</t>
  </si>
  <si>
    <t>SLL2DQQW00F</t>
  </si>
  <si>
    <t>SLYGQL6FW2V</t>
  </si>
  <si>
    <t>357550240240252</t>
  </si>
  <si>
    <t>SGKC60K9330</t>
  </si>
  <si>
    <t>SJ2L6L564XT</t>
  </si>
  <si>
    <t>SJ5WKTXVRQ3</t>
  </si>
  <si>
    <t>SMXDPQ7W0C6</t>
  </si>
  <si>
    <t>SD9YYQKY4TH</t>
  </si>
  <si>
    <t>SDK96Y1H263</t>
  </si>
  <si>
    <t>SM2JQX2FX49</t>
  </si>
  <si>
    <t>SM69QWJLC4J</t>
  </si>
  <si>
    <t>353938645034004</t>
  </si>
  <si>
    <t>358135794184319</t>
  </si>
  <si>
    <t>351605724552337</t>
  </si>
  <si>
    <t>357247594025773</t>
  </si>
  <si>
    <t>358302111948095</t>
  </si>
  <si>
    <t>350889861722264</t>
  </si>
  <si>
    <t>357586340580619</t>
  </si>
  <si>
    <t>357586340850814</t>
  </si>
  <si>
    <t>357586340898011</t>
  </si>
  <si>
    <t>353837419148398</t>
  </si>
  <si>
    <t>SMT79VX36C5</t>
  </si>
  <si>
    <t>351317527529104</t>
  </si>
  <si>
    <t>352190320080172</t>
  </si>
  <si>
    <t>355079360622984</t>
  </si>
  <si>
    <t>355832510336826</t>
  </si>
  <si>
    <t>355832512956787</t>
  </si>
  <si>
    <t>357254470870983</t>
  </si>
  <si>
    <t>Fully Damaged Box, Damaged Piece</t>
  </si>
  <si>
    <t>359477635750687</t>
  </si>
  <si>
    <t>350599863966187</t>
  </si>
  <si>
    <t>350599866170662</t>
  </si>
  <si>
    <t>355246654779214</t>
  </si>
  <si>
    <t>355246655365252</t>
  </si>
  <si>
    <t>355246657858320</t>
  </si>
  <si>
    <t>355714603395325</t>
  </si>
  <si>
    <t>356305884004501</t>
  </si>
  <si>
    <t>356305884416168</t>
  </si>
  <si>
    <t>355827875550953</t>
  </si>
  <si>
    <t>Total Profit</t>
  </si>
  <si>
    <t>888637279919 (2Pallet)</t>
  </si>
  <si>
    <t>888879701928  (3Pallets)</t>
  </si>
  <si>
    <t>Label Creation Date</t>
  </si>
  <si>
    <t>Shipping Label</t>
  </si>
  <si>
    <t>Price in USD</t>
  </si>
  <si>
    <t xml:space="preserve">AED </t>
  </si>
  <si>
    <t>Total Profit in USA</t>
  </si>
  <si>
    <t>1581F6Z9A248WML302VE</t>
  </si>
  <si>
    <t>DJI MIC MINI</t>
  </si>
  <si>
    <t>8PBWN8K0069XLY</t>
  </si>
  <si>
    <t>8PBWN8M006A2T8</t>
  </si>
  <si>
    <t>8PBWN8M006A3WX</t>
  </si>
  <si>
    <t>8PBXN86016E575</t>
  </si>
  <si>
    <t>djimicmini00001</t>
  </si>
  <si>
    <t>djimicmini00002</t>
  </si>
  <si>
    <t>djimicmini00003</t>
  </si>
  <si>
    <t>DJI OSMO POCKET 3</t>
  </si>
  <si>
    <t>5WTCN4S00223K2</t>
  </si>
  <si>
    <t>5WTCN5K00214VP</t>
  </si>
  <si>
    <t>5WTCN720028WVX</t>
  </si>
  <si>
    <t>5WTCN780029AU8</t>
  </si>
  <si>
    <t>5WTCN780029GGB</t>
  </si>
  <si>
    <t>5WTCN7A002A1A0</t>
  </si>
  <si>
    <t>5WTCN7A002A1J8</t>
  </si>
  <si>
    <t>5WTCN7A002A2LJ</t>
  </si>
  <si>
    <t>5WTCN7A002A365</t>
  </si>
  <si>
    <t>5WTCN7A002A3B8</t>
  </si>
  <si>
    <t>5WTCN7A002A66D</t>
  </si>
  <si>
    <t>5WTCN7A002A756</t>
  </si>
  <si>
    <t>5WTCN7C002ABL0</t>
  </si>
  <si>
    <t>5WTZN7C002Y95X</t>
  </si>
  <si>
    <t>5WTZN8F0021WDF</t>
  </si>
  <si>
    <t>5WTZN8J0026Y89</t>
  </si>
  <si>
    <t>5WTZN8K002D1RW</t>
  </si>
  <si>
    <t>5WTZN8P00292UP</t>
  </si>
  <si>
    <t>5WTZN8R0020E8T</t>
  </si>
  <si>
    <t>5WTZN8R0024KFH</t>
  </si>
  <si>
    <t>GG1363-EP0194945</t>
  </si>
  <si>
    <t>GG1363-EP0194994</t>
  </si>
  <si>
    <t>GG1363-EP0199339</t>
  </si>
  <si>
    <t>GG1363-EP0200638</t>
  </si>
  <si>
    <t>GG1363-EP0200642</t>
  </si>
  <si>
    <t>GG1363-JP0400792</t>
  </si>
  <si>
    <t>GG1363-JP0400825</t>
  </si>
  <si>
    <t>GG1363-JP0400826</t>
  </si>
  <si>
    <t>GG1363-JP0400827</t>
  </si>
  <si>
    <t>GG1363-JP0401174</t>
  </si>
  <si>
    <t>GG1363-JP0401955</t>
  </si>
  <si>
    <t>GG1363-JP0402292</t>
  </si>
  <si>
    <t>GG1363-JP0402293</t>
  </si>
  <si>
    <t>GG1363-JP0402296</t>
  </si>
  <si>
    <t>GG1363-JP0402368</t>
  </si>
  <si>
    <t>GG1363-JP0402372</t>
  </si>
  <si>
    <t>GG1363-JP0402373</t>
  </si>
  <si>
    <t>GG1363-JP0402806</t>
  </si>
  <si>
    <t>GG1363-JP0402917</t>
  </si>
  <si>
    <t>GG1363-JP0402923</t>
  </si>
  <si>
    <t>GG1363-JP0402925</t>
  </si>
  <si>
    <t>GG1363-JP0402927</t>
  </si>
  <si>
    <t>GG1363-JP0402949</t>
  </si>
  <si>
    <t>GG1363-JP0402951</t>
  </si>
  <si>
    <t>GG1363-JP0402952</t>
  </si>
  <si>
    <t>GG1365-GP0194476</t>
  </si>
  <si>
    <t>GG1365-GP0194553</t>
  </si>
  <si>
    <t>GG1365-HP0205636</t>
  </si>
  <si>
    <t>GG1365-HP0207635</t>
  </si>
  <si>
    <t>GG1370-EP0036191</t>
  </si>
  <si>
    <t>GG1370-GP0054030</t>
  </si>
  <si>
    <t>]C121159503000032</t>
  </si>
  <si>
    <t>]C121159503000063</t>
  </si>
  <si>
    <t>351737652283591</t>
  </si>
  <si>
    <t>353065380365300</t>
  </si>
  <si>
    <t>353065382766703</t>
  </si>
  <si>
    <t>353065382846091</t>
  </si>
  <si>
    <t>353065383441389</t>
  </si>
  <si>
    <t>353065383522717</t>
  </si>
  <si>
    <t>353065383930746</t>
  </si>
  <si>
    <t>354514922160777</t>
  </si>
  <si>
    <t>354514926154594</t>
  </si>
  <si>
    <t>356182200979447</t>
  </si>
  <si>
    <t>356182201321532</t>
  </si>
  <si>
    <t>356182202549131</t>
  </si>
  <si>
    <t>356182203812850</t>
  </si>
  <si>
    <t>356182204104018</t>
  </si>
  <si>
    <t>356523761667352</t>
  </si>
  <si>
    <t>356523761791970</t>
  </si>
  <si>
    <t>356523761888081</t>
  </si>
  <si>
    <t>356523761963934</t>
  </si>
  <si>
    <t>356523762750090</t>
  </si>
  <si>
    <t>358258282013129</t>
  </si>
  <si>
    <t>358378921566780</t>
  </si>
  <si>
    <t>358378923991010</t>
  </si>
  <si>
    <t>358918501178686</t>
  </si>
  <si>
    <t>358918502652432</t>
  </si>
  <si>
    <t>358918503424849</t>
  </si>
  <si>
    <t>Australia Office Exp</t>
  </si>
  <si>
    <t>{ INv 00859154 12700.56AU$ @2.4995 Ct Freight Mel }</t>
  </si>
  <si>
    <t>{ INV 00089351 2748.46NZ$ @2.13 Ct Freight NZ }</t>
  </si>
  <si>
    <t>{ Inv S00026895 4464.67 AU$ @2.5564 megatop }</t>
  </si>
  <si>
    <t>{ paid to turbo logistic (Abdul Raheem ) }</t>
  </si>
  <si>
    <t>{ paid to turbo logistics }</t>
  </si>
  <si>
    <t xml:space="preserve">Total Expanse </t>
  </si>
  <si>
    <t>Total Expanse</t>
  </si>
  <si>
    <t>Total Profit in Astralia</t>
  </si>
  <si>
    <t>Newzealand Exp</t>
  </si>
  <si>
    <t>Total Profit in Newzealand</t>
  </si>
  <si>
    <t>Karachi</t>
  </si>
  <si>
    <t>Hold</t>
  </si>
  <si>
    <t>Old Stock</t>
  </si>
  <si>
    <t>IPHONE 11 PRO 256 GB</t>
  </si>
  <si>
    <t>Karachi Office Exp</t>
  </si>
  <si>
    <t>Karachi Office Rent + Bill</t>
  </si>
  <si>
    <t>Carry Charges</t>
  </si>
  <si>
    <t>Total Profit in Khi</t>
  </si>
  <si>
    <t>dualsensewirelesscontroller00057</t>
  </si>
  <si>
    <t>extra</t>
  </si>
  <si>
    <t>dualsensewirelesscontroller00058</t>
  </si>
  <si>
    <t>dualsensewirelesscontroller00059</t>
  </si>
  <si>
    <t>dualsensewirelesscontroller00060</t>
  </si>
  <si>
    <t>S01K25601VJ910260933</t>
  </si>
  <si>
    <t>888879701928 AR10 Extra Item</t>
  </si>
  <si>
    <t>Dubai Office Exp</t>
  </si>
  <si>
    <t>Salary Exp</t>
  </si>
  <si>
    <t>Discount</t>
  </si>
  <si>
    <t>Loss A/C Hassan Ashraf</t>
  </si>
  <si>
    <t>Total Profit in Dubai</t>
  </si>
  <si>
    <t>Australia</t>
  </si>
  <si>
    <t>USA</t>
  </si>
  <si>
    <t>Newzealand</t>
  </si>
  <si>
    <t xml:space="preserve">Karachi </t>
  </si>
  <si>
    <t>Dubai</t>
  </si>
  <si>
    <t>Overall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</si>
</sst>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9875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83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2" fontId="0" fillId="0" borderId="0" xfId="0" applyNumberFormat="1"/>
    <xf numFmtId="10" fontId="0" fillId="0" borderId="0" xfId="0" applyNumberFormat="1"/>
    <xf numFmtId="0" fontId="0" fillId="0" borderId="1" xfId="0" applyBorder="1"/>
    <xf numFmtId="0" fontId="0" fillId="5" borderId="1" xfId="0" applyFill="1" applyBorder="1"/>
    <xf numFmtId="2" fontId="0" fillId="5" borderId="1" xfId="0" applyNumberFormat="1" applyFill="1" applyBorder="1"/>
    <xf numFmtId="10" fontId="0" fillId="5" borderId="1" xfId="0" applyNumberFormat="1" applyFill="1" applyBorder="1"/>
    <xf numFmtId="0" fontId="1" fillId="6" borderId="1" xfId="0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10" fontId="1" fillId="6" borderId="1" xfId="0" applyNumberFormat="1" applyFont="1" applyFill="1" applyBorder="1" applyAlignment="1">
      <alignment horizontal="center" vertical="center"/>
    </xf>
    <xf numFmtId="0" fontId="0" fillId="7" borderId="1" xfId="0" applyFill="1" applyBorder="1"/>
    <xf numFmtId="2" fontId="0" fillId="7" borderId="1" xfId="0" applyNumberFormat="1" applyFill="1" applyBorder="1"/>
    <xf numFmtId="10" fontId="0" fillId="7" borderId="1" xfId="0" applyNumberFormat="1" applyFill="1" applyBorder="1"/>
    <xf numFmtId="0" fontId="0" fillId="5" borderId="1" xfId="0" applyNumberFormat="1" applyFill="1" applyBorder="1"/>
    <xf numFmtId="0" fontId="0" fillId="7" borderId="1" xfId="0" applyNumberFormat="1" applyFill="1" applyBorder="1"/>
    <xf numFmtId="0" fontId="2" fillId="5" borderId="1" xfId="0" applyFont="1" applyFill="1" applyBorder="1"/>
    <xf numFmtId="0" fontId="2" fillId="0" borderId="1" xfId="0" applyFont="1" applyBorder="1"/>
    <xf numFmtId="2" fontId="2" fillId="0" borderId="1" xfId="0" applyNumberFormat="1" applyFont="1" applyBorder="1"/>
    <xf numFmtId="10" fontId="2" fillId="0" borderId="1" xfId="0" applyNumberFormat="1" applyFont="1" applyBorder="1"/>
    <xf numFmtId="10" fontId="1" fillId="2" borderId="0" xfId="0" applyNumberFormat="1" applyFont="1" applyFill="1"/>
    <xf numFmtId="2" fontId="1" fillId="2" borderId="0" xfId="0" applyNumberFormat="1" applyFont="1" applyFill="1"/>
    <xf numFmtId="0" fontId="1" fillId="2" borderId="1" xfId="0" applyFont="1" applyFill="1" applyBorder="1"/>
    <xf numFmtId="10" fontId="1" fillId="2" borderId="1" xfId="0" applyNumberFormat="1" applyFont="1" applyFill="1" applyBorder="1"/>
    <xf numFmtId="0" fontId="0" fillId="3" borderId="1" xfId="0" applyFill="1" applyBorder="1"/>
    <xf numFmtId="0" fontId="0" fillId="3" borderId="1" xfId="0" applyNumberFormat="1" applyFill="1" applyBorder="1"/>
    <xf numFmtId="10" fontId="0" fillId="3" borderId="1" xfId="0" applyNumberFormat="1" applyFill="1" applyBorder="1"/>
    <xf numFmtId="0" fontId="0" fillId="0" borderId="1" xfId="0" applyNumberFormat="1" applyBorder="1"/>
    <xf numFmtId="0" fontId="0" fillId="4" borderId="1" xfId="0" applyFill="1" applyBorder="1"/>
    <xf numFmtId="0" fontId="0" fillId="4" borderId="1" xfId="0" applyNumberFormat="1" applyFill="1" applyBorder="1"/>
    <xf numFmtId="10" fontId="0" fillId="0" borderId="1" xfId="0" applyNumberFormat="1" applyBorder="1"/>
    <xf numFmtId="2" fontId="0" fillId="0" borderId="1" xfId="0" applyNumberFormat="1" applyBorder="1"/>
    <xf numFmtId="1" fontId="0" fillId="0" borderId="1" xfId="0" applyNumberFormat="1" applyBorder="1"/>
    <xf numFmtId="1" fontId="0" fillId="4" borderId="1" xfId="0" applyNumberFormat="1" applyFill="1" applyBorder="1"/>
    <xf numFmtId="1" fontId="0" fillId="5" borderId="1" xfId="0" applyNumberFormat="1" applyFill="1" applyBorder="1"/>
    <xf numFmtId="1" fontId="0" fillId="3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7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/>
    <xf numFmtId="0" fontId="2" fillId="8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/>
    </xf>
    <xf numFmtId="2" fontId="4" fillId="9" borderId="1" xfId="0" applyNumberFormat="1" applyFont="1" applyFill="1" applyBorder="1" applyAlignment="1">
      <alignment vertical="center"/>
    </xf>
    <xf numFmtId="0" fontId="0" fillId="3" borderId="0" xfId="0" applyNumberFormat="1" applyFill="1"/>
    <xf numFmtId="1" fontId="0" fillId="7" borderId="1" xfId="0" applyNumberFormat="1" applyFill="1" applyBorder="1"/>
    <xf numFmtId="2" fontId="2" fillId="10" borderId="1" xfId="0" applyNumberFormat="1" applyFont="1" applyFill="1" applyBorder="1"/>
    <xf numFmtId="0" fontId="0" fillId="10" borderId="1" xfId="0" applyFill="1" applyBorder="1"/>
    <xf numFmtId="0" fontId="2" fillId="10" borderId="1" xfId="0" applyFont="1" applyFill="1" applyBorder="1"/>
    <xf numFmtId="0" fontId="4" fillId="9" borderId="1" xfId="0" applyFont="1" applyFill="1" applyBorder="1"/>
    <xf numFmtId="2" fontId="4" fillId="9" borderId="1" xfId="0" applyNumberFormat="1" applyFont="1" applyFill="1" applyBorder="1"/>
    <xf numFmtId="0" fontId="4" fillId="0" borderId="1" xfId="0" applyFont="1" applyBorder="1"/>
    <xf numFmtId="0" fontId="0" fillId="0" borderId="1" xfId="0" applyFill="1" applyBorder="1"/>
    <xf numFmtId="1" fontId="3" fillId="0" borderId="1" xfId="1" applyNumberFormat="1" applyFont="1" applyBorder="1" applyAlignment="1">
      <alignment horizontal="center"/>
    </xf>
    <xf numFmtId="0" fontId="0" fillId="0" borderId="1" xfId="0" applyNumberFormat="1" applyFill="1" applyBorder="1"/>
    <xf numFmtId="0" fontId="0" fillId="4" borderId="0" xfId="0" applyNumberFormat="1" applyFill="1"/>
    <xf numFmtId="0" fontId="7" fillId="9" borderId="1" xfId="0" applyFont="1" applyFill="1" applyBorder="1"/>
    <xf numFmtId="0" fontId="7" fillId="0" borderId="1" xfId="0" applyFont="1" applyBorder="1"/>
    <xf numFmtId="0" fontId="5" fillId="6" borderId="1" xfId="0" applyFont="1" applyFill="1" applyBorder="1"/>
    <xf numFmtId="2" fontId="7" fillId="9" borderId="1" xfId="0" applyNumberFormat="1" applyFont="1" applyFill="1" applyBorder="1"/>
    <xf numFmtId="2" fontId="7" fillId="0" borderId="1" xfId="0" applyNumberFormat="1" applyFont="1" applyBorder="1"/>
    <xf numFmtId="2" fontId="5" fillId="6" borderId="1" xfId="0" applyNumberFormat="1" applyFont="1" applyFill="1" applyBorder="1"/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</cellXfs>
  <cellStyles count="2">
    <cellStyle name="Normal" xfId="0" builtinId="0"/>
    <cellStyle name="Normal 2" xfId="1" xr:uid="{74E44477-6135-4B46-B0E2-84E76F9596C7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60"/>
  <sheetViews>
    <sheetView topLeftCell="A1894" zoomScale="80" zoomScaleNormal="80" workbookViewId="0">
      <selection activeCell="D1923" sqref="D1923"/>
    </sheetView>
  </sheetViews>
  <sheetFormatPr defaultRowHeight="15" x14ac:dyDescent="0.25"/>
  <cols>
    <col min="1" max="1" width="19.7109375" customWidth="1"/>
    <col min="2" max="2" width="39" customWidth="1"/>
    <col min="3" max="3" width="36.42578125" customWidth="1"/>
    <col min="4" max="4" width="30" customWidth="1"/>
    <col min="5" max="5" width="12" customWidth="1"/>
    <col min="6" max="6" width="16" customWidth="1"/>
    <col min="7" max="7" width="13" customWidth="1"/>
    <col min="8" max="8" width="21" customWidth="1"/>
    <col min="9" max="9" width="26.28515625" customWidth="1"/>
  </cols>
  <sheetData>
    <row r="1" spans="1:9" x14ac:dyDescent="0.25">
      <c r="A1" t="s">
        <v>0</v>
      </c>
    </row>
    <row r="2" spans="1:9" x14ac:dyDescent="0.25">
      <c r="A2" t="s">
        <v>1</v>
      </c>
      <c r="B2" t="s">
        <v>2</v>
      </c>
    </row>
    <row r="4" spans="1:9" s="1" customForma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 x14ac:dyDescent="0.25">
      <c r="A5" t="s">
        <v>12</v>
      </c>
      <c r="B5" t="s">
        <v>13</v>
      </c>
      <c r="C5" t="s">
        <v>14</v>
      </c>
      <c r="D5" t="s">
        <v>15</v>
      </c>
      <c r="E5" s="46">
        <v>2050</v>
      </c>
      <c r="F5" s="46">
        <v>1504.52</v>
      </c>
      <c r="G5" s="46">
        <v>545.48</v>
      </c>
      <c r="H5" s="46">
        <v>36.26</v>
      </c>
      <c r="I5" t="s">
        <v>16</v>
      </c>
    </row>
    <row r="6" spans="1:9" x14ac:dyDescent="0.25">
      <c r="A6" t="s">
        <v>12</v>
      </c>
      <c r="B6" t="s">
        <v>17</v>
      </c>
      <c r="C6" t="s">
        <v>18</v>
      </c>
      <c r="D6" t="s">
        <v>15</v>
      </c>
      <c r="E6" s="46">
        <v>11250</v>
      </c>
      <c r="F6" s="46">
        <v>10586</v>
      </c>
      <c r="G6" s="46">
        <v>664</v>
      </c>
      <c r="H6" s="46">
        <v>6.27</v>
      </c>
      <c r="I6" t="s">
        <v>16</v>
      </c>
    </row>
    <row r="7" spans="1:9" x14ac:dyDescent="0.25">
      <c r="A7" t="s">
        <v>12</v>
      </c>
      <c r="B7" t="s">
        <v>19</v>
      </c>
      <c r="C7" t="s">
        <v>20</v>
      </c>
      <c r="D7" t="s">
        <v>15</v>
      </c>
      <c r="E7" s="46">
        <v>3450</v>
      </c>
      <c r="F7" s="46">
        <v>3351.6</v>
      </c>
      <c r="G7" s="46">
        <v>98.4</v>
      </c>
      <c r="H7" s="46">
        <v>2.94</v>
      </c>
      <c r="I7" t="s">
        <v>16</v>
      </c>
    </row>
    <row r="8" spans="1:9" x14ac:dyDescent="0.25">
      <c r="A8" s="2" t="s">
        <v>12</v>
      </c>
      <c r="B8" s="2" t="s">
        <v>21</v>
      </c>
      <c r="C8" s="2" t="s">
        <v>22</v>
      </c>
      <c r="D8" s="2" t="s">
        <v>15</v>
      </c>
      <c r="E8" s="59">
        <v>575</v>
      </c>
      <c r="F8" s="59">
        <v>629</v>
      </c>
      <c r="G8" s="59">
        <v>-54</v>
      </c>
      <c r="H8" s="59">
        <v>-8.59</v>
      </c>
      <c r="I8" s="2" t="s">
        <v>23</v>
      </c>
    </row>
    <row r="9" spans="1:9" x14ac:dyDescent="0.25">
      <c r="A9" t="s">
        <v>12</v>
      </c>
      <c r="B9" t="s">
        <v>24</v>
      </c>
      <c r="C9" t="s">
        <v>25</v>
      </c>
      <c r="D9" t="s">
        <v>15</v>
      </c>
      <c r="E9" s="46">
        <v>575</v>
      </c>
      <c r="F9" s="46">
        <v>4</v>
      </c>
      <c r="G9" s="46">
        <v>571</v>
      </c>
      <c r="H9" s="46">
        <v>14275</v>
      </c>
      <c r="I9" t="s">
        <v>26</v>
      </c>
    </row>
    <row r="10" spans="1:9" x14ac:dyDescent="0.25">
      <c r="A10" t="s">
        <v>12</v>
      </c>
      <c r="B10" t="s">
        <v>27</v>
      </c>
      <c r="C10" t="s">
        <v>28</v>
      </c>
      <c r="D10" t="s">
        <v>15</v>
      </c>
      <c r="E10" s="46">
        <v>1671</v>
      </c>
      <c r="F10" s="46">
        <v>1350</v>
      </c>
      <c r="G10" s="46">
        <v>321</v>
      </c>
      <c r="H10" s="46">
        <v>23.78</v>
      </c>
      <c r="I10" t="s">
        <v>29</v>
      </c>
    </row>
    <row r="11" spans="1:9" x14ac:dyDescent="0.25">
      <c r="A11" t="s">
        <v>12</v>
      </c>
      <c r="B11" t="s">
        <v>27</v>
      </c>
      <c r="C11" t="s">
        <v>30</v>
      </c>
      <c r="D11" t="s">
        <v>15</v>
      </c>
      <c r="E11" s="46">
        <v>1671</v>
      </c>
      <c r="F11" s="46">
        <v>1350</v>
      </c>
      <c r="G11" s="46">
        <v>321</v>
      </c>
      <c r="H11" s="46">
        <v>23.78</v>
      </c>
      <c r="I11" t="s">
        <v>29</v>
      </c>
    </row>
    <row r="12" spans="1:9" x14ac:dyDescent="0.25">
      <c r="A12" t="s">
        <v>12</v>
      </c>
      <c r="B12" t="s">
        <v>31</v>
      </c>
      <c r="C12" t="s">
        <v>32</v>
      </c>
      <c r="D12" t="s">
        <v>15</v>
      </c>
      <c r="E12" s="46">
        <v>974</v>
      </c>
      <c r="F12" s="46">
        <v>736.98</v>
      </c>
      <c r="G12" s="46">
        <v>237.02</v>
      </c>
      <c r="H12" s="46">
        <v>32.159999999999997</v>
      </c>
      <c r="I12" t="s">
        <v>23</v>
      </c>
    </row>
    <row r="13" spans="1:9" x14ac:dyDescent="0.25">
      <c r="A13" t="s">
        <v>12</v>
      </c>
      <c r="B13" t="s">
        <v>33</v>
      </c>
      <c r="C13" t="s">
        <v>34</v>
      </c>
      <c r="D13" t="s">
        <v>15</v>
      </c>
      <c r="E13" s="46">
        <v>3772</v>
      </c>
      <c r="F13" s="46">
        <v>3451</v>
      </c>
      <c r="G13" s="46">
        <v>321</v>
      </c>
      <c r="H13" s="46">
        <v>9.3000000000000007</v>
      </c>
      <c r="I13" t="s">
        <v>23</v>
      </c>
    </row>
    <row r="14" spans="1:9" x14ac:dyDescent="0.25">
      <c r="A14" t="s">
        <v>35</v>
      </c>
      <c r="B14" t="s">
        <v>36</v>
      </c>
      <c r="C14" t="s">
        <v>37</v>
      </c>
      <c r="D14" t="s">
        <v>15</v>
      </c>
      <c r="E14" s="46">
        <v>4300</v>
      </c>
      <c r="F14" s="46">
        <v>4026.4</v>
      </c>
      <c r="G14" s="46">
        <v>273.60000000000002</v>
      </c>
      <c r="H14" s="46">
        <v>6.8</v>
      </c>
      <c r="I14" t="s">
        <v>23</v>
      </c>
    </row>
    <row r="15" spans="1:9" x14ac:dyDescent="0.25">
      <c r="A15" t="s">
        <v>35</v>
      </c>
      <c r="B15" t="s">
        <v>38</v>
      </c>
      <c r="C15" t="s">
        <v>39</v>
      </c>
      <c r="D15" t="s">
        <v>15</v>
      </c>
      <c r="E15" s="46">
        <v>2430</v>
      </c>
      <c r="F15" s="46">
        <v>2300.8000000000002</v>
      </c>
      <c r="G15" s="46">
        <v>129.19999999999999</v>
      </c>
      <c r="H15" s="46">
        <v>5.62</v>
      </c>
      <c r="I15" t="s">
        <v>23</v>
      </c>
    </row>
    <row r="16" spans="1:9" x14ac:dyDescent="0.25">
      <c r="A16" t="s">
        <v>35</v>
      </c>
      <c r="B16" t="s">
        <v>38</v>
      </c>
      <c r="C16" t="s">
        <v>40</v>
      </c>
      <c r="D16" t="s">
        <v>15</v>
      </c>
      <c r="E16" s="46">
        <v>2430</v>
      </c>
      <c r="F16" s="46">
        <v>2300.8000000000002</v>
      </c>
      <c r="G16" s="46">
        <v>129.19999999999999</v>
      </c>
      <c r="H16" s="46">
        <v>5.62</v>
      </c>
      <c r="I16" t="s">
        <v>23</v>
      </c>
    </row>
    <row r="17" spans="1:9" x14ac:dyDescent="0.25">
      <c r="A17" t="s">
        <v>35</v>
      </c>
      <c r="B17" t="s">
        <v>38</v>
      </c>
      <c r="C17" t="s">
        <v>41</v>
      </c>
      <c r="D17" t="s">
        <v>15</v>
      </c>
      <c r="E17" s="46">
        <v>2430</v>
      </c>
      <c r="F17" s="46">
        <v>2300.8000000000002</v>
      </c>
      <c r="G17" s="46">
        <v>129.19999999999999</v>
      </c>
      <c r="H17" s="46">
        <v>5.62</v>
      </c>
      <c r="I17" t="s">
        <v>23</v>
      </c>
    </row>
    <row r="18" spans="1:9" x14ac:dyDescent="0.25">
      <c r="A18" t="s">
        <v>42</v>
      </c>
      <c r="B18" t="s">
        <v>43</v>
      </c>
      <c r="C18" t="s">
        <v>44</v>
      </c>
      <c r="D18" t="s">
        <v>15</v>
      </c>
      <c r="E18" s="46">
        <v>2530</v>
      </c>
      <c r="F18" s="46">
        <v>2373</v>
      </c>
      <c r="G18" s="46">
        <v>157</v>
      </c>
      <c r="H18" s="46">
        <v>6.62</v>
      </c>
      <c r="I18" t="s">
        <v>23</v>
      </c>
    </row>
    <row r="19" spans="1:9" x14ac:dyDescent="0.25">
      <c r="A19" t="s">
        <v>42</v>
      </c>
      <c r="B19" t="s">
        <v>43</v>
      </c>
      <c r="C19" t="s">
        <v>45</v>
      </c>
      <c r="D19" t="s">
        <v>15</v>
      </c>
      <c r="E19" s="46">
        <v>2530</v>
      </c>
      <c r="F19" s="46">
        <v>2380</v>
      </c>
      <c r="G19" s="46">
        <v>150</v>
      </c>
      <c r="H19" s="46">
        <v>6.3</v>
      </c>
      <c r="I19" t="s">
        <v>29</v>
      </c>
    </row>
    <row r="20" spans="1:9" x14ac:dyDescent="0.25">
      <c r="A20" t="s">
        <v>42</v>
      </c>
      <c r="B20" t="s">
        <v>43</v>
      </c>
      <c r="C20" t="s">
        <v>46</v>
      </c>
      <c r="D20" t="s">
        <v>15</v>
      </c>
      <c r="E20" s="46">
        <v>2530</v>
      </c>
      <c r="F20" s="46">
        <v>2380</v>
      </c>
      <c r="G20" s="46">
        <v>150</v>
      </c>
      <c r="H20" s="46">
        <v>6.3</v>
      </c>
      <c r="I20" t="s">
        <v>29</v>
      </c>
    </row>
    <row r="21" spans="1:9" x14ac:dyDescent="0.25">
      <c r="A21" t="s">
        <v>42</v>
      </c>
      <c r="B21" t="s">
        <v>43</v>
      </c>
      <c r="C21" t="s">
        <v>47</v>
      </c>
      <c r="D21" t="s">
        <v>15</v>
      </c>
      <c r="E21" s="46">
        <v>2530</v>
      </c>
      <c r="F21" s="46">
        <v>2380</v>
      </c>
      <c r="G21" s="46">
        <v>150</v>
      </c>
      <c r="H21" s="46">
        <v>6.3</v>
      </c>
      <c r="I21" t="s">
        <v>29</v>
      </c>
    </row>
    <row r="22" spans="1:9" x14ac:dyDescent="0.25">
      <c r="A22" t="s">
        <v>42</v>
      </c>
      <c r="B22" t="s">
        <v>43</v>
      </c>
      <c r="C22" t="s">
        <v>48</v>
      </c>
      <c r="D22" t="s">
        <v>15</v>
      </c>
      <c r="E22" s="46">
        <v>2530</v>
      </c>
      <c r="F22" s="46">
        <v>2380</v>
      </c>
      <c r="G22" s="46">
        <v>150</v>
      </c>
      <c r="H22" s="46">
        <v>6.3</v>
      </c>
      <c r="I22" t="s">
        <v>29</v>
      </c>
    </row>
    <row r="23" spans="1:9" x14ac:dyDescent="0.25">
      <c r="A23" t="s">
        <v>42</v>
      </c>
      <c r="B23" t="s">
        <v>43</v>
      </c>
      <c r="C23" t="s">
        <v>49</v>
      </c>
      <c r="D23" t="s">
        <v>15</v>
      </c>
      <c r="E23" s="46">
        <v>2530</v>
      </c>
      <c r="F23" s="46">
        <v>2373</v>
      </c>
      <c r="G23" s="46">
        <v>157</v>
      </c>
      <c r="H23" s="46">
        <v>6.62</v>
      </c>
      <c r="I23" t="s">
        <v>23</v>
      </c>
    </row>
    <row r="24" spans="1:9" x14ac:dyDescent="0.25">
      <c r="A24" t="s">
        <v>42</v>
      </c>
      <c r="B24" t="s">
        <v>33</v>
      </c>
      <c r="C24" t="s">
        <v>50</v>
      </c>
      <c r="D24" t="s">
        <v>15</v>
      </c>
      <c r="E24" s="46">
        <v>3380</v>
      </c>
      <c r="F24" s="46">
        <v>3235</v>
      </c>
      <c r="G24" s="46">
        <v>145</v>
      </c>
      <c r="H24" s="46">
        <v>4.4800000000000004</v>
      </c>
      <c r="I24" t="s">
        <v>23</v>
      </c>
    </row>
    <row r="25" spans="1:9" x14ac:dyDescent="0.25">
      <c r="A25" t="s">
        <v>42</v>
      </c>
      <c r="B25" t="s">
        <v>33</v>
      </c>
      <c r="C25" t="s">
        <v>51</v>
      </c>
      <c r="D25" t="s">
        <v>15</v>
      </c>
      <c r="E25" s="46">
        <v>3380</v>
      </c>
      <c r="F25" s="46">
        <v>3235</v>
      </c>
      <c r="G25" s="46">
        <v>145</v>
      </c>
      <c r="H25" s="46">
        <v>4.4800000000000004</v>
      </c>
      <c r="I25" t="s">
        <v>23</v>
      </c>
    </row>
    <row r="26" spans="1:9" x14ac:dyDescent="0.25">
      <c r="A26" t="s">
        <v>42</v>
      </c>
      <c r="B26" t="s">
        <v>33</v>
      </c>
      <c r="C26" t="s">
        <v>52</v>
      </c>
      <c r="D26" t="s">
        <v>15</v>
      </c>
      <c r="E26" s="46">
        <v>3780</v>
      </c>
      <c r="F26" s="46">
        <v>3415</v>
      </c>
      <c r="G26" s="46">
        <v>365</v>
      </c>
      <c r="H26" s="46">
        <v>10.69</v>
      </c>
      <c r="I26" t="s">
        <v>23</v>
      </c>
    </row>
    <row r="27" spans="1:9" x14ac:dyDescent="0.25">
      <c r="A27" t="s">
        <v>42</v>
      </c>
      <c r="B27" t="s">
        <v>33</v>
      </c>
      <c r="C27" t="s">
        <v>53</v>
      </c>
      <c r="D27" t="s">
        <v>15</v>
      </c>
      <c r="E27" s="46">
        <v>4050</v>
      </c>
      <c r="F27" s="46">
        <v>3649</v>
      </c>
      <c r="G27" s="46">
        <v>401</v>
      </c>
      <c r="H27" s="46">
        <v>10.99</v>
      </c>
      <c r="I27" t="s">
        <v>23</v>
      </c>
    </row>
    <row r="28" spans="1:9" x14ac:dyDescent="0.25">
      <c r="A28" t="s">
        <v>42</v>
      </c>
      <c r="B28" t="s">
        <v>33</v>
      </c>
      <c r="C28" t="s">
        <v>54</v>
      </c>
      <c r="D28" t="s">
        <v>15</v>
      </c>
      <c r="E28" s="46">
        <v>3580</v>
      </c>
      <c r="F28" s="46">
        <v>3450</v>
      </c>
      <c r="G28" s="46">
        <v>130</v>
      </c>
      <c r="H28" s="46">
        <v>3.77</v>
      </c>
      <c r="I28" t="s">
        <v>29</v>
      </c>
    </row>
    <row r="29" spans="1:9" x14ac:dyDescent="0.25">
      <c r="A29" t="s">
        <v>42</v>
      </c>
      <c r="B29" t="s">
        <v>33</v>
      </c>
      <c r="C29" t="s">
        <v>55</v>
      </c>
      <c r="D29" t="s">
        <v>15</v>
      </c>
      <c r="E29" s="46">
        <v>3380</v>
      </c>
      <c r="F29" s="46">
        <v>3235</v>
      </c>
      <c r="G29" s="46">
        <v>145</v>
      </c>
      <c r="H29" s="46">
        <v>4.4800000000000004</v>
      </c>
      <c r="I29" t="s">
        <v>23</v>
      </c>
    </row>
    <row r="30" spans="1:9" x14ac:dyDescent="0.25">
      <c r="A30" t="s">
        <v>42</v>
      </c>
      <c r="B30" t="s">
        <v>33</v>
      </c>
      <c r="C30" t="s">
        <v>56</v>
      </c>
      <c r="D30" t="s">
        <v>15</v>
      </c>
      <c r="E30" s="46">
        <v>3380</v>
      </c>
      <c r="F30" s="46">
        <v>3235</v>
      </c>
      <c r="G30" s="46">
        <v>145</v>
      </c>
      <c r="H30" s="46">
        <v>4.4800000000000004</v>
      </c>
      <c r="I30" t="s">
        <v>23</v>
      </c>
    </row>
    <row r="31" spans="1:9" x14ac:dyDescent="0.25">
      <c r="A31" t="s">
        <v>42</v>
      </c>
      <c r="B31" t="s">
        <v>33</v>
      </c>
      <c r="C31" t="s">
        <v>57</v>
      </c>
      <c r="D31" t="s">
        <v>15</v>
      </c>
      <c r="E31" s="46">
        <v>4050</v>
      </c>
      <c r="F31" s="46">
        <v>3595</v>
      </c>
      <c r="G31" s="46">
        <v>455</v>
      </c>
      <c r="H31" s="46">
        <v>12.66</v>
      </c>
      <c r="I31" t="s">
        <v>23</v>
      </c>
    </row>
    <row r="32" spans="1:9" x14ac:dyDescent="0.25">
      <c r="A32" t="s">
        <v>42</v>
      </c>
      <c r="B32" t="s">
        <v>33</v>
      </c>
      <c r="C32" t="s">
        <v>58</v>
      </c>
      <c r="D32" t="s">
        <v>15</v>
      </c>
      <c r="E32" s="46">
        <v>3380</v>
      </c>
      <c r="F32" s="46">
        <v>3235</v>
      </c>
      <c r="G32" s="46">
        <v>145</v>
      </c>
      <c r="H32" s="46">
        <v>4.4800000000000004</v>
      </c>
      <c r="I32" t="s">
        <v>23</v>
      </c>
    </row>
    <row r="33" spans="1:9" x14ac:dyDescent="0.25">
      <c r="A33" t="s">
        <v>42</v>
      </c>
      <c r="B33" t="s">
        <v>33</v>
      </c>
      <c r="C33" t="s">
        <v>59</v>
      </c>
      <c r="D33" t="s">
        <v>15</v>
      </c>
      <c r="E33" s="46">
        <v>4050</v>
      </c>
      <c r="F33" s="46">
        <v>3649</v>
      </c>
      <c r="G33" s="46">
        <v>401</v>
      </c>
      <c r="H33" s="46">
        <v>10.99</v>
      </c>
      <c r="I33" t="s">
        <v>23</v>
      </c>
    </row>
    <row r="34" spans="1:9" x14ac:dyDescent="0.25">
      <c r="A34" t="s">
        <v>42</v>
      </c>
      <c r="B34" t="s">
        <v>33</v>
      </c>
      <c r="C34" t="s">
        <v>60</v>
      </c>
      <c r="D34" t="s">
        <v>15</v>
      </c>
      <c r="E34" s="46">
        <v>3740</v>
      </c>
      <c r="F34" s="46">
        <v>3397</v>
      </c>
      <c r="G34" s="46">
        <v>343</v>
      </c>
      <c r="H34" s="46">
        <v>10.1</v>
      </c>
      <c r="I34" t="s">
        <v>23</v>
      </c>
    </row>
    <row r="35" spans="1:9" x14ac:dyDescent="0.25">
      <c r="A35" t="s">
        <v>42</v>
      </c>
      <c r="B35" t="s">
        <v>33</v>
      </c>
      <c r="C35" t="s">
        <v>61</v>
      </c>
      <c r="D35" t="s">
        <v>15</v>
      </c>
      <c r="E35" s="46">
        <v>3380</v>
      </c>
      <c r="F35" s="46">
        <v>3235</v>
      </c>
      <c r="G35" s="46">
        <v>145</v>
      </c>
      <c r="H35" s="46">
        <v>4.4800000000000004</v>
      </c>
      <c r="I35" t="s">
        <v>23</v>
      </c>
    </row>
    <row r="36" spans="1:9" x14ac:dyDescent="0.25">
      <c r="A36" t="s">
        <v>42</v>
      </c>
      <c r="B36" t="s">
        <v>33</v>
      </c>
      <c r="C36" t="s">
        <v>62</v>
      </c>
      <c r="D36" t="s">
        <v>15</v>
      </c>
      <c r="E36" s="46">
        <v>3570</v>
      </c>
      <c r="F36" s="46">
        <v>3450</v>
      </c>
      <c r="G36" s="46">
        <v>120</v>
      </c>
      <c r="H36" s="46">
        <v>3.48</v>
      </c>
      <c r="I36" t="s">
        <v>29</v>
      </c>
    </row>
    <row r="37" spans="1:9" x14ac:dyDescent="0.25">
      <c r="A37" t="s">
        <v>42</v>
      </c>
      <c r="B37" t="s">
        <v>33</v>
      </c>
      <c r="C37" t="s">
        <v>63</v>
      </c>
      <c r="D37" t="s">
        <v>15</v>
      </c>
      <c r="E37" s="46">
        <v>3780</v>
      </c>
      <c r="F37" s="46">
        <v>3397</v>
      </c>
      <c r="G37" s="46">
        <v>383</v>
      </c>
      <c r="H37" s="46">
        <v>11.27</v>
      </c>
      <c r="I37" t="s">
        <v>23</v>
      </c>
    </row>
    <row r="38" spans="1:9" x14ac:dyDescent="0.25">
      <c r="A38" t="s">
        <v>42</v>
      </c>
      <c r="B38" t="s">
        <v>33</v>
      </c>
      <c r="C38" t="s">
        <v>64</v>
      </c>
      <c r="D38" t="s">
        <v>15</v>
      </c>
      <c r="E38" s="46">
        <v>3380</v>
      </c>
      <c r="F38" s="46">
        <v>3235</v>
      </c>
      <c r="G38" s="46">
        <v>145</v>
      </c>
      <c r="H38" s="46">
        <v>4.4800000000000004</v>
      </c>
      <c r="I38" t="s">
        <v>23</v>
      </c>
    </row>
    <row r="39" spans="1:9" x14ac:dyDescent="0.25">
      <c r="A39" t="s">
        <v>42</v>
      </c>
      <c r="B39" t="s">
        <v>33</v>
      </c>
      <c r="C39" t="s">
        <v>65</v>
      </c>
      <c r="D39" t="s">
        <v>15</v>
      </c>
      <c r="E39" s="46">
        <v>3780</v>
      </c>
      <c r="F39" s="46">
        <v>3600</v>
      </c>
      <c r="G39" s="46">
        <v>180</v>
      </c>
      <c r="H39" s="46">
        <v>5</v>
      </c>
      <c r="I39" t="s">
        <v>29</v>
      </c>
    </row>
    <row r="40" spans="1:9" x14ac:dyDescent="0.25">
      <c r="A40" t="s">
        <v>42</v>
      </c>
      <c r="B40" t="s">
        <v>33</v>
      </c>
      <c r="C40" t="s">
        <v>66</v>
      </c>
      <c r="D40" t="s">
        <v>15</v>
      </c>
      <c r="E40" s="46">
        <v>3600</v>
      </c>
      <c r="F40" s="46">
        <v>3344</v>
      </c>
      <c r="G40" s="46">
        <v>256</v>
      </c>
      <c r="H40" s="46">
        <v>7.66</v>
      </c>
      <c r="I40" t="s">
        <v>23</v>
      </c>
    </row>
    <row r="41" spans="1:9" x14ac:dyDescent="0.25">
      <c r="A41" t="s">
        <v>42</v>
      </c>
      <c r="B41" t="s">
        <v>33</v>
      </c>
      <c r="C41" t="s">
        <v>67</v>
      </c>
      <c r="D41" t="s">
        <v>15</v>
      </c>
      <c r="E41" s="46">
        <v>3380</v>
      </c>
      <c r="F41" s="46">
        <v>3235</v>
      </c>
      <c r="G41" s="46">
        <v>145</v>
      </c>
      <c r="H41" s="46">
        <v>4.4800000000000004</v>
      </c>
      <c r="I41" t="s">
        <v>23</v>
      </c>
    </row>
    <row r="42" spans="1:9" x14ac:dyDescent="0.25">
      <c r="A42" t="s">
        <v>42</v>
      </c>
      <c r="B42" t="s">
        <v>33</v>
      </c>
      <c r="C42" t="s">
        <v>68</v>
      </c>
      <c r="D42" t="s">
        <v>15</v>
      </c>
      <c r="E42" s="46">
        <v>4050</v>
      </c>
      <c r="F42" s="46">
        <v>3595</v>
      </c>
      <c r="G42" s="46">
        <v>455</v>
      </c>
      <c r="H42" s="46">
        <v>12.66</v>
      </c>
      <c r="I42" t="s">
        <v>23</v>
      </c>
    </row>
    <row r="43" spans="1:9" x14ac:dyDescent="0.25">
      <c r="A43" t="s">
        <v>69</v>
      </c>
      <c r="B43" t="s">
        <v>70</v>
      </c>
      <c r="C43" t="s">
        <v>71</v>
      </c>
      <c r="D43" t="s">
        <v>15</v>
      </c>
      <c r="E43" s="46">
        <v>3650</v>
      </c>
      <c r="F43" s="46">
        <v>2829.19</v>
      </c>
      <c r="G43" s="46">
        <v>820.81</v>
      </c>
      <c r="H43" s="46">
        <v>29.01</v>
      </c>
      <c r="I43" t="s">
        <v>16</v>
      </c>
    </row>
    <row r="44" spans="1:9" x14ac:dyDescent="0.25">
      <c r="A44" s="2" t="s">
        <v>69</v>
      </c>
      <c r="B44" s="2" t="s">
        <v>72</v>
      </c>
      <c r="C44" s="2" t="s">
        <v>73</v>
      </c>
      <c r="D44" s="2" t="s">
        <v>15</v>
      </c>
      <c r="E44" s="59">
        <v>940</v>
      </c>
      <c r="F44" s="59">
        <v>994.18</v>
      </c>
      <c r="G44" s="59">
        <v>-54.18</v>
      </c>
      <c r="H44" s="59">
        <v>-5.45</v>
      </c>
      <c r="I44" s="2" t="s">
        <v>16</v>
      </c>
    </row>
    <row r="45" spans="1:9" x14ac:dyDescent="0.25">
      <c r="A45" s="2" t="s">
        <v>69</v>
      </c>
      <c r="B45" s="2" t="s">
        <v>72</v>
      </c>
      <c r="C45" s="2" t="s">
        <v>74</v>
      </c>
      <c r="D45" s="2" t="s">
        <v>15</v>
      </c>
      <c r="E45" s="59">
        <v>940</v>
      </c>
      <c r="F45" s="59">
        <v>994.18</v>
      </c>
      <c r="G45" s="59">
        <v>-54.18</v>
      </c>
      <c r="H45" s="59">
        <v>-5.45</v>
      </c>
      <c r="I45" s="2" t="s">
        <v>16</v>
      </c>
    </row>
    <row r="46" spans="1:9" x14ac:dyDescent="0.25">
      <c r="A46" s="2" t="s">
        <v>69</v>
      </c>
      <c r="B46" s="2" t="s">
        <v>72</v>
      </c>
      <c r="C46" s="2" t="s">
        <v>75</v>
      </c>
      <c r="D46" s="2" t="s">
        <v>15</v>
      </c>
      <c r="E46" s="59">
        <v>940</v>
      </c>
      <c r="F46" s="59">
        <v>994.18</v>
      </c>
      <c r="G46" s="59">
        <v>-54.18</v>
      </c>
      <c r="H46" s="59">
        <v>-5.45</v>
      </c>
      <c r="I46" s="2" t="s">
        <v>16</v>
      </c>
    </row>
    <row r="47" spans="1:9" x14ac:dyDescent="0.25">
      <c r="A47" s="2" t="s">
        <v>69</v>
      </c>
      <c r="B47" s="2" t="s">
        <v>72</v>
      </c>
      <c r="C47" s="2" t="s">
        <v>76</v>
      </c>
      <c r="D47" s="2" t="s">
        <v>15</v>
      </c>
      <c r="E47" s="59">
        <v>940</v>
      </c>
      <c r="F47" s="59">
        <v>994.18</v>
      </c>
      <c r="G47" s="59">
        <v>-54.18</v>
      </c>
      <c r="H47" s="59">
        <v>-5.45</v>
      </c>
      <c r="I47" s="2" t="s">
        <v>16</v>
      </c>
    </row>
    <row r="48" spans="1:9" x14ac:dyDescent="0.25">
      <c r="A48" s="2" t="s">
        <v>69</v>
      </c>
      <c r="B48" s="2" t="s">
        <v>72</v>
      </c>
      <c r="C48" s="2" t="s">
        <v>77</v>
      </c>
      <c r="D48" s="2" t="s">
        <v>15</v>
      </c>
      <c r="E48" s="59">
        <v>940</v>
      </c>
      <c r="F48" s="59">
        <v>994.18</v>
      </c>
      <c r="G48" s="59">
        <v>-54.18</v>
      </c>
      <c r="H48" s="59">
        <v>-5.45</v>
      </c>
      <c r="I48" s="2" t="s">
        <v>16</v>
      </c>
    </row>
    <row r="49" spans="1:9" x14ac:dyDescent="0.25">
      <c r="A49" s="2" t="s">
        <v>69</v>
      </c>
      <c r="B49" s="2" t="s">
        <v>72</v>
      </c>
      <c r="C49" s="2" t="s">
        <v>78</v>
      </c>
      <c r="D49" s="2" t="s">
        <v>15</v>
      </c>
      <c r="E49" s="59">
        <v>940</v>
      </c>
      <c r="F49" s="59">
        <v>994.18</v>
      </c>
      <c r="G49" s="59">
        <v>-54.18</v>
      </c>
      <c r="H49" s="59">
        <v>-5.45</v>
      </c>
      <c r="I49" s="2" t="s">
        <v>16</v>
      </c>
    </row>
    <row r="50" spans="1:9" x14ac:dyDescent="0.25">
      <c r="A50" s="2" t="s">
        <v>69</v>
      </c>
      <c r="B50" s="2" t="s">
        <v>72</v>
      </c>
      <c r="C50" s="2" t="s">
        <v>79</v>
      </c>
      <c r="D50" s="2" t="s">
        <v>15</v>
      </c>
      <c r="E50" s="59">
        <v>940</v>
      </c>
      <c r="F50" s="59">
        <v>994.18</v>
      </c>
      <c r="G50" s="59">
        <v>-54.18</v>
      </c>
      <c r="H50" s="59">
        <v>-5.45</v>
      </c>
      <c r="I50" s="2" t="s">
        <v>16</v>
      </c>
    </row>
    <row r="51" spans="1:9" x14ac:dyDescent="0.25">
      <c r="A51" s="2" t="s">
        <v>69</v>
      </c>
      <c r="B51" s="2" t="s">
        <v>72</v>
      </c>
      <c r="C51" s="2" t="s">
        <v>80</v>
      </c>
      <c r="D51" s="2" t="s">
        <v>15</v>
      </c>
      <c r="E51" s="59">
        <v>940</v>
      </c>
      <c r="F51" s="59">
        <v>1008</v>
      </c>
      <c r="G51" s="59">
        <v>-68</v>
      </c>
      <c r="H51" s="59">
        <v>-6.75</v>
      </c>
      <c r="I51" s="2" t="s">
        <v>81</v>
      </c>
    </row>
    <row r="52" spans="1:9" x14ac:dyDescent="0.25">
      <c r="A52" s="2" t="s">
        <v>69</v>
      </c>
      <c r="B52" s="2" t="s">
        <v>72</v>
      </c>
      <c r="C52" s="2" t="s">
        <v>82</v>
      </c>
      <c r="D52" s="2" t="s">
        <v>15</v>
      </c>
      <c r="E52" s="59">
        <v>940</v>
      </c>
      <c r="F52" s="59">
        <v>994.18</v>
      </c>
      <c r="G52" s="59">
        <v>-54.18</v>
      </c>
      <c r="H52" s="59">
        <v>-5.45</v>
      </c>
      <c r="I52" s="2" t="s">
        <v>16</v>
      </c>
    </row>
    <row r="53" spans="1:9" x14ac:dyDescent="0.25">
      <c r="A53" s="2" t="s">
        <v>69</v>
      </c>
      <c r="B53" s="2" t="s">
        <v>72</v>
      </c>
      <c r="C53" s="2" t="s">
        <v>83</v>
      </c>
      <c r="D53" s="2" t="s">
        <v>15</v>
      </c>
      <c r="E53" s="59">
        <v>940</v>
      </c>
      <c r="F53" s="59">
        <v>994.18</v>
      </c>
      <c r="G53" s="59">
        <v>-54.18</v>
      </c>
      <c r="H53" s="59">
        <v>-5.45</v>
      </c>
      <c r="I53" s="2" t="s">
        <v>16</v>
      </c>
    </row>
    <row r="54" spans="1:9" x14ac:dyDescent="0.25">
      <c r="A54" s="2" t="s">
        <v>69</v>
      </c>
      <c r="B54" s="2" t="s">
        <v>72</v>
      </c>
      <c r="C54" s="2" t="s">
        <v>84</v>
      </c>
      <c r="D54" s="2" t="s">
        <v>15</v>
      </c>
      <c r="E54" s="59">
        <v>940</v>
      </c>
      <c r="F54" s="59">
        <v>994.18</v>
      </c>
      <c r="G54" s="59">
        <v>-54.18</v>
      </c>
      <c r="H54" s="59">
        <v>-5.45</v>
      </c>
      <c r="I54" s="2" t="s">
        <v>16</v>
      </c>
    </row>
    <row r="55" spans="1:9" x14ac:dyDescent="0.25">
      <c r="A55" s="2" t="s">
        <v>69</v>
      </c>
      <c r="B55" s="2" t="s">
        <v>72</v>
      </c>
      <c r="C55" s="2" t="s">
        <v>85</v>
      </c>
      <c r="D55" s="2" t="s">
        <v>15</v>
      </c>
      <c r="E55" s="59">
        <v>940</v>
      </c>
      <c r="F55" s="59">
        <v>1008</v>
      </c>
      <c r="G55" s="59">
        <v>-68</v>
      </c>
      <c r="H55" s="59">
        <v>-6.75</v>
      </c>
      <c r="I55" s="2" t="s">
        <v>81</v>
      </c>
    </row>
    <row r="56" spans="1:9" x14ac:dyDescent="0.25">
      <c r="A56" s="2" t="s">
        <v>69</v>
      </c>
      <c r="B56" s="2" t="s">
        <v>72</v>
      </c>
      <c r="C56" s="2" t="s">
        <v>86</v>
      </c>
      <c r="D56" s="2" t="s">
        <v>15</v>
      </c>
      <c r="E56" s="59">
        <v>940</v>
      </c>
      <c r="F56" s="59">
        <v>1008</v>
      </c>
      <c r="G56" s="59">
        <v>-68</v>
      </c>
      <c r="H56" s="59">
        <v>-6.75</v>
      </c>
      <c r="I56" s="2" t="s">
        <v>81</v>
      </c>
    </row>
    <row r="57" spans="1:9" x14ac:dyDescent="0.25">
      <c r="A57" s="2" t="s">
        <v>69</v>
      </c>
      <c r="B57" s="2" t="s">
        <v>72</v>
      </c>
      <c r="C57" s="2" t="s">
        <v>87</v>
      </c>
      <c r="D57" s="2" t="s">
        <v>15</v>
      </c>
      <c r="E57" s="59">
        <v>940</v>
      </c>
      <c r="F57" s="59">
        <v>1008</v>
      </c>
      <c r="G57" s="59">
        <v>-68</v>
      </c>
      <c r="H57" s="59">
        <v>-6.75</v>
      </c>
      <c r="I57" s="2" t="s">
        <v>81</v>
      </c>
    </row>
    <row r="58" spans="1:9" x14ac:dyDescent="0.25">
      <c r="A58" s="2" t="s">
        <v>69</v>
      </c>
      <c r="B58" s="2" t="s">
        <v>72</v>
      </c>
      <c r="C58" s="2" t="s">
        <v>88</v>
      </c>
      <c r="D58" s="2" t="s">
        <v>15</v>
      </c>
      <c r="E58" s="59">
        <v>940</v>
      </c>
      <c r="F58" s="59">
        <v>1008</v>
      </c>
      <c r="G58" s="59">
        <v>-68</v>
      </c>
      <c r="H58" s="59">
        <v>-6.75</v>
      </c>
      <c r="I58" s="2" t="s">
        <v>81</v>
      </c>
    </row>
    <row r="59" spans="1:9" x14ac:dyDescent="0.25">
      <c r="A59" s="2" t="s">
        <v>69</v>
      </c>
      <c r="B59" s="2" t="s">
        <v>72</v>
      </c>
      <c r="C59" s="2" t="s">
        <v>89</v>
      </c>
      <c r="D59" s="2" t="s">
        <v>15</v>
      </c>
      <c r="E59" s="59">
        <v>940</v>
      </c>
      <c r="F59" s="59">
        <v>1008</v>
      </c>
      <c r="G59" s="59">
        <v>-68</v>
      </c>
      <c r="H59" s="59">
        <v>-6.75</v>
      </c>
      <c r="I59" s="2" t="s">
        <v>81</v>
      </c>
    </row>
    <row r="60" spans="1:9" x14ac:dyDescent="0.25">
      <c r="A60" s="2" t="s">
        <v>69</v>
      </c>
      <c r="B60" s="2" t="s">
        <v>72</v>
      </c>
      <c r="C60" s="2" t="s">
        <v>90</v>
      </c>
      <c r="D60" s="2" t="s">
        <v>15</v>
      </c>
      <c r="E60" s="59">
        <v>940</v>
      </c>
      <c r="F60" s="59">
        <v>1008</v>
      </c>
      <c r="G60" s="59">
        <v>-68</v>
      </c>
      <c r="H60" s="59">
        <v>-6.75</v>
      </c>
      <c r="I60" s="2" t="s">
        <v>81</v>
      </c>
    </row>
    <row r="61" spans="1:9" x14ac:dyDescent="0.25">
      <c r="A61" s="2" t="s">
        <v>69</v>
      </c>
      <c r="B61" s="2" t="s">
        <v>72</v>
      </c>
      <c r="C61" s="2" t="s">
        <v>91</v>
      </c>
      <c r="D61" s="2" t="s">
        <v>15</v>
      </c>
      <c r="E61" s="59">
        <v>940</v>
      </c>
      <c r="F61" s="59">
        <v>994.18</v>
      </c>
      <c r="G61" s="59">
        <v>-54.18</v>
      </c>
      <c r="H61" s="59">
        <v>-5.45</v>
      </c>
      <c r="I61" s="2" t="s">
        <v>16</v>
      </c>
    </row>
    <row r="62" spans="1:9" x14ac:dyDescent="0.25">
      <c r="A62" s="2" t="s">
        <v>69</v>
      </c>
      <c r="B62" s="2" t="s">
        <v>72</v>
      </c>
      <c r="C62" s="2" t="s">
        <v>92</v>
      </c>
      <c r="D62" s="2" t="s">
        <v>15</v>
      </c>
      <c r="E62" s="59">
        <v>940</v>
      </c>
      <c r="F62" s="59">
        <v>1008</v>
      </c>
      <c r="G62" s="59">
        <v>-68</v>
      </c>
      <c r="H62" s="59">
        <v>-6.75</v>
      </c>
      <c r="I62" s="2" t="s">
        <v>81</v>
      </c>
    </row>
    <row r="63" spans="1:9" x14ac:dyDescent="0.25">
      <c r="A63" s="2" t="s">
        <v>69</v>
      </c>
      <c r="B63" s="2" t="s">
        <v>72</v>
      </c>
      <c r="C63" s="2" t="s">
        <v>93</v>
      </c>
      <c r="D63" s="2" t="s">
        <v>15</v>
      </c>
      <c r="E63" s="59">
        <v>940</v>
      </c>
      <c r="F63" s="59">
        <v>994.18</v>
      </c>
      <c r="G63" s="59">
        <v>-54.18</v>
      </c>
      <c r="H63" s="59">
        <v>-5.45</v>
      </c>
      <c r="I63" s="2" t="s">
        <v>16</v>
      </c>
    </row>
    <row r="64" spans="1:9" x14ac:dyDescent="0.25">
      <c r="A64" s="2" t="s">
        <v>69</v>
      </c>
      <c r="B64" s="2" t="s">
        <v>72</v>
      </c>
      <c r="C64" s="2" t="s">
        <v>94</v>
      </c>
      <c r="D64" s="2" t="s">
        <v>15</v>
      </c>
      <c r="E64" s="59">
        <v>940</v>
      </c>
      <c r="F64" s="59">
        <v>1008</v>
      </c>
      <c r="G64" s="59">
        <v>-68</v>
      </c>
      <c r="H64" s="59">
        <v>-6.75</v>
      </c>
      <c r="I64" s="2" t="s">
        <v>81</v>
      </c>
    </row>
    <row r="65" spans="1:9" x14ac:dyDescent="0.25">
      <c r="A65" s="2" t="s">
        <v>69</v>
      </c>
      <c r="B65" s="2" t="s">
        <v>72</v>
      </c>
      <c r="C65" s="2" t="s">
        <v>95</v>
      </c>
      <c r="D65" s="2" t="s">
        <v>15</v>
      </c>
      <c r="E65" s="59">
        <v>940</v>
      </c>
      <c r="F65" s="59">
        <v>1008</v>
      </c>
      <c r="G65" s="59">
        <v>-68</v>
      </c>
      <c r="H65" s="59">
        <v>-6.75</v>
      </c>
      <c r="I65" s="2" t="s">
        <v>81</v>
      </c>
    </row>
    <row r="66" spans="1:9" x14ac:dyDescent="0.25">
      <c r="A66" s="2" t="s">
        <v>69</v>
      </c>
      <c r="B66" s="2" t="s">
        <v>72</v>
      </c>
      <c r="C66" s="2" t="s">
        <v>96</v>
      </c>
      <c r="D66" s="2" t="s">
        <v>15</v>
      </c>
      <c r="E66" s="59">
        <v>940</v>
      </c>
      <c r="F66" s="59">
        <v>994.18</v>
      </c>
      <c r="G66" s="59">
        <v>-54.18</v>
      </c>
      <c r="H66" s="59">
        <v>-5.45</v>
      </c>
      <c r="I66" s="2" t="s">
        <v>16</v>
      </c>
    </row>
    <row r="67" spans="1:9" x14ac:dyDescent="0.25">
      <c r="A67" s="2" t="s">
        <v>69</v>
      </c>
      <c r="B67" s="2" t="s">
        <v>72</v>
      </c>
      <c r="C67" s="2" t="s">
        <v>97</v>
      </c>
      <c r="D67" s="2" t="s">
        <v>15</v>
      </c>
      <c r="E67" s="59">
        <v>940</v>
      </c>
      <c r="F67" s="59">
        <v>1008</v>
      </c>
      <c r="G67" s="59">
        <v>-68</v>
      </c>
      <c r="H67" s="59">
        <v>-6.75</v>
      </c>
      <c r="I67" s="2" t="s">
        <v>81</v>
      </c>
    </row>
    <row r="68" spans="1:9" x14ac:dyDescent="0.25">
      <c r="A68" s="2" t="s">
        <v>69</v>
      </c>
      <c r="B68" s="2" t="s">
        <v>72</v>
      </c>
      <c r="C68" s="2" t="s">
        <v>98</v>
      </c>
      <c r="D68" s="2" t="s">
        <v>15</v>
      </c>
      <c r="E68" s="59">
        <v>940</v>
      </c>
      <c r="F68" s="59">
        <v>994.18</v>
      </c>
      <c r="G68" s="59">
        <v>-54.18</v>
      </c>
      <c r="H68" s="59">
        <v>-5.45</v>
      </c>
      <c r="I68" s="2" t="s">
        <v>16</v>
      </c>
    </row>
    <row r="69" spans="1:9" x14ac:dyDescent="0.25">
      <c r="A69" s="2" t="s">
        <v>69</v>
      </c>
      <c r="B69" s="2" t="s">
        <v>72</v>
      </c>
      <c r="C69" s="2" t="s">
        <v>99</v>
      </c>
      <c r="D69" s="2" t="s">
        <v>15</v>
      </c>
      <c r="E69" s="59">
        <v>940</v>
      </c>
      <c r="F69" s="59">
        <v>1008</v>
      </c>
      <c r="G69" s="59">
        <v>-68</v>
      </c>
      <c r="H69" s="59">
        <v>-6.75</v>
      </c>
      <c r="I69" s="2" t="s">
        <v>81</v>
      </c>
    </row>
    <row r="70" spans="1:9" x14ac:dyDescent="0.25">
      <c r="A70" t="s">
        <v>69</v>
      </c>
      <c r="B70" t="s">
        <v>100</v>
      </c>
      <c r="C70" t="s">
        <v>101</v>
      </c>
      <c r="D70" t="s">
        <v>15</v>
      </c>
      <c r="E70" s="46">
        <v>2040</v>
      </c>
      <c r="F70" s="46">
        <v>1880</v>
      </c>
      <c r="G70" s="46">
        <v>160</v>
      </c>
      <c r="H70" s="46">
        <v>8.51</v>
      </c>
      <c r="I70" t="s">
        <v>29</v>
      </c>
    </row>
    <row r="71" spans="1:9" x14ac:dyDescent="0.25">
      <c r="A71" t="s">
        <v>69</v>
      </c>
      <c r="B71" t="s">
        <v>100</v>
      </c>
      <c r="C71" t="s">
        <v>102</v>
      </c>
      <c r="D71" t="s">
        <v>15</v>
      </c>
      <c r="E71" s="46">
        <v>2040</v>
      </c>
      <c r="F71" s="46">
        <v>1880</v>
      </c>
      <c r="G71" s="46">
        <v>160</v>
      </c>
      <c r="H71" s="46">
        <v>8.51</v>
      </c>
      <c r="I71" t="s">
        <v>29</v>
      </c>
    </row>
    <row r="72" spans="1:9" x14ac:dyDescent="0.25">
      <c r="A72" t="s">
        <v>69</v>
      </c>
      <c r="B72" t="s">
        <v>100</v>
      </c>
      <c r="C72" t="s">
        <v>103</v>
      </c>
      <c r="D72" t="s">
        <v>15</v>
      </c>
      <c r="E72" s="46">
        <v>2040</v>
      </c>
      <c r="F72" s="46">
        <v>1880</v>
      </c>
      <c r="G72" s="46">
        <v>160</v>
      </c>
      <c r="H72" s="46">
        <v>8.51</v>
      </c>
      <c r="I72" t="s">
        <v>29</v>
      </c>
    </row>
    <row r="73" spans="1:9" x14ac:dyDescent="0.25">
      <c r="A73" t="s">
        <v>69</v>
      </c>
      <c r="B73" t="s">
        <v>100</v>
      </c>
      <c r="C73" t="s">
        <v>104</v>
      </c>
      <c r="D73" t="s">
        <v>15</v>
      </c>
      <c r="E73" s="46">
        <v>2040</v>
      </c>
      <c r="F73" s="46">
        <v>1880</v>
      </c>
      <c r="G73" s="46">
        <v>160</v>
      </c>
      <c r="H73" s="46">
        <v>8.51</v>
      </c>
      <c r="I73" t="s">
        <v>29</v>
      </c>
    </row>
    <row r="74" spans="1:9" x14ac:dyDescent="0.25">
      <c r="A74" s="2" t="s">
        <v>69</v>
      </c>
      <c r="B74" s="2" t="s">
        <v>105</v>
      </c>
      <c r="C74" s="2" t="s">
        <v>106</v>
      </c>
      <c r="D74" s="2" t="s">
        <v>15</v>
      </c>
      <c r="E74" s="59">
        <v>625</v>
      </c>
      <c r="F74" s="59">
        <v>633.88</v>
      </c>
      <c r="G74" s="59">
        <v>-8.8800000000000008</v>
      </c>
      <c r="H74" s="59">
        <v>-1.4</v>
      </c>
      <c r="I74" s="2" t="s">
        <v>16</v>
      </c>
    </row>
    <row r="75" spans="1:9" x14ac:dyDescent="0.25">
      <c r="A75" s="2" t="s">
        <v>69</v>
      </c>
      <c r="B75" s="2" t="s">
        <v>105</v>
      </c>
      <c r="C75" s="2" t="s">
        <v>107</v>
      </c>
      <c r="D75" s="2" t="s">
        <v>15</v>
      </c>
      <c r="E75" s="59">
        <v>625</v>
      </c>
      <c r="F75" s="59">
        <v>633.88</v>
      </c>
      <c r="G75" s="59">
        <v>-8.8800000000000008</v>
      </c>
      <c r="H75" s="59">
        <v>-1.4</v>
      </c>
      <c r="I75" s="2" t="s">
        <v>16</v>
      </c>
    </row>
    <row r="76" spans="1:9" x14ac:dyDescent="0.25">
      <c r="A76" s="2" t="s">
        <v>69</v>
      </c>
      <c r="B76" s="2" t="s">
        <v>105</v>
      </c>
      <c r="C76" s="2" t="s">
        <v>108</v>
      </c>
      <c r="D76" s="2" t="s">
        <v>15</v>
      </c>
      <c r="E76" s="59">
        <v>625</v>
      </c>
      <c r="F76" s="59">
        <v>633.88</v>
      </c>
      <c r="G76" s="59">
        <v>-8.8800000000000008</v>
      </c>
      <c r="H76" s="59">
        <v>-1.4</v>
      </c>
      <c r="I76" s="2" t="s">
        <v>16</v>
      </c>
    </row>
    <row r="77" spans="1:9" x14ac:dyDescent="0.25">
      <c r="A77" s="2" t="s">
        <v>69</v>
      </c>
      <c r="B77" s="2" t="s">
        <v>105</v>
      </c>
      <c r="C77" s="2" t="s">
        <v>109</v>
      </c>
      <c r="D77" s="2" t="s">
        <v>15</v>
      </c>
      <c r="E77" s="59">
        <v>625</v>
      </c>
      <c r="F77" s="59">
        <v>633.88</v>
      </c>
      <c r="G77" s="59">
        <v>-8.8800000000000008</v>
      </c>
      <c r="H77" s="59">
        <v>-1.4</v>
      </c>
      <c r="I77" s="2" t="s">
        <v>16</v>
      </c>
    </row>
    <row r="78" spans="1:9" x14ac:dyDescent="0.25">
      <c r="A78" s="2" t="s">
        <v>69</v>
      </c>
      <c r="B78" s="2" t="s">
        <v>105</v>
      </c>
      <c r="C78" s="2" t="s">
        <v>110</v>
      </c>
      <c r="D78" s="2" t="s">
        <v>15</v>
      </c>
      <c r="E78" s="59">
        <v>625</v>
      </c>
      <c r="F78" s="59">
        <v>633.88</v>
      </c>
      <c r="G78" s="59">
        <v>-8.8800000000000008</v>
      </c>
      <c r="H78" s="59">
        <v>-1.4</v>
      </c>
      <c r="I78" s="2" t="s">
        <v>16</v>
      </c>
    </row>
    <row r="79" spans="1:9" x14ac:dyDescent="0.25">
      <c r="A79" s="2" t="s">
        <v>69</v>
      </c>
      <c r="B79" s="2" t="s">
        <v>105</v>
      </c>
      <c r="C79" s="2" t="s">
        <v>111</v>
      </c>
      <c r="D79" s="2" t="s">
        <v>15</v>
      </c>
      <c r="E79" s="59">
        <v>625</v>
      </c>
      <c r="F79" s="59">
        <v>633.88</v>
      </c>
      <c r="G79" s="59">
        <v>-8.8800000000000008</v>
      </c>
      <c r="H79" s="59">
        <v>-1.4</v>
      </c>
      <c r="I79" s="2" t="s">
        <v>16</v>
      </c>
    </row>
    <row r="80" spans="1:9" x14ac:dyDescent="0.25">
      <c r="A80" s="2" t="s">
        <v>69</v>
      </c>
      <c r="B80" s="2" t="s">
        <v>105</v>
      </c>
      <c r="C80" s="2" t="s">
        <v>112</v>
      </c>
      <c r="D80" s="2" t="s">
        <v>15</v>
      </c>
      <c r="E80" s="59">
        <v>625</v>
      </c>
      <c r="F80" s="59">
        <v>633.88</v>
      </c>
      <c r="G80" s="59">
        <v>-8.8800000000000008</v>
      </c>
      <c r="H80" s="59">
        <v>-1.4</v>
      </c>
      <c r="I80" s="2" t="s">
        <v>16</v>
      </c>
    </row>
    <row r="81" spans="1:9" x14ac:dyDescent="0.25">
      <c r="A81" s="2" t="s">
        <v>69</v>
      </c>
      <c r="B81" s="2" t="s">
        <v>105</v>
      </c>
      <c r="C81" s="2" t="s">
        <v>113</v>
      </c>
      <c r="D81" s="2" t="s">
        <v>15</v>
      </c>
      <c r="E81" s="59">
        <v>625</v>
      </c>
      <c r="F81" s="59">
        <v>633.88</v>
      </c>
      <c r="G81" s="59">
        <v>-8.8800000000000008</v>
      </c>
      <c r="H81" s="59">
        <v>-1.4</v>
      </c>
      <c r="I81" s="2" t="s">
        <v>16</v>
      </c>
    </row>
    <row r="82" spans="1:9" x14ac:dyDescent="0.25">
      <c r="A82" s="2" t="s">
        <v>69</v>
      </c>
      <c r="B82" s="2" t="s">
        <v>105</v>
      </c>
      <c r="C82" s="2" t="s">
        <v>114</v>
      </c>
      <c r="D82" s="2" t="s">
        <v>15</v>
      </c>
      <c r="E82" s="59">
        <v>625</v>
      </c>
      <c r="F82" s="59">
        <v>633.88</v>
      </c>
      <c r="G82" s="59">
        <v>-8.8800000000000008</v>
      </c>
      <c r="H82" s="59">
        <v>-1.4</v>
      </c>
      <c r="I82" s="2" t="s">
        <v>16</v>
      </c>
    </row>
    <row r="83" spans="1:9" x14ac:dyDescent="0.25">
      <c r="A83" s="2" t="s">
        <v>69</v>
      </c>
      <c r="B83" s="2" t="s">
        <v>105</v>
      </c>
      <c r="C83" s="2" t="s">
        <v>115</v>
      </c>
      <c r="D83" s="2" t="s">
        <v>15</v>
      </c>
      <c r="E83" s="59">
        <v>625</v>
      </c>
      <c r="F83" s="59">
        <v>633.88</v>
      </c>
      <c r="G83" s="59">
        <v>-8.8800000000000008</v>
      </c>
      <c r="H83" s="59">
        <v>-1.4</v>
      </c>
      <c r="I83" s="2" t="s">
        <v>16</v>
      </c>
    </row>
    <row r="84" spans="1:9" x14ac:dyDescent="0.25">
      <c r="A84" s="2" t="s">
        <v>69</v>
      </c>
      <c r="B84" s="2" t="s">
        <v>105</v>
      </c>
      <c r="C84" s="2" t="s">
        <v>116</v>
      </c>
      <c r="D84" s="2" t="s">
        <v>15</v>
      </c>
      <c r="E84" s="59">
        <v>625</v>
      </c>
      <c r="F84" s="59">
        <v>633.88</v>
      </c>
      <c r="G84" s="59">
        <v>-8.8800000000000008</v>
      </c>
      <c r="H84" s="59">
        <v>-1.4</v>
      </c>
      <c r="I84" s="2" t="s">
        <v>16</v>
      </c>
    </row>
    <row r="85" spans="1:9" x14ac:dyDescent="0.25">
      <c r="A85" s="2" t="s">
        <v>69</v>
      </c>
      <c r="B85" s="2" t="s">
        <v>105</v>
      </c>
      <c r="C85" s="2" t="s">
        <v>117</v>
      </c>
      <c r="D85" s="2" t="s">
        <v>15</v>
      </c>
      <c r="E85" s="59">
        <v>625</v>
      </c>
      <c r="F85" s="59">
        <v>633.88</v>
      </c>
      <c r="G85" s="59">
        <v>-8.8800000000000008</v>
      </c>
      <c r="H85" s="59">
        <v>-1.4</v>
      </c>
      <c r="I85" s="2" t="s">
        <v>16</v>
      </c>
    </row>
    <row r="86" spans="1:9" x14ac:dyDescent="0.25">
      <c r="A86" s="2" t="s">
        <v>69</v>
      </c>
      <c r="B86" s="2" t="s">
        <v>105</v>
      </c>
      <c r="C86" s="2" t="s">
        <v>118</v>
      </c>
      <c r="D86" s="2" t="s">
        <v>15</v>
      </c>
      <c r="E86" s="59">
        <v>625</v>
      </c>
      <c r="F86" s="59">
        <v>633.88</v>
      </c>
      <c r="G86" s="59">
        <v>-8.8800000000000008</v>
      </c>
      <c r="H86" s="59">
        <v>-1.4</v>
      </c>
      <c r="I86" s="2" t="s">
        <v>16</v>
      </c>
    </row>
    <row r="87" spans="1:9" x14ac:dyDescent="0.25">
      <c r="A87" s="2" t="s">
        <v>69</v>
      </c>
      <c r="B87" s="2" t="s">
        <v>105</v>
      </c>
      <c r="C87" s="2" t="s">
        <v>119</v>
      </c>
      <c r="D87" s="2" t="s">
        <v>15</v>
      </c>
      <c r="E87" s="59">
        <v>625</v>
      </c>
      <c r="F87" s="59">
        <v>633.88</v>
      </c>
      <c r="G87" s="59">
        <v>-8.8800000000000008</v>
      </c>
      <c r="H87" s="59">
        <v>-1.4</v>
      </c>
      <c r="I87" s="2" t="s">
        <v>16</v>
      </c>
    </row>
    <row r="88" spans="1:9" x14ac:dyDescent="0.25">
      <c r="A88" s="2" t="s">
        <v>69</v>
      </c>
      <c r="B88" s="2" t="s">
        <v>105</v>
      </c>
      <c r="C88" s="2" t="s">
        <v>120</v>
      </c>
      <c r="D88" s="2" t="s">
        <v>15</v>
      </c>
      <c r="E88" s="59">
        <v>625</v>
      </c>
      <c r="F88" s="59">
        <v>633.88</v>
      </c>
      <c r="G88" s="59">
        <v>-8.8800000000000008</v>
      </c>
      <c r="H88" s="59">
        <v>-1.4</v>
      </c>
      <c r="I88" s="2" t="s">
        <v>16</v>
      </c>
    </row>
    <row r="89" spans="1:9" x14ac:dyDescent="0.25">
      <c r="A89" s="2" t="s">
        <v>69</v>
      </c>
      <c r="B89" s="2" t="s">
        <v>105</v>
      </c>
      <c r="C89" s="2" t="s">
        <v>121</v>
      </c>
      <c r="D89" s="2" t="s">
        <v>15</v>
      </c>
      <c r="E89" s="59">
        <v>625</v>
      </c>
      <c r="F89" s="59">
        <v>633.88</v>
      </c>
      <c r="G89" s="59">
        <v>-8.8800000000000008</v>
      </c>
      <c r="H89" s="59">
        <v>-1.4</v>
      </c>
      <c r="I89" s="2" t="s">
        <v>16</v>
      </c>
    </row>
    <row r="90" spans="1:9" x14ac:dyDescent="0.25">
      <c r="A90" s="2" t="s">
        <v>69</v>
      </c>
      <c r="B90" s="2" t="s">
        <v>105</v>
      </c>
      <c r="C90" s="2" t="s">
        <v>122</v>
      </c>
      <c r="D90" s="2" t="s">
        <v>15</v>
      </c>
      <c r="E90" s="59">
        <v>625</v>
      </c>
      <c r="F90" s="59">
        <v>633.88</v>
      </c>
      <c r="G90" s="59">
        <v>-8.8800000000000008</v>
      </c>
      <c r="H90" s="59">
        <v>-1.4</v>
      </c>
      <c r="I90" s="2" t="s">
        <v>16</v>
      </c>
    </row>
    <row r="91" spans="1:9" x14ac:dyDescent="0.25">
      <c r="A91" s="2" t="s">
        <v>69</v>
      </c>
      <c r="B91" s="2" t="s">
        <v>105</v>
      </c>
      <c r="C91" s="2" t="s">
        <v>123</v>
      </c>
      <c r="D91" s="2" t="s">
        <v>15</v>
      </c>
      <c r="E91" s="59">
        <v>625</v>
      </c>
      <c r="F91" s="59">
        <v>633.88</v>
      </c>
      <c r="G91" s="59">
        <v>-8.8800000000000008</v>
      </c>
      <c r="H91" s="59">
        <v>-1.4</v>
      </c>
      <c r="I91" s="2" t="s">
        <v>16</v>
      </c>
    </row>
    <row r="92" spans="1:9" x14ac:dyDescent="0.25">
      <c r="A92" s="2" t="s">
        <v>69</v>
      </c>
      <c r="B92" s="2" t="s">
        <v>105</v>
      </c>
      <c r="C92" s="2" t="s">
        <v>124</v>
      </c>
      <c r="D92" s="2" t="s">
        <v>15</v>
      </c>
      <c r="E92" s="59">
        <v>625</v>
      </c>
      <c r="F92" s="59">
        <v>633.88</v>
      </c>
      <c r="G92" s="59">
        <v>-8.8800000000000008</v>
      </c>
      <c r="H92" s="59">
        <v>-1.4</v>
      </c>
      <c r="I92" s="2" t="s">
        <v>16</v>
      </c>
    </row>
    <row r="93" spans="1:9" x14ac:dyDescent="0.25">
      <c r="A93" s="2" t="s">
        <v>69</v>
      </c>
      <c r="B93" s="2" t="s">
        <v>105</v>
      </c>
      <c r="C93" s="2" t="s">
        <v>125</v>
      </c>
      <c r="D93" s="2" t="s">
        <v>15</v>
      </c>
      <c r="E93" s="59">
        <v>625</v>
      </c>
      <c r="F93" s="59">
        <v>633.88</v>
      </c>
      <c r="G93" s="59">
        <v>-8.8800000000000008</v>
      </c>
      <c r="H93" s="59">
        <v>-1.4</v>
      </c>
      <c r="I93" s="2" t="s">
        <v>16</v>
      </c>
    </row>
    <row r="94" spans="1:9" x14ac:dyDescent="0.25">
      <c r="A94" s="2" t="s">
        <v>69</v>
      </c>
      <c r="B94" s="2" t="s">
        <v>105</v>
      </c>
      <c r="C94" s="2" t="s">
        <v>126</v>
      </c>
      <c r="D94" s="2" t="s">
        <v>15</v>
      </c>
      <c r="E94" s="59">
        <v>625</v>
      </c>
      <c r="F94" s="59">
        <v>633.88</v>
      </c>
      <c r="G94" s="59">
        <v>-8.8800000000000008</v>
      </c>
      <c r="H94" s="59">
        <v>-1.4</v>
      </c>
      <c r="I94" s="2" t="s">
        <v>16</v>
      </c>
    </row>
    <row r="95" spans="1:9" x14ac:dyDescent="0.25">
      <c r="A95" s="2" t="s">
        <v>69</v>
      </c>
      <c r="B95" s="2" t="s">
        <v>105</v>
      </c>
      <c r="C95" s="2" t="s">
        <v>127</v>
      </c>
      <c r="D95" s="2" t="s">
        <v>15</v>
      </c>
      <c r="E95" s="59">
        <v>625</v>
      </c>
      <c r="F95" s="59">
        <v>633.88</v>
      </c>
      <c r="G95" s="59">
        <v>-8.8800000000000008</v>
      </c>
      <c r="H95" s="59">
        <v>-1.4</v>
      </c>
      <c r="I95" s="2" t="s">
        <v>16</v>
      </c>
    </row>
    <row r="96" spans="1:9" x14ac:dyDescent="0.25">
      <c r="A96" s="2" t="s">
        <v>69</v>
      </c>
      <c r="B96" s="2" t="s">
        <v>105</v>
      </c>
      <c r="C96" s="2" t="s">
        <v>128</v>
      </c>
      <c r="D96" s="2" t="s">
        <v>15</v>
      </c>
      <c r="E96" s="59">
        <v>625</v>
      </c>
      <c r="F96" s="59">
        <v>633.88</v>
      </c>
      <c r="G96" s="59">
        <v>-8.8800000000000008</v>
      </c>
      <c r="H96" s="59">
        <v>-1.4</v>
      </c>
      <c r="I96" s="2" t="s">
        <v>16</v>
      </c>
    </row>
    <row r="97" spans="1:9" x14ac:dyDescent="0.25">
      <c r="A97" s="2" t="s">
        <v>69</v>
      </c>
      <c r="B97" s="2" t="s">
        <v>105</v>
      </c>
      <c r="C97" s="2" t="s">
        <v>129</v>
      </c>
      <c r="D97" s="2" t="s">
        <v>15</v>
      </c>
      <c r="E97" s="59">
        <v>625</v>
      </c>
      <c r="F97" s="59">
        <v>633.88</v>
      </c>
      <c r="G97" s="59">
        <v>-8.8800000000000008</v>
      </c>
      <c r="H97" s="59">
        <v>-1.4</v>
      </c>
      <c r="I97" s="2" t="s">
        <v>16</v>
      </c>
    </row>
    <row r="98" spans="1:9" x14ac:dyDescent="0.25">
      <c r="A98" s="2" t="s">
        <v>69</v>
      </c>
      <c r="B98" s="2" t="s">
        <v>105</v>
      </c>
      <c r="C98" s="2" t="s">
        <v>130</v>
      </c>
      <c r="D98" s="2" t="s">
        <v>15</v>
      </c>
      <c r="E98" s="59">
        <v>625</v>
      </c>
      <c r="F98" s="59">
        <v>633.88</v>
      </c>
      <c r="G98" s="59">
        <v>-8.8800000000000008</v>
      </c>
      <c r="H98" s="59">
        <v>-1.4</v>
      </c>
      <c r="I98" s="2" t="s">
        <v>16</v>
      </c>
    </row>
    <row r="99" spans="1:9" x14ac:dyDescent="0.25">
      <c r="A99" s="2" t="s">
        <v>69</v>
      </c>
      <c r="B99" s="2" t="s">
        <v>105</v>
      </c>
      <c r="C99" s="2" t="s">
        <v>131</v>
      </c>
      <c r="D99" s="2" t="s">
        <v>15</v>
      </c>
      <c r="E99" s="59">
        <v>625</v>
      </c>
      <c r="F99" s="59">
        <v>633.88</v>
      </c>
      <c r="G99" s="59">
        <v>-8.8800000000000008</v>
      </c>
      <c r="H99" s="59">
        <v>-1.4</v>
      </c>
      <c r="I99" s="2" t="s">
        <v>16</v>
      </c>
    </row>
    <row r="100" spans="1:9" x14ac:dyDescent="0.25">
      <c r="A100" s="2" t="s">
        <v>69</v>
      </c>
      <c r="B100" s="2" t="s">
        <v>105</v>
      </c>
      <c r="C100" s="2" t="s">
        <v>132</v>
      </c>
      <c r="D100" s="2" t="s">
        <v>15</v>
      </c>
      <c r="E100" s="59">
        <v>625</v>
      </c>
      <c r="F100" s="59">
        <v>633.88</v>
      </c>
      <c r="G100" s="59">
        <v>-8.8800000000000008</v>
      </c>
      <c r="H100" s="59">
        <v>-1.4</v>
      </c>
      <c r="I100" s="2" t="s">
        <v>16</v>
      </c>
    </row>
    <row r="101" spans="1:9" x14ac:dyDescent="0.25">
      <c r="A101" s="2" t="s">
        <v>69</v>
      </c>
      <c r="B101" s="2" t="s">
        <v>105</v>
      </c>
      <c r="C101" s="2" t="s">
        <v>133</v>
      </c>
      <c r="D101" s="2" t="s">
        <v>15</v>
      </c>
      <c r="E101" s="59">
        <v>625</v>
      </c>
      <c r="F101" s="59">
        <v>633.88</v>
      </c>
      <c r="G101" s="59">
        <v>-8.8800000000000008</v>
      </c>
      <c r="H101" s="59">
        <v>-1.4</v>
      </c>
      <c r="I101" s="2" t="s">
        <v>16</v>
      </c>
    </row>
    <row r="102" spans="1:9" x14ac:dyDescent="0.25">
      <c r="A102" s="2" t="s">
        <v>69</v>
      </c>
      <c r="B102" s="2" t="s">
        <v>105</v>
      </c>
      <c r="C102" s="2" t="s">
        <v>134</v>
      </c>
      <c r="D102" s="2" t="s">
        <v>15</v>
      </c>
      <c r="E102" s="59">
        <v>625</v>
      </c>
      <c r="F102" s="59">
        <v>633.88</v>
      </c>
      <c r="G102" s="59">
        <v>-8.8800000000000008</v>
      </c>
      <c r="H102" s="59">
        <v>-1.4</v>
      </c>
      <c r="I102" s="2" t="s">
        <v>16</v>
      </c>
    </row>
    <row r="103" spans="1:9" x14ac:dyDescent="0.25">
      <c r="A103" s="2" t="s">
        <v>69</v>
      </c>
      <c r="B103" s="2" t="s">
        <v>105</v>
      </c>
      <c r="C103" s="2" t="s">
        <v>135</v>
      </c>
      <c r="D103" s="2" t="s">
        <v>15</v>
      </c>
      <c r="E103" s="59">
        <v>625</v>
      </c>
      <c r="F103" s="59">
        <v>633.88</v>
      </c>
      <c r="G103" s="59">
        <v>-8.8800000000000008</v>
      </c>
      <c r="H103" s="59">
        <v>-1.4</v>
      </c>
      <c r="I103" s="2" t="s">
        <v>16</v>
      </c>
    </row>
    <row r="104" spans="1:9" x14ac:dyDescent="0.25">
      <c r="A104" s="2" t="s">
        <v>69</v>
      </c>
      <c r="B104" s="2" t="s">
        <v>105</v>
      </c>
      <c r="C104" s="2" t="s">
        <v>136</v>
      </c>
      <c r="D104" s="2" t="s">
        <v>15</v>
      </c>
      <c r="E104" s="59">
        <v>625</v>
      </c>
      <c r="F104" s="59">
        <v>633.88</v>
      </c>
      <c r="G104" s="59">
        <v>-8.8800000000000008</v>
      </c>
      <c r="H104" s="59">
        <v>-1.4</v>
      </c>
      <c r="I104" s="2" t="s">
        <v>16</v>
      </c>
    </row>
    <row r="105" spans="1:9" x14ac:dyDescent="0.25">
      <c r="A105" s="2" t="s">
        <v>69</v>
      </c>
      <c r="B105" s="2" t="s">
        <v>105</v>
      </c>
      <c r="C105" s="2" t="s">
        <v>137</v>
      </c>
      <c r="D105" s="2" t="s">
        <v>15</v>
      </c>
      <c r="E105" s="59">
        <v>625</v>
      </c>
      <c r="F105" s="59">
        <v>633.88</v>
      </c>
      <c r="G105" s="59">
        <v>-8.8800000000000008</v>
      </c>
      <c r="H105" s="59">
        <v>-1.4</v>
      </c>
      <c r="I105" s="2" t="s">
        <v>16</v>
      </c>
    </row>
    <row r="106" spans="1:9" x14ac:dyDescent="0.25">
      <c r="A106" s="2" t="s">
        <v>69</v>
      </c>
      <c r="B106" s="2" t="s">
        <v>105</v>
      </c>
      <c r="C106" s="2" t="s">
        <v>138</v>
      </c>
      <c r="D106" s="2" t="s">
        <v>15</v>
      </c>
      <c r="E106" s="59">
        <v>625</v>
      </c>
      <c r="F106" s="59">
        <v>633.88</v>
      </c>
      <c r="G106" s="59">
        <v>-8.8800000000000008</v>
      </c>
      <c r="H106" s="59">
        <v>-1.4</v>
      </c>
      <c r="I106" s="2" t="s">
        <v>16</v>
      </c>
    </row>
    <row r="107" spans="1:9" x14ac:dyDescent="0.25">
      <c r="A107" s="2" t="s">
        <v>69</v>
      </c>
      <c r="B107" s="2" t="s">
        <v>105</v>
      </c>
      <c r="C107" s="2" t="s">
        <v>139</v>
      </c>
      <c r="D107" s="2" t="s">
        <v>15</v>
      </c>
      <c r="E107" s="59">
        <v>625</v>
      </c>
      <c r="F107" s="59">
        <v>633.88</v>
      </c>
      <c r="G107" s="59">
        <v>-8.8800000000000008</v>
      </c>
      <c r="H107" s="59">
        <v>-1.4</v>
      </c>
      <c r="I107" s="2" t="s">
        <v>16</v>
      </c>
    </row>
    <row r="108" spans="1:9" x14ac:dyDescent="0.25">
      <c r="A108" s="2" t="s">
        <v>69</v>
      </c>
      <c r="B108" s="2" t="s">
        <v>105</v>
      </c>
      <c r="C108" s="2" t="s">
        <v>140</v>
      </c>
      <c r="D108" s="2" t="s">
        <v>15</v>
      </c>
      <c r="E108" s="59">
        <v>625</v>
      </c>
      <c r="F108" s="59">
        <v>633.88</v>
      </c>
      <c r="G108" s="59">
        <v>-8.8800000000000008</v>
      </c>
      <c r="H108" s="59">
        <v>-1.4</v>
      </c>
      <c r="I108" s="2" t="s">
        <v>16</v>
      </c>
    </row>
    <row r="109" spans="1:9" x14ac:dyDescent="0.25">
      <c r="A109" s="2" t="s">
        <v>69</v>
      </c>
      <c r="B109" s="2" t="s">
        <v>105</v>
      </c>
      <c r="C109" s="2" t="s">
        <v>141</v>
      </c>
      <c r="D109" s="2" t="s">
        <v>15</v>
      </c>
      <c r="E109" s="59">
        <v>625</v>
      </c>
      <c r="F109" s="59">
        <v>633.88</v>
      </c>
      <c r="G109" s="59">
        <v>-8.8800000000000008</v>
      </c>
      <c r="H109" s="59">
        <v>-1.4</v>
      </c>
      <c r="I109" s="2" t="s">
        <v>16</v>
      </c>
    </row>
    <row r="110" spans="1:9" x14ac:dyDescent="0.25">
      <c r="A110" s="2" t="s">
        <v>69</v>
      </c>
      <c r="B110" s="2" t="s">
        <v>105</v>
      </c>
      <c r="C110" s="2" t="s">
        <v>142</v>
      </c>
      <c r="D110" s="2" t="s">
        <v>15</v>
      </c>
      <c r="E110" s="59">
        <v>625</v>
      </c>
      <c r="F110" s="59">
        <v>633.88</v>
      </c>
      <c r="G110" s="59">
        <v>-8.8800000000000008</v>
      </c>
      <c r="H110" s="59">
        <v>-1.4</v>
      </c>
      <c r="I110" s="2" t="s">
        <v>16</v>
      </c>
    </row>
    <row r="111" spans="1:9" x14ac:dyDescent="0.25">
      <c r="A111" s="2" t="s">
        <v>69</v>
      </c>
      <c r="B111" s="2" t="s">
        <v>105</v>
      </c>
      <c r="C111" s="2" t="s">
        <v>143</v>
      </c>
      <c r="D111" s="2" t="s">
        <v>15</v>
      </c>
      <c r="E111" s="59">
        <v>625</v>
      </c>
      <c r="F111" s="59">
        <v>633.88</v>
      </c>
      <c r="G111" s="59">
        <v>-8.8800000000000008</v>
      </c>
      <c r="H111" s="59">
        <v>-1.4</v>
      </c>
      <c r="I111" s="2" t="s">
        <v>16</v>
      </c>
    </row>
    <row r="112" spans="1:9" x14ac:dyDescent="0.25">
      <c r="A112" s="2" t="s">
        <v>69</v>
      </c>
      <c r="B112" s="2" t="s">
        <v>105</v>
      </c>
      <c r="C112" s="2" t="s">
        <v>144</v>
      </c>
      <c r="D112" s="2" t="s">
        <v>15</v>
      </c>
      <c r="E112" s="59">
        <v>625</v>
      </c>
      <c r="F112" s="59">
        <v>633.88</v>
      </c>
      <c r="G112" s="59">
        <v>-8.8800000000000008</v>
      </c>
      <c r="H112" s="59">
        <v>-1.4</v>
      </c>
      <c r="I112" s="2" t="s">
        <v>16</v>
      </c>
    </row>
    <row r="113" spans="1:9" x14ac:dyDescent="0.25">
      <c r="A113" s="2" t="s">
        <v>69</v>
      </c>
      <c r="B113" s="2" t="s">
        <v>105</v>
      </c>
      <c r="C113" s="2" t="s">
        <v>145</v>
      </c>
      <c r="D113" s="2" t="s">
        <v>15</v>
      </c>
      <c r="E113" s="59">
        <v>625</v>
      </c>
      <c r="F113" s="59">
        <v>633.88</v>
      </c>
      <c r="G113" s="59">
        <v>-8.8800000000000008</v>
      </c>
      <c r="H113" s="59">
        <v>-1.4</v>
      </c>
      <c r="I113" s="2" t="s">
        <v>16</v>
      </c>
    </row>
    <row r="114" spans="1:9" x14ac:dyDescent="0.25">
      <c r="A114" s="2" t="s">
        <v>69</v>
      </c>
      <c r="B114" s="2" t="s">
        <v>105</v>
      </c>
      <c r="C114" s="2" t="s">
        <v>146</v>
      </c>
      <c r="D114" s="2" t="s">
        <v>15</v>
      </c>
      <c r="E114" s="59">
        <v>625</v>
      </c>
      <c r="F114" s="59">
        <v>633.88</v>
      </c>
      <c r="G114" s="59">
        <v>-8.8800000000000008</v>
      </c>
      <c r="H114" s="59">
        <v>-1.4</v>
      </c>
      <c r="I114" s="2" t="s">
        <v>16</v>
      </c>
    </row>
    <row r="115" spans="1:9" x14ac:dyDescent="0.25">
      <c r="A115" s="2" t="s">
        <v>69</v>
      </c>
      <c r="B115" s="2" t="s">
        <v>105</v>
      </c>
      <c r="C115" s="2" t="s">
        <v>147</v>
      </c>
      <c r="D115" s="2" t="s">
        <v>15</v>
      </c>
      <c r="E115" s="59">
        <v>625</v>
      </c>
      <c r="F115" s="59">
        <v>633.88</v>
      </c>
      <c r="G115" s="59">
        <v>-8.8800000000000008</v>
      </c>
      <c r="H115" s="59">
        <v>-1.4</v>
      </c>
      <c r="I115" s="2" t="s">
        <v>16</v>
      </c>
    </row>
    <row r="116" spans="1:9" x14ac:dyDescent="0.25">
      <c r="A116" s="2" t="s">
        <v>69</v>
      </c>
      <c r="B116" s="2" t="s">
        <v>105</v>
      </c>
      <c r="C116" s="2" t="s">
        <v>148</v>
      </c>
      <c r="D116" s="2" t="s">
        <v>15</v>
      </c>
      <c r="E116" s="59">
        <v>625</v>
      </c>
      <c r="F116" s="59">
        <v>633.88</v>
      </c>
      <c r="G116" s="59">
        <v>-8.8800000000000008</v>
      </c>
      <c r="H116" s="59">
        <v>-1.4</v>
      </c>
      <c r="I116" s="2" t="s">
        <v>16</v>
      </c>
    </row>
    <row r="117" spans="1:9" x14ac:dyDescent="0.25">
      <c r="A117" s="2" t="s">
        <v>69</v>
      </c>
      <c r="B117" s="2" t="s">
        <v>105</v>
      </c>
      <c r="C117" s="2" t="s">
        <v>149</v>
      </c>
      <c r="D117" s="2" t="s">
        <v>15</v>
      </c>
      <c r="E117" s="59">
        <v>625</v>
      </c>
      <c r="F117" s="59">
        <v>633.88</v>
      </c>
      <c r="G117" s="59">
        <v>-8.8800000000000008</v>
      </c>
      <c r="H117" s="59">
        <v>-1.4</v>
      </c>
      <c r="I117" s="2" t="s">
        <v>16</v>
      </c>
    </row>
    <row r="118" spans="1:9" x14ac:dyDescent="0.25">
      <c r="A118" s="2" t="s">
        <v>69</v>
      </c>
      <c r="B118" s="2" t="s">
        <v>105</v>
      </c>
      <c r="C118" s="2" t="s">
        <v>150</v>
      </c>
      <c r="D118" s="2" t="s">
        <v>15</v>
      </c>
      <c r="E118" s="59">
        <v>625</v>
      </c>
      <c r="F118" s="59">
        <v>633.88</v>
      </c>
      <c r="G118" s="59">
        <v>-8.8800000000000008</v>
      </c>
      <c r="H118" s="59">
        <v>-1.4</v>
      </c>
      <c r="I118" s="2" t="s">
        <v>16</v>
      </c>
    </row>
    <row r="119" spans="1:9" x14ac:dyDescent="0.25">
      <c r="A119" s="2" t="s">
        <v>69</v>
      </c>
      <c r="B119" s="2" t="s">
        <v>105</v>
      </c>
      <c r="C119" s="2" t="s">
        <v>151</v>
      </c>
      <c r="D119" s="2" t="s">
        <v>15</v>
      </c>
      <c r="E119" s="59">
        <v>625</v>
      </c>
      <c r="F119" s="59">
        <v>633.88</v>
      </c>
      <c r="G119" s="59">
        <v>-8.8800000000000008</v>
      </c>
      <c r="H119" s="59">
        <v>-1.4</v>
      </c>
      <c r="I119" s="2" t="s">
        <v>16</v>
      </c>
    </row>
    <row r="120" spans="1:9" x14ac:dyDescent="0.25">
      <c r="A120" s="2" t="s">
        <v>69</v>
      </c>
      <c r="B120" s="2" t="s">
        <v>105</v>
      </c>
      <c r="C120" s="2" t="s">
        <v>152</v>
      </c>
      <c r="D120" s="2" t="s">
        <v>15</v>
      </c>
      <c r="E120" s="59">
        <v>625</v>
      </c>
      <c r="F120" s="59">
        <v>633.88</v>
      </c>
      <c r="G120" s="59">
        <v>-8.8800000000000008</v>
      </c>
      <c r="H120" s="59">
        <v>-1.4</v>
      </c>
      <c r="I120" s="2" t="s">
        <v>16</v>
      </c>
    </row>
    <row r="121" spans="1:9" x14ac:dyDescent="0.25">
      <c r="A121" s="2" t="s">
        <v>69</v>
      </c>
      <c r="B121" s="2" t="s">
        <v>105</v>
      </c>
      <c r="C121" s="2" t="s">
        <v>153</v>
      </c>
      <c r="D121" s="2" t="s">
        <v>15</v>
      </c>
      <c r="E121" s="59">
        <v>625</v>
      </c>
      <c r="F121" s="59">
        <v>633.88</v>
      </c>
      <c r="G121" s="59">
        <v>-8.8800000000000008</v>
      </c>
      <c r="H121" s="59">
        <v>-1.4</v>
      </c>
      <c r="I121" s="2" t="s">
        <v>16</v>
      </c>
    </row>
    <row r="122" spans="1:9" x14ac:dyDescent="0.25">
      <c r="A122" s="2" t="s">
        <v>69</v>
      </c>
      <c r="B122" s="2" t="s">
        <v>105</v>
      </c>
      <c r="C122" s="2" t="s">
        <v>154</v>
      </c>
      <c r="D122" s="2" t="s">
        <v>15</v>
      </c>
      <c r="E122" s="59">
        <v>625</v>
      </c>
      <c r="F122" s="59">
        <v>633.88</v>
      </c>
      <c r="G122" s="59">
        <v>-8.8800000000000008</v>
      </c>
      <c r="H122" s="59">
        <v>-1.4</v>
      </c>
      <c r="I122" s="2" t="s">
        <v>16</v>
      </c>
    </row>
    <row r="123" spans="1:9" x14ac:dyDescent="0.25">
      <c r="A123" s="2" t="s">
        <v>69</v>
      </c>
      <c r="B123" s="2" t="s">
        <v>105</v>
      </c>
      <c r="C123" s="2" t="s">
        <v>155</v>
      </c>
      <c r="D123" s="2" t="s">
        <v>15</v>
      </c>
      <c r="E123" s="59">
        <v>625</v>
      </c>
      <c r="F123" s="59">
        <v>633.88</v>
      </c>
      <c r="G123" s="59">
        <v>-8.8800000000000008</v>
      </c>
      <c r="H123" s="59">
        <v>-1.4</v>
      </c>
      <c r="I123" s="2" t="s">
        <v>16</v>
      </c>
    </row>
    <row r="124" spans="1:9" x14ac:dyDescent="0.25">
      <c r="A124" s="2" t="s">
        <v>69</v>
      </c>
      <c r="B124" s="2" t="s">
        <v>105</v>
      </c>
      <c r="C124" s="2" t="s">
        <v>156</v>
      </c>
      <c r="D124" s="2" t="s">
        <v>15</v>
      </c>
      <c r="E124" s="59">
        <v>635</v>
      </c>
      <c r="F124" s="59">
        <v>717.22</v>
      </c>
      <c r="G124" s="59">
        <v>-82.22</v>
      </c>
      <c r="H124" s="59">
        <v>-11.46</v>
      </c>
      <c r="I124" s="2" t="s">
        <v>16</v>
      </c>
    </row>
    <row r="125" spans="1:9" x14ac:dyDescent="0.25">
      <c r="A125" s="2" t="s">
        <v>69</v>
      </c>
      <c r="B125" s="2" t="s">
        <v>105</v>
      </c>
      <c r="C125" s="2" t="s">
        <v>157</v>
      </c>
      <c r="D125" s="2" t="s">
        <v>15</v>
      </c>
      <c r="E125" s="59">
        <v>635</v>
      </c>
      <c r="F125" s="59">
        <v>717.22</v>
      </c>
      <c r="G125" s="59">
        <v>-82.22</v>
      </c>
      <c r="H125" s="59">
        <v>-11.46</v>
      </c>
      <c r="I125" s="2" t="s">
        <v>16</v>
      </c>
    </row>
    <row r="126" spans="1:9" x14ac:dyDescent="0.25">
      <c r="A126" s="2" t="s">
        <v>69</v>
      </c>
      <c r="B126" s="2" t="s">
        <v>105</v>
      </c>
      <c r="C126" s="2" t="s">
        <v>158</v>
      </c>
      <c r="D126" s="2" t="s">
        <v>15</v>
      </c>
      <c r="E126" s="59">
        <v>635</v>
      </c>
      <c r="F126" s="59">
        <v>717.22</v>
      </c>
      <c r="G126" s="59">
        <v>-82.22</v>
      </c>
      <c r="H126" s="59">
        <v>-11.46</v>
      </c>
      <c r="I126" s="2" t="s">
        <v>16</v>
      </c>
    </row>
    <row r="127" spans="1:9" x14ac:dyDescent="0.25">
      <c r="A127" s="2" t="s">
        <v>69</v>
      </c>
      <c r="B127" s="2" t="s">
        <v>105</v>
      </c>
      <c r="C127" s="2" t="s">
        <v>159</v>
      </c>
      <c r="D127" s="2" t="s">
        <v>15</v>
      </c>
      <c r="E127" s="59">
        <v>635</v>
      </c>
      <c r="F127" s="59">
        <v>717.22</v>
      </c>
      <c r="G127" s="59">
        <v>-82.22</v>
      </c>
      <c r="H127" s="59">
        <v>-11.46</v>
      </c>
      <c r="I127" s="2" t="s">
        <v>16</v>
      </c>
    </row>
    <row r="128" spans="1:9" x14ac:dyDescent="0.25">
      <c r="A128" s="2" t="s">
        <v>69</v>
      </c>
      <c r="B128" s="2" t="s">
        <v>105</v>
      </c>
      <c r="C128" s="2" t="s">
        <v>160</v>
      </c>
      <c r="D128" s="2" t="s">
        <v>15</v>
      </c>
      <c r="E128" s="59">
        <v>635</v>
      </c>
      <c r="F128" s="59">
        <v>717.22</v>
      </c>
      <c r="G128" s="59">
        <v>-82.22</v>
      </c>
      <c r="H128" s="59">
        <v>-11.46</v>
      </c>
      <c r="I128" s="2" t="s">
        <v>16</v>
      </c>
    </row>
    <row r="129" spans="1:9" x14ac:dyDescent="0.25">
      <c r="A129" s="2" t="s">
        <v>69</v>
      </c>
      <c r="B129" s="2" t="s">
        <v>105</v>
      </c>
      <c r="C129" s="2" t="s">
        <v>161</v>
      </c>
      <c r="D129" s="2" t="s">
        <v>15</v>
      </c>
      <c r="E129" s="59">
        <v>635</v>
      </c>
      <c r="F129" s="59">
        <v>717.22</v>
      </c>
      <c r="G129" s="59">
        <v>-82.22</v>
      </c>
      <c r="H129" s="59">
        <v>-11.46</v>
      </c>
      <c r="I129" s="2" t="s">
        <v>16</v>
      </c>
    </row>
    <row r="130" spans="1:9" x14ac:dyDescent="0.25">
      <c r="A130" s="2" t="s">
        <v>69</v>
      </c>
      <c r="B130" s="2" t="s">
        <v>105</v>
      </c>
      <c r="C130" s="2" t="s">
        <v>162</v>
      </c>
      <c r="D130" s="2" t="s">
        <v>15</v>
      </c>
      <c r="E130" s="59">
        <v>635</v>
      </c>
      <c r="F130" s="59">
        <v>717.22</v>
      </c>
      <c r="G130" s="59">
        <v>-82.22</v>
      </c>
      <c r="H130" s="59">
        <v>-11.46</v>
      </c>
      <c r="I130" s="2" t="s">
        <v>16</v>
      </c>
    </row>
    <row r="131" spans="1:9" x14ac:dyDescent="0.25">
      <c r="A131" s="2" t="s">
        <v>69</v>
      </c>
      <c r="B131" s="2" t="s">
        <v>105</v>
      </c>
      <c r="C131" s="2" t="s">
        <v>163</v>
      </c>
      <c r="D131" s="2" t="s">
        <v>15</v>
      </c>
      <c r="E131" s="59">
        <v>635</v>
      </c>
      <c r="F131" s="59">
        <v>717.22</v>
      </c>
      <c r="G131" s="59">
        <v>-82.22</v>
      </c>
      <c r="H131" s="59">
        <v>-11.46</v>
      </c>
      <c r="I131" s="2" t="s">
        <v>16</v>
      </c>
    </row>
    <row r="132" spans="1:9" x14ac:dyDescent="0.25">
      <c r="A132" s="2" t="s">
        <v>69</v>
      </c>
      <c r="B132" s="2" t="s">
        <v>105</v>
      </c>
      <c r="C132" s="2" t="s">
        <v>164</v>
      </c>
      <c r="D132" s="2" t="s">
        <v>15</v>
      </c>
      <c r="E132" s="59">
        <v>635</v>
      </c>
      <c r="F132" s="59">
        <v>717.22</v>
      </c>
      <c r="G132" s="59">
        <v>-82.22</v>
      </c>
      <c r="H132" s="59">
        <v>-11.46</v>
      </c>
      <c r="I132" s="2" t="s">
        <v>16</v>
      </c>
    </row>
    <row r="133" spans="1:9" x14ac:dyDescent="0.25">
      <c r="A133" s="2" t="s">
        <v>69</v>
      </c>
      <c r="B133" s="2" t="s">
        <v>105</v>
      </c>
      <c r="C133" s="2" t="s">
        <v>165</v>
      </c>
      <c r="D133" s="2" t="s">
        <v>15</v>
      </c>
      <c r="E133" s="59">
        <v>635</v>
      </c>
      <c r="F133" s="59">
        <v>717.22</v>
      </c>
      <c r="G133" s="59">
        <v>-82.22</v>
      </c>
      <c r="H133" s="59">
        <v>-11.46</v>
      </c>
      <c r="I133" s="2" t="s">
        <v>16</v>
      </c>
    </row>
    <row r="134" spans="1:9" x14ac:dyDescent="0.25">
      <c r="A134" s="2" t="s">
        <v>69</v>
      </c>
      <c r="B134" s="2" t="s">
        <v>105</v>
      </c>
      <c r="C134" s="2" t="s">
        <v>166</v>
      </c>
      <c r="D134" s="2" t="s">
        <v>15</v>
      </c>
      <c r="E134" s="59">
        <v>635</v>
      </c>
      <c r="F134" s="59">
        <v>717.22</v>
      </c>
      <c r="G134" s="59">
        <v>-82.22</v>
      </c>
      <c r="H134" s="59">
        <v>-11.46</v>
      </c>
      <c r="I134" s="2" t="s">
        <v>16</v>
      </c>
    </row>
    <row r="135" spans="1:9" x14ac:dyDescent="0.25">
      <c r="A135" s="2" t="s">
        <v>69</v>
      </c>
      <c r="B135" s="2" t="s">
        <v>105</v>
      </c>
      <c r="C135" s="2" t="s">
        <v>167</v>
      </c>
      <c r="D135" s="2" t="s">
        <v>15</v>
      </c>
      <c r="E135" s="59">
        <v>635</v>
      </c>
      <c r="F135" s="59">
        <v>717.22</v>
      </c>
      <c r="G135" s="59">
        <v>-82.22</v>
      </c>
      <c r="H135" s="59">
        <v>-11.46</v>
      </c>
      <c r="I135" s="2" t="s">
        <v>16</v>
      </c>
    </row>
    <row r="136" spans="1:9" x14ac:dyDescent="0.25">
      <c r="A136" s="2" t="s">
        <v>69</v>
      </c>
      <c r="B136" s="2" t="s">
        <v>105</v>
      </c>
      <c r="C136" s="2" t="s">
        <v>168</v>
      </c>
      <c r="D136" s="2" t="s">
        <v>15</v>
      </c>
      <c r="E136" s="59">
        <v>635</v>
      </c>
      <c r="F136" s="59">
        <v>717.22</v>
      </c>
      <c r="G136" s="59">
        <v>-82.22</v>
      </c>
      <c r="H136" s="59">
        <v>-11.46</v>
      </c>
      <c r="I136" s="2" t="s">
        <v>16</v>
      </c>
    </row>
    <row r="137" spans="1:9" x14ac:dyDescent="0.25">
      <c r="A137" s="2" t="s">
        <v>69</v>
      </c>
      <c r="B137" s="2" t="s">
        <v>105</v>
      </c>
      <c r="C137" s="2" t="s">
        <v>169</v>
      </c>
      <c r="D137" s="2" t="s">
        <v>15</v>
      </c>
      <c r="E137" s="59">
        <v>635</v>
      </c>
      <c r="F137" s="59">
        <v>717.22</v>
      </c>
      <c r="G137" s="59">
        <v>-82.22</v>
      </c>
      <c r="H137" s="59">
        <v>-11.46</v>
      </c>
      <c r="I137" s="2" t="s">
        <v>16</v>
      </c>
    </row>
    <row r="138" spans="1:9" x14ac:dyDescent="0.25">
      <c r="A138" s="2" t="s">
        <v>69</v>
      </c>
      <c r="B138" s="2" t="s">
        <v>105</v>
      </c>
      <c r="C138" s="2" t="s">
        <v>170</v>
      </c>
      <c r="D138" s="2" t="s">
        <v>15</v>
      </c>
      <c r="E138" s="59">
        <v>635</v>
      </c>
      <c r="F138" s="59">
        <v>717.22</v>
      </c>
      <c r="G138" s="59">
        <v>-82.22</v>
      </c>
      <c r="H138" s="59">
        <v>-11.46</v>
      </c>
      <c r="I138" s="2" t="s">
        <v>16</v>
      </c>
    </row>
    <row r="139" spans="1:9" x14ac:dyDescent="0.25">
      <c r="A139" s="2" t="s">
        <v>69</v>
      </c>
      <c r="B139" s="2" t="s">
        <v>105</v>
      </c>
      <c r="C139" s="2" t="s">
        <v>171</v>
      </c>
      <c r="D139" s="2" t="s">
        <v>15</v>
      </c>
      <c r="E139" s="59">
        <v>635</v>
      </c>
      <c r="F139" s="59">
        <v>717.22</v>
      </c>
      <c r="G139" s="59">
        <v>-82.22</v>
      </c>
      <c r="H139" s="59">
        <v>-11.46</v>
      </c>
      <c r="I139" s="2" t="s">
        <v>16</v>
      </c>
    </row>
    <row r="140" spans="1:9" x14ac:dyDescent="0.25">
      <c r="A140" s="2" t="s">
        <v>69</v>
      </c>
      <c r="B140" s="2" t="s">
        <v>105</v>
      </c>
      <c r="C140" s="2" t="s">
        <v>172</v>
      </c>
      <c r="D140" s="2" t="s">
        <v>15</v>
      </c>
      <c r="E140" s="59">
        <v>635</v>
      </c>
      <c r="F140" s="59">
        <v>717.22</v>
      </c>
      <c r="G140" s="59">
        <v>-82.22</v>
      </c>
      <c r="H140" s="59">
        <v>-11.46</v>
      </c>
      <c r="I140" s="2" t="s">
        <v>16</v>
      </c>
    </row>
    <row r="141" spans="1:9" x14ac:dyDescent="0.25">
      <c r="A141" s="2" t="s">
        <v>69</v>
      </c>
      <c r="B141" s="2" t="s">
        <v>105</v>
      </c>
      <c r="C141" s="2" t="s">
        <v>173</v>
      </c>
      <c r="D141" s="2" t="s">
        <v>15</v>
      </c>
      <c r="E141" s="59">
        <v>635</v>
      </c>
      <c r="F141" s="59">
        <v>717.22</v>
      </c>
      <c r="G141" s="59">
        <v>-82.22</v>
      </c>
      <c r="H141" s="59">
        <v>-11.46</v>
      </c>
      <c r="I141" s="2" t="s">
        <v>16</v>
      </c>
    </row>
    <row r="142" spans="1:9" x14ac:dyDescent="0.25">
      <c r="A142" s="2" t="s">
        <v>69</v>
      </c>
      <c r="B142" s="2" t="s">
        <v>105</v>
      </c>
      <c r="C142" s="2" t="s">
        <v>174</v>
      </c>
      <c r="D142" s="2" t="s">
        <v>15</v>
      </c>
      <c r="E142" s="59">
        <v>635</v>
      </c>
      <c r="F142" s="59">
        <v>717.22</v>
      </c>
      <c r="G142" s="59">
        <v>-82.22</v>
      </c>
      <c r="H142" s="59">
        <v>-11.46</v>
      </c>
      <c r="I142" s="2" t="s">
        <v>16</v>
      </c>
    </row>
    <row r="143" spans="1:9" x14ac:dyDescent="0.25">
      <c r="A143" s="2" t="s">
        <v>69</v>
      </c>
      <c r="B143" s="2" t="s">
        <v>105</v>
      </c>
      <c r="C143" s="2" t="s">
        <v>175</v>
      </c>
      <c r="D143" s="2" t="s">
        <v>15</v>
      </c>
      <c r="E143" s="59">
        <v>635</v>
      </c>
      <c r="F143" s="59">
        <v>717.22</v>
      </c>
      <c r="G143" s="59">
        <v>-82.22</v>
      </c>
      <c r="H143" s="59">
        <v>-11.46</v>
      </c>
      <c r="I143" s="2" t="s">
        <v>16</v>
      </c>
    </row>
    <row r="144" spans="1:9" x14ac:dyDescent="0.25">
      <c r="A144" t="s">
        <v>69</v>
      </c>
      <c r="B144" t="s">
        <v>105</v>
      </c>
      <c r="C144" t="s">
        <v>176</v>
      </c>
      <c r="D144" t="s">
        <v>15</v>
      </c>
      <c r="E144" s="46">
        <v>635</v>
      </c>
      <c r="F144" s="46">
        <v>633.88</v>
      </c>
      <c r="G144" s="46">
        <v>1.1200000000000001</v>
      </c>
      <c r="H144" s="46">
        <v>0.18</v>
      </c>
      <c r="I144" t="s">
        <v>16</v>
      </c>
    </row>
    <row r="145" spans="1:9" x14ac:dyDescent="0.25">
      <c r="A145" t="s">
        <v>69</v>
      </c>
      <c r="B145" t="s">
        <v>105</v>
      </c>
      <c r="C145" t="s">
        <v>177</v>
      </c>
      <c r="D145" t="s">
        <v>15</v>
      </c>
      <c r="E145" s="46">
        <v>635</v>
      </c>
      <c r="F145" s="46">
        <v>633.88</v>
      </c>
      <c r="G145" s="46">
        <v>1.1200000000000001</v>
      </c>
      <c r="H145" s="46">
        <v>0.18</v>
      </c>
      <c r="I145" t="s">
        <v>16</v>
      </c>
    </row>
    <row r="146" spans="1:9" x14ac:dyDescent="0.25">
      <c r="A146" t="s">
        <v>69</v>
      </c>
      <c r="B146" t="s">
        <v>105</v>
      </c>
      <c r="C146" t="s">
        <v>178</v>
      </c>
      <c r="D146" t="s">
        <v>15</v>
      </c>
      <c r="E146" s="46">
        <v>635</v>
      </c>
      <c r="F146" s="46">
        <v>633.88</v>
      </c>
      <c r="G146" s="46">
        <v>1.1200000000000001</v>
      </c>
      <c r="H146" s="46">
        <v>0.18</v>
      </c>
      <c r="I146" t="s">
        <v>16</v>
      </c>
    </row>
    <row r="147" spans="1:9" x14ac:dyDescent="0.25">
      <c r="A147" t="s">
        <v>69</v>
      </c>
      <c r="B147" t="s">
        <v>105</v>
      </c>
      <c r="C147" t="s">
        <v>179</v>
      </c>
      <c r="D147" t="s">
        <v>15</v>
      </c>
      <c r="E147" s="46">
        <v>635</v>
      </c>
      <c r="F147" s="46">
        <v>633.88</v>
      </c>
      <c r="G147" s="46">
        <v>1.1200000000000001</v>
      </c>
      <c r="H147" s="46">
        <v>0.18</v>
      </c>
      <c r="I147" t="s">
        <v>16</v>
      </c>
    </row>
    <row r="148" spans="1:9" x14ac:dyDescent="0.25">
      <c r="A148" t="s">
        <v>69</v>
      </c>
      <c r="B148" t="s">
        <v>105</v>
      </c>
      <c r="C148" t="s">
        <v>180</v>
      </c>
      <c r="D148" t="s">
        <v>15</v>
      </c>
      <c r="E148" s="46">
        <v>635</v>
      </c>
      <c r="F148" s="46">
        <v>633.88</v>
      </c>
      <c r="G148" s="46">
        <v>1.1200000000000001</v>
      </c>
      <c r="H148" s="46">
        <v>0.18</v>
      </c>
      <c r="I148" t="s">
        <v>16</v>
      </c>
    </row>
    <row r="149" spans="1:9" x14ac:dyDescent="0.25">
      <c r="A149" t="s">
        <v>69</v>
      </c>
      <c r="B149" t="s">
        <v>105</v>
      </c>
      <c r="C149" t="s">
        <v>181</v>
      </c>
      <c r="D149" t="s">
        <v>15</v>
      </c>
      <c r="E149" s="46">
        <v>635</v>
      </c>
      <c r="F149" s="46">
        <v>633.88</v>
      </c>
      <c r="G149" s="46">
        <v>1.1200000000000001</v>
      </c>
      <c r="H149" s="46">
        <v>0.18</v>
      </c>
      <c r="I149" t="s">
        <v>16</v>
      </c>
    </row>
    <row r="150" spans="1:9" x14ac:dyDescent="0.25">
      <c r="A150" t="s">
        <v>69</v>
      </c>
      <c r="B150" t="s">
        <v>105</v>
      </c>
      <c r="C150" t="s">
        <v>182</v>
      </c>
      <c r="D150" t="s">
        <v>15</v>
      </c>
      <c r="E150" s="46">
        <v>635</v>
      </c>
      <c r="F150" s="46">
        <v>633.88</v>
      </c>
      <c r="G150" s="46">
        <v>1.1200000000000001</v>
      </c>
      <c r="H150" s="46">
        <v>0.18</v>
      </c>
      <c r="I150" t="s">
        <v>16</v>
      </c>
    </row>
    <row r="151" spans="1:9" x14ac:dyDescent="0.25">
      <c r="A151" t="s">
        <v>69</v>
      </c>
      <c r="B151" t="s">
        <v>105</v>
      </c>
      <c r="C151" t="s">
        <v>183</v>
      </c>
      <c r="D151" t="s">
        <v>15</v>
      </c>
      <c r="E151" s="46">
        <v>635</v>
      </c>
      <c r="F151" s="46">
        <v>633.88</v>
      </c>
      <c r="G151" s="46">
        <v>1.1200000000000001</v>
      </c>
      <c r="H151" s="46">
        <v>0.18</v>
      </c>
      <c r="I151" t="s">
        <v>16</v>
      </c>
    </row>
    <row r="152" spans="1:9" x14ac:dyDescent="0.25">
      <c r="A152" t="s">
        <v>69</v>
      </c>
      <c r="B152" t="s">
        <v>105</v>
      </c>
      <c r="C152" t="s">
        <v>184</v>
      </c>
      <c r="D152" t="s">
        <v>15</v>
      </c>
      <c r="E152" s="46">
        <v>635</v>
      </c>
      <c r="F152" s="46">
        <v>633.88</v>
      </c>
      <c r="G152" s="46">
        <v>1.1200000000000001</v>
      </c>
      <c r="H152" s="46">
        <v>0.18</v>
      </c>
      <c r="I152" t="s">
        <v>16</v>
      </c>
    </row>
    <row r="153" spans="1:9" x14ac:dyDescent="0.25">
      <c r="A153" t="s">
        <v>69</v>
      </c>
      <c r="B153" t="s">
        <v>105</v>
      </c>
      <c r="C153" t="s">
        <v>185</v>
      </c>
      <c r="D153" t="s">
        <v>15</v>
      </c>
      <c r="E153" s="46">
        <v>635</v>
      </c>
      <c r="F153" s="46">
        <v>633.88</v>
      </c>
      <c r="G153" s="46">
        <v>1.1200000000000001</v>
      </c>
      <c r="H153" s="46">
        <v>0.18</v>
      </c>
      <c r="I153" t="s">
        <v>16</v>
      </c>
    </row>
    <row r="154" spans="1:9" x14ac:dyDescent="0.25">
      <c r="A154" t="s">
        <v>69</v>
      </c>
      <c r="B154" t="s">
        <v>105</v>
      </c>
      <c r="C154" t="s">
        <v>186</v>
      </c>
      <c r="D154" t="s">
        <v>15</v>
      </c>
      <c r="E154" s="46">
        <v>635</v>
      </c>
      <c r="F154" s="46">
        <v>633.88</v>
      </c>
      <c r="G154" s="46">
        <v>1.1200000000000001</v>
      </c>
      <c r="H154" s="46">
        <v>0.18</v>
      </c>
      <c r="I154" t="s">
        <v>16</v>
      </c>
    </row>
    <row r="155" spans="1:9" x14ac:dyDescent="0.25">
      <c r="A155" t="s">
        <v>69</v>
      </c>
      <c r="B155" t="s">
        <v>105</v>
      </c>
      <c r="C155" t="s">
        <v>187</v>
      </c>
      <c r="D155" t="s">
        <v>15</v>
      </c>
      <c r="E155" s="46">
        <v>635</v>
      </c>
      <c r="F155" s="46">
        <v>633.88</v>
      </c>
      <c r="G155" s="46">
        <v>1.1200000000000001</v>
      </c>
      <c r="H155" s="46">
        <v>0.18</v>
      </c>
      <c r="I155" t="s">
        <v>16</v>
      </c>
    </row>
    <row r="156" spans="1:9" x14ac:dyDescent="0.25">
      <c r="A156" t="s">
        <v>69</v>
      </c>
      <c r="B156" t="s">
        <v>105</v>
      </c>
      <c r="C156" t="s">
        <v>188</v>
      </c>
      <c r="D156" t="s">
        <v>15</v>
      </c>
      <c r="E156" s="46">
        <v>635</v>
      </c>
      <c r="F156" s="46">
        <v>633.88</v>
      </c>
      <c r="G156" s="46">
        <v>1.1200000000000001</v>
      </c>
      <c r="H156" s="46">
        <v>0.18</v>
      </c>
      <c r="I156" t="s">
        <v>16</v>
      </c>
    </row>
    <row r="157" spans="1:9" x14ac:dyDescent="0.25">
      <c r="A157" t="s">
        <v>69</v>
      </c>
      <c r="B157" t="s">
        <v>105</v>
      </c>
      <c r="C157" t="s">
        <v>189</v>
      </c>
      <c r="D157" t="s">
        <v>15</v>
      </c>
      <c r="E157" s="46">
        <v>635</v>
      </c>
      <c r="F157" s="46">
        <v>633.88</v>
      </c>
      <c r="G157" s="46">
        <v>1.1200000000000001</v>
      </c>
      <c r="H157" s="46">
        <v>0.18</v>
      </c>
      <c r="I157" t="s">
        <v>16</v>
      </c>
    </row>
    <row r="158" spans="1:9" x14ac:dyDescent="0.25">
      <c r="A158" t="s">
        <v>69</v>
      </c>
      <c r="B158" t="s">
        <v>105</v>
      </c>
      <c r="C158" t="s">
        <v>190</v>
      </c>
      <c r="D158" t="s">
        <v>15</v>
      </c>
      <c r="E158" s="46">
        <v>635</v>
      </c>
      <c r="F158" s="46">
        <v>633.88</v>
      </c>
      <c r="G158" s="46">
        <v>1.1200000000000001</v>
      </c>
      <c r="H158" s="46">
        <v>0.18</v>
      </c>
      <c r="I158" t="s">
        <v>16</v>
      </c>
    </row>
    <row r="159" spans="1:9" x14ac:dyDescent="0.25">
      <c r="A159" t="s">
        <v>69</v>
      </c>
      <c r="B159" t="s">
        <v>105</v>
      </c>
      <c r="C159" t="s">
        <v>191</v>
      </c>
      <c r="D159" t="s">
        <v>15</v>
      </c>
      <c r="E159" s="46">
        <v>635</v>
      </c>
      <c r="F159" s="46">
        <v>633.88</v>
      </c>
      <c r="G159" s="46">
        <v>1.1200000000000001</v>
      </c>
      <c r="H159" s="46">
        <v>0.18</v>
      </c>
      <c r="I159" t="s">
        <v>16</v>
      </c>
    </row>
    <row r="160" spans="1:9" x14ac:dyDescent="0.25">
      <c r="A160" t="s">
        <v>69</v>
      </c>
      <c r="B160" t="s">
        <v>105</v>
      </c>
      <c r="C160" t="s">
        <v>192</v>
      </c>
      <c r="D160" t="s">
        <v>15</v>
      </c>
      <c r="E160" s="46">
        <v>635</v>
      </c>
      <c r="F160" s="46">
        <v>633.88</v>
      </c>
      <c r="G160" s="46">
        <v>1.1200000000000001</v>
      </c>
      <c r="H160" s="46">
        <v>0.18</v>
      </c>
      <c r="I160" t="s">
        <v>16</v>
      </c>
    </row>
    <row r="161" spans="1:9" x14ac:dyDescent="0.25">
      <c r="A161" t="s">
        <v>69</v>
      </c>
      <c r="B161" t="s">
        <v>105</v>
      </c>
      <c r="C161" t="s">
        <v>193</v>
      </c>
      <c r="D161" t="s">
        <v>15</v>
      </c>
      <c r="E161" s="46">
        <v>635</v>
      </c>
      <c r="F161" s="46">
        <v>633.88</v>
      </c>
      <c r="G161" s="46">
        <v>1.1200000000000001</v>
      </c>
      <c r="H161" s="46">
        <v>0.18</v>
      </c>
      <c r="I161" t="s">
        <v>16</v>
      </c>
    </row>
    <row r="162" spans="1:9" x14ac:dyDescent="0.25">
      <c r="A162" t="s">
        <v>69</v>
      </c>
      <c r="B162" t="s">
        <v>105</v>
      </c>
      <c r="C162" t="s">
        <v>194</v>
      </c>
      <c r="D162" t="s">
        <v>15</v>
      </c>
      <c r="E162" s="46">
        <v>635</v>
      </c>
      <c r="F162" s="46">
        <v>633.88</v>
      </c>
      <c r="G162" s="46">
        <v>1.1200000000000001</v>
      </c>
      <c r="H162" s="46">
        <v>0.18</v>
      </c>
      <c r="I162" t="s">
        <v>16</v>
      </c>
    </row>
    <row r="163" spans="1:9" x14ac:dyDescent="0.25">
      <c r="A163" t="s">
        <v>69</v>
      </c>
      <c r="B163" t="s">
        <v>105</v>
      </c>
      <c r="C163" t="s">
        <v>195</v>
      </c>
      <c r="D163" t="s">
        <v>15</v>
      </c>
      <c r="E163" s="46">
        <v>635</v>
      </c>
      <c r="F163" s="46">
        <v>633.88</v>
      </c>
      <c r="G163" s="46">
        <v>1.1200000000000001</v>
      </c>
      <c r="H163" s="46">
        <v>0.18</v>
      </c>
      <c r="I163" t="s">
        <v>16</v>
      </c>
    </row>
    <row r="164" spans="1:9" x14ac:dyDescent="0.25">
      <c r="A164" t="s">
        <v>69</v>
      </c>
      <c r="B164" t="s">
        <v>105</v>
      </c>
      <c r="C164" t="s">
        <v>196</v>
      </c>
      <c r="D164" t="s">
        <v>15</v>
      </c>
      <c r="E164" s="46">
        <v>635</v>
      </c>
      <c r="F164" s="46">
        <v>633.88</v>
      </c>
      <c r="G164" s="46">
        <v>1.1200000000000001</v>
      </c>
      <c r="H164" s="46">
        <v>0.18</v>
      </c>
      <c r="I164" t="s">
        <v>16</v>
      </c>
    </row>
    <row r="165" spans="1:9" x14ac:dyDescent="0.25">
      <c r="A165" t="s">
        <v>69</v>
      </c>
      <c r="B165" t="s">
        <v>105</v>
      </c>
      <c r="C165" t="s">
        <v>197</v>
      </c>
      <c r="D165" t="s">
        <v>15</v>
      </c>
      <c r="E165" s="46">
        <v>635</v>
      </c>
      <c r="F165" s="46">
        <v>633.88</v>
      </c>
      <c r="G165" s="46">
        <v>1.1200000000000001</v>
      </c>
      <c r="H165" s="46">
        <v>0.18</v>
      </c>
      <c r="I165" t="s">
        <v>16</v>
      </c>
    </row>
    <row r="166" spans="1:9" x14ac:dyDescent="0.25">
      <c r="A166" t="s">
        <v>69</v>
      </c>
      <c r="B166" t="s">
        <v>105</v>
      </c>
      <c r="C166" t="s">
        <v>198</v>
      </c>
      <c r="D166" t="s">
        <v>15</v>
      </c>
      <c r="E166" s="46">
        <v>635</v>
      </c>
      <c r="F166" s="46">
        <v>633.88</v>
      </c>
      <c r="G166" s="46">
        <v>1.1200000000000001</v>
      </c>
      <c r="H166" s="46">
        <v>0.18</v>
      </c>
      <c r="I166" t="s">
        <v>16</v>
      </c>
    </row>
    <row r="167" spans="1:9" x14ac:dyDescent="0.25">
      <c r="A167" t="s">
        <v>69</v>
      </c>
      <c r="B167" t="s">
        <v>105</v>
      </c>
      <c r="C167" t="s">
        <v>199</v>
      </c>
      <c r="D167" t="s">
        <v>15</v>
      </c>
      <c r="E167" s="46">
        <v>635</v>
      </c>
      <c r="F167" s="46">
        <v>633.88</v>
      </c>
      <c r="G167" s="46">
        <v>1.1200000000000001</v>
      </c>
      <c r="H167" s="46">
        <v>0.18</v>
      </c>
      <c r="I167" t="s">
        <v>16</v>
      </c>
    </row>
    <row r="168" spans="1:9" x14ac:dyDescent="0.25">
      <c r="A168" t="s">
        <v>69</v>
      </c>
      <c r="B168" t="s">
        <v>105</v>
      </c>
      <c r="C168" t="s">
        <v>200</v>
      </c>
      <c r="D168" t="s">
        <v>15</v>
      </c>
      <c r="E168" s="46">
        <v>635</v>
      </c>
      <c r="F168" s="46">
        <v>633.88</v>
      </c>
      <c r="G168" s="46">
        <v>1.1200000000000001</v>
      </c>
      <c r="H168" s="46">
        <v>0.18</v>
      </c>
      <c r="I168" t="s">
        <v>16</v>
      </c>
    </row>
    <row r="169" spans="1:9" x14ac:dyDescent="0.25">
      <c r="A169" t="s">
        <v>69</v>
      </c>
      <c r="B169" t="s">
        <v>105</v>
      </c>
      <c r="C169" t="s">
        <v>201</v>
      </c>
      <c r="D169" t="s">
        <v>15</v>
      </c>
      <c r="E169" s="46">
        <v>635</v>
      </c>
      <c r="F169" s="46">
        <v>633.88</v>
      </c>
      <c r="G169" s="46">
        <v>1.1200000000000001</v>
      </c>
      <c r="H169" s="46">
        <v>0.18</v>
      </c>
      <c r="I169" t="s">
        <v>16</v>
      </c>
    </row>
    <row r="170" spans="1:9" x14ac:dyDescent="0.25">
      <c r="A170" t="s">
        <v>69</v>
      </c>
      <c r="B170" t="s">
        <v>105</v>
      </c>
      <c r="C170" t="s">
        <v>202</v>
      </c>
      <c r="D170" t="s">
        <v>15</v>
      </c>
      <c r="E170" s="46">
        <v>635</v>
      </c>
      <c r="F170" s="46">
        <v>633.88</v>
      </c>
      <c r="G170" s="46">
        <v>1.1200000000000001</v>
      </c>
      <c r="H170" s="46">
        <v>0.18</v>
      </c>
      <c r="I170" t="s">
        <v>16</v>
      </c>
    </row>
    <row r="171" spans="1:9" x14ac:dyDescent="0.25">
      <c r="A171" t="s">
        <v>69</v>
      </c>
      <c r="B171" t="s">
        <v>105</v>
      </c>
      <c r="C171" t="s">
        <v>203</v>
      </c>
      <c r="D171" t="s">
        <v>15</v>
      </c>
      <c r="E171" s="46">
        <v>635</v>
      </c>
      <c r="F171" s="46">
        <v>633.88</v>
      </c>
      <c r="G171" s="46">
        <v>1.1200000000000001</v>
      </c>
      <c r="H171" s="46">
        <v>0.18</v>
      </c>
      <c r="I171" t="s">
        <v>16</v>
      </c>
    </row>
    <row r="172" spans="1:9" x14ac:dyDescent="0.25">
      <c r="A172" t="s">
        <v>69</v>
      </c>
      <c r="B172" t="s">
        <v>105</v>
      </c>
      <c r="C172" t="s">
        <v>204</v>
      </c>
      <c r="D172" t="s">
        <v>15</v>
      </c>
      <c r="E172" s="46">
        <v>635</v>
      </c>
      <c r="F172" s="46">
        <v>633.88</v>
      </c>
      <c r="G172" s="46">
        <v>1.1200000000000001</v>
      </c>
      <c r="H172" s="46">
        <v>0.18</v>
      </c>
      <c r="I172" t="s">
        <v>16</v>
      </c>
    </row>
    <row r="173" spans="1:9" x14ac:dyDescent="0.25">
      <c r="A173" t="s">
        <v>69</v>
      </c>
      <c r="B173" t="s">
        <v>105</v>
      </c>
      <c r="C173" t="s">
        <v>205</v>
      </c>
      <c r="D173" t="s">
        <v>15</v>
      </c>
      <c r="E173" s="46">
        <v>635</v>
      </c>
      <c r="F173" s="46">
        <v>633.88</v>
      </c>
      <c r="G173" s="46">
        <v>1.1200000000000001</v>
      </c>
      <c r="H173" s="46">
        <v>0.18</v>
      </c>
      <c r="I173" t="s">
        <v>16</v>
      </c>
    </row>
    <row r="174" spans="1:9" x14ac:dyDescent="0.25">
      <c r="A174" t="s">
        <v>69</v>
      </c>
      <c r="B174" t="s">
        <v>206</v>
      </c>
      <c r="C174" t="s">
        <v>207</v>
      </c>
      <c r="D174" t="s">
        <v>15</v>
      </c>
      <c r="E174" s="46">
        <v>2130</v>
      </c>
      <c r="F174" s="46">
        <v>1920</v>
      </c>
      <c r="G174" s="46">
        <v>210</v>
      </c>
      <c r="H174" s="46">
        <v>10.94</v>
      </c>
      <c r="I174" t="s">
        <v>29</v>
      </c>
    </row>
    <row r="175" spans="1:9" x14ac:dyDescent="0.25">
      <c r="A175" t="s">
        <v>69</v>
      </c>
      <c r="B175" t="s">
        <v>206</v>
      </c>
      <c r="C175" t="s">
        <v>208</v>
      </c>
      <c r="D175" t="s">
        <v>15</v>
      </c>
      <c r="E175" s="46">
        <v>2130</v>
      </c>
      <c r="F175" s="46">
        <v>1920</v>
      </c>
      <c r="G175" s="46">
        <v>210</v>
      </c>
      <c r="H175" s="46">
        <v>10.94</v>
      </c>
      <c r="I175" t="s">
        <v>29</v>
      </c>
    </row>
    <row r="176" spans="1:9" x14ac:dyDescent="0.25">
      <c r="A176" t="s">
        <v>69</v>
      </c>
      <c r="B176" t="s">
        <v>206</v>
      </c>
      <c r="C176" t="s">
        <v>209</v>
      </c>
      <c r="D176" t="s">
        <v>15</v>
      </c>
      <c r="E176" s="46">
        <v>2130</v>
      </c>
      <c r="F176" s="46">
        <v>1920</v>
      </c>
      <c r="G176" s="46">
        <v>210</v>
      </c>
      <c r="H176" s="46">
        <v>10.94</v>
      </c>
      <c r="I176" t="s">
        <v>29</v>
      </c>
    </row>
    <row r="177" spans="1:9" x14ac:dyDescent="0.25">
      <c r="A177" t="s">
        <v>69</v>
      </c>
      <c r="B177" t="s">
        <v>206</v>
      </c>
      <c r="C177" t="s">
        <v>210</v>
      </c>
      <c r="D177" t="s">
        <v>15</v>
      </c>
      <c r="E177" s="46">
        <v>2130</v>
      </c>
      <c r="F177" s="46">
        <v>1920</v>
      </c>
      <c r="G177" s="46">
        <v>210</v>
      </c>
      <c r="H177" s="46">
        <v>10.94</v>
      </c>
      <c r="I177" t="s">
        <v>29</v>
      </c>
    </row>
    <row r="178" spans="1:9" x14ac:dyDescent="0.25">
      <c r="A178" t="s">
        <v>69</v>
      </c>
      <c r="B178" t="s">
        <v>206</v>
      </c>
      <c r="C178" t="s">
        <v>211</v>
      </c>
      <c r="D178" t="s">
        <v>15</v>
      </c>
      <c r="E178" s="46">
        <v>2130</v>
      </c>
      <c r="F178" s="46">
        <v>1920</v>
      </c>
      <c r="G178" s="46">
        <v>210</v>
      </c>
      <c r="H178" s="46">
        <v>10.94</v>
      </c>
      <c r="I178" t="s">
        <v>29</v>
      </c>
    </row>
    <row r="179" spans="1:9" x14ac:dyDescent="0.25">
      <c r="A179" t="s">
        <v>69</v>
      </c>
      <c r="B179" t="s">
        <v>206</v>
      </c>
      <c r="C179" t="s">
        <v>212</v>
      </c>
      <c r="D179" t="s">
        <v>15</v>
      </c>
      <c r="E179" s="46">
        <v>2130</v>
      </c>
      <c r="F179" s="46">
        <v>1920</v>
      </c>
      <c r="G179" s="46">
        <v>210</v>
      </c>
      <c r="H179" s="46">
        <v>10.94</v>
      </c>
      <c r="I179" t="s">
        <v>29</v>
      </c>
    </row>
    <row r="180" spans="1:9" x14ac:dyDescent="0.25">
      <c r="A180" t="s">
        <v>69</v>
      </c>
      <c r="B180" t="s">
        <v>206</v>
      </c>
      <c r="C180" t="s">
        <v>213</v>
      </c>
      <c r="D180" t="s">
        <v>15</v>
      </c>
      <c r="E180" s="46">
        <v>2130</v>
      </c>
      <c r="F180" s="46">
        <v>1920</v>
      </c>
      <c r="G180" s="46">
        <v>210</v>
      </c>
      <c r="H180" s="46">
        <v>10.94</v>
      </c>
      <c r="I180" t="s">
        <v>29</v>
      </c>
    </row>
    <row r="181" spans="1:9" x14ac:dyDescent="0.25">
      <c r="A181" t="s">
        <v>69</v>
      </c>
      <c r="B181" t="s">
        <v>206</v>
      </c>
      <c r="C181" t="s">
        <v>214</v>
      </c>
      <c r="D181" t="s">
        <v>15</v>
      </c>
      <c r="E181" s="46">
        <v>2130</v>
      </c>
      <c r="F181" s="46">
        <v>1920</v>
      </c>
      <c r="G181" s="46">
        <v>210</v>
      </c>
      <c r="H181" s="46">
        <v>10.94</v>
      </c>
      <c r="I181" t="s">
        <v>29</v>
      </c>
    </row>
    <row r="182" spans="1:9" x14ac:dyDescent="0.25">
      <c r="A182" t="s">
        <v>69</v>
      </c>
      <c r="B182" t="s">
        <v>215</v>
      </c>
      <c r="C182" t="s">
        <v>216</v>
      </c>
      <c r="D182" t="s">
        <v>15</v>
      </c>
      <c r="E182" s="46">
        <v>3030</v>
      </c>
      <c r="F182" s="46">
        <v>2948</v>
      </c>
      <c r="G182" s="46">
        <v>82</v>
      </c>
      <c r="H182" s="46">
        <v>2.78</v>
      </c>
      <c r="I182" t="s">
        <v>23</v>
      </c>
    </row>
    <row r="183" spans="1:9" x14ac:dyDescent="0.25">
      <c r="A183" t="s">
        <v>69</v>
      </c>
      <c r="B183" t="s">
        <v>215</v>
      </c>
      <c r="C183" t="s">
        <v>217</v>
      </c>
      <c r="D183" t="s">
        <v>15</v>
      </c>
      <c r="E183" s="46">
        <v>3030</v>
      </c>
      <c r="F183" s="46">
        <v>2948</v>
      </c>
      <c r="G183" s="46">
        <v>82</v>
      </c>
      <c r="H183" s="46">
        <v>2.78</v>
      </c>
      <c r="I183" t="s">
        <v>23</v>
      </c>
    </row>
    <row r="184" spans="1:9" x14ac:dyDescent="0.25">
      <c r="A184" t="s">
        <v>69</v>
      </c>
      <c r="B184" t="s">
        <v>215</v>
      </c>
      <c r="C184" t="s">
        <v>218</v>
      </c>
      <c r="D184" t="s">
        <v>15</v>
      </c>
      <c r="E184" s="46">
        <v>3030</v>
      </c>
      <c r="F184" s="46">
        <v>2948</v>
      </c>
      <c r="G184" s="46">
        <v>82</v>
      </c>
      <c r="H184" s="46">
        <v>2.78</v>
      </c>
      <c r="I184" t="s">
        <v>23</v>
      </c>
    </row>
    <row r="185" spans="1:9" x14ac:dyDescent="0.25">
      <c r="A185" t="s">
        <v>69</v>
      </c>
      <c r="B185" t="s">
        <v>215</v>
      </c>
      <c r="C185" t="s">
        <v>219</v>
      </c>
      <c r="D185" t="s">
        <v>15</v>
      </c>
      <c r="E185" s="46">
        <v>2950</v>
      </c>
      <c r="F185" s="46">
        <v>2500</v>
      </c>
      <c r="G185" s="46">
        <v>450</v>
      </c>
      <c r="H185" s="46">
        <v>18</v>
      </c>
      <c r="I185" t="s">
        <v>29</v>
      </c>
    </row>
    <row r="186" spans="1:9" x14ac:dyDescent="0.25">
      <c r="A186" t="s">
        <v>69</v>
      </c>
      <c r="B186" t="s">
        <v>215</v>
      </c>
      <c r="C186" t="s">
        <v>220</v>
      </c>
      <c r="D186" t="s">
        <v>15</v>
      </c>
      <c r="E186" s="46">
        <v>2950</v>
      </c>
      <c r="F186" s="46">
        <v>2500</v>
      </c>
      <c r="G186" s="46">
        <v>450</v>
      </c>
      <c r="H186" s="46">
        <v>18</v>
      </c>
      <c r="I186" t="s">
        <v>29</v>
      </c>
    </row>
    <row r="187" spans="1:9" x14ac:dyDescent="0.25">
      <c r="A187" t="s">
        <v>69</v>
      </c>
      <c r="B187" t="s">
        <v>215</v>
      </c>
      <c r="C187" t="s">
        <v>221</v>
      </c>
      <c r="D187" t="s">
        <v>15</v>
      </c>
      <c r="E187" s="46">
        <v>2980</v>
      </c>
      <c r="F187" s="46">
        <v>2730</v>
      </c>
      <c r="G187" s="46">
        <v>250</v>
      </c>
      <c r="H187" s="46">
        <v>9.16</v>
      </c>
      <c r="I187" t="s">
        <v>29</v>
      </c>
    </row>
    <row r="188" spans="1:9" x14ac:dyDescent="0.25">
      <c r="A188" t="s">
        <v>69</v>
      </c>
      <c r="B188" t="s">
        <v>33</v>
      </c>
      <c r="C188" t="s">
        <v>222</v>
      </c>
      <c r="D188" t="s">
        <v>15</v>
      </c>
      <c r="E188" s="46">
        <v>3570</v>
      </c>
      <c r="F188" s="46">
        <v>3343</v>
      </c>
      <c r="G188" s="46">
        <v>227</v>
      </c>
      <c r="H188" s="46">
        <v>6.79</v>
      </c>
      <c r="I188" t="s">
        <v>23</v>
      </c>
    </row>
    <row r="189" spans="1:9" x14ac:dyDescent="0.25">
      <c r="A189" t="s">
        <v>69</v>
      </c>
      <c r="B189" t="s">
        <v>33</v>
      </c>
      <c r="C189" t="s">
        <v>223</v>
      </c>
      <c r="D189" t="s">
        <v>15</v>
      </c>
      <c r="E189" s="46">
        <v>3570</v>
      </c>
      <c r="F189" s="46">
        <v>3343</v>
      </c>
      <c r="G189" s="46">
        <v>227</v>
      </c>
      <c r="H189" s="46">
        <v>6.79</v>
      </c>
      <c r="I189" t="s">
        <v>23</v>
      </c>
    </row>
    <row r="190" spans="1:9" x14ac:dyDescent="0.25">
      <c r="A190" t="s">
        <v>69</v>
      </c>
      <c r="B190" t="s">
        <v>33</v>
      </c>
      <c r="C190" t="s">
        <v>224</v>
      </c>
      <c r="D190" t="s">
        <v>15</v>
      </c>
      <c r="E190" s="46">
        <v>3570</v>
      </c>
      <c r="F190" s="46">
        <v>3344</v>
      </c>
      <c r="G190" s="46">
        <v>226</v>
      </c>
      <c r="H190" s="46">
        <v>6.76</v>
      </c>
      <c r="I190" t="s">
        <v>23</v>
      </c>
    </row>
    <row r="191" spans="1:9" x14ac:dyDescent="0.25">
      <c r="A191" t="s">
        <v>69</v>
      </c>
      <c r="B191" t="s">
        <v>33</v>
      </c>
      <c r="C191" t="s">
        <v>225</v>
      </c>
      <c r="D191" t="s">
        <v>15</v>
      </c>
      <c r="E191" s="46">
        <v>3570</v>
      </c>
      <c r="F191" s="46">
        <v>3343</v>
      </c>
      <c r="G191" s="46">
        <v>227</v>
      </c>
      <c r="H191" s="46">
        <v>6.79</v>
      </c>
      <c r="I191" t="s">
        <v>23</v>
      </c>
    </row>
    <row r="192" spans="1:9" x14ac:dyDescent="0.25">
      <c r="A192" t="s">
        <v>69</v>
      </c>
      <c r="B192" t="s">
        <v>33</v>
      </c>
      <c r="C192" t="s">
        <v>226</v>
      </c>
      <c r="D192" t="s">
        <v>15</v>
      </c>
      <c r="E192" s="46">
        <v>3570</v>
      </c>
      <c r="F192" s="46">
        <v>3450</v>
      </c>
      <c r="G192" s="46">
        <v>120</v>
      </c>
      <c r="H192" s="46">
        <v>3.48</v>
      </c>
      <c r="I192" t="s">
        <v>29</v>
      </c>
    </row>
    <row r="193" spans="1:9" x14ac:dyDescent="0.25">
      <c r="A193" t="s">
        <v>69</v>
      </c>
      <c r="B193" t="s">
        <v>33</v>
      </c>
      <c r="C193" t="s">
        <v>227</v>
      </c>
      <c r="D193" t="s">
        <v>15</v>
      </c>
      <c r="E193" s="46">
        <v>3380</v>
      </c>
      <c r="F193" s="46">
        <v>3130</v>
      </c>
      <c r="G193" s="46">
        <v>250</v>
      </c>
      <c r="H193" s="46">
        <v>7.99</v>
      </c>
      <c r="I193" t="s">
        <v>29</v>
      </c>
    </row>
    <row r="194" spans="1:9" x14ac:dyDescent="0.25">
      <c r="A194" t="s">
        <v>69</v>
      </c>
      <c r="B194" t="s">
        <v>33</v>
      </c>
      <c r="C194" t="s">
        <v>228</v>
      </c>
      <c r="D194" t="s">
        <v>15</v>
      </c>
      <c r="E194" s="46">
        <v>3570</v>
      </c>
      <c r="F194" s="46">
        <v>3450</v>
      </c>
      <c r="G194" s="46">
        <v>120</v>
      </c>
      <c r="H194" s="46">
        <v>3.48</v>
      </c>
      <c r="I194" t="s">
        <v>29</v>
      </c>
    </row>
    <row r="195" spans="1:9" x14ac:dyDescent="0.25">
      <c r="A195" t="s">
        <v>69</v>
      </c>
      <c r="B195" t="s">
        <v>33</v>
      </c>
      <c r="C195" t="s">
        <v>229</v>
      </c>
      <c r="D195" t="s">
        <v>15</v>
      </c>
      <c r="E195" s="46">
        <v>3520</v>
      </c>
      <c r="F195" s="46">
        <v>3344</v>
      </c>
      <c r="G195" s="46">
        <v>176</v>
      </c>
      <c r="H195" s="46">
        <v>5.26</v>
      </c>
      <c r="I195" t="s">
        <v>23</v>
      </c>
    </row>
    <row r="196" spans="1:9" x14ac:dyDescent="0.25">
      <c r="A196" t="s">
        <v>69</v>
      </c>
      <c r="B196" t="s">
        <v>33</v>
      </c>
      <c r="C196" t="s">
        <v>230</v>
      </c>
      <c r="D196" t="s">
        <v>15</v>
      </c>
      <c r="E196" s="46">
        <v>3570</v>
      </c>
      <c r="F196" s="46">
        <v>3450</v>
      </c>
      <c r="G196" s="46">
        <v>120</v>
      </c>
      <c r="H196" s="46">
        <v>3.48</v>
      </c>
      <c r="I196" t="s">
        <v>29</v>
      </c>
    </row>
    <row r="197" spans="1:9" x14ac:dyDescent="0.25">
      <c r="A197" t="s">
        <v>69</v>
      </c>
      <c r="B197" t="s">
        <v>33</v>
      </c>
      <c r="C197" t="s">
        <v>231</v>
      </c>
      <c r="D197" t="s">
        <v>15</v>
      </c>
      <c r="E197" s="46">
        <v>3380</v>
      </c>
      <c r="F197" s="46">
        <v>3130</v>
      </c>
      <c r="G197" s="46">
        <v>250</v>
      </c>
      <c r="H197" s="46">
        <v>7.99</v>
      </c>
      <c r="I197" t="s">
        <v>29</v>
      </c>
    </row>
    <row r="198" spans="1:9" x14ac:dyDescent="0.25">
      <c r="A198" t="s">
        <v>69</v>
      </c>
      <c r="B198" t="s">
        <v>33</v>
      </c>
      <c r="C198" t="s">
        <v>232</v>
      </c>
      <c r="D198" t="s">
        <v>15</v>
      </c>
      <c r="E198" s="46">
        <v>3570</v>
      </c>
      <c r="F198" s="46">
        <v>3344</v>
      </c>
      <c r="G198" s="46">
        <v>226</v>
      </c>
      <c r="H198" s="46">
        <v>6.76</v>
      </c>
      <c r="I198" t="s">
        <v>23</v>
      </c>
    </row>
    <row r="199" spans="1:9" x14ac:dyDescent="0.25">
      <c r="A199" t="s">
        <v>69</v>
      </c>
      <c r="B199" t="s">
        <v>33</v>
      </c>
      <c r="C199" t="s">
        <v>233</v>
      </c>
      <c r="D199" t="s">
        <v>15</v>
      </c>
      <c r="E199" s="46">
        <v>3570</v>
      </c>
      <c r="F199" s="46">
        <v>3344</v>
      </c>
      <c r="G199" s="46">
        <v>226</v>
      </c>
      <c r="H199" s="46">
        <v>6.76</v>
      </c>
      <c r="I199" t="s">
        <v>23</v>
      </c>
    </row>
    <row r="200" spans="1:9" x14ac:dyDescent="0.25">
      <c r="A200" t="s">
        <v>69</v>
      </c>
      <c r="B200" t="s">
        <v>33</v>
      </c>
      <c r="C200" t="s">
        <v>234</v>
      </c>
      <c r="D200" t="s">
        <v>15</v>
      </c>
      <c r="E200" s="46">
        <v>3520</v>
      </c>
      <c r="F200" s="46">
        <v>3344</v>
      </c>
      <c r="G200" s="46">
        <v>176</v>
      </c>
      <c r="H200" s="46">
        <v>5.26</v>
      </c>
      <c r="I200" t="s">
        <v>23</v>
      </c>
    </row>
    <row r="201" spans="1:9" x14ac:dyDescent="0.25">
      <c r="A201" t="s">
        <v>69</v>
      </c>
      <c r="B201" t="s">
        <v>33</v>
      </c>
      <c r="C201" t="s">
        <v>235</v>
      </c>
      <c r="D201" t="s">
        <v>15</v>
      </c>
      <c r="E201" s="46">
        <v>3570</v>
      </c>
      <c r="F201" s="46">
        <v>3343</v>
      </c>
      <c r="G201" s="46">
        <v>227</v>
      </c>
      <c r="H201" s="46">
        <v>6.79</v>
      </c>
      <c r="I201" t="s">
        <v>23</v>
      </c>
    </row>
    <row r="202" spans="1:9" x14ac:dyDescent="0.25">
      <c r="A202" t="s">
        <v>69</v>
      </c>
      <c r="B202" t="s">
        <v>33</v>
      </c>
      <c r="C202" t="s">
        <v>236</v>
      </c>
      <c r="D202" t="s">
        <v>15</v>
      </c>
      <c r="E202" s="46">
        <v>3570</v>
      </c>
      <c r="F202" s="46">
        <v>3344</v>
      </c>
      <c r="G202" s="46">
        <v>226</v>
      </c>
      <c r="H202" s="46">
        <v>6.76</v>
      </c>
      <c r="I202" t="s">
        <v>23</v>
      </c>
    </row>
    <row r="203" spans="1:9" x14ac:dyDescent="0.25">
      <c r="A203" t="s">
        <v>69</v>
      </c>
      <c r="B203" t="s">
        <v>33</v>
      </c>
      <c r="C203" t="s">
        <v>237</v>
      </c>
      <c r="D203" t="s">
        <v>15</v>
      </c>
      <c r="E203" s="46">
        <v>3570</v>
      </c>
      <c r="F203" s="46">
        <v>3343</v>
      </c>
      <c r="G203" s="46">
        <v>227</v>
      </c>
      <c r="H203" s="46">
        <v>6.79</v>
      </c>
      <c r="I203" t="s">
        <v>23</v>
      </c>
    </row>
    <row r="204" spans="1:9" x14ac:dyDescent="0.25">
      <c r="A204" t="s">
        <v>69</v>
      </c>
      <c r="B204" t="s">
        <v>33</v>
      </c>
      <c r="C204" t="s">
        <v>238</v>
      </c>
      <c r="D204" t="s">
        <v>15</v>
      </c>
      <c r="E204" s="46">
        <v>3570</v>
      </c>
      <c r="F204" s="46">
        <v>3343</v>
      </c>
      <c r="G204" s="46">
        <v>227</v>
      </c>
      <c r="H204" s="46">
        <v>6.79</v>
      </c>
      <c r="I204" t="s">
        <v>23</v>
      </c>
    </row>
    <row r="205" spans="1:9" x14ac:dyDescent="0.25">
      <c r="A205" t="s">
        <v>69</v>
      </c>
      <c r="B205" t="s">
        <v>33</v>
      </c>
      <c r="C205" t="s">
        <v>239</v>
      </c>
      <c r="D205" t="s">
        <v>15</v>
      </c>
      <c r="E205" s="46">
        <v>3570</v>
      </c>
      <c r="F205" s="46">
        <v>3344</v>
      </c>
      <c r="G205" s="46">
        <v>226</v>
      </c>
      <c r="H205" s="46">
        <v>6.76</v>
      </c>
      <c r="I205" t="s">
        <v>23</v>
      </c>
    </row>
    <row r="206" spans="1:9" x14ac:dyDescent="0.25">
      <c r="A206" t="s">
        <v>69</v>
      </c>
      <c r="B206" t="s">
        <v>33</v>
      </c>
      <c r="C206" t="s">
        <v>240</v>
      </c>
      <c r="D206" t="s">
        <v>15</v>
      </c>
      <c r="E206" s="46">
        <v>3730</v>
      </c>
      <c r="F206" s="46">
        <v>3600</v>
      </c>
      <c r="G206" s="46">
        <v>130</v>
      </c>
      <c r="H206" s="46">
        <v>3.61</v>
      </c>
      <c r="I206" t="s">
        <v>29</v>
      </c>
    </row>
    <row r="207" spans="1:9" x14ac:dyDescent="0.25">
      <c r="A207" t="s">
        <v>69</v>
      </c>
      <c r="B207" t="s">
        <v>33</v>
      </c>
      <c r="C207" t="s">
        <v>241</v>
      </c>
      <c r="D207" t="s">
        <v>15</v>
      </c>
      <c r="E207" s="46">
        <v>3380</v>
      </c>
      <c r="F207" s="46">
        <v>3130</v>
      </c>
      <c r="G207" s="46">
        <v>250</v>
      </c>
      <c r="H207" s="46">
        <v>7.99</v>
      </c>
      <c r="I207" t="s">
        <v>29</v>
      </c>
    </row>
    <row r="208" spans="1:9" x14ac:dyDescent="0.25">
      <c r="A208" t="s">
        <v>69</v>
      </c>
      <c r="B208" t="s">
        <v>33</v>
      </c>
      <c r="C208" t="s">
        <v>242</v>
      </c>
      <c r="D208" t="s">
        <v>15</v>
      </c>
      <c r="E208" s="46">
        <v>3520</v>
      </c>
      <c r="F208" s="46">
        <v>3344</v>
      </c>
      <c r="G208" s="46">
        <v>176</v>
      </c>
      <c r="H208" s="46">
        <v>5.26</v>
      </c>
      <c r="I208" t="s">
        <v>23</v>
      </c>
    </row>
    <row r="209" spans="1:9" x14ac:dyDescent="0.25">
      <c r="A209" t="s">
        <v>69</v>
      </c>
      <c r="B209" t="s">
        <v>33</v>
      </c>
      <c r="C209" t="s">
        <v>243</v>
      </c>
      <c r="D209" t="s">
        <v>15</v>
      </c>
      <c r="E209" s="46">
        <v>3570</v>
      </c>
      <c r="F209" s="46">
        <v>3344</v>
      </c>
      <c r="G209" s="46">
        <v>226</v>
      </c>
      <c r="H209" s="46">
        <v>6.76</v>
      </c>
      <c r="I209" t="s">
        <v>23</v>
      </c>
    </row>
    <row r="210" spans="1:9" x14ac:dyDescent="0.25">
      <c r="A210" t="s">
        <v>69</v>
      </c>
      <c r="B210" t="s">
        <v>33</v>
      </c>
      <c r="C210" t="s">
        <v>244</v>
      </c>
      <c r="D210" t="s">
        <v>15</v>
      </c>
      <c r="E210" s="46">
        <v>3570</v>
      </c>
      <c r="F210" s="46">
        <v>3344</v>
      </c>
      <c r="G210" s="46">
        <v>226</v>
      </c>
      <c r="H210" s="46">
        <v>6.76</v>
      </c>
      <c r="I210" t="s">
        <v>23</v>
      </c>
    </row>
    <row r="211" spans="1:9" x14ac:dyDescent="0.25">
      <c r="A211" t="s">
        <v>69</v>
      </c>
      <c r="B211" t="s">
        <v>33</v>
      </c>
      <c r="C211" t="s">
        <v>245</v>
      </c>
      <c r="D211" t="s">
        <v>15</v>
      </c>
      <c r="E211" s="46">
        <v>3570</v>
      </c>
      <c r="F211" s="46">
        <v>3343</v>
      </c>
      <c r="G211" s="46">
        <v>227</v>
      </c>
      <c r="H211" s="46">
        <v>6.79</v>
      </c>
      <c r="I211" t="s">
        <v>23</v>
      </c>
    </row>
    <row r="212" spans="1:9" x14ac:dyDescent="0.25">
      <c r="A212" t="s">
        <v>69</v>
      </c>
      <c r="B212" t="s">
        <v>33</v>
      </c>
      <c r="C212" t="s">
        <v>246</v>
      </c>
      <c r="D212" t="s">
        <v>15</v>
      </c>
      <c r="E212" s="46">
        <v>3570</v>
      </c>
      <c r="F212" s="46">
        <v>3343</v>
      </c>
      <c r="G212" s="46">
        <v>227</v>
      </c>
      <c r="H212" s="46">
        <v>6.79</v>
      </c>
      <c r="I212" t="s">
        <v>23</v>
      </c>
    </row>
    <row r="213" spans="1:9" x14ac:dyDescent="0.25">
      <c r="A213" t="s">
        <v>69</v>
      </c>
      <c r="B213" t="s">
        <v>33</v>
      </c>
      <c r="C213" t="s">
        <v>247</v>
      </c>
      <c r="D213" t="s">
        <v>15</v>
      </c>
      <c r="E213" s="46">
        <v>3570</v>
      </c>
      <c r="F213" s="46">
        <v>3343</v>
      </c>
      <c r="G213" s="46">
        <v>227</v>
      </c>
      <c r="H213" s="46">
        <v>6.79</v>
      </c>
      <c r="I213" t="s">
        <v>23</v>
      </c>
    </row>
    <row r="214" spans="1:9" x14ac:dyDescent="0.25">
      <c r="A214" t="s">
        <v>69</v>
      </c>
      <c r="B214" t="s">
        <v>33</v>
      </c>
      <c r="C214" t="s">
        <v>248</v>
      </c>
      <c r="D214" t="s">
        <v>15</v>
      </c>
      <c r="E214" s="46">
        <v>3570</v>
      </c>
      <c r="F214" s="46">
        <v>3343</v>
      </c>
      <c r="G214" s="46">
        <v>227</v>
      </c>
      <c r="H214" s="46">
        <v>6.79</v>
      </c>
      <c r="I214" t="s">
        <v>23</v>
      </c>
    </row>
    <row r="215" spans="1:9" x14ac:dyDescent="0.25">
      <c r="A215" t="s">
        <v>69</v>
      </c>
      <c r="B215" t="s">
        <v>33</v>
      </c>
      <c r="C215" t="s">
        <v>249</v>
      </c>
      <c r="D215" t="s">
        <v>15</v>
      </c>
      <c r="E215" s="46">
        <v>3520</v>
      </c>
      <c r="F215" s="46">
        <v>3344</v>
      </c>
      <c r="G215" s="46">
        <v>176</v>
      </c>
      <c r="H215" s="46">
        <v>5.26</v>
      </c>
      <c r="I215" t="s">
        <v>23</v>
      </c>
    </row>
    <row r="216" spans="1:9" x14ac:dyDescent="0.25">
      <c r="A216" t="s">
        <v>69</v>
      </c>
      <c r="B216" t="s">
        <v>33</v>
      </c>
      <c r="C216" t="s">
        <v>250</v>
      </c>
      <c r="D216" t="s">
        <v>15</v>
      </c>
      <c r="E216" s="46">
        <v>3570</v>
      </c>
      <c r="F216" s="46">
        <v>3343</v>
      </c>
      <c r="G216" s="46">
        <v>227</v>
      </c>
      <c r="H216" s="46">
        <v>6.79</v>
      </c>
      <c r="I216" t="s">
        <v>23</v>
      </c>
    </row>
    <row r="217" spans="1:9" x14ac:dyDescent="0.25">
      <c r="A217" t="s">
        <v>69</v>
      </c>
      <c r="B217" t="s">
        <v>33</v>
      </c>
      <c r="C217" t="s">
        <v>251</v>
      </c>
      <c r="D217" t="s">
        <v>15</v>
      </c>
      <c r="E217" s="46">
        <v>3570</v>
      </c>
      <c r="F217" s="46">
        <v>3343</v>
      </c>
      <c r="G217" s="46">
        <v>227</v>
      </c>
      <c r="H217" s="46">
        <v>6.79</v>
      </c>
      <c r="I217" t="s">
        <v>23</v>
      </c>
    </row>
    <row r="218" spans="1:9" x14ac:dyDescent="0.25">
      <c r="A218" t="s">
        <v>69</v>
      </c>
      <c r="B218" t="s">
        <v>33</v>
      </c>
      <c r="C218" t="s">
        <v>252</v>
      </c>
      <c r="D218" t="s">
        <v>15</v>
      </c>
      <c r="E218" s="46">
        <v>3570</v>
      </c>
      <c r="F218" s="46">
        <v>3343</v>
      </c>
      <c r="G218" s="46">
        <v>227</v>
      </c>
      <c r="H218" s="46">
        <v>6.79</v>
      </c>
      <c r="I218" t="s">
        <v>23</v>
      </c>
    </row>
    <row r="219" spans="1:9" x14ac:dyDescent="0.25">
      <c r="A219" t="s">
        <v>69</v>
      </c>
      <c r="B219" t="s">
        <v>33</v>
      </c>
      <c r="C219" t="s">
        <v>253</v>
      </c>
      <c r="D219" t="s">
        <v>15</v>
      </c>
      <c r="E219" s="46">
        <v>3570</v>
      </c>
      <c r="F219" s="46">
        <v>3343</v>
      </c>
      <c r="G219" s="46">
        <v>227</v>
      </c>
      <c r="H219" s="46">
        <v>6.79</v>
      </c>
      <c r="I219" t="s">
        <v>23</v>
      </c>
    </row>
    <row r="220" spans="1:9" x14ac:dyDescent="0.25">
      <c r="A220" t="s">
        <v>69</v>
      </c>
      <c r="B220" t="s">
        <v>254</v>
      </c>
      <c r="C220" t="s">
        <v>255</v>
      </c>
      <c r="D220" t="s">
        <v>15</v>
      </c>
      <c r="E220" s="46">
        <v>345</v>
      </c>
      <c r="F220" s="46">
        <v>313.98</v>
      </c>
      <c r="G220" s="46">
        <v>31.02</v>
      </c>
      <c r="H220" s="46">
        <v>9.8800000000000008</v>
      </c>
      <c r="I220" t="s">
        <v>16</v>
      </c>
    </row>
    <row r="221" spans="1:9" x14ac:dyDescent="0.25">
      <c r="A221" t="s">
        <v>69</v>
      </c>
      <c r="B221" t="s">
        <v>254</v>
      </c>
      <c r="C221" t="s">
        <v>256</v>
      </c>
      <c r="D221" t="s">
        <v>15</v>
      </c>
      <c r="E221" s="46">
        <v>345</v>
      </c>
      <c r="F221" s="46">
        <v>313.98</v>
      </c>
      <c r="G221" s="46">
        <v>31.02</v>
      </c>
      <c r="H221" s="46">
        <v>9.8800000000000008</v>
      </c>
      <c r="I221" t="s">
        <v>16</v>
      </c>
    </row>
    <row r="222" spans="1:9" x14ac:dyDescent="0.25">
      <c r="A222" t="s">
        <v>69</v>
      </c>
      <c r="B222" t="s">
        <v>254</v>
      </c>
      <c r="C222" t="s">
        <v>257</v>
      </c>
      <c r="D222" t="s">
        <v>15</v>
      </c>
      <c r="E222" s="46">
        <v>345</v>
      </c>
      <c r="F222" s="46">
        <v>313.98</v>
      </c>
      <c r="G222" s="46">
        <v>31.02</v>
      </c>
      <c r="H222" s="46">
        <v>9.8800000000000008</v>
      </c>
      <c r="I222" t="s">
        <v>16</v>
      </c>
    </row>
    <row r="223" spans="1:9" x14ac:dyDescent="0.25">
      <c r="A223" t="s">
        <v>69</v>
      </c>
      <c r="B223" t="s">
        <v>254</v>
      </c>
      <c r="C223" t="s">
        <v>258</v>
      </c>
      <c r="D223" t="s">
        <v>15</v>
      </c>
      <c r="E223" s="46">
        <v>345</v>
      </c>
      <c r="F223" s="46">
        <v>313.98</v>
      </c>
      <c r="G223" s="46">
        <v>31.02</v>
      </c>
      <c r="H223" s="46">
        <v>9.8800000000000008</v>
      </c>
      <c r="I223" t="s">
        <v>16</v>
      </c>
    </row>
    <row r="224" spans="1:9" x14ac:dyDescent="0.25">
      <c r="A224" t="s">
        <v>69</v>
      </c>
      <c r="B224" t="s">
        <v>254</v>
      </c>
      <c r="C224" t="s">
        <v>259</v>
      </c>
      <c r="D224" t="s">
        <v>15</v>
      </c>
      <c r="E224" s="46">
        <v>345</v>
      </c>
      <c r="F224" s="46">
        <v>313.98</v>
      </c>
      <c r="G224" s="46">
        <v>31.02</v>
      </c>
      <c r="H224" s="46">
        <v>9.8800000000000008</v>
      </c>
      <c r="I224" t="s">
        <v>16</v>
      </c>
    </row>
    <row r="225" spans="1:9" x14ac:dyDescent="0.25">
      <c r="A225" t="s">
        <v>69</v>
      </c>
      <c r="B225" t="s">
        <v>254</v>
      </c>
      <c r="C225" t="s">
        <v>260</v>
      </c>
      <c r="D225" t="s">
        <v>15</v>
      </c>
      <c r="E225" s="46">
        <v>345</v>
      </c>
      <c r="F225" s="46">
        <v>313.98</v>
      </c>
      <c r="G225" s="46">
        <v>31.02</v>
      </c>
      <c r="H225" s="46">
        <v>9.8800000000000008</v>
      </c>
      <c r="I225" t="s">
        <v>16</v>
      </c>
    </row>
    <row r="226" spans="1:9" x14ac:dyDescent="0.25">
      <c r="A226" t="s">
        <v>69</v>
      </c>
      <c r="B226" t="s">
        <v>254</v>
      </c>
      <c r="C226" t="s">
        <v>261</v>
      </c>
      <c r="D226" t="s">
        <v>15</v>
      </c>
      <c r="E226" s="46">
        <v>345</v>
      </c>
      <c r="F226" s="46">
        <v>313.98</v>
      </c>
      <c r="G226" s="46">
        <v>31.02</v>
      </c>
      <c r="H226" s="46">
        <v>9.8800000000000008</v>
      </c>
      <c r="I226" t="s">
        <v>16</v>
      </c>
    </row>
    <row r="227" spans="1:9" x14ac:dyDescent="0.25">
      <c r="A227" t="s">
        <v>69</v>
      </c>
      <c r="B227" t="s">
        <v>254</v>
      </c>
      <c r="C227" t="s">
        <v>262</v>
      </c>
      <c r="D227" t="s">
        <v>15</v>
      </c>
      <c r="E227" s="46">
        <v>345</v>
      </c>
      <c r="F227" s="46">
        <v>313.98</v>
      </c>
      <c r="G227" s="46">
        <v>31.02</v>
      </c>
      <c r="H227" s="46">
        <v>9.8800000000000008</v>
      </c>
      <c r="I227" t="s">
        <v>16</v>
      </c>
    </row>
    <row r="228" spans="1:9" x14ac:dyDescent="0.25">
      <c r="A228" t="s">
        <v>69</v>
      </c>
      <c r="B228" t="s">
        <v>254</v>
      </c>
      <c r="C228" t="s">
        <v>263</v>
      </c>
      <c r="D228" t="s">
        <v>15</v>
      </c>
      <c r="E228" s="46">
        <v>345</v>
      </c>
      <c r="F228" s="46">
        <v>313.98</v>
      </c>
      <c r="G228" s="46">
        <v>31.02</v>
      </c>
      <c r="H228" s="46">
        <v>9.8800000000000008</v>
      </c>
      <c r="I228" t="s">
        <v>16</v>
      </c>
    </row>
    <row r="229" spans="1:9" x14ac:dyDescent="0.25">
      <c r="A229" t="s">
        <v>69</v>
      </c>
      <c r="B229" t="s">
        <v>254</v>
      </c>
      <c r="C229" t="s">
        <v>264</v>
      </c>
      <c r="D229" t="s">
        <v>15</v>
      </c>
      <c r="E229" s="46">
        <v>345</v>
      </c>
      <c r="F229" s="46">
        <v>313.98</v>
      </c>
      <c r="G229" s="46">
        <v>31.02</v>
      </c>
      <c r="H229" s="46">
        <v>9.8800000000000008</v>
      </c>
      <c r="I229" t="s">
        <v>16</v>
      </c>
    </row>
    <row r="230" spans="1:9" x14ac:dyDescent="0.25">
      <c r="A230" t="s">
        <v>69</v>
      </c>
      <c r="B230" t="s">
        <v>254</v>
      </c>
      <c r="C230" t="s">
        <v>265</v>
      </c>
      <c r="D230" t="s">
        <v>15</v>
      </c>
      <c r="E230" s="46">
        <v>345</v>
      </c>
      <c r="F230" s="46">
        <v>313.98</v>
      </c>
      <c r="G230" s="46">
        <v>31.02</v>
      </c>
      <c r="H230" s="46">
        <v>9.8800000000000008</v>
      </c>
      <c r="I230" t="s">
        <v>16</v>
      </c>
    </row>
    <row r="231" spans="1:9" x14ac:dyDescent="0.25">
      <c r="A231" t="s">
        <v>69</v>
      </c>
      <c r="B231" t="s">
        <v>254</v>
      </c>
      <c r="C231" t="s">
        <v>266</v>
      </c>
      <c r="D231" t="s">
        <v>15</v>
      </c>
      <c r="E231" s="46">
        <v>345</v>
      </c>
      <c r="F231" s="46">
        <v>313.98</v>
      </c>
      <c r="G231" s="46">
        <v>31.02</v>
      </c>
      <c r="H231" s="46">
        <v>9.8800000000000008</v>
      </c>
      <c r="I231" t="s">
        <v>16</v>
      </c>
    </row>
    <row r="232" spans="1:9" x14ac:dyDescent="0.25">
      <c r="A232" t="s">
        <v>69</v>
      </c>
      <c r="B232" t="s">
        <v>254</v>
      </c>
      <c r="C232" t="s">
        <v>267</v>
      </c>
      <c r="D232" t="s">
        <v>15</v>
      </c>
      <c r="E232" s="46">
        <v>345</v>
      </c>
      <c r="F232" s="46">
        <v>313.98</v>
      </c>
      <c r="G232" s="46">
        <v>31.02</v>
      </c>
      <c r="H232" s="46">
        <v>9.8800000000000008</v>
      </c>
      <c r="I232" t="s">
        <v>16</v>
      </c>
    </row>
    <row r="233" spans="1:9" x14ac:dyDescent="0.25">
      <c r="A233" t="s">
        <v>69</v>
      </c>
      <c r="B233" t="s">
        <v>254</v>
      </c>
      <c r="C233" t="s">
        <v>268</v>
      </c>
      <c r="D233" t="s">
        <v>15</v>
      </c>
      <c r="E233" s="46">
        <v>345</v>
      </c>
      <c r="F233" s="46">
        <v>313.98</v>
      </c>
      <c r="G233" s="46">
        <v>31.02</v>
      </c>
      <c r="H233" s="46">
        <v>9.8800000000000008</v>
      </c>
      <c r="I233" t="s">
        <v>16</v>
      </c>
    </row>
    <row r="234" spans="1:9" x14ac:dyDescent="0.25">
      <c r="A234" t="s">
        <v>69</v>
      </c>
      <c r="B234" t="s">
        <v>254</v>
      </c>
      <c r="C234" t="s">
        <v>269</v>
      </c>
      <c r="D234" t="s">
        <v>15</v>
      </c>
      <c r="E234" s="46">
        <v>345</v>
      </c>
      <c r="F234" s="46">
        <v>313.98</v>
      </c>
      <c r="G234" s="46">
        <v>31.02</v>
      </c>
      <c r="H234" s="46">
        <v>9.8800000000000008</v>
      </c>
      <c r="I234" t="s">
        <v>16</v>
      </c>
    </row>
    <row r="235" spans="1:9" x14ac:dyDescent="0.25">
      <c r="A235" t="s">
        <v>69</v>
      </c>
      <c r="B235" t="s">
        <v>254</v>
      </c>
      <c r="C235" t="s">
        <v>270</v>
      </c>
      <c r="D235" t="s">
        <v>15</v>
      </c>
      <c r="E235" s="46">
        <v>345</v>
      </c>
      <c r="F235" s="46">
        <v>313.98</v>
      </c>
      <c r="G235" s="46">
        <v>31.02</v>
      </c>
      <c r="H235" s="46">
        <v>9.8800000000000008</v>
      </c>
      <c r="I235" t="s">
        <v>16</v>
      </c>
    </row>
    <row r="236" spans="1:9" x14ac:dyDescent="0.25">
      <c r="A236" t="s">
        <v>69</v>
      </c>
      <c r="B236" t="s">
        <v>254</v>
      </c>
      <c r="C236" t="s">
        <v>271</v>
      </c>
      <c r="D236" t="s">
        <v>15</v>
      </c>
      <c r="E236" s="46">
        <v>345</v>
      </c>
      <c r="F236" s="46">
        <v>313.98</v>
      </c>
      <c r="G236" s="46">
        <v>31.02</v>
      </c>
      <c r="H236" s="46">
        <v>9.8800000000000008</v>
      </c>
      <c r="I236" t="s">
        <v>16</v>
      </c>
    </row>
    <row r="237" spans="1:9" x14ac:dyDescent="0.25">
      <c r="A237" t="s">
        <v>69</v>
      </c>
      <c r="B237" t="s">
        <v>254</v>
      </c>
      <c r="C237" t="s">
        <v>272</v>
      </c>
      <c r="D237" t="s">
        <v>15</v>
      </c>
      <c r="E237" s="46">
        <v>345</v>
      </c>
      <c r="F237" s="46">
        <v>313.98</v>
      </c>
      <c r="G237" s="46">
        <v>31.02</v>
      </c>
      <c r="H237" s="46">
        <v>9.8800000000000008</v>
      </c>
      <c r="I237" t="s">
        <v>16</v>
      </c>
    </row>
    <row r="238" spans="1:9" x14ac:dyDescent="0.25">
      <c r="A238" t="s">
        <v>69</v>
      </c>
      <c r="B238" t="s">
        <v>254</v>
      </c>
      <c r="C238" t="s">
        <v>273</v>
      </c>
      <c r="D238" t="s">
        <v>15</v>
      </c>
      <c r="E238" s="46">
        <v>345</v>
      </c>
      <c r="F238" s="46">
        <v>313.98</v>
      </c>
      <c r="G238" s="46">
        <v>31.02</v>
      </c>
      <c r="H238" s="46">
        <v>9.8800000000000008</v>
      </c>
      <c r="I238" t="s">
        <v>16</v>
      </c>
    </row>
    <row r="239" spans="1:9" x14ac:dyDescent="0.25">
      <c r="A239" t="s">
        <v>69</v>
      </c>
      <c r="B239" t="s">
        <v>254</v>
      </c>
      <c r="C239" t="s">
        <v>274</v>
      </c>
      <c r="D239" t="s">
        <v>15</v>
      </c>
      <c r="E239" s="46">
        <v>345</v>
      </c>
      <c r="F239" s="46">
        <v>313.98</v>
      </c>
      <c r="G239" s="46">
        <v>31.02</v>
      </c>
      <c r="H239" s="46">
        <v>9.8800000000000008</v>
      </c>
      <c r="I239" t="s">
        <v>16</v>
      </c>
    </row>
    <row r="240" spans="1:9" x14ac:dyDescent="0.25">
      <c r="A240" t="s">
        <v>69</v>
      </c>
      <c r="B240" t="s">
        <v>254</v>
      </c>
      <c r="C240" t="s">
        <v>275</v>
      </c>
      <c r="D240" t="s">
        <v>15</v>
      </c>
      <c r="E240" s="46">
        <v>345</v>
      </c>
      <c r="F240" s="46">
        <v>313.98</v>
      </c>
      <c r="G240" s="46">
        <v>31.02</v>
      </c>
      <c r="H240" s="46">
        <v>9.8800000000000008</v>
      </c>
      <c r="I240" t="s">
        <v>16</v>
      </c>
    </row>
    <row r="241" spans="1:9" x14ac:dyDescent="0.25">
      <c r="A241" t="s">
        <v>69</v>
      </c>
      <c r="B241" t="s">
        <v>254</v>
      </c>
      <c r="C241" t="s">
        <v>276</v>
      </c>
      <c r="D241" t="s">
        <v>15</v>
      </c>
      <c r="E241" s="46">
        <v>345</v>
      </c>
      <c r="F241" s="46">
        <v>313.98</v>
      </c>
      <c r="G241" s="46">
        <v>31.02</v>
      </c>
      <c r="H241" s="46">
        <v>9.8800000000000008</v>
      </c>
      <c r="I241" t="s">
        <v>16</v>
      </c>
    </row>
    <row r="242" spans="1:9" x14ac:dyDescent="0.25">
      <c r="A242" t="s">
        <v>69</v>
      </c>
      <c r="B242" t="s">
        <v>254</v>
      </c>
      <c r="C242" t="s">
        <v>277</v>
      </c>
      <c r="D242" t="s">
        <v>15</v>
      </c>
      <c r="E242" s="46">
        <v>345</v>
      </c>
      <c r="F242" s="46">
        <v>313.98</v>
      </c>
      <c r="G242" s="46">
        <v>31.02</v>
      </c>
      <c r="H242" s="46">
        <v>9.8800000000000008</v>
      </c>
      <c r="I242" t="s">
        <v>16</v>
      </c>
    </row>
    <row r="243" spans="1:9" x14ac:dyDescent="0.25">
      <c r="A243" t="s">
        <v>69</v>
      </c>
      <c r="B243" t="s">
        <v>254</v>
      </c>
      <c r="C243" t="s">
        <v>278</v>
      </c>
      <c r="D243" t="s">
        <v>15</v>
      </c>
      <c r="E243" s="46">
        <v>345</v>
      </c>
      <c r="F243" s="46">
        <v>313.98</v>
      </c>
      <c r="G243" s="46">
        <v>31.02</v>
      </c>
      <c r="H243" s="46">
        <v>9.8800000000000008</v>
      </c>
      <c r="I243" t="s">
        <v>16</v>
      </c>
    </row>
    <row r="244" spans="1:9" x14ac:dyDescent="0.25">
      <c r="A244" t="s">
        <v>69</v>
      </c>
      <c r="B244" t="s">
        <v>254</v>
      </c>
      <c r="C244" t="s">
        <v>279</v>
      </c>
      <c r="D244" t="s">
        <v>15</v>
      </c>
      <c r="E244" s="46">
        <v>345</v>
      </c>
      <c r="F244" s="46">
        <v>313.98</v>
      </c>
      <c r="G244" s="46">
        <v>31.02</v>
      </c>
      <c r="H244" s="46">
        <v>9.8800000000000008</v>
      </c>
      <c r="I244" t="s">
        <v>16</v>
      </c>
    </row>
    <row r="245" spans="1:9" x14ac:dyDescent="0.25">
      <c r="A245" t="s">
        <v>69</v>
      </c>
      <c r="B245" t="s">
        <v>254</v>
      </c>
      <c r="C245" t="s">
        <v>280</v>
      </c>
      <c r="D245" t="s">
        <v>15</v>
      </c>
      <c r="E245" s="46">
        <v>345</v>
      </c>
      <c r="F245" s="46">
        <v>313.98</v>
      </c>
      <c r="G245" s="46">
        <v>31.02</v>
      </c>
      <c r="H245" s="46">
        <v>9.8800000000000008</v>
      </c>
      <c r="I245" t="s">
        <v>16</v>
      </c>
    </row>
    <row r="246" spans="1:9" x14ac:dyDescent="0.25">
      <c r="A246" t="s">
        <v>69</v>
      </c>
      <c r="B246" t="s">
        <v>254</v>
      </c>
      <c r="C246" t="s">
        <v>281</v>
      </c>
      <c r="D246" t="s">
        <v>15</v>
      </c>
      <c r="E246" s="46">
        <v>345</v>
      </c>
      <c r="F246" s="46">
        <v>313.98</v>
      </c>
      <c r="G246" s="46">
        <v>31.02</v>
      </c>
      <c r="H246" s="46">
        <v>9.8800000000000008</v>
      </c>
      <c r="I246" t="s">
        <v>16</v>
      </c>
    </row>
    <row r="247" spans="1:9" x14ac:dyDescent="0.25">
      <c r="A247" t="s">
        <v>69</v>
      </c>
      <c r="B247" t="s">
        <v>254</v>
      </c>
      <c r="C247" t="s">
        <v>282</v>
      </c>
      <c r="D247" t="s">
        <v>15</v>
      </c>
      <c r="E247" s="46">
        <v>345</v>
      </c>
      <c r="F247" s="46">
        <v>313.98</v>
      </c>
      <c r="G247" s="46">
        <v>31.02</v>
      </c>
      <c r="H247" s="46">
        <v>9.8800000000000008</v>
      </c>
      <c r="I247" t="s">
        <v>16</v>
      </c>
    </row>
    <row r="248" spans="1:9" x14ac:dyDescent="0.25">
      <c r="A248" t="s">
        <v>69</v>
      </c>
      <c r="B248" t="s">
        <v>254</v>
      </c>
      <c r="C248" t="s">
        <v>283</v>
      </c>
      <c r="D248" t="s">
        <v>15</v>
      </c>
      <c r="E248" s="46">
        <v>345</v>
      </c>
      <c r="F248" s="46">
        <v>313.98</v>
      </c>
      <c r="G248" s="46">
        <v>31.02</v>
      </c>
      <c r="H248" s="46">
        <v>9.8800000000000008</v>
      </c>
      <c r="I248" t="s">
        <v>16</v>
      </c>
    </row>
    <row r="249" spans="1:9" x14ac:dyDescent="0.25">
      <c r="A249" t="s">
        <v>69</v>
      </c>
      <c r="B249" t="s">
        <v>254</v>
      </c>
      <c r="C249" t="s">
        <v>284</v>
      </c>
      <c r="D249" t="s">
        <v>15</v>
      </c>
      <c r="E249" s="46">
        <v>345</v>
      </c>
      <c r="F249" s="46">
        <v>313.98</v>
      </c>
      <c r="G249" s="46">
        <v>31.02</v>
      </c>
      <c r="H249" s="46">
        <v>9.8800000000000008</v>
      </c>
      <c r="I249" t="s">
        <v>16</v>
      </c>
    </row>
    <row r="250" spans="1:9" x14ac:dyDescent="0.25">
      <c r="A250" t="s">
        <v>69</v>
      </c>
      <c r="B250" t="s">
        <v>254</v>
      </c>
      <c r="C250" t="s">
        <v>285</v>
      </c>
      <c r="D250" t="s">
        <v>15</v>
      </c>
      <c r="E250" s="46">
        <v>345</v>
      </c>
      <c r="F250" s="46">
        <v>313.98</v>
      </c>
      <c r="G250" s="46">
        <v>31.02</v>
      </c>
      <c r="H250" s="46">
        <v>9.8800000000000008</v>
      </c>
      <c r="I250" t="s">
        <v>16</v>
      </c>
    </row>
    <row r="251" spans="1:9" x14ac:dyDescent="0.25">
      <c r="A251" t="s">
        <v>69</v>
      </c>
      <c r="B251" t="s">
        <v>254</v>
      </c>
      <c r="C251" t="s">
        <v>286</v>
      </c>
      <c r="D251" t="s">
        <v>15</v>
      </c>
      <c r="E251" s="46">
        <v>345</v>
      </c>
      <c r="F251" s="46">
        <v>313.98</v>
      </c>
      <c r="G251" s="46">
        <v>31.02</v>
      </c>
      <c r="H251" s="46">
        <v>9.8800000000000008</v>
      </c>
      <c r="I251" t="s">
        <v>16</v>
      </c>
    </row>
    <row r="252" spans="1:9" x14ac:dyDescent="0.25">
      <c r="A252" t="s">
        <v>69</v>
      </c>
      <c r="B252" t="s">
        <v>254</v>
      </c>
      <c r="C252" t="s">
        <v>287</v>
      </c>
      <c r="D252" t="s">
        <v>15</v>
      </c>
      <c r="E252" s="46">
        <v>345</v>
      </c>
      <c r="F252" s="46">
        <v>313.98</v>
      </c>
      <c r="G252" s="46">
        <v>31.02</v>
      </c>
      <c r="H252" s="46">
        <v>9.8800000000000008</v>
      </c>
      <c r="I252" t="s">
        <v>16</v>
      </c>
    </row>
    <row r="253" spans="1:9" x14ac:dyDescent="0.25">
      <c r="A253" t="s">
        <v>69</v>
      </c>
      <c r="B253" t="s">
        <v>288</v>
      </c>
      <c r="C253" t="s">
        <v>289</v>
      </c>
      <c r="D253" t="s">
        <v>15</v>
      </c>
      <c r="E253" s="46">
        <v>1655</v>
      </c>
      <c r="F253" s="46">
        <v>1528</v>
      </c>
      <c r="G253" s="46">
        <v>127</v>
      </c>
      <c r="H253" s="46">
        <v>8.31</v>
      </c>
      <c r="I253" t="s">
        <v>23</v>
      </c>
    </row>
    <row r="254" spans="1:9" x14ac:dyDescent="0.25">
      <c r="A254" t="s">
        <v>69</v>
      </c>
      <c r="B254" t="s">
        <v>288</v>
      </c>
      <c r="C254" t="s">
        <v>290</v>
      </c>
      <c r="D254" t="s">
        <v>15</v>
      </c>
      <c r="E254" s="46">
        <v>1655</v>
      </c>
      <c r="F254" s="46">
        <v>1528</v>
      </c>
      <c r="G254" s="46">
        <v>127</v>
      </c>
      <c r="H254" s="46">
        <v>8.31</v>
      </c>
      <c r="I254" t="s">
        <v>23</v>
      </c>
    </row>
    <row r="255" spans="1:9" x14ac:dyDescent="0.25">
      <c r="A255" t="s">
        <v>69</v>
      </c>
      <c r="B255" t="s">
        <v>288</v>
      </c>
      <c r="C255" t="s">
        <v>291</v>
      </c>
      <c r="D255" t="s">
        <v>15</v>
      </c>
      <c r="E255" s="46">
        <v>1655</v>
      </c>
      <c r="F255" s="46">
        <v>1527.75</v>
      </c>
      <c r="G255" s="46">
        <v>127.25</v>
      </c>
      <c r="H255" s="46">
        <v>8.33</v>
      </c>
      <c r="I255" t="s">
        <v>23</v>
      </c>
    </row>
    <row r="256" spans="1:9" x14ac:dyDescent="0.25">
      <c r="A256" t="s">
        <v>69</v>
      </c>
      <c r="B256" t="s">
        <v>288</v>
      </c>
      <c r="C256" t="s">
        <v>292</v>
      </c>
      <c r="D256" t="s">
        <v>15</v>
      </c>
      <c r="E256" s="46">
        <v>1655</v>
      </c>
      <c r="F256" s="46">
        <v>1527.75</v>
      </c>
      <c r="G256" s="46">
        <v>127.25</v>
      </c>
      <c r="H256" s="46">
        <v>8.33</v>
      </c>
      <c r="I256" t="s">
        <v>23</v>
      </c>
    </row>
    <row r="257" spans="1:9" x14ac:dyDescent="0.25">
      <c r="A257" t="s">
        <v>69</v>
      </c>
      <c r="B257" t="s">
        <v>288</v>
      </c>
      <c r="C257" t="s">
        <v>293</v>
      </c>
      <c r="D257" t="s">
        <v>15</v>
      </c>
      <c r="E257" s="46">
        <v>1655</v>
      </c>
      <c r="F257" s="46">
        <v>1527.75</v>
      </c>
      <c r="G257" s="46">
        <v>127.25</v>
      </c>
      <c r="H257" s="46">
        <v>8.33</v>
      </c>
      <c r="I257" t="s">
        <v>23</v>
      </c>
    </row>
    <row r="258" spans="1:9" x14ac:dyDescent="0.25">
      <c r="A258" t="s">
        <v>69</v>
      </c>
      <c r="B258" t="s">
        <v>288</v>
      </c>
      <c r="C258" t="s">
        <v>294</v>
      </c>
      <c r="D258" t="s">
        <v>15</v>
      </c>
      <c r="E258" s="46">
        <v>1655</v>
      </c>
      <c r="F258" s="46">
        <v>1528</v>
      </c>
      <c r="G258" s="46">
        <v>127</v>
      </c>
      <c r="H258" s="46">
        <v>8.31</v>
      </c>
      <c r="I258" t="s">
        <v>23</v>
      </c>
    </row>
    <row r="259" spans="1:9" x14ac:dyDescent="0.25">
      <c r="A259" t="s">
        <v>69</v>
      </c>
      <c r="B259" t="s">
        <v>288</v>
      </c>
      <c r="C259" t="s">
        <v>295</v>
      </c>
      <c r="D259" t="s">
        <v>15</v>
      </c>
      <c r="E259" s="46">
        <v>1655</v>
      </c>
      <c r="F259" s="46">
        <v>1527.88</v>
      </c>
      <c r="G259" s="46">
        <v>127.12</v>
      </c>
      <c r="H259" s="46">
        <v>8.32</v>
      </c>
      <c r="I259" t="s">
        <v>23</v>
      </c>
    </row>
    <row r="260" spans="1:9" x14ac:dyDescent="0.25">
      <c r="A260" t="s">
        <v>69</v>
      </c>
      <c r="B260" t="s">
        <v>288</v>
      </c>
      <c r="C260" t="s">
        <v>296</v>
      </c>
      <c r="D260" t="s">
        <v>15</v>
      </c>
      <c r="E260" s="46">
        <v>1655</v>
      </c>
      <c r="F260" s="46">
        <v>1527.88</v>
      </c>
      <c r="G260" s="46">
        <v>127.12</v>
      </c>
      <c r="H260" s="46">
        <v>8.32</v>
      </c>
      <c r="I260" t="s">
        <v>23</v>
      </c>
    </row>
    <row r="261" spans="1:9" x14ac:dyDescent="0.25">
      <c r="A261" t="s">
        <v>69</v>
      </c>
      <c r="B261" t="s">
        <v>288</v>
      </c>
      <c r="C261" t="s">
        <v>297</v>
      </c>
      <c r="D261" t="s">
        <v>15</v>
      </c>
      <c r="E261" s="46">
        <v>1655</v>
      </c>
      <c r="F261" s="46">
        <v>1528</v>
      </c>
      <c r="G261" s="46">
        <v>127</v>
      </c>
      <c r="H261" s="46">
        <v>8.31</v>
      </c>
      <c r="I261" t="s">
        <v>23</v>
      </c>
    </row>
    <row r="262" spans="1:9" x14ac:dyDescent="0.25">
      <c r="A262" t="s">
        <v>69</v>
      </c>
      <c r="B262" t="s">
        <v>288</v>
      </c>
      <c r="C262" t="s">
        <v>298</v>
      </c>
      <c r="D262" t="s">
        <v>15</v>
      </c>
      <c r="E262" s="46">
        <v>1655</v>
      </c>
      <c r="F262" s="46">
        <v>1527.88</v>
      </c>
      <c r="G262" s="46">
        <v>127.12</v>
      </c>
      <c r="H262" s="46">
        <v>8.32</v>
      </c>
      <c r="I262" t="s">
        <v>23</v>
      </c>
    </row>
    <row r="263" spans="1:9" x14ac:dyDescent="0.25">
      <c r="A263" t="s">
        <v>69</v>
      </c>
      <c r="B263" t="s">
        <v>288</v>
      </c>
      <c r="C263" t="s">
        <v>299</v>
      </c>
      <c r="D263" t="s">
        <v>15</v>
      </c>
      <c r="E263" s="46">
        <v>1655</v>
      </c>
      <c r="F263" s="46">
        <v>1527.88</v>
      </c>
      <c r="G263" s="46">
        <v>127.12</v>
      </c>
      <c r="H263" s="46">
        <v>8.32</v>
      </c>
      <c r="I263" t="s">
        <v>23</v>
      </c>
    </row>
    <row r="264" spans="1:9" x14ac:dyDescent="0.25">
      <c r="A264" t="s">
        <v>300</v>
      </c>
      <c r="B264" t="s">
        <v>43</v>
      </c>
      <c r="C264" t="s">
        <v>301</v>
      </c>
      <c r="D264" t="s">
        <v>15</v>
      </c>
      <c r="E264" s="46">
        <v>2510</v>
      </c>
      <c r="F264" s="46">
        <v>2380</v>
      </c>
      <c r="G264" s="46">
        <v>130</v>
      </c>
      <c r="H264" s="46">
        <v>5.46</v>
      </c>
      <c r="I264" t="s">
        <v>29</v>
      </c>
    </row>
    <row r="265" spans="1:9" x14ac:dyDescent="0.25">
      <c r="A265" t="s">
        <v>300</v>
      </c>
      <c r="B265" t="s">
        <v>43</v>
      </c>
      <c r="C265" t="s">
        <v>302</v>
      </c>
      <c r="D265" t="s">
        <v>15</v>
      </c>
      <c r="E265" s="46">
        <v>2510</v>
      </c>
      <c r="F265" s="46">
        <v>2380</v>
      </c>
      <c r="G265" s="46">
        <v>130</v>
      </c>
      <c r="H265" s="46">
        <v>5.46</v>
      </c>
      <c r="I265" t="s">
        <v>29</v>
      </c>
    </row>
    <row r="266" spans="1:9" x14ac:dyDescent="0.25">
      <c r="A266" s="2" t="s">
        <v>300</v>
      </c>
      <c r="B266" s="2" t="s">
        <v>72</v>
      </c>
      <c r="C266" s="2" t="s">
        <v>303</v>
      </c>
      <c r="D266" s="2" t="s">
        <v>15</v>
      </c>
      <c r="E266" s="59">
        <v>940</v>
      </c>
      <c r="F266" s="59">
        <v>994.18</v>
      </c>
      <c r="G266" s="59">
        <v>-54.18</v>
      </c>
      <c r="H266" s="59">
        <v>-5.45</v>
      </c>
      <c r="I266" s="2" t="s">
        <v>16</v>
      </c>
    </row>
    <row r="267" spans="1:9" x14ac:dyDescent="0.25">
      <c r="A267" s="2" t="s">
        <v>300</v>
      </c>
      <c r="B267" s="2" t="s">
        <v>72</v>
      </c>
      <c r="C267" s="2" t="s">
        <v>304</v>
      </c>
      <c r="D267" s="2" t="s">
        <v>15</v>
      </c>
      <c r="E267" s="59">
        <v>940</v>
      </c>
      <c r="F267" s="59">
        <v>994.18</v>
      </c>
      <c r="G267" s="59">
        <v>-54.18</v>
      </c>
      <c r="H267" s="59">
        <v>-5.45</v>
      </c>
      <c r="I267" s="2" t="s">
        <v>16</v>
      </c>
    </row>
    <row r="268" spans="1:9" x14ac:dyDescent="0.25">
      <c r="A268" s="2" t="s">
        <v>300</v>
      </c>
      <c r="B268" s="2" t="s">
        <v>72</v>
      </c>
      <c r="C268" s="2" t="s">
        <v>305</v>
      </c>
      <c r="D268" s="2" t="s">
        <v>15</v>
      </c>
      <c r="E268" s="59">
        <v>940</v>
      </c>
      <c r="F268" s="59">
        <v>994.18</v>
      </c>
      <c r="G268" s="59">
        <v>-54.18</v>
      </c>
      <c r="H268" s="59">
        <v>-5.45</v>
      </c>
      <c r="I268" s="2" t="s">
        <v>16</v>
      </c>
    </row>
    <row r="269" spans="1:9" x14ac:dyDescent="0.25">
      <c r="A269" s="2" t="s">
        <v>300</v>
      </c>
      <c r="B269" s="2" t="s">
        <v>72</v>
      </c>
      <c r="C269" s="2" t="s">
        <v>306</v>
      </c>
      <c r="D269" s="2" t="s">
        <v>15</v>
      </c>
      <c r="E269" s="59">
        <v>940</v>
      </c>
      <c r="F269" s="59">
        <v>1008</v>
      </c>
      <c r="G269" s="59">
        <v>-68</v>
      </c>
      <c r="H269" s="59">
        <v>-6.75</v>
      </c>
      <c r="I269" s="2" t="s">
        <v>81</v>
      </c>
    </row>
    <row r="270" spans="1:9" x14ac:dyDescent="0.25">
      <c r="A270" s="2" t="s">
        <v>300</v>
      </c>
      <c r="B270" s="2" t="s">
        <v>72</v>
      </c>
      <c r="C270" s="2" t="s">
        <v>307</v>
      </c>
      <c r="D270" s="2" t="s">
        <v>15</v>
      </c>
      <c r="E270" s="59">
        <v>940</v>
      </c>
      <c r="F270" s="59">
        <v>1008</v>
      </c>
      <c r="G270" s="59">
        <v>-68</v>
      </c>
      <c r="H270" s="59">
        <v>-6.75</v>
      </c>
      <c r="I270" s="2" t="s">
        <v>81</v>
      </c>
    </row>
    <row r="271" spans="1:9" x14ac:dyDescent="0.25">
      <c r="A271" s="2" t="s">
        <v>300</v>
      </c>
      <c r="B271" s="2" t="s">
        <v>72</v>
      </c>
      <c r="C271" s="2" t="s">
        <v>308</v>
      </c>
      <c r="D271" s="2" t="s">
        <v>15</v>
      </c>
      <c r="E271" s="59">
        <v>940</v>
      </c>
      <c r="F271" s="59">
        <v>994.18</v>
      </c>
      <c r="G271" s="59">
        <v>-54.18</v>
      </c>
      <c r="H271" s="59">
        <v>-5.45</v>
      </c>
      <c r="I271" s="2" t="s">
        <v>16</v>
      </c>
    </row>
    <row r="272" spans="1:9" x14ac:dyDescent="0.25">
      <c r="A272" s="2" t="s">
        <v>300</v>
      </c>
      <c r="B272" s="2" t="s">
        <v>72</v>
      </c>
      <c r="C272" s="2" t="s">
        <v>309</v>
      </c>
      <c r="D272" s="2" t="s">
        <v>15</v>
      </c>
      <c r="E272" s="59">
        <v>940</v>
      </c>
      <c r="F272" s="59">
        <v>1008</v>
      </c>
      <c r="G272" s="59">
        <v>-68</v>
      </c>
      <c r="H272" s="59">
        <v>-6.75</v>
      </c>
      <c r="I272" s="2" t="s">
        <v>81</v>
      </c>
    </row>
    <row r="273" spans="1:9" x14ac:dyDescent="0.25">
      <c r="A273" s="2" t="s">
        <v>300</v>
      </c>
      <c r="B273" s="2" t="s">
        <v>72</v>
      </c>
      <c r="C273" s="2" t="s">
        <v>310</v>
      </c>
      <c r="D273" s="2" t="s">
        <v>15</v>
      </c>
      <c r="E273" s="59">
        <v>940</v>
      </c>
      <c r="F273" s="59">
        <v>994.18</v>
      </c>
      <c r="G273" s="59">
        <v>-54.18</v>
      </c>
      <c r="H273" s="59">
        <v>-5.45</v>
      </c>
      <c r="I273" s="2" t="s">
        <v>16</v>
      </c>
    </row>
    <row r="274" spans="1:9" x14ac:dyDescent="0.25">
      <c r="A274" s="2" t="s">
        <v>300</v>
      </c>
      <c r="B274" s="2" t="s">
        <v>72</v>
      </c>
      <c r="C274" s="2" t="s">
        <v>311</v>
      </c>
      <c r="D274" s="2" t="s">
        <v>15</v>
      </c>
      <c r="E274" s="59">
        <v>940</v>
      </c>
      <c r="F274" s="59">
        <v>1008</v>
      </c>
      <c r="G274" s="59">
        <v>-68</v>
      </c>
      <c r="H274" s="59">
        <v>-6.75</v>
      </c>
      <c r="I274" s="2" t="s">
        <v>81</v>
      </c>
    </row>
    <row r="275" spans="1:9" x14ac:dyDescent="0.25">
      <c r="A275" s="2" t="s">
        <v>300</v>
      </c>
      <c r="B275" s="2" t="s">
        <v>72</v>
      </c>
      <c r="C275" s="2" t="s">
        <v>312</v>
      </c>
      <c r="D275" s="2" t="s">
        <v>15</v>
      </c>
      <c r="E275" s="59">
        <v>940</v>
      </c>
      <c r="F275" s="59">
        <v>1008</v>
      </c>
      <c r="G275" s="59">
        <v>-68</v>
      </c>
      <c r="H275" s="59">
        <v>-6.75</v>
      </c>
      <c r="I275" s="2" t="s">
        <v>81</v>
      </c>
    </row>
    <row r="276" spans="1:9" x14ac:dyDescent="0.25">
      <c r="A276" s="2" t="s">
        <v>300</v>
      </c>
      <c r="B276" s="2" t="s">
        <v>72</v>
      </c>
      <c r="C276" s="2" t="s">
        <v>313</v>
      </c>
      <c r="D276" s="2" t="s">
        <v>15</v>
      </c>
      <c r="E276" s="59">
        <v>940</v>
      </c>
      <c r="F276" s="59">
        <v>994.18</v>
      </c>
      <c r="G276" s="59">
        <v>-54.18</v>
      </c>
      <c r="H276" s="59">
        <v>-5.45</v>
      </c>
      <c r="I276" s="2" t="s">
        <v>16</v>
      </c>
    </row>
    <row r="277" spans="1:9" x14ac:dyDescent="0.25">
      <c r="A277" s="2" t="s">
        <v>300</v>
      </c>
      <c r="B277" s="2" t="s">
        <v>72</v>
      </c>
      <c r="C277" s="2" t="s">
        <v>314</v>
      </c>
      <c r="D277" s="2" t="s">
        <v>15</v>
      </c>
      <c r="E277" s="59">
        <v>940</v>
      </c>
      <c r="F277" s="59">
        <v>1008</v>
      </c>
      <c r="G277" s="59">
        <v>-68</v>
      </c>
      <c r="H277" s="59">
        <v>-6.75</v>
      </c>
      <c r="I277" s="2" t="s">
        <v>81</v>
      </c>
    </row>
    <row r="278" spans="1:9" x14ac:dyDescent="0.25">
      <c r="A278" s="2" t="s">
        <v>300</v>
      </c>
      <c r="B278" s="2" t="s">
        <v>72</v>
      </c>
      <c r="C278" s="2" t="s">
        <v>315</v>
      </c>
      <c r="D278" s="2" t="s">
        <v>15</v>
      </c>
      <c r="E278" s="59">
        <v>940</v>
      </c>
      <c r="F278" s="59">
        <v>1008</v>
      </c>
      <c r="G278" s="59">
        <v>-68</v>
      </c>
      <c r="H278" s="59">
        <v>-6.75</v>
      </c>
      <c r="I278" s="2" t="s">
        <v>81</v>
      </c>
    </row>
    <row r="279" spans="1:9" x14ac:dyDescent="0.25">
      <c r="A279" s="2" t="s">
        <v>300</v>
      </c>
      <c r="B279" s="2" t="s">
        <v>72</v>
      </c>
      <c r="C279" s="2" t="s">
        <v>316</v>
      </c>
      <c r="D279" s="2" t="s">
        <v>15</v>
      </c>
      <c r="E279" s="59">
        <v>940</v>
      </c>
      <c r="F279" s="59">
        <v>1008</v>
      </c>
      <c r="G279" s="59">
        <v>-68</v>
      </c>
      <c r="H279" s="59">
        <v>-6.75</v>
      </c>
      <c r="I279" s="2" t="s">
        <v>81</v>
      </c>
    </row>
    <row r="280" spans="1:9" x14ac:dyDescent="0.25">
      <c r="A280" s="2" t="s">
        <v>300</v>
      </c>
      <c r="B280" s="2" t="s">
        <v>72</v>
      </c>
      <c r="C280" s="2" t="s">
        <v>317</v>
      </c>
      <c r="D280" s="2" t="s">
        <v>15</v>
      </c>
      <c r="E280" s="59">
        <v>940</v>
      </c>
      <c r="F280" s="59">
        <v>994.18</v>
      </c>
      <c r="G280" s="59">
        <v>-54.18</v>
      </c>
      <c r="H280" s="59">
        <v>-5.45</v>
      </c>
      <c r="I280" s="2" t="s">
        <v>16</v>
      </c>
    </row>
    <row r="281" spans="1:9" x14ac:dyDescent="0.25">
      <c r="A281" s="2" t="s">
        <v>300</v>
      </c>
      <c r="B281" s="2" t="s">
        <v>72</v>
      </c>
      <c r="C281" s="2" t="s">
        <v>318</v>
      </c>
      <c r="D281" s="2" t="s">
        <v>15</v>
      </c>
      <c r="E281" s="59">
        <v>940</v>
      </c>
      <c r="F281" s="59">
        <v>1008</v>
      </c>
      <c r="G281" s="59">
        <v>-68</v>
      </c>
      <c r="H281" s="59">
        <v>-6.75</v>
      </c>
      <c r="I281" s="2" t="s">
        <v>81</v>
      </c>
    </row>
    <row r="282" spans="1:9" x14ac:dyDescent="0.25">
      <c r="A282" s="2" t="s">
        <v>300</v>
      </c>
      <c r="B282" s="2" t="s">
        <v>72</v>
      </c>
      <c r="C282" s="2" t="s">
        <v>319</v>
      </c>
      <c r="D282" s="2" t="s">
        <v>15</v>
      </c>
      <c r="E282" s="59">
        <v>940</v>
      </c>
      <c r="F282" s="59">
        <v>1008</v>
      </c>
      <c r="G282" s="59">
        <v>-68</v>
      </c>
      <c r="H282" s="59">
        <v>-6.75</v>
      </c>
      <c r="I282" s="2" t="s">
        <v>81</v>
      </c>
    </row>
    <row r="283" spans="1:9" x14ac:dyDescent="0.25">
      <c r="A283" s="2" t="s">
        <v>300</v>
      </c>
      <c r="B283" s="2" t="s">
        <v>72</v>
      </c>
      <c r="C283" s="2" t="s">
        <v>320</v>
      </c>
      <c r="D283" s="2" t="s">
        <v>15</v>
      </c>
      <c r="E283" s="59">
        <v>940</v>
      </c>
      <c r="F283" s="59">
        <v>1008</v>
      </c>
      <c r="G283" s="59">
        <v>-68</v>
      </c>
      <c r="H283" s="59">
        <v>-6.75</v>
      </c>
      <c r="I283" s="2" t="s">
        <v>81</v>
      </c>
    </row>
    <row r="284" spans="1:9" x14ac:dyDescent="0.25">
      <c r="A284" s="2" t="s">
        <v>300</v>
      </c>
      <c r="B284" s="2" t="s">
        <v>72</v>
      </c>
      <c r="C284" s="2" t="s">
        <v>321</v>
      </c>
      <c r="D284" s="2" t="s">
        <v>15</v>
      </c>
      <c r="E284" s="59">
        <v>940</v>
      </c>
      <c r="F284" s="59">
        <v>994.18</v>
      </c>
      <c r="G284" s="59">
        <v>-54.18</v>
      </c>
      <c r="H284" s="59">
        <v>-5.45</v>
      </c>
      <c r="I284" s="2" t="s">
        <v>16</v>
      </c>
    </row>
    <row r="285" spans="1:9" x14ac:dyDescent="0.25">
      <c r="A285" s="2" t="s">
        <v>300</v>
      </c>
      <c r="B285" s="2" t="s">
        <v>72</v>
      </c>
      <c r="C285" s="2" t="s">
        <v>322</v>
      </c>
      <c r="D285" s="2" t="s">
        <v>15</v>
      </c>
      <c r="E285" s="59">
        <v>940</v>
      </c>
      <c r="F285" s="59">
        <v>1008</v>
      </c>
      <c r="G285" s="59">
        <v>-68</v>
      </c>
      <c r="H285" s="59">
        <v>-6.75</v>
      </c>
      <c r="I285" s="2" t="s">
        <v>81</v>
      </c>
    </row>
    <row r="286" spans="1:9" x14ac:dyDescent="0.25">
      <c r="A286" s="2" t="s">
        <v>300</v>
      </c>
      <c r="B286" s="2" t="s">
        <v>72</v>
      </c>
      <c r="C286" s="2" t="s">
        <v>323</v>
      </c>
      <c r="D286" s="2" t="s">
        <v>15</v>
      </c>
      <c r="E286" s="59">
        <v>940</v>
      </c>
      <c r="F286" s="59">
        <v>1008</v>
      </c>
      <c r="G286" s="59">
        <v>-68</v>
      </c>
      <c r="H286" s="59">
        <v>-6.75</v>
      </c>
      <c r="I286" s="2" t="s">
        <v>81</v>
      </c>
    </row>
    <row r="287" spans="1:9" x14ac:dyDescent="0.25">
      <c r="A287" s="2" t="s">
        <v>300</v>
      </c>
      <c r="B287" s="2" t="s">
        <v>72</v>
      </c>
      <c r="C287" s="2" t="s">
        <v>324</v>
      </c>
      <c r="D287" s="2" t="s">
        <v>15</v>
      </c>
      <c r="E287" s="59">
        <v>940</v>
      </c>
      <c r="F287" s="59">
        <v>1008</v>
      </c>
      <c r="G287" s="59">
        <v>-68</v>
      </c>
      <c r="H287" s="59">
        <v>-6.75</v>
      </c>
      <c r="I287" s="2" t="s">
        <v>81</v>
      </c>
    </row>
    <row r="288" spans="1:9" x14ac:dyDescent="0.25">
      <c r="A288" s="2" t="s">
        <v>300</v>
      </c>
      <c r="B288" s="2" t="s">
        <v>72</v>
      </c>
      <c r="C288" s="2" t="s">
        <v>325</v>
      </c>
      <c r="D288" s="2" t="s">
        <v>15</v>
      </c>
      <c r="E288" s="59">
        <v>940</v>
      </c>
      <c r="F288" s="59">
        <v>1008</v>
      </c>
      <c r="G288" s="59">
        <v>-68</v>
      </c>
      <c r="H288" s="59">
        <v>-6.75</v>
      </c>
      <c r="I288" s="2" t="s">
        <v>81</v>
      </c>
    </row>
    <row r="289" spans="1:9" x14ac:dyDescent="0.25">
      <c r="A289" s="2" t="s">
        <v>300</v>
      </c>
      <c r="B289" s="2" t="s">
        <v>72</v>
      </c>
      <c r="C289" s="2" t="s">
        <v>326</v>
      </c>
      <c r="D289" s="2" t="s">
        <v>15</v>
      </c>
      <c r="E289" s="59">
        <v>940</v>
      </c>
      <c r="F289" s="59">
        <v>994.18</v>
      </c>
      <c r="G289" s="59">
        <v>-54.18</v>
      </c>
      <c r="H289" s="59">
        <v>-5.45</v>
      </c>
      <c r="I289" s="2" t="s">
        <v>16</v>
      </c>
    </row>
    <row r="290" spans="1:9" x14ac:dyDescent="0.25">
      <c r="A290" t="s">
        <v>300</v>
      </c>
      <c r="B290" t="s">
        <v>33</v>
      </c>
      <c r="C290" t="s">
        <v>327</v>
      </c>
      <c r="D290" t="s">
        <v>15</v>
      </c>
      <c r="E290" s="46">
        <v>3470</v>
      </c>
      <c r="F290" s="46">
        <v>3344</v>
      </c>
      <c r="G290" s="46">
        <v>126</v>
      </c>
      <c r="H290" s="46">
        <v>3.77</v>
      </c>
      <c r="I290" t="s">
        <v>23</v>
      </c>
    </row>
    <row r="291" spans="1:9" x14ac:dyDescent="0.25">
      <c r="A291" t="s">
        <v>300</v>
      </c>
      <c r="B291" t="s">
        <v>328</v>
      </c>
      <c r="C291" t="s">
        <v>329</v>
      </c>
      <c r="D291" t="s">
        <v>330</v>
      </c>
      <c r="E291" s="46">
        <v>1420</v>
      </c>
      <c r="F291" s="46">
        <v>963.87</v>
      </c>
      <c r="G291" s="46">
        <v>456.13</v>
      </c>
      <c r="H291" s="46">
        <v>47.32</v>
      </c>
      <c r="I291" t="s">
        <v>81</v>
      </c>
    </row>
    <row r="292" spans="1:9" x14ac:dyDescent="0.25">
      <c r="A292" t="s">
        <v>300</v>
      </c>
      <c r="B292" t="s">
        <v>328</v>
      </c>
      <c r="C292" t="s">
        <v>331</v>
      </c>
      <c r="D292" t="s">
        <v>330</v>
      </c>
      <c r="E292" s="46">
        <v>1420</v>
      </c>
      <c r="F292" s="46">
        <v>963.87</v>
      </c>
      <c r="G292" s="46">
        <v>456.13</v>
      </c>
      <c r="H292" s="46">
        <v>47.32</v>
      </c>
      <c r="I292" t="s">
        <v>81</v>
      </c>
    </row>
    <row r="293" spans="1:9" x14ac:dyDescent="0.25">
      <c r="A293" t="s">
        <v>300</v>
      </c>
      <c r="B293" t="s">
        <v>328</v>
      </c>
      <c r="C293" t="s">
        <v>332</v>
      </c>
      <c r="D293" t="s">
        <v>330</v>
      </c>
      <c r="E293" s="46">
        <v>1420</v>
      </c>
      <c r="F293" s="46">
        <v>963.87</v>
      </c>
      <c r="G293" s="46">
        <v>456.13</v>
      </c>
      <c r="H293" s="46">
        <v>47.32</v>
      </c>
      <c r="I293" t="s">
        <v>81</v>
      </c>
    </row>
    <row r="294" spans="1:9" x14ac:dyDescent="0.25">
      <c r="A294" t="s">
        <v>300</v>
      </c>
      <c r="B294" t="s">
        <v>328</v>
      </c>
      <c r="C294" t="s">
        <v>333</v>
      </c>
      <c r="D294" t="s">
        <v>330</v>
      </c>
      <c r="E294" s="46">
        <v>1420</v>
      </c>
      <c r="F294" s="46">
        <v>963.87</v>
      </c>
      <c r="G294" s="46">
        <v>456.13</v>
      </c>
      <c r="H294" s="46">
        <v>47.32</v>
      </c>
      <c r="I294" t="s">
        <v>81</v>
      </c>
    </row>
    <row r="295" spans="1:9" x14ac:dyDescent="0.25">
      <c r="A295" t="s">
        <v>300</v>
      </c>
      <c r="B295" t="s">
        <v>328</v>
      </c>
      <c r="C295" t="s">
        <v>334</v>
      </c>
      <c r="D295" t="s">
        <v>330</v>
      </c>
      <c r="E295" s="46">
        <v>1420</v>
      </c>
      <c r="F295" s="46">
        <v>963.87</v>
      </c>
      <c r="G295" s="46">
        <v>456.13</v>
      </c>
      <c r="H295" s="46">
        <v>47.32</v>
      </c>
      <c r="I295" t="s">
        <v>81</v>
      </c>
    </row>
    <row r="296" spans="1:9" x14ac:dyDescent="0.25">
      <c r="A296" t="s">
        <v>300</v>
      </c>
      <c r="B296" t="s">
        <v>328</v>
      </c>
      <c r="C296" t="s">
        <v>335</v>
      </c>
      <c r="D296" t="s">
        <v>330</v>
      </c>
      <c r="E296" s="46">
        <v>1420</v>
      </c>
      <c r="F296" s="46">
        <v>963.87</v>
      </c>
      <c r="G296" s="46">
        <v>456.13</v>
      </c>
      <c r="H296" s="46">
        <v>47.32</v>
      </c>
      <c r="I296" t="s">
        <v>81</v>
      </c>
    </row>
    <row r="297" spans="1:9" x14ac:dyDescent="0.25">
      <c r="A297" t="s">
        <v>300</v>
      </c>
      <c r="B297" t="s">
        <v>328</v>
      </c>
      <c r="C297" t="s">
        <v>336</v>
      </c>
      <c r="D297" t="s">
        <v>330</v>
      </c>
      <c r="E297" s="46">
        <v>1420</v>
      </c>
      <c r="F297" s="46">
        <v>963.87</v>
      </c>
      <c r="G297" s="46">
        <v>456.13</v>
      </c>
      <c r="H297" s="46">
        <v>47.32</v>
      </c>
      <c r="I297" t="s">
        <v>81</v>
      </c>
    </row>
    <row r="298" spans="1:9" x14ac:dyDescent="0.25">
      <c r="A298" t="s">
        <v>300</v>
      </c>
      <c r="B298" t="s">
        <v>328</v>
      </c>
      <c r="C298" t="s">
        <v>337</v>
      </c>
      <c r="D298" t="s">
        <v>330</v>
      </c>
      <c r="E298" s="46">
        <v>1420</v>
      </c>
      <c r="F298" s="46">
        <v>963.87</v>
      </c>
      <c r="G298" s="46">
        <v>456.13</v>
      </c>
      <c r="H298" s="46">
        <v>47.32</v>
      </c>
      <c r="I298" t="s">
        <v>81</v>
      </c>
    </row>
    <row r="299" spans="1:9" x14ac:dyDescent="0.25">
      <c r="A299" t="s">
        <v>300</v>
      </c>
      <c r="B299" t="s">
        <v>328</v>
      </c>
      <c r="C299" t="s">
        <v>338</v>
      </c>
      <c r="D299" t="s">
        <v>330</v>
      </c>
      <c r="E299" s="46">
        <v>1420</v>
      </c>
      <c r="F299" s="46">
        <v>963.87</v>
      </c>
      <c r="G299" s="46">
        <v>456.13</v>
      </c>
      <c r="H299" s="46">
        <v>47.32</v>
      </c>
      <c r="I299" t="s">
        <v>81</v>
      </c>
    </row>
    <row r="300" spans="1:9" x14ac:dyDescent="0.25">
      <c r="A300" t="s">
        <v>300</v>
      </c>
      <c r="B300" t="s">
        <v>328</v>
      </c>
      <c r="C300" t="s">
        <v>339</v>
      </c>
      <c r="D300" t="s">
        <v>330</v>
      </c>
      <c r="E300" s="46">
        <v>1420</v>
      </c>
      <c r="F300" s="46">
        <v>963.87</v>
      </c>
      <c r="G300" s="46">
        <v>456.13</v>
      </c>
      <c r="H300" s="46">
        <v>47.32</v>
      </c>
      <c r="I300" t="s">
        <v>81</v>
      </c>
    </row>
    <row r="301" spans="1:9" x14ac:dyDescent="0.25">
      <c r="A301" t="s">
        <v>300</v>
      </c>
      <c r="B301" t="s">
        <v>328</v>
      </c>
      <c r="C301" t="s">
        <v>340</v>
      </c>
      <c r="D301" t="s">
        <v>330</v>
      </c>
      <c r="E301" s="46">
        <v>1420</v>
      </c>
      <c r="F301" s="46">
        <v>963.87</v>
      </c>
      <c r="G301" s="46">
        <v>456.13</v>
      </c>
      <c r="H301" s="46">
        <v>47.32</v>
      </c>
      <c r="I301" t="s">
        <v>81</v>
      </c>
    </row>
    <row r="302" spans="1:9" x14ac:dyDescent="0.25">
      <c r="A302" t="s">
        <v>300</v>
      </c>
      <c r="B302" t="s">
        <v>328</v>
      </c>
      <c r="C302" t="s">
        <v>341</v>
      </c>
      <c r="D302" t="s">
        <v>330</v>
      </c>
      <c r="E302" s="46">
        <v>1420</v>
      </c>
      <c r="F302" s="46">
        <v>963.87</v>
      </c>
      <c r="G302" s="46">
        <v>456.13</v>
      </c>
      <c r="H302" s="46">
        <v>47.32</v>
      </c>
      <c r="I302" t="s">
        <v>81</v>
      </c>
    </row>
    <row r="303" spans="1:9" x14ac:dyDescent="0.25">
      <c r="A303" t="s">
        <v>300</v>
      </c>
      <c r="B303" t="s">
        <v>328</v>
      </c>
      <c r="C303" t="s">
        <v>342</v>
      </c>
      <c r="D303" t="s">
        <v>330</v>
      </c>
      <c r="E303" s="46">
        <v>1420</v>
      </c>
      <c r="F303" s="46">
        <v>963.87</v>
      </c>
      <c r="G303" s="46">
        <v>456.13</v>
      </c>
      <c r="H303" s="46">
        <v>47.32</v>
      </c>
      <c r="I303" t="s">
        <v>81</v>
      </c>
    </row>
    <row r="304" spans="1:9" x14ac:dyDescent="0.25">
      <c r="A304" t="s">
        <v>300</v>
      </c>
      <c r="B304" t="s">
        <v>328</v>
      </c>
      <c r="C304" t="s">
        <v>343</v>
      </c>
      <c r="D304" t="s">
        <v>330</v>
      </c>
      <c r="E304" s="46">
        <v>1420</v>
      </c>
      <c r="F304" s="46">
        <v>963.87</v>
      </c>
      <c r="G304" s="46">
        <v>456.13</v>
      </c>
      <c r="H304" s="46">
        <v>47.32</v>
      </c>
      <c r="I304" t="s">
        <v>81</v>
      </c>
    </row>
    <row r="305" spans="1:9" x14ac:dyDescent="0.25">
      <c r="A305" t="s">
        <v>300</v>
      </c>
      <c r="B305" t="s">
        <v>328</v>
      </c>
      <c r="C305" t="s">
        <v>344</v>
      </c>
      <c r="D305" t="s">
        <v>330</v>
      </c>
      <c r="E305" s="46">
        <v>1420</v>
      </c>
      <c r="F305" s="46">
        <v>963.87</v>
      </c>
      <c r="G305" s="46">
        <v>456.13</v>
      </c>
      <c r="H305" s="46">
        <v>47.32</v>
      </c>
      <c r="I305" t="s">
        <v>81</v>
      </c>
    </row>
    <row r="306" spans="1:9" x14ac:dyDescent="0.25">
      <c r="A306" t="s">
        <v>300</v>
      </c>
      <c r="B306" t="s">
        <v>328</v>
      </c>
      <c r="C306" t="s">
        <v>345</v>
      </c>
      <c r="D306" t="s">
        <v>330</v>
      </c>
      <c r="E306" s="46">
        <v>1420</v>
      </c>
      <c r="F306" s="46">
        <v>963.87</v>
      </c>
      <c r="G306" s="46">
        <v>456.13</v>
      </c>
      <c r="H306" s="46">
        <v>47.32</v>
      </c>
      <c r="I306" t="s">
        <v>81</v>
      </c>
    </row>
    <row r="307" spans="1:9" x14ac:dyDescent="0.25">
      <c r="A307" t="s">
        <v>300</v>
      </c>
      <c r="B307" t="s">
        <v>328</v>
      </c>
      <c r="C307" t="s">
        <v>346</v>
      </c>
      <c r="D307" t="s">
        <v>330</v>
      </c>
      <c r="E307" s="46">
        <v>1420</v>
      </c>
      <c r="F307" s="46">
        <v>963.87</v>
      </c>
      <c r="G307" s="46">
        <v>456.13</v>
      </c>
      <c r="H307" s="46">
        <v>47.32</v>
      </c>
      <c r="I307" t="s">
        <v>81</v>
      </c>
    </row>
    <row r="308" spans="1:9" x14ac:dyDescent="0.25">
      <c r="A308" t="s">
        <v>300</v>
      </c>
      <c r="B308" t="s">
        <v>328</v>
      </c>
      <c r="C308" t="s">
        <v>347</v>
      </c>
      <c r="D308" t="s">
        <v>330</v>
      </c>
      <c r="E308" s="46">
        <v>1420</v>
      </c>
      <c r="F308" s="46">
        <v>963.87</v>
      </c>
      <c r="G308" s="46">
        <v>456.13</v>
      </c>
      <c r="H308" s="46">
        <v>47.32</v>
      </c>
      <c r="I308" t="s">
        <v>81</v>
      </c>
    </row>
    <row r="309" spans="1:9" x14ac:dyDescent="0.25">
      <c r="A309" t="s">
        <v>300</v>
      </c>
      <c r="B309" t="s">
        <v>328</v>
      </c>
      <c r="C309" t="s">
        <v>348</v>
      </c>
      <c r="D309" t="s">
        <v>330</v>
      </c>
      <c r="E309" s="46">
        <v>1420</v>
      </c>
      <c r="F309" s="46">
        <v>963.87</v>
      </c>
      <c r="G309" s="46">
        <v>456.13</v>
      </c>
      <c r="H309" s="46">
        <v>47.32</v>
      </c>
      <c r="I309" t="s">
        <v>81</v>
      </c>
    </row>
    <row r="310" spans="1:9" x14ac:dyDescent="0.25">
      <c r="A310" t="s">
        <v>300</v>
      </c>
      <c r="B310" t="s">
        <v>328</v>
      </c>
      <c r="C310" t="s">
        <v>349</v>
      </c>
      <c r="D310" t="s">
        <v>330</v>
      </c>
      <c r="E310" s="46">
        <v>1420</v>
      </c>
      <c r="F310" s="46">
        <v>963.87</v>
      </c>
      <c r="G310" s="46">
        <v>456.13</v>
      </c>
      <c r="H310" s="46">
        <v>47.32</v>
      </c>
      <c r="I310" t="s">
        <v>81</v>
      </c>
    </row>
    <row r="311" spans="1:9" x14ac:dyDescent="0.25">
      <c r="A311" t="s">
        <v>300</v>
      </c>
      <c r="B311" t="s">
        <v>328</v>
      </c>
      <c r="C311" t="s">
        <v>350</v>
      </c>
      <c r="D311" t="s">
        <v>330</v>
      </c>
      <c r="E311" s="46">
        <v>1420</v>
      </c>
      <c r="F311" s="46">
        <v>963.87</v>
      </c>
      <c r="G311" s="46">
        <v>456.13</v>
      </c>
      <c r="H311" s="46">
        <v>47.32</v>
      </c>
      <c r="I311" t="s">
        <v>81</v>
      </c>
    </row>
    <row r="312" spans="1:9" x14ac:dyDescent="0.25">
      <c r="A312" t="s">
        <v>300</v>
      </c>
      <c r="B312" t="s">
        <v>328</v>
      </c>
      <c r="C312" t="s">
        <v>351</v>
      </c>
      <c r="D312" t="s">
        <v>330</v>
      </c>
      <c r="E312" s="46">
        <v>1420</v>
      </c>
      <c r="F312" s="46">
        <v>963.87</v>
      </c>
      <c r="G312" s="46">
        <v>456.13</v>
      </c>
      <c r="H312" s="46">
        <v>47.32</v>
      </c>
      <c r="I312" t="s">
        <v>81</v>
      </c>
    </row>
    <row r="313" spans="1:9" x14ac:dyDescent="0.25">
      <c r="A313" t="s">
        <v>300</v>
      </c>
      <c r="B313" t="s">
        <v>328</v>
      </c>
      <c r="C313" t="s">
        <v>352</v>
      </c>
      <c r="D313" t="s">
        <v>330</v>
      </c>
      <c r="E313" s="46">
        <v>1420</v>
      </c>
      <c r="F313" s="46">
        <v>963.87</v>
      </c>
      <c r="G313" s="46">
        <v>456.13</v>
      </c>
      <c r="H313" s="46">
        <v>47.32</v>
      </c>
      <c r="I313" t="s">
        <v>81</v>
      </c>
    </row>
    <row r="314" spans="1:9" x14ac:dyDescent="0.25">
      <c r="A314" t="s">
        <v>300</v>
      </c>
      <c r="B314" t="s">
        <v>328</v>
      </c>
      <c r="C314" t="s">
        <v>353</v>
      </c>
      <c r="D314" t="s">
        <v>330</v>
      </c>
      <c r="E314" s="46">
        <v>1420</v>
      </c>
      <c r="F314" s="46">
        <v>963.87</v>
      </c>
      <c r="G314" s="46">
        <v>456.13</v>
      </c>
      <c r="H314" s="46">
        <v>47.32</v>
      </c>
      <c r="I314" t="s">
        <v>81</v>
      </c>
    </row>
    <row r="315" spans="1:9" x14ac:dyDescent="0.25">
      <c r="A315" t="s">
        <v>300</v>
      </c>
      <c r="B315" t="s">
        <v>328</v>
      </c>
      <c r="C315" t="s">
        <v>354</v>
      </c>
      <c r="D315" t="s">
        <v>330</v>
      </c>
      <c r="E315" s="46">
        <v>1420</v>
      </c>
      <c r="F315" s="46">
        <v>963.87</v>
      </c>
      <c r="G315" s="46">
        <v>456.13</v>
      </c>
      <c r="H315" s="46">
        <v>47.32</v>
      </c>
      <c r="I315" t="s">
        <v>81</v>
      </c>
    </row>
    <row r="316" spans="1:9" x14ac:dyDescent="0.25">
      <c r="A316" t="s">
        <v>300</v>
      </c>
      <c r="B316" t="s">
        <v>328</v>
      </c>
      <c r="C316" t="s">
        <v>355</v>
      </c>
      <c r="D316" t="s">
        <v>330</v>
      </c>
      <c r="E316" s="46">
        <v>1420</v>
      </c>
      <c r="F316" s="46">
        <v>963.87</v>
      </c>
      <c r="G316" s="46">
        <v>456.13</v>
      </c>
      <c r="H316" s="46">
        <v>47.32</v>
      </c>
      <c r="I316" t="s">
        <v>81</v>
      </c>
    </row>
    <row r="317" spans="1:9" x14ac:dyDescent="0.25">
      <c r="A317" t="s">
        <v>300</v>
      </c>
      <c r="B317" t="s">
        <v>328</v>
      </c>
      <c r="C317" t="s">
        <v>356</v>
      </c>
      <c r="D317" t="s">
        <v>330</v>
      </c>
      <c r="E317" s="46">
        <v>1420</v>
      </c>
      <c r="F317" s="46">
        <v>963.87</v>
      </c>
      <c r="G317" s="46">
        <v>456.13</v>
      </c>
      <c r="H317" s="46">
        <v>47.32</v>
      </c>
      <c r="I317" t="s">
        <v>81</v>
      </c>
    </row>
    <row r="318" spans="1:9" x14ac:dyDescent="0.25">
      <c r="A318" t="s">
        <v>300</v>
      </c>
      <c r="B318" t="s">
        <v>328</v>
      </c>
      <c r="C318" t="s">
        <v>357</v>
      </c>
      <c r="D318" t="s">
        <v>330</v>
      </c>
      <c r="E318" s="46">
        <v>1420</v>
      </c>
      <c r="F318" s="46">
        <v>963.87</v>
      </c>
      <c r="G318" s="46">
        <v>456.13</v>
      </c>
      <c r="H318" s="46">
        <v>47.32</v>
      </c>
      <c r="I318" t="s">
        <v>81</v>
      </c>
    </row>
    <row r="319" spans="1:9" x14ac:dyDescent="0.25">
      <c r="A319" t="s">
        <v>300</v>
      </c>
      <c r="B319" t="s">
        <v>328</v>
      </c>
      <c r="C319" t="s">
        <v>358</v>
      </c>
      <c r="D319" t="s">
        <v>330</v>
      </c>
      <c r="E319" s="46">
        <v>1420</v>
      </c>
      <c r="F319" s="46">
        <v>963.87</v>
      </c>
      <c r="G319" s="46">
        <v>456.13</v>
      </c>
      <c r="H319" s="46">
        <v>47.32</v>
      </c>
      <c r="I319" t="s">
        <v>81</v>
      </c>
    </row>
    <row r="320" spans="1:9" x14ac:dyDescent="0.25">
      <c r="A320" t="s">
        <v>300</v>
      </c>
      <c r="B320" t="s">
        <v>328</v>
      </c>
      <c r="C320" t="s">
        <v>359</v>
      </c>
      <c r="D320" t="s">
        <v>330</v>
      </c>
      <c r="E320" s="46">
        <v>1420</v>
      </c>
      <c r="F320" s="46">
        <v>963.87</v>
      </c>
      <c r="G320" s="46">
        <v>456.13</v>
      </c>
      <c r="H320" s="46">
        <v>47.32</v>
      </c>
      <c r="I320" t="s">
        <v>81</v>
      </c>
    </row>
    <row r="321" spans="1:9" x14ac:dyDescent="0.25">
      <c r="A321" t="s">
        <v>300</v>
      </c>
      <c r="B321" t="s">
        <v>328</v>
      </c>
      <c r="C321" t="s">
        <v>360</v>
      </c>
      <c r="D321" t="s">
        <v>330</v>
      </c>
      <c r="E321" s="46">
        <v>1420</v>
      </c>
      <c r="F321" s="46">
        <v>963.87</v>
      </c>
      <c r="G321" s="46">
        <v>456.13</v>
      </c>
      <c r="H321" s="46">
        <v>47.32</v>
      </c>
      <c r="I321" t="s">
        <v>81</v>
      </c>
    </row>
    <row r="322" spans="1:9" x14ac:dyDescent="0.25">
      <c r="A322" t="s">
        <v>300</v>
      </c>
      <c r="B322" t="s">
        <v>328</v>
      </c>
      <c r="C322" t="s">
        <v>361</v>
      </c>
      <c r="D322" t="s">
        <v>330</v>
      </c>
      <c r="E322" s="46">
        <v>1420</v>
      </c>
      <c r="F322" s="46">
        <v>963.87</v>
      </c>
      <c r="G322" s="46">
        <v>456.13</v>
      </c>
      <c r="H322" s="46">
        <v>47.32</v>
      </c>
      <c r="I322" t="s">
        <v>81</v>
      </c>
    </row>
    <row r="323" spans="1:9" x14ac:dyDescent="0.25">
      <c r="A323" t="s">
        <v>300</v>
      </c>
      <c r="B323" t="s">
        <v>328</v>
      </c>
      <c r="C323" t="s">
        <v>362</v>
      </c>
      <c r="D323" t="s">
        <v>330</v>
      </c>
      <c r="E323" s="46">
        <v>1420</v>
      </c>
      <c r="F323" s="46">
        <v>963.87</v>
      </c>
      <c r="G323" s="46">
        <v>456.13</v>
      </c>
      <c r="H323" s="46">
        <v>47.32</v>
      </c>
      <c r="I323" t="s">
        <v>81</v>
      </c>
    </row>
    <row r="324" spans="1:9" x14ac:dyDescent="0.25">
      <c r="A324" t="s">
        <v>300</v>
      </c>
      <c r="B324" t="s">
        <v>328</v>
      </c>
      <c r="C324" t="s">
        <v>363</v>
      </c>
      <c r="D324" t="s">
        <v>330</v>
      </c>
      <c r="E324" s="46">
        <v>1420</v>
      </c>
      <c r="F324" s="46">
        <v>963.87</v>
      </c>
      <c r="G324" s="46">
        <v>456.13</v>
      </c>
      <c r="H324" s="46">
        <v>47.32</v>
      </c>
      <c r="I324" t="s">
        <v>81</v>
      </c>
    </row>
    <row r="325" spans="1:9" x14ac:dyDescent="0.25">
      <c r="A325" t="s">
        <v>300</v>
      </c>
      <c r="B325" t="s">
        <v>328</v>
      </c>
      <c r="C325" t="s">
        <v>364</v>
      </c>
      <c r="D325" t="s">
        <v>330</v>
      </c>
      <c r="E325" s="46">
        <v>1420</v>
      </c>
      <c r="F325" s="46">
        <v>963.87</v>
      </c>
      <c r="G325" s="46">
        <v>456.13</v>
      </c>
      <c r="H325" s="46">
        <v>47.32</v>
      </c>
      <c r="I325" t="s">
        <v>81</v>
      </c>
    </row>
    <row r="326" spans="1:9" x14ac:dyDescent="0.25">
      <c r="A326" t="s">
        <v>300</v>
      </c>
      <c r="B326" t="s">
        <v>328</v>
      </c>
      <c r="C326" t="s">
        <v>365</v>
      </c>
      <c r="D326" t="s">
        <v>330</v>
      </c>
      <c r="E326" s="46">
        <v>1420</v>
      </c>
      <c r="F326" s="46">
        <v>963.87</v>
      </c>
      <c r="G326" s="46">
        <v>456.13</v>
      </c>
      <c r="H326" s="46">
        <v>47.32</v>
      </c>
      <c r="I326" t="s">
        <v>81</v>
      </c>
    </row>
    <row r="327" spans="1:9" x14ac:dyDescent="0.25">
      <c r="A327" t="s">
        <v>300</v>
      </c>
      <c r="B327" t="s">
        <v>328</v>
      </c>
      <c r="C327" t="s">
        <v>366</v>
      </c>
      <c r="D327" t="s">
        <v>330</v>
      </c>
      <c r="E327" s="46">
        <v>1420</v>
      </c>
      <c r="F327" s="46">
        <v>1063.17</v>
      </c>
      <c r="G327" s="46">
        <v>356.83</v>
      </c>
      <c r="H327" s="46">
        <v>33.56</v>
      </c>
      <c r="I327" t="s">
        <v>81</v>
      </c>
    </row>
    <row r="328" spans="1:9" x14ac:dyDescent="0.25">
      <c r="A328" t="s">
        <v>300</v>
      </c>
      <c r="B328" t="s">
        <v>328</v>
      </c>
      <c r="C328" t="s">
        <v>367</v>
      </c>
      <c r="D328" t="s">
        <v>330</v>
      </c>
      <c r="E328" s="46">
        <v>1420</v>
      </c>
      <c r="F328" s="46">
        <v>1046</v>
      </c>
      <c r="G328" s="46">
        <v>374</v>
      </c>
      <c r="H328" s="46">
        <v>35.76</v>
      </c>
      <c r="I328" t="s">
        <v>81</v>
      </c>
    </row>
    <row r="329" spans="1:9" x14ac:dyDescent="0.25">
      <c r="A329" t="s">
        <v>300</v>
      </c>
      <c r="B329" t="s">
        <v>328</v>
      </c>
      <c r="C329" t="s">
        <v>368</v>
      </c>
      <c r="D329" t="s">
        <v>330</v>
      </c>
      <c r="E329" s="46">
        <v>1420</v>
      </c>
      <c r="F329" s="46">
        <v>1046</v>
      </c>
      <c r="G329" s="46">
        <v>374</v>
      </c>
      <c r="H329" s="46">
        <v>35.76</v>
      </c>
      <c r="I329" t="s">
        <v>81</v>
      </c>
    </row>
    <row r="330" spans="1:9" x14ac:dyDescent="0.25">
      <c r="A330" t="s">
        <v>300</v>
      </c>
      <c r="B330" t="s">
        <v>328</v>
      </c>
      <c r="C330" t="s">
        <v>369</v>
      </c>
      <c r="D330" t="s">
        <v>330</v>
      </c>
      <c r="E330" s="46">
        <v>1420</v>
      </c>
      <c r="F330" s="46">
        <v>1046</v>
      </c>
      <c r="G330" s="46">
        <v>374</v>
      </c>
      <c r="H330" s="46">
        <v>35.76</v>
      </c>
      <c r="I330" t="s">
        <v>81</v>
      </c>
    </row>
    <row r="331" spans="1:9" x14ac:dyDescent="0.25">
      <c r="A331" t="s">
        <v>300</v>
      </c>
      <c r="B331" t="s">
        <v>328</v>
      </c>
      <c r="C331" t="s">
        <v>370</v>
      </c>
      <c r="D331" t="s">
        <v>330</v>
      </c>
      <c r="E331" s="46">
        <v>1420</v>
      </c>
      <c r="F331" s="46">
        <v>1046</v>
      </c>
      <c r="G331" s="46">
        <v>374</v>
      </c>
      <c r="H331" s="46">
        <v>35.76</v>
      </c>
      <c r="I331" t="s">
        <v>81</v>
      </c>
    </row>
    <row r="332" spans="1:9" x14ac:dyDescent="0.25">
      <c r="A332" t="s">
        <v>300</v>
      </c>
      <c r="B332" t="s">
        <v>328</v>
      </c>
      <c r="C332" t="s">
        <v>371</v>
      </c>
      <c r="D332" t="s">
        <v>330</v>
      </c>
      <c r="E332" s="46">
        <v>1420</v>
      </c>
      <c r="F332" s="46">
        <v>1046</v>
      </c>
      <c r="G332" s="46">
        <v>374</v>
      </c>
      <c r="H332" s="46">
        <v>35.76</v>
      </c>
      <c r="I332" t="s">
        <v>81</v>
      </c>
    </row>
    <row r="333" spans="1:9" x14ac:dyDescent="0.25">
      <c r="A333" t="s">
        <v>300</v>
      </c>
      <c r="B333" t="s">
        <v>328</v>
      </c>
      <c r="C333" t="s">
        <v>372</v>
      </c>
      <c r="D333" t="s">
        <v>330</v>
      </c>
      <c r="E333" s="46">
        <v>1420</v>
      </c>
      <c r="F333" s="46">
        <v>1046</v>
      </c>
      <c r="G333" s="46">
        <v>374</v>
      </c>
      <c r="H333" s="46">
        <v>35.76</v>
      </c>
      <c r="I333" t="s">
        <v>81</v>
      </c>
    </row>
    <row r="334" spans="1:9" x14ac:dyDescent="0.25">
      <c r="A334" t="s">
        <v>300</v>
      </c>
      <c r="B334" t="s">
        <v>328</v>
      </c>
      <c r="C334" t="s">
        <v>373</v>
      </c>
      <c r="D334" t="s">
        <v>330</v>
      </c>
      <c r="E334" s="46">
        <v>1420</v>
      </c>
      <c r="F334" s="46">
        <v>1046</v>
      </c>
      <c r="G334" s="46">
        <v>374</v>
      </c>
      <c r="H334" s="46">
        <v>35.76</v>
      </c>
      <c r="I334" t="s">
        <v>81</v>
      </c>
    </row>
    <row r="335" spans="1:9" x14ac:dyDescent="0.25">
      <c r="A335" t="s">
        <v>300</v>
      </c>
      <c r="B335" t="s">
        <v>328</v>
      </c>
      <c r="C335" t="s">
        <v>374</v>
      </c>
      <c r="D335" t="s">
        <v>330</v>
      </c>
      <c r="E335" s="46">
        <v>1420</v>
      </c>
      <c r="F335" s="46">
        <v>1046</v>
      </c>
      <c r="G335" s="46">
        <v>374</v>
      </c>
      <c r="H335" s="46">
        <v>35.76</v>
      </c>
      <c r="I335" t="s">
        <v>81</v>
      </c>
    </row>
    <row r="336" spans="1:9" x14ac:dyDescent="0.25">
      <c r="A336" t="s">
        <v>300</v>
      </c>
      <c r="B336" t="s">
        <v>328</v>
      </c>
      <c r="C336" t="s">
        <v>375</v>
      </c>
      <c r="D336" t="s">
        <v>330</v>
      </c>
      <c r="E336" s="46">
        <v>1420</v>
      </c>
      <c r="F336" s="46">
        <v>1046</v>
      </c>
      <c r="G336" s="46">
        <v>374</v>
      </c>
      <c r="H336" s="46">
        <v>35.76</v>
      </c>
      <c r="I336" t="s">
        <v>81</v>
      </c>
    </row>
    <row r="337" spans="1:9" x14ac:dyDescent="0.25">
      <c r="A337" t="s">
        <v>300</v>
      </c>
      <c r="B337" t="s">
        <v>328</v>
      </c>
      <c r="C337" t="s">
        <v>376</v>
      </c>
      <c r="D337" t="s">
        <v>330</v>
      </c>
      <c r="E337" s="46">
        <v>1420</v>
      </c>
      <c r="F337" s="46">
        <v>1046</v>
      </c>
      <c r="G337" s="46">
        <v>374</v>
      </c>
      <c r="H337" s="46">
        <v>35.76</v>
      </c>
      <c r="I337" t="s">
        <v>81</v>
      </c>
    </row>
    <row r="338" spans="1:9" x14ac:dyDescent="0.25">
      <c r="A338" t="s">
        <v>300</v>
      </c>
      <c r="B338" t="s">
        <v>328</v>
      </c>
      <c r="C338" t="s">
        <v>377</v>
      </c>
      <c r="D338" t="s">
        <v>330</v>
      </c>
      <c r="E338" s="46">
        <v>1420</v>
      </c>
      <c r="F338" s="46">
        <v>1046</v>
      </c>
      <c r="G338" s="46">
        <v>374</v>
      </c>
      <c r="H338" s="46">
        <v>35.76</v>
      </c>
      <c r="I338" t="s">
        <v>81</v>
      </c>
    </row>
    <row r="339" spans="1:9" x14ac:dyDescent="0.25">
      <c r="A339" t="s">
        <v>300</v>
      </c>
      <c r="B339" t="s">
        <v>328</v>
      </c>
      <c r="C339" t="s">
        <v>378</v>
      </c>
      <c r="D339" t="s">
        <v>330</v>
      </c>
      <c r="E339" s="46">
        <v>1420</v>
      </c>
      <c r="F339" s="46">
        <v>1046</v>
      </c>
      <c r="G339" s="46">
        <v>374</v>
      </c>
      <c r="H339" s="46">
        <v>35.76</v>
      </c>
      <c r="I339" t="s">
        <v>81</v>
      </c>
    </row>
    <row r="340" spans="1:9" x14ac:dyDescent="0.25">
      <c r="A340" t="s">
        <v>300</v>
      </c>
      <c r="B340" t="s">
        <v>328</v>
      </c>
      <c r="C340" t="s">
        <v>379</v>
      </c>
      <c r="D340" t="s">
        <v>330</v>
      </c>
      <c r="E340" s="46">
        <v>1420</v>
      </c>
      <c r="F340" s="46">
        <v>1046</v>
      </c>
      <c r="G340" s="46">
        <v>374</v>
      </c>
      <c r="H340" s="46">
        <v>35.76</v>
      </c>
      <c r="I340" t="s">
        <v>81</v>
      </c>
    </row>
    <row r="341" spans="1:9" x14ac:dyDescent="0.25">
      <c r="A341" t="s">
        <v>300</v>
      </c>
      <c r="B341" t="s">
        <v>328</v>
      </c>
      <c r="C341" t="s">
        <v>380</v>
      </c>
      <c r="D341" t="s">
        <v>330</v>
      </c>
      <c r="E341" s="46">
        <v>1420</v>
      </c>
      <c r="F341" s="46">
        <v>1046</v>
      </c>
      <c r="G341" s="46">
        <v>374</v>
      </c>
      <c r="H341" s="46">
        <v>35.76</v>
      </c>
      <c r="I341" t="s">
        <v>81</v>
      </c>
    </row>
    <row r="342" spans="1:9" x14ac:dyDescent="0.25">
      <c r="A342" t="s">
        <v>300</v>
      </c>
      <c r="B342" t="s">
        <v>328</v>
      </c>
      <c r="C342" t="s">
        <v>381</v>
      </c>
      <c r="D342" t="s">
        <v>330</v>
      </c>
      <c r="E342" s="46">
        <v>1420</v>
      </c>
      <c r="F342" s="46">
        <v>1095</v>
      </c>
      <c r="G342" s="46">
        <v>325</v>
      </c>
      <c r="H342" s="46">
        <v>29.68</v>
      </c>
      <c r="I342" t="s">
        <v>81</v>
      </c>
    </row>
    <row r="343" spans="1:9" x14ac:dyDescent="0.25">
      <c r="A343" t="s">
        <v>300</v>
      </c>
      <c r="B343" t="s">
        <v>328</v>
      </c>
      <c r="C343" t="s">
        <v>382</v>
      </c>
      <c r="D343" t="s">
        <v>330</v>
      </c>
      <c r="E343" s="46">
        <v>1420</v>
      </c>
      <c r="F343" s="46">
        <v>1095</v>
      </c>
      <c r="G343" s="46">
        <v>325</v>
      </c>
      <c r="H343" s="46">
        <v>29.68</v>
      </c>
      <c r="I343" t="s">
        <v>81</v>
      </c>
    </row>
    <row r="344" spans="1:9" x14ac:dyDescent="0.25">
      <c r="A344" t="s">
        <v>300</v>
      </c>
      <c r="B344" t="s">
        <v>328</v>
      </c>
      <c r="C344" t="s">
        <v>383</v>
      </c>
      <c r="D344" t="s">
        <v>330</v>
      </c>
      <c r="E344" s="46">
        <v>1420</v>
      </c>
      <c r="F344" s="46">
        <v>1095</v>
      </c>
      <c r="G344" s="46">
        <v>325</v>
      </c>
      <c r="H344" s="46">
        <v>29.68</v>
      </c>
      <c r="I344" t="s">
        <v>81</v>
      </c>
    </row>
    <row r="345" spans="1:9" x14ac:dyDescent="0.25">
      <c r="A345" t="s">
        <v>300</v>
      </c>
      <c r="B345" t="s">
        <v>328</v>
      </c>
      <c r="C345" t="s">
        <v>384</v>
      </c>
      <c r="D345" t="s">
        <v>330</v>
      </c>
      <c r="E345" s="46">
        <v>1420</v>
      </c>
      <c r="F345" s="46">
        <v>1095</v>
      </c>
      <c r="G345" s="46">
        <v>325</v>
      </c>
      <c r="H345" s="46">
        <v>29.68</v>
      </c>
      <c r="I345" t="s">
        <v>81</v>
      </c>
    </row>
    <row r="346" spans="1:9" x14ac:dyDescent="0.25">
      <c r="A346" t="s">
        <v>300</v>
      </c>
      <c r="B346" t="s">
        <v>328</v>
      </c>
      <c r="C346" t="s">
        <v>385</v>
      </c>
      <c r="D346" t="s">
        <v>330</v>
      </c>
      <c r="E346" s="46">
        <v>1420</v>
      </c>
      <c r="F346" s="46">
        <v>1095</v>
      </c>
      <c r="G346" s="46">
        <v>325</v>
      </c>
      <c r="H346" s="46">
        <v>29.68</v>
      </c>
      <c r="I346" t="s">
        <v>81</v>
      </c>
    </row>
    <row r="347" spans="1:9" x14ac:dyDescent="0.25">
      <c r="A347" t="s">
        <v>300</v>
      </c>
      <c r="B347" t="s">
        <v>328</v>
      </c>
      <c r="C347" t="s">
        <v>386</v>
      </c>
      <c r="D347" t="s">
        <v>330</v>
      </c>
      <c r="E347" s="46">
        <v>1420</v>
      </c>
      <c r="F347" s="46">
        <v>1095</v>
      </c>
      <c r="G347" s="46">
        <v>325</v>
      </c>
      <c r="H347" s="46">
        <v>29.68</v>
      </c>
      <c r="I347" t="s">
        <v>81</v>
      </c>
    </row>
    <row r="348" spans="1:9" x14ac:dyDescent="0.25">
      <c r="A348" t="s">
        <v>300</v>
      </c>
      <c r="B348" t="s">
        <v>328</v>
      </c>
      <c r="C348" t="s">
        <v>387</v>
      </c>
      <c r="D348" t="s">
        <v>330</v>
      </c>
      <c r="E348" s="46">
        <v>1420</v>
      </c>
      <c r="F348" s="46">
        <v>1095</v>
      </c>
      <c r="G348" s="46">
        <v>325</v>
      </c>
      <c r="H348" s="46">
        <v>29.68</v>
      </c>
      <c r="I348" t="s">
        <v>81</v>
      </c>
    </row>
    <row r="349" spans="1:9" x14ac:dyDescent="0.25">
      <c r="A349" t="s">
        <v>300</v>
      </c>
      <c r="B349" t="s">
        <v>328</v>
      </c>
      <c r="C349" t="s">
        <v>388</v>
      </c>
      <c r="D349" t="s">
        <v>330</v>
      </c>
      <c r="E349" s="46">
        <v>1420</v>
      </c>
      <c r="F349" s="46">
        <v>1095</v>
      </c>
      <c r="G349" s="46">
        <v>325</v>
      </c>
      <c r="H349" s="46">
        <v>29.68</v>
      </c>
      <c r="I349" t="s">
        <v>81</v>
      </c>
    </row>
    <row r="350" spans="1:9" x14ac:dyDescent="0.25">
      <c r="A350" t="s">
        <v>300</v>
      </c>
      <c r="B350" t="s">
        <v>328</v>
      </c>
      <c r="C350" t="s">
        <v>389</v>
      </c>
      <c r="D350" t="s">
        <v>330</v>
      </c>
      <c r="E350" s="46">
        <v>1420</v>
      </c>
      <c r="F350" s="46">
        <v>1095</v>
      </c>
      <c r="G350" s="46">
        <v>325</v>
      </c>
      <c r="H350" s="46">
        <v>29.68</v>
      </c>
      <c r="I350" t="s">
        <v>81</v>
      </c>
    </row>
    <row r="351" spans="1:9" x14ac:dyDescent="0.25">
      <c r="A351" t="s">
        <v>390</v>
      </c>
      <c r="B351" t="s">
        <v>70</v>
      </c>
      <c r="C351" t="s">
        <v>391</v>
      </c>
      <c r="D351" t="s">
        <v>15</v>
      </c>
      <c r="E351" s="46">
        <v>3700</v>
      </c>
      <c r="F351" s="46">
        <v>3072</v>
      </c>
      <c r="G351" s="46">
        <v>628</v>
      </c>
      <c r="H351" s="46">
        <v>20.440000000000001</v>
      </c>
      <c r="I351" t="s">
        <v>81</v>
      </c>
    </row>
    <row r="352" spans="1:9" x14ac:dyDescent="0.25">
      <c r="A352" t="s">
        <v>390</v>
      </c>
      <c r="B352" t="s">
        <v>17</v>
      </c>
      <c r="C352" t="s">
        <v>392</v>
      </c>
      <c r="D352" t="s">
        <v>15</v>
      </c>
      <c r="E352" s="46">
        <v>11250</v>
      </c>
      <c r="F352" s="46">
        <v>7900.33</v>
      </c>
      <c r="G352" s="46">
        <v>3349.67</v>
      </c>
      <c r="H352" s="46">
        <v>42.4</v>
      </c>
      <c r="I352" t="s">
        <v>16</v>
      </c>
    </row>
    <row r="353" spans="1:9" x14ac:dyDescent="0.25">
      <c r="A353" t="s">
        <v>390</v>
      </c>
      <c r="B353" t="s">
        <v>393</v>
      </c>
      <c r="C353" t="s">
        <v>394</v>
      </c>
      <c r="D353" t="s">
        <v>15</v>
      </c>
      <c r="E353" s="46">
        <v>3126</v>
      </c>
      <c r="F353" s="46">
        <v>2628</v>
      </c>
      <c r="G353" s="46">
        <v>498</v>
      </c>
      <c r="H353" s="46">
        <v>18.95</v>
      </c>
      <c r="I353" t="s">
        <v>23</v>
      </c>
    </row>
    <row r="354" spans="1:9" x14ac:dyDescent="0.25">
      <c r="A354" t="s">
        <v>390</v>
      </c>
      <c r="B354" t="s">
        <v>33</v>
      </c>
      <c r="C354" t="s">
        <v>395</v>
      </c>
      <c r="D354" t="s">
        <v>15</v>
      </c>
      <c r="E354" s="46">
        <v>3820</v>
      </c>
      <c r="F354" s="46">
        <v>3770</v>
      </c>
      <c r="G354" s="46">
        <v>50</v>
      </c>
      <c r="H354" s="46">
        <v>1.33</v>
      </c>
      <c r="I354" t="s">
        <v>396</v>
      </c>
    </row>
    <row r="355" spans="1:9" x14ac:dyDescent="0.25">
      <c r="A355" t="s">
        <v>390</v>
      </c>
      <c r="B355" t="s">
        <v>33</v>
      </c>
      <c r="C355" t="s">
        <v>397</v>
      </c>
      <c r="D355" t="s">
        <v>15</v>
      </c>
      <c r="E355" s="46">
        <v>3610</v>
      </c>
      <c r="F355" s="46">
        <v>3590</v>
      </c>
      <c r="G355" s="46">
        <v>20</v>
      </c>
      <c r="H355" s="46">
        <v>0.56000000000000005</v>
      </c>
      <c r="I355" t="s">
        <v>398</v>
      </c>
    </row>
    <row r="356" spans="1:9" x14ac:dyDescent="0.25">
      <c r="A356" t="s">
        <v>390</v>
      </c>
      <c r="B356" t="s">
        <v>33</v>
      </c>
      <c r="C356" t="s">
        <v>399</v>
      </c>
      <c r="D356" t="s">
        <v>15</v>
      </c>
      <c r="E356" s="46">
        <v>3820</v>
      </c>
      <c r="F356" s="46">
        <v>3770</v>
      </c>
      <c r="G356" s="46">
        <v>50</v>
      </c>
      <c r="H356" s="46">
        <v>1.33</v>
      </c>
      <c r="I356" t="s">
        <v>396</v>
      </c>
    </row>
    <row r="357" spans="1:9" x14ac:dyDescent="0.25">
      <c r="A357" t="s">
        <v>390</v>
      </c>
      <c r="B357" t="s">
        <v>33</v>
      </c>
      <c r="C357" t="s">
        <v>400</v>
      </c>
      <c r="D357" t="s">
        <v>15</v>
      </c>
      <c r="E357" s="46">
        <v>3820</v>
      </c>
      <c r="F357" s="46">
        <v>3770</v>
      </c>
      <c r="G357" s="46">
        <v>50</v>
      </c>
      <c r="H357" s="46">
        <v>1.33</v>
      </c>
      <c r="I357" t="s">
        <v>396</v>
      </c>
    </row>
    <row r="358" spans="1:9" x14ac:dyDescent="0.25">
      <c r="A358" t="s">
        <v>390</v>
      </c>
      <c r="B358" t="s">
        <v>33</v>
      </c>
      <c r="C358" t="s">
        <v>401</v>
      </c>
      <c r="D358" t="s">
        <v>15</v>
      </c>
      <c r="E358" s="46">
        <v>3610</v>
      </c>
      <c r="F358" s="46">
        <v>3590</v>
      </c>
      <c r="G358" s="46">
        <v>20</v>
      </c>
      <c r="H358" s="46">
        <v>0.56000000000000005</v>
      </c>
      <c r="I358" t="s">
        <v>398</v>
      </c>
    </row>
    <row r="359" spans="1:9" x14ac:dyDescent="0.25">
      <c r="A359" t="s">
        <v>390</v>
      </c>
      <c r="B359" t="s">
        <v>402</v>
      </c>
      <c r="C359" t="s">
        <v>403</v>
      </c>
      <c r="D359" t="s">
        <v>15</v>
      </c>
      <c r="E359" s="46">
        <v>1470</v>
      </c>
      <c r="F359" s="46">
        <v>1078</v>
      </c>
      <c r="G359" s="46">
        <v>392</v>
      </c>
      <c r="H359" s="46">
        <v>36.36</v>
      </c>
      <c r="I359" t="s">
        <v>23</v>
      </c>
    </row>
    <row r="360" spans="1:9" x14ac:dyDescent="0.25">
      <c r="A360" t="s">
        <v>390</v>
      </c>
      <c r="B360" t="s">
        <v>402</v>
      </c>
      <c r="C360" t="s">
        <v>404</v>
      </c>
      <c r="D360" t="s">
        <v>15</v>
      </c>
      <c r="E360" s="46">
        <v>1470</v>
      </c>
      <c r="F360" s="46">
        <v>1080</v>
      </c>
      <c r="G360" s="46">
        <v>390</v>
      </c>
      <c r="H360" s="46">
        <v>36.11</v>
      </c>
      <c r="I360" t="s">
        <v>23</v>
      </c>
    </row>
    <row r="361" spans="1:9" x14ac:dyDescent="0.25">
      <c r="A361" t="s">
        <v>390</v>
      </c>
      <c r="B361" t="s">
        <v>402</v>
      </c>
      <c r="C361" t="s">
        <v>405</v>
      </c>
      <c r="D361" t="s">
        <v>15</v>
      </c>
      <c r="E361" s="46">
        <v>1470</v>
      </c>
      <c r="F361" s="46">
        <v>1078</v>
      </c>
      <c r="G361" s="46">
        <v>392</v>
      </c>
      <c r="H361" s="46">
        <v>36.36</v>
      </c>
      <c r="I361" t="s">
        <v>23</v>
      </c>
    </row>
    <row r="362" spans="1:9" x14ac:dyDescent="0.25">
      <c r="A362" t="s">
        <v>390</v>
      </c>
      <c r="B362" t="s">
        <v>402</v>
      </c>
      <c r="C362" t="s">
        <v>406</v>
      </c>
      <c r="D362" t="s">
        <v>15</v>
      </c>
      <c r="E362" s="46">
        <v>1470</v>
      </c>
      <c r="F362" s="46">
        <v>1078</v>
      </c>
      <c r="G362" s="46">
        <v>392</v>
      </c>
      <c r="H362" s="46">
        <v>36.36</v>
      </c>
      <c r="I362" t="s">
        <v>23</v>
      </c>
    </row>
    <row r="363" spans="1:9" x14ac:dyDescent="0.25">
      <c r="A363" t="s">
        <v>390</v>
      </c>
      <c r="B363" t="s">
        <v>402</v>
      </c>
      <c r="C363" t="s">
        <v>407</v>
      </c>
      <c r="D363" t="s">
        <v>15</v>
      </c>
      <c r="E363" s="46">
        <v>1470</v>
      </c>
      <c r="F363" s="46">
        <v>1078</v>
      </c>
      <c r="G363" s="46">
        <v>392</v>
      </c>
      <c r="H363" s="46">
        <v>36.36</v>
      </c>
      <c r="I363" t="s">
        <v>23</v>
      </c>
    </row>
    <row r="364" spans="1:9" x14ac:dyDescent="0.25">
      <c r="A364" t="s">
        <v>390</v>
      </c>
      <c r="B364" t="s">
        <v>402</v>
      </c>
      <c r="C364" t="s">
        <v>408</v>
      </c>
      <c r="D364" t="s">
        <v>15</v>
      </c>
      <c r="E364" s="46">
        <v>1470</v>
      </c>
      <c r="F364" s="46">
        <v>1078</v>
      </c>
      <c r="G364" s="46">
        <v>392</v>
      </c>
      <c r="H364" s="46">
        <v>36.36</v>
      </c>
      <c r="I364" t="s">
        <v>23</v>
      </c>
    </row>
    <row r="365" spans="1:9" x14ac:dyDescent="0.25">
      <c r="A365" s="2" t="s">
        <v>390</v>
      </c>
      <c r="B365" s="2" t="s">
        <v>409</v>
      </c>
      <c r="C365" s="2" t="s">
        <v>410</v>
      </c>
      <c r="D365" s="2" t="s">
        <v>15</v>
      </c>
      <c r="E365" s="59">
        <v>850</v>
      </c>
      <c r="F365" s="59">
        <v>1080</v>
      </c>
      <c r="G365" s="59">
        <v>-230</v>
      </c>
      <c r="H365" s="59">
        <v>-21.3</v>
      </c>
      <c r="I365" s="2" t="s">
        <v>23</v>
      </c>
    </row>
    <row r="366" spans="1:9" x14ac:dyDescent="0.25">
      <c r="A366" t="s">
        <v>390</v>
      </c>
      <c r="B366" t="s">
        <v>411</v>
      </c>
      <c r="C366" t="s">
        <v>412</v>
      </c>
      <c r="D366" t="s">
        <v>15</v>
      </c>
      <c r="E366" s="46">
        <v>1250</v>
      </c>
      <c r="F366" s="46">
        <v>1080</v>
      </c>
      <c r="G366" s="46">
        <v>170</v>
      </c>
      <c r="H366" s="46">
        <v>15.74</v>
      </c>
      <c r="I366" t="s">
        <v>23</v>
      </c>
    </row>
    <row r="367" spans="1:9" x14ac:dyDescent="0.25">
      <c r="A367" t="s">
        <v>390</v>
      </c>
      <c r="B367" t="s">
        <v>411</v>
      </c>
      <c r="C367" t="s">
        <v>413</v>
      </c>
      <c r="D367" t="s">
        <v>15</v>
      </c>
      <c r="E367" s="46">
        <v>1470</v>
      </c>
      <c r="F367" s="46">
        <v>1079</v>
      </c>
      <c r="G367" s="46">
        <v>391</v>
      </c>
      <c r="H367" s="46">
        <v>36.24</v>
      </c>
      <c r="I367" t="s">
        <v>23</v>
      </c>
    </row>
    <row r="368" spans="1:9" x14ac:dyDescent="0.25">
      <c r="A368" t="s">
        <v>390</v>
      </c>
      <c r="B368" t="s">
        <v>411</v>
      </c>
      <c r="C368" t="s">
        <v>414</v>
      </c>
      <c r="D368" t="s">
        <v>15</v>
      </c>
      <c r="E368" s="46">
        <v>1470</v>
      </c>
      <c r="F368" s="46">
        <v>1079</v>
      </c>
      <c r="G368" s="46">
        <v>391</v>
      </c>
      <c r="H368" s="46">
        <v>36.24</v>
      </c>
      <c r="I368" t="s">
        <v>23</v>
      </c>
    </row>
    <row r="369" spans="1:9" x14ac:dyDescent="0.25">
      <c r="A369" t="s">
        <v>390</v>
      </c>
      <c r="B369" t="s">
        <v>411</v>
      </c>
      <c r="C369" t="s">
        <v>415</v>
      </c>
      <c r="D369" t="s">
        <v>15</v>
      </c>
      <c r="E369" s="46">
        <v>1470</v>
      </c>
      <c r="F369" s="46">
        <v>1079</v>
      </c>
      <c r="G369" s="46">
        <v>391</v>
      </c>
      <c r="H369" s="46">
        <v>36.24</v>
      </c>
      <c r="I369" t="s">
        <v>23</v>
      </c>
    </row>
    <row r="370" spans="1:9" x14ac:dyDescent="0.25">
      <c r="A370" t="s">
        <v>390</v>
      </c>
      <c r="B370" t="s">
        <v>411</v>
      </c>
      <c r="C370" t="s">
        <v>416</v>
      </c>
      <c r="D370" t="s">
        <v>15</v>
      </c>
      <c r="E370" s="46">
        <v>1470</v>
      </c>
      <c r="F370" s="46">
        <v>1079</v>
      </c>
      <c r="G370" s="46">
        <v>391</v>
      </c>
      <c r="H370" s="46">
        <v>36.24</v>
      </c>
      <c r="I370" t="s">
        <v>23</v>
      </c>
    </row>
    <row r="371" spans="1:9" x14ac:dyDescent="0.25">
      <c r="A371" t="s">
        <v>390</v>
      </c>
      <c r="B371" t="s">
        <v>411</v>
      </c>
      <c r="C371" t="s">
        <v>417</v>
      </c>
      <c r="D371" t="s">
        <v>15</v>
      </c>
      <c r="E371" s="46">
        <v>1470</v>
      </c>
      <c r="F371" s="46">
        <v>1080</v>
      </c>
      <c r="G371" s="46">
        <v>390</v>
      </c>
      <c r="H371" s="46">
        <v>36.11</v>
      </c>
      <c r="I371" t="s">
        <v>23</v>
      </c>
    </row>
    <row r="372" spans="1:9" x14ac:dyDescent="0.25">
      <c r="A372" t="s">
        <v>390</v>
      </c>
      <c r="B372" t="s">
        <v>411</v>
      </c>
      <c r="C372" t="s">
        <v>418</v>
      </c>
      <c r="D372" t="s">
        <v>15</v>
      </c>
      <c r="E372" s="46">
        <v>1470</v>
      </c>
      <c r="F372" s="46">
        <v>1079</v>
      </c>
      <c r="G372" s="46">
        <v>391</v>
      </c>
      <c r="H372" s="46">
        <v>36.24</v>
      </c>
      <c r="I372" t="s">
        <v>23</v>
      </c>
    </row>
    <row r="373" spans="1:9" x14ac:dyDescent="0.25">
      <c r="A373" t="s">
        <v>390</v>
      </c>
      <c r="B373" t="s">
        <v>411</v>
      </c>
      <c r="C373" t="s">
        <v>419</v>
      </c>
      <c r="D373" t="s">
        <v>15</v>
      </c>
      <c r="E373" s="46">
        <v>1470</v>
      </c>
      <c r="F373" s="46">
        <v>1079</v>
      </c>
      <c r="G373" s="46">
        <v>391</v>
      </c>
      <c r="H373" s="46">
        <v>36.24</v>
      </c>
      <c r="I373" t="s">
        <v>23</v>
      </c>
    </row>
    <row r="374" spans="1:9" x14ac:dyDescent="0.25">
      <c r="A374" t="s">
        <v>390</v>
      </c>
      <c r="B374" t="s">
        <v>411</v>
      </c>
      <c r="C374" t="s">
        <v>420</v>
      </c>
      <c r="D374" t="s">
        <v>15</v>
      </c>
      <c r="E374" s="46">
        <v>1470</v>
      </c>
      <c r="F374" s="46">
        <v>1079</v>
      </c>
      <c r="G374" s="46">
        <v>391</v>
      </c>
      <c r="H374" s="46">
        <v>36.24</v>
      </c>
      <c r="I374" t="s">
        <v>23</v>
      </c>
    </row>
    <row r="375" spans="1:9" x14ac:dyDescent="0.25">
      <c r="A375" t="s">
        <v>390</v>
      </c>
      <c r="B375" t="s">
        <v>411</v>
      </c>
      <c r="C375" t="s">
        <v>421</v>
      </c>
      <c r="D375" t="s">
        <v>15</v>
      </c>
      <c r="E375" s="46">
        <v>1470</v>
      </c>
      <c r="F375" s="46">
        <v>1079</v>
      </c>
      <c r="G375" s="46">
        <v>391</v>
      </c>
      <c r="H375" s="46">
        <v>36.24</v>
      </c>
      <c r="I375" t="s">
        <v>23</v>
      </c>
    </row>
    <row r="376" spans="1:9" x14ac:dyDescent="0.25">
      <c r="A376" t="s">
        <v>390</v>
      </c>
      <c r="B376" t="s">
        <v>422</v>
      </c>
      <c r="C376" t="s">
        <v>423</v>
      </c>
      <c r="D376" t="s">
        <v>15</v>
      </c>
      <c r="E376" s="46">
        <v>1550</v>
      </c>
      <c r="F376" s="46">
        <v>1366</v>
      </c>
      <c r="G376" s="46">
        <v>184</v>
      </c>
      <c r="H376" s="46">
        <v>13.47</v>
      </c>
      <c r="I376" t="s">
        <v>23</v>
      </c>
    </row>
    <row r="377" spans="1:9" x14ac:dyDescent="0.25">
      <c r="A377" t="s">
        <v>390</v>
      </c>
      <c r="B377" t="s">
        <v>422</v>
      </c>
      <c r="C377" t="s">
        <v>424</v>
      </c>
      <c r="D377" t="s">
        <v>15</v>
      </c>
      <c r="E377" s="46">
        <v>1550</v>
      </c>
      <c r="F377" s="46">
        <v>1438</v>
      </c>
      <c r="G377" s="46">
        <v>112</v>
      </c>
      <c r="H377" s="46">
        <v>7.79</v>
      </c>
      <c r="I377" t="s">
        <v>23</v>
      </c>
    </row>
    <row r="378" spans="1:9" x14ac:dyDescent="0.25">
      <c r="A378" t="s">
        <v>390</v>
      </c>
      <c r="B378" t="s">
        <v>422</v>
      </c>
      <c r="C378" t="s">
        <v>425</v>
      </c>
      <c r="D378" t="s">
        <v>15</v>
      </c>
      <c r="E378" s="46">
        <v>1550</v>
      </c>
      <c r="F378" s="46">
        <v>1366</v>
      </c>
      <c r="G378" s="46">
        <v>184</v>
      </c>
      <c r="H378" s="46">
        <v>13.47</v>
      </c>
      <c r="I378" t="s">
        <v>23</v>
      </c>
    </row>
    <row r="379" spans="1:9" x14ac:dyDescent="0.25">
      <c r="A379" s="2" t="s">
        <v>390</v>
      </c>
      <c r="B379" s="2" t="s">
        <v>426</v>
      </c>
      <c r="C379" s="2" t="s">
        <v>427</v>
      </c>
      <c r="D379" s="2" t="s">
        <v>15</v>
      </c>
      <c r="E379" s="59">
        <v>850</v>
      </c>
      <c r="F379" s="59">
        <v>1260</v>
      </c>
      <c r="G379" s="59">
        <v>-410</v>
      </c>
      <c r="H379" s="59">
        <v>-32.54</v>
      </c>
      <c r="I379" s="2" t="s">
        <v>23</v>
      </c>
    </row>
    <row r="380" spans="1:9" x14ac:dyDescent="0.25">
      <c r="A380" t="s">
        <v>390</v>
      </c>
      <c r="B380" t="s">
        <v>428</v>
      </c>
      <c r="C380" t="s">
        <v>429</v>
      </c>
      <c r="D380" t="s">
        <v>15</v>
      </c>
      <c r="E380" s="46">
        <v>1470</v>
      </c>
      <c r="F380" s="46">
        <v>1258</v>
      </c>
      <c r="G380" s="46">
        <v>212</v>
      </c>
      <c r="H380" s="46">
        <v>16.850000000000001</v>
      </c>
      <c r="I380" t="s">
        <v>23</v>
      </c>
    </row>
    <row r="381" spans="1:9" x14ac:dyDescent="0.25">
      <c r="A381" t="s">
        <v>390</v>
      </c>
      <c r="B381" t="s">
        <v>428</v>
      </c>
      <c r="C381" t="s">
        <v>430</v>
      </c>
      <c r="D381" t="s">
        <v>15</v>
      </c>
      <c r="E381" s="46">
        <v>1470</v>
      </c>
      <c r="F381" s="46">
        <v>1258</v>
      </c>
      <c r="G381" s="46">
        <v>212</v>
      </c>
      <c r="H381" s="46">
        <v>16.850000000000001</v>
      </c>
      <c r="I381" t="s">
        <v>23</v>
      </c>
    </row>
    <row r="382" spans="1:9" x14ac:dyDescent="0.25">
      <c r="A382" t="s">
        <v>390</v>
      </c>
      <c r="B382" t="s">
        <v>428</v>
      </c>
      <c r="C382" t="s">
        <v>431</v>
      </c>
      <c r="D382" t="s">
        <v>15</v>
      </c>
      <c r="E382" s="46">
        <v>1470</v>
      </c>
      <c r="F382" s="46">
        <v>1258</v>
      </c>
      <c r="G382" s="46">
        <v>212</v>
      </c>
      <c r="H382" s="46">
        <v>16.850000000000001</v>
      </c>
      <c r="I382" t="s">
        <v>23</v>
      </c>
    </row>
    <row r="383" spans="1:9" x14ac:dyDescent="0.25">
      <c r="A383" t="s">
        <v>390</v>
      </c>
      <c r="B383" t="s">
        <v>428</v>
      </c>
      <c r="C383" t="s">
        <v>432</v>
      </c>
      <c r="D383" t="s">
        <v>15</v>
      </c>
      <c r="E383" s="46">
        <v>1470</v>
      </c>
      <c r="F383" s="46">
        <v>1258</v>
      </c>
      <c r="G383" s="46">
        <v>212</v>
      </c>
      <c r="H383" s="46">
        <v>16.850000000000001</v>
      </c>
      <c r="I383" t="s">
        <v>23</v>
      </c>
    </row>
    <row r="384" spans="1:9" x14ac:dyDescent="0.25">
      <c r="A384" t="s">
        <v>390</v>
      </c>
      <c r="B384" t="s">
        <v>428</v>
      </c>
      <c r="C384" t="s">
        <v>433</v>
      </c>
      <c r="D384" t="s">
        <v>15</v>
      </c>
      <c r="E384" s="46">
        <v>1286</v>
      </c>
      <c r="F384" s="46">
        <v>1260</v>
      </c>
      <c r="G384" s="46">
        <v>26</v>
      </c>
      <c r="H384" s="46">
        <v>2.06</v>
      </c>
      <c r="I384" t="s">
        <v>23</v>
      </c>
    </row>
    <row r="385" spans="1:9" x14ac:dyDescent="0.25">
      <c r="A385" t="s">
        <v>390</v>
      </c>
      <c r="B385" t="s">
        <v>428</v>
      </c>
      <c r="C385" t="s">
        <v>434</v>
      </c>
      <c r="D385" t="s">
        <v>15</v>
      </c>
      <c r="E385" s="46">
        <v>1470</v>
      </c>
      <c r="F385" s="46">
        <v>1258</v>
      </c>
      <c r="G385" s="46">
        <v>212</v>
      </c>
      <c r="H385" s="46">
        <v>16.850000000000001</v>
      </c>
      <c r="I385" t="s">
        <v>23</v>
      </c>
    </row>
    <row r="386" spans="1:9" x14ac:dyDescent="0.25">
      <c r="A386" t="s">
        <v>390</v>
      </c>
      <c r="B386" t="s">
        <v>428</v>
      </c>
      <c r="C386" t="s">
        <v>435</v>
      </c>
      <c r="D386" t="s">
        <v>15</v>
      </c>
      <c r="E386" s="46">
        <v>1470</v>
      </c>
      <c r="F386" s="46">
        <v>1258</v>
      </c>
      <c r="G386" s="46">
        <v>212</v>
      </c>
      <c r="H386" s="46">
        <v>16.850000000000001</v>
      </c>
      <c r="I386" t="s">
        <v>23</v>
      </c>
    </row>
    <row r="387" spans="1:9" x14ac:dyDescent="0.25">
      <c r="A387" t="s">
        <v>390</v>
      </c>
      <c r="B387" t="s">
        <v>428</v>
      </c>
      <c r="C387" t="s">
        <v>436</v>
      </c>
      <c r="D387" t="s">
        <v>15</v>
      </c>
      <c r="E387" s="46">
        <v>1470</v>
      </c>
      <c r="F387" s="46">
        <v>1258</v>
      </c>
      <c r="G387" s="46">
        <v>212</v>
      </c>
      <c r="H387" s="46">
        <v>16.850000000000001</v>
      </c>
      <c r="I387" t="s">
        <v>23</v>
      </c>
    </row>
    <row r="388" spans="1:9" x14ac:dyDescent="0.25">
      <c r="A388" t="s">
        <v>390</v>
      </c>
      <c r="B388" t="s">
        <v>428</v>
      </c>
      <c r="C388" t="s">
        <v>437</v>
      </c>
      <c r="D388" t="s">
        <v>15</v>
      </c>
      <c r="E388" s="46">
        <v>1470</v>
      </c>
      <c r="F388" s="46">
        <v>1258</v>
      </c>
      <c r="G388" s="46">
        <v>212</v>
      </c>
      <c r="H388" s="46">
        <v>16.850000000000001</v>
      </c>
      <c r="I388" t="s">
        <v>23</v>
      </c>
    </row>
    <row r="389" spans="1:9" x14ac:dyDescent="0.25">
      <c r="A389" t="s">
        <v>390</v>
      </c>
      <c r="B389" t="s">
        <v>428</v>
      </c>
      <c r="C389" t="s">
        <v>438</v>
      </c>
      <c r="D389" t="s">
        <v>15</v>
      </c>
      <c r="E389" s="46">
        <v>1470</v>
      </c>
      <c r="F389" s="46">
        <v>1258</v>
      </c>
      <c r="G389" s="46">
        <v>212</v>
      </c>
      <c r="H389" s="46">
        <v>16.850000000000001</v>
      </c>
      <c r="I389" t="s">
        <v>23</v>
      </c>
    </row>
    <row r="390" spans="1:9" x14ac:dyDescent="0.25">
      <c r="A390" s="2" t="s">
        <v>390</v>
      </c>
      <c r="B390" s="2" t="s">
        <v>439</v>
      </c>
      <c r="C390" s="2" t="s">
        <v>440</v>
      </c>
      <c r="D390" s="2" t="s">
        <v>15</v>
      </c>
      <c r="E390" s="59">
        <v>797</v>
      </c>
      <c r="F390" s="59">
        <v>841.5</v>
      </c>
      <c r="G390" s="59">
        <v>-44.5</v>
      </c>
      <c r="H390" s="59">
        <v>-5.29</v>
      </c>
      <c r="I390" s="2" t="s">
        <v>16</v>
      </c>
    </row>
    <row r="391" spans="1:9" x14ac:dyDescent="0.25">
      <c r="A391" t="s">
        <v>390</v>
      </c>
      <c r="B391" t="s">
        <v>441</v>
      </c>
      <c r="C391" t="s">
        <v>442</v>
      </c>
      <c r="D391" t="s">
        <v>15</v>
      </c>
      <c r="E391" s="46">
        <v>1200</v>
      </c>
      <c r="F391" s="46">
        <v>4</v>
      </c>
      <c r="G391" s="46">
        <v>1196</v>
      </c>
      <c r="H391" s="46">
        <v>29900</v>
      </c>
      <c r="I391" t="s">
        <v>23</v>
      </c>
    </row>
    <row r="392" spans="1:9" x14ac:dyDescent="0.25">
      <c r="A392" t="s">
        <v>390</v>
      </c>
      <c r="B392" t="s">
        <v>441</v>
      </c>
      <c r="C392" t="s">
        <v>443</v>
      </c>
      <c r="D392" t="s">
        <v>15</v>
      </c>
      <c r="E392" s="46">
        <v>1200</v>
      </c>
      <c r="F392" s="46">
        <v>1142</v>
      </c>
      <c r="G392" s="46">
        <v>58</v>
      </c>
      <c r="H392" s="46">
        <v>5.08</v>
      </c>
      <c r="I392" t="s">
        <v>16</v>
      </c>
    </row>
    <row r="393" spans="1:9" x14ac:dyDescent="0.25">
      <c r="A393" t="s">
        <v>390</v>
      </c>
      <c r="B393" t="s">
        <v>441</v>
      </c>
      <c r="C393" t="s">
        <v>444</v>
      </c>
      <c r="D393" t="s">
        <v>15</v>
      </c>
      <c r="E393" s="46">
        <v>1200</v>
      </c>
      <c r="F393" s="46">
        <v>1142</v>
      </c>
      <c r="G393" s="46">
        <v>58</v>
      </c>
      <c r="H393" s="46">
        <v>5.08</v>
      </c>
      <c r="I393" t="s">
        <v>16</v>
      </c>
    </row>
    <row r="394" spans="1:9" x14ac:dyDescent="0.25">
      <c r="A394" t="s">
        <v>390</v>
      </c>
      <c r="B394" t="s">
        <v>441</v>
      </c>
      <c r="C394" t="s">
        <v>445</v>
      </c>
      <c r="D394" t="s">
        <v>15</v>
      </c>
      <c r="E394" s="46">
        <v>1200</v>
      </c>
      <c r="F394" s="46">
        <v>1142</v>
      </c>
      <c r="G394" s="46">
        <v>58</v>
      </c>
      <c r="H394" s="46">
        <v>5.08</v>
      </c>
      <c r="I394" t="s">
        <v>16</v>
      </c>
    </row>
    <row r="395" spans="1:9" x14ac:dyDescent="0.25">
      <c r="A395" t="s">
        <v>390</v>
      </c>
      <c r="B395" t="s">
        <v>441</v>
      </c>
      <c r="C395" t="s">
        <v>446</v>
      </c>
      <c r="D395" t="s">
        <v>15</v>
      </c>
      <c r="E395" s="46">
        <v>1200</v>
      </c>
      <c r="F395" s="46">
        <v>1142</v>
      </c>
      <c r="G395" s="46">
        <v>58</v>
      </c>
      <c r="H395" s="46">
        <v>5.08</v>
      </c>
      <c r="I395" t="s">
        <v>16</v>
      </c>
    </row>
    <row r="396" spans="1:9" x14ac:dyDescent="0.25">
      <c r="A396" t="s">
        <v>390</v>
      </c>
      <c r="B396" t="s">
        <v>38</v>
      </c>
      <c r="C396" t="s">
        <v>447</v>
      </c>
      <c r="D396" t="s">
        <v>15</v>
      </c>
      <c r="E396" s="46">
        <v>2450</v>
      </c>
      <c r="F396" s="46">
        <v>2300.8000000000002</v>
      </c>
      <c r="G396" s="46">
        <v>149.19999999999999</v>
      </c>
      <c r="H396" s="46">
        <v>6.48</v>
      </c>
      <c r="I396" t="s">
        <v>23</v>
      </c>
    </row>
    <row r="397" spans="1:9" x14ac:dyDescent="0.25">
      <c r="A397" s="2" t="s">
        <v>390</v>
      </c>
      <c r="B397" s="2" t="s">
        <v>448</v>
      </c>
      <c r="C397" s="2" t="s">
        <v>449</v>
      </c>
      <c r="D397" s="2" t="s">
        <v>15</v>
      </c>
      <c r="E397" s="59">
        <v>850</v>
      </c>
      <c r="F397" s="59">
        <v>901.14</v>
      </c>
      <c r="G397" s="59">
        <v>-51.14</v>
      </c>
      <c r="H397" s="59">
        <v>-5.68</v>
      </c>
      <c r="I397" s="2" t="s">
        <v>16</v>
      </c>
    </row>
    <row r="398" spans="1:9" x14ac:dyDescent="0.25">
      <c r="A398" s="2" t="s">
        <v>390</v>
      </c>
      <c r="B398" s="2" t="s">
        <v>448</v>
      </c>
      <c r="C398" s="2" t="s">
        <v>450</v>
      </c>
      <c r="D398" s="2" t="s">
        <v>15</v>
      </c>
      <c r="E398" s="59">
        <v>850</v>
      </c>
      <c r="F398" s="59">
        <v>901.14</v>
      </c>
      <c r="G398" s="59">
        <v>-51.14</v>
      </c>
      <c r="H398" s="59">
        <v>-5.68</v>
      </c>
      <c r="I398" s="2" t="s">
        <v>16</v>
      </c>
    </row>
    <row r="399" spans="1:9" x14ac:dyDescent="0.25">
      <c r="A399" s="2" t="s">
        <v>390</v>
      </c>
      <c r="B399" s="2" t="s">
        <v>448</v>
      </c>
      <c r="C399" s="2" t="s">
        <v>451</v>
      </c>
      <c r="D399" s="2" t="s">
        <v>15</v>
      </c>
      <c r="E399" s="59">
        <v>850</v>
      </c>
      <c r="F399" s="59">
        <v>901.14</v>
      </c>
      <c r="G399" s="59">
        <v>-51.14</v>
      </c>
      <c r="H399" s="59">
        <v>-5.68</v>
      </c>
      <c r="I399" s="2" t="s">
        <v>16</v>
      </c>
    </row>
    <row r="400" spans="1:9" x14ac:dyDescent="0.25">
      <c r="A400" t="s">
        <v>390</v>
      </c>
      <c r="B400" t="s">
        <v>448</v>
      </c>
      <c r="C400" t="s">
        <v>452</v>
      </c>
      <c r="D400" t="s">
        <v>15</v>
      </c>
      <c r="E400" s="46">
        <v>1286</v>
      </c>
      <c r="F400" s="46">
        <v>901.14</v>
      </c>
      <c r="G400" s="46">
        <v>384.86</v>
      </c>
      <c r="H400" s="46">
        <v>42.71</v>
      </c>
      <c r="I400" t="s">
        <v>16</v>
      </c>
    </row>
    <row r="401" spans="1:9" x14ac:dyDescent="0.25">
      <c r="A401" s="2" t="s">
        <v>390</v>
      </c>
      <c r="B401" s="2" t="s">
        <v>448</v>
      </c>
      <c r="C401" s="2" t="s">
        <v>453</v>
      </c>
      <c r="D401" s="2" t="s">
        <v>15</v>
      </c>
      <c r="E401" s="59">
        <v>850</v>
      </c>
      <c r="F401" s="59">
        <v>1544.65</v>
      </c>
      <c r="G401" s="59">
        <v>-694.65</v>
      </c>
      <c r="H401" s="59">
        <v>-44.97</v>
      </c>
      <c r="I401" s="2" t="s">
        <v>16</v>
      </c>
    </row>
    <row r="402" spans="1:9" x14ac:dyDescent="0.25">
      <c r="A402" t="s">
        <v>390</v>
      </c>
      <c r="B402" t="s">
        <v>448</v>
      </c>
      <c r="C402" t="s">
        <v>454</v>
      </c>
      <c r="D402" t="s">
        <v>15</v>
      </c>
      <c r="E402" s="46">
        <v>850</v>
      </c>
      <c r="F402" s="46">
        <v>719</v>
      </c>
      <c r="G402" s="46">
        <v>131</v>
      </c>
      <c r="H402" s="46">
        <v>18.22</v>
      </c>
      <c r="I402" t="s">
        <v>23</v>
      </c>
    </row>
    <row r="403" spans="1:9" x14ac:dyDescent="0.25">
      <c r="A403" t="s">
        <v>390</v>
      </c>
      <c r="B403" t="s">
        <v>448</v>
      </c>
      <c r="C403" t="s">
        <v>455</v>
      </c>
      <c r="D403" t="s">
        <v>15</v>
      </c>
      <c r="E403" s="46">
        <v>850</v>
      </c>
      <c r="F403" s="46">
        <v>629.12</v>
      </c>
      <c r="G403" s="46">
        <v>220.88</v>
      </c>
      <c r="H403" s="46">
        <v>35.11</v>
      </c>
      <c r="I403" t="s">
        <v>23</v>
      </c>
    </row>
    <row r="404" spans="1:9" x14ac:dyDescent="0.25">
      <c r="A404" s="2" t="s">
        <v>390</v>
      </c>
      <c r="B404" s="2" t="s">
        <v>448</v>
      </c>
      <c r="C404" s="2" t="s">
        <v>456</v>
      </c>
      <c r="D404" s="2" t="s">
        <v>15</v>
      </c>
      <c r="E404" s="59">
        <v>850</v>
      </c>
      <c r="F404" s="59">
        <v>1258.25</v>
      </c>
      <c r="G404" s="59">
        <v>-408.25</v>
      </c>
      <c r="H404" s="59">
        <v>-32.450000000000003</v>
      </c>
      <c r="I404" s="2" t="s">
        <v>23</v>
      </c>
    </row>
    <row r="405" spans="1:9" x14ac:dyDescent="0.25">
      <c r="A405" t="s">
        <v>390</v>
      </c>
      <c r="B405" t="s">
        <v>448</v>
      </c>
      <c r="C405" t="s">
        <v>457</v>
      </c>
      <c r="D405" t="s">
        <v>15</v>
      </c>
      <c r="E405" s="46">
        <v>850</v>
      </c>
      <c r="F405" s="46">
        <v>665.07</v>
      </c>
      <c r="G405" s="46">
        <v>184.93</v>
      </c>
      <c r="H405" s="46">
        <v>27.81</v>
      </c>
      <c r="I405" t="s">
        <v>23</v>
      </c>
    </row>
    <row r="406" spans="1:9" x14ac:dyDescent="0.25">
      <c r="A406" s="2" t="s">
        <v>390</v>
      </c>
      <c r="B406" s="2" t="s">
        <v>448</v>
      </c>
      <c r="C406" s="2" t="s">
        <v>458</v>
      </c>
      <c r="D406" s="2" t="s">
        <v>15</v>
      </c>
      <c r="E406" s="59">
        <v>850</v>
      </c>
      <c r="F406" s="59">
        <v>1258.25</v>
      </c>
      <c r="G406" s="59">
        <v>-408.25</v>
      </c>
      <c r="H406" s="59">
        <v>-32.450000000000003</v>
      </c>
      <c r="I406" s="2" t="s">
        <v>23</v>
      </c>
    </row>
    <row r="407" spans="1:9" x14ac:dyDescent="0.25">
      <c r="A407" t="s">
        <v>390</v>
      </c>
      <c r="B407" t="s">
        <v>448</v>
      </c>
      <c r="C407" t="s">
        <v>459</v>
      </c>
      <c r="D407" t="s">
        <v>15</v>
      </c>
      <c r="E407" s="46">
        <v>850</v>
      </c>
      <c r="F407" s="46">
        <v>629.12</v>
      </c>
      <c r="G407" s="46">
        <v>220.88</v>
      </c>
      <c r="H407" s="46">
        <v>35.11</v>
      </c>
      <c r="I407" t="s">
        <v>23</v>
      </c>
    </row>
    <row r="408" spans="1:9" x14ac:dyDescent="0.25">
      <c r="A408" s="2" t="s">
        <v>390</v>
      </c>
      <c r="B408" s="2" t="s">
        <v>448</v>
      </c>
      <c r="C408" s="2" t="s">
        <v>460</v>
      </c>
      <c r="D408" s="2" t="s">
        <v>15</v>
      </c>
      <c r="E408" s="59">
        <v>850</v>
      </c>
      <c r="F408" s="59">
        <v>1258.25</v>
      </c>
      <c r="G408" s="59">
        <v>-408.25</v>
      </c>
      <c r="H408" s="59">
        <v>-32.450000000000003</v>
      </c>
      <c r="I408" s="2" t="s">
        <v>23</v>
      </c>
    </row>
    <row r="409" spans="1:9" x14ac:dyDescent="0.25">
      <c r="A409" s="2" t="s">
        <v>390</v>
      </c>
      <c r="B409" s="2" t="s">
        <v>448</v>
      </c>
      <c r="C409" s="2" t="s">
        <v>461</v>
      </c>
      <c r="D409" s="2" t="s">
        <v>15</v>
      </c>
      <c r="E409" s="59">
        <v>850</v>
      </c>
      <c r="F409" s="59">
        <v>1258.25</v>
      </c>
      <c r="G409" s="59">
        <v>-408.25</v>
      </c>
      <c r="H409" s="59">
        <v>-32.450000000000003</v>
      </c>
      <c r="I409" s="2" t="s">
        <v>23</v>
      </c>
    </row>
    <row r="410" spans="1:9" x14ac:dyDescent="0.25">
      <c r="A410" t="s">
        <v>390</v>
      </c>
      <c r="B410" t="s">
        <v>448</v>
      </c>
      <c r="C410" t="s">
        <v>462</v>
      </c>
      <c r="D410" t="s">
        <v>15</v>
      </c>
      <c r="E410" s="46">
        <v>850</v>
      </c>
      <c r="F410" s="46">
        <v>629.12</v>
      </c>
      <c r="G410" s="46">
        <v>220.88</v>
      </c>
      <c r="H410" s="46">
        <v>35.11</v>
      </c>
      <c r="I410" t="s">
        <v>23</v>
      </c>
    </row>
    <row r="411" spans="1:9" x14ac:dyDescent="0.25">
      <c r="A411" s="2" t="s">
        <v>390</v>
      </c>
      <c r="B411" s="2" t="s">
        <v>448</v>
      </c>
      <c r="C411" s="2" t="s">
        <v>463</v>
      </c>
      <c r="D411" s="2" t="s">
        <v>15</v>
      </c>
      <c r="E411" s="59">
        <v>1250</v>
      </c>
      <c r="F411" s="59">
        <v>1258.25</v>
      </c>
      <c r="G411" s="59">
        <v>-8.25</v>
      </c>
      <c r="H411" s="59">
        <v>-0.66</v>
      </c>
      <c r="I411" s="2" t="s">
        <v>23</v>
      </c>
    </row>
    <row r="412" spans="1:9" x14ac:dyDescent="0.25">
      <c r="A412" t="s">
        <v>390</v>
      </c>
      <c r="B412" t="s">
        <v>448</v>
      </c>
      <c r="C412" t="s">
        <v>464</v>
      </c>
      <c r="D412" t="s">
        <v>15</v>
      </c>
      <c r="E412" s="46">
        <v>1286</v>
      </c>
      <c r="F412" s="46">
        <v>901.14</v>
      </c>
      <c r="G412" s="46">
        <v>384.86</v>
      </c>
      <c r="H412" s="46">
        <v>42.71</v>
      </c>
      <c r="I412" t="s">
        <v>16</v>
      </c>
    </row>
    <row r="413" spans="1:9" x14ac:dyDescent="0.25">
      <c r="A413" t="s">
        <v>390</v>
      </c>
      <c r="B413" t="s">
        <v>448</v>
      </c>
      <c r="C413" t="s">
        <v>465</v>
      </c>
      <c r="D413" t="s">
        <v>15</v>
      </c>
      <c r="E413" s="46">
        <v>1286</v>
      </c>
      <c r="F413" s="46">
        <v>901.14</v>
      </c>
      <c r="G413" s="46">
        <v>384.86</v>
      </c>
      <c r="H413" s="46">
        <v>42.71</v>
      </c>
      <c r="I413" t="s">
        <v>16</v>
      </c>
    </row>
    <row r="414" spans="1:9" x14ac:dyDescent="0.25">
      <c r="A414" s="2" t="s">
        <v>390</v>
      </c>
      <c r="B414" s="2" t="s">
        <v>448</v>
      </c>
      <c r="C414" s="2" t="s">
        <v>466</v>
      </c>
      <c r="D414" s="2" t="s">
        <v>15</v>
      </c>
      <c r="E414" s="59">
        <v>1250</v>
      </c>
      <c r="F414" s="59">
        <v>1258.25</v>
      </c>
      <c r="G414" s="59">
        <v>-8.25</v>
      </c>
      <c r="H414" s="59">
        <v>-0.66</v>
      </c>
      <c r="I414" s="2" t="s">
        <v>23</v>
      </c>
    </row>
    <row r="415" spans="1:9" x14ac:dyDescent="0.25">
      <c r="A415" t="s">
        <v>390</v>
      </c>
      <c r="B415" t="s">
        <v>448</v>
      </c>
      <c r="C415" t="s">
        <v>467</v>
      </c>
      <c r="D415" t="s">
        <v>15</v>
      </c>
      <c r="E415" s="46">
        <v>1286</v>
      </c>
      <c r="F415" s="46">
        <v>1258.25</v>
      </c>
      <c r="G415" s="46">
        <v>27.75</v>
      </c>
      <c r="H415" s="46">
        <v>2.21</v>
      </c>
      <c r="I415" t="s">
        <v>23</v>
      </c>
    </row>
    <row r="416" spans="1:9" x14ac:dyDescent="0.25">
      <c r="A416" t="s">
        <v>390</v>
      </c>
      <c r="B416" t="s">
        <v>448</v>
      </c>
      <c r="C416" t="s">
        <v>468</v>
      </c>
      <c r="D416" t="s">
        <v>15</v>
      </c>
      <c r="E416" s="46">
        <v>1470</v>
      </c>
      <c r="F416" s="46">
        <v>1258.25</v>
      </c>
      <c r="G416" s="46">
        <v>211.75</v>
      </c>
      <c r="H416" s="46">
        <v>16.829999999999998</v>
      </c>
      <c r="I416" t="s">
        <v>23</v>
      </c>
    </row>
    <row r="417" spans="1:9" x14ac:dyDescent="0.25">
      <c r="A417" s="2" t="s">
        <v>390</v>
      </c>
      <c r="B417" s="2" t="s">
        <v>448</v>
      </c>
      <c r="C417" s="2" t="s">
        <v>469</v>
      </c>
      <c r="D417" s="2" t="s">
        <v>15</v>
      </c>
      <c r="E417" s="59">
        <v>1470</v>
      </c>
      <c r="F417" s="59">
        <v>1544.66</v>
      </c>
      <c r="G417" s="59">
        <v>-74.66</v>
      </c>
      <c r="H417" s="59">
        <v>-4.83</v>
      </c>
      <c r="I417" s="2" t="s">
        <v>16</v>
      </c>
    </row>
    <row r="418" spans="1:9" x14ac:dyDescent="0.25">
      <c r="A418" s="2" t="s">
        <v>390</v>
      </c>
      <c r="B418" s="2" t="s">
        <v>448</v>
      </c>
      <c r="C418" s="2" t="s">
        <v>470</v>
      </c>
      <c r="D418" s="2" t="s">
        <v>15</v>
      </c>
      <c r="E418" s="59">
        <v>1470</v>
      </c>
      <c r="F418" s="59">
        <v>1544.66</v>
      </c>
      <c r="G418" s="59">
        <v>-74.66</v>
      </c>
      <c r="H418" s="59">
        <v>-4.83</v>
      </c>
      <c r="I418" s="2" t="s">
        <v>16</v>
      </c>
    </row>
    <row r="419" spans="1:9" x14ac:dyDescent="0.25">
      <c r="A419" s="2" t="s">
        <v>390</v>
      </c>
      <c r="B419" s="2" t="s">
        <v>448</v>
      </c>
      <c r="C419" s="2" t="s">
        <v>471</v>
      </c>
      <c r="D419" s="2" t="s">
        <v>15</v>
      </c>
      <c r="E419" s="59">
        <v>1470</v>
      </c>
      <c r="F419" s="59">
        <v>1544.66</v>
      </c>
      <c r="G419" s="59">
        <v>-74.66</v>
      </c>
      <c r="H419" s="59">
        <v>-4.83</v>
      </c>
      <c r="I419" s="2" t="s">
        <v>16</v>
      </c>
    </row>
    <row r="420" spans="1:9" x14ac:dyDescent="0.25">
      <c r="A420" t="s">
        <v>390</v>
      </c>
      <c r="B420" t="s">
        <v>328</v>
      </c>
      <c r="C420" t="s">
        <v>472</v>
      </c>
      <c r="D420" t="s">
        <v>330</v>
      </c>
      <c r="E420" s="46">
        <v>1420</v>
      </c>
      <c r="F420" s="46">
        <v>963.87</v>
      </c>
      <c r="G420" s="46">
        <v>456.13</v>
      </c>
      <c r="H420" s="46">
        <v>47.32</v>
      </c>
      <c r="I420" t="s">
        <v>81</v>
      </c>
    </row>
    <row r="421" spans="1:9" x14ac:dyDescent="0.25">
      <c r="A421" t="s">
        <v>390</v>
      </c>
      <c r="B421" t="s">
        <v>328</v>
      </c>
      <c r="C421" t="s">
        <v>473</v>
      </c>
      <c r="D421" t="s">
        <v>330</v>
      </c>
      <c r="E421" s="46">
        <v>1420</v>
      </c>
      <c r="F421" s="46">
        <v>963.87</v>
      </c>
      <c r="G421" s="46">
        <v>456.13</v>
      </c>
      <c r="H421" s="46">
        <v>47.32</v>
      </c>
      <c r="I421" t="s">
        <v>81</v>
      </c>
    </row>
    <row r="422" spans="1:9" x14ac:dyDescent="0.25">
      <c r="A422" t="s">
        <v>390</v>
      </c>
      <c r="B422" t="s">
        <v>328</v>
      </c>
      <c r="C422" t="s">
        <v>474</v>
      </c>
      <c r="D422" t="s">
        <v>330</v>
      </c>
      <c r="E422" s="46">
        <v>1420</v>
      </c>
      <c r="F422" s="46">
        <v>963.87</v>
      </c>
      <c r="G422" s="46">
        <v>456.13</v>
      </c>
      <c r="H422" s="46">
        <v>47.32</v>
      </c>
      <c r="I422" t="s">
        <v>81</v>
      </c>
    </row>
    <row r="423" spans="1:9" x14ac:dyDescent="0.25">
      <c r="A423" t="s">
        <v>390</v>
      </c>
      <c r="B423" t="s">
        <v>328</v>
      </c>
      <c r="C423" t="s">
        <v>475</v>
      </c>
      <c r="D423" t="s">
        <v>330</v>
      </c>
      <c r="E423" s="46">
        <v>1420</v>
      </c>
      <c r="F423" s="46">
        <v>963.87</v>
      </c>
      <c r="G423" s="46">
        <v>456.13</v>
      </c>
      <c r="H423" s="46">
        <v>47.32</v>
      </c>
      <c r="I423" t="s">
        <v>81</v>
      </c>
    </row>
    <row r="424" spans="1:9" x14ac:dyDescent="0.25">
      <c r="A424" t="s">
        <v>390</v>
      </c>
      <c r="B424" t="s">
        <v>476</v>
      </c>
      <c r="C424" t="s">
        <v>477</v>
      </c>
      <c r="D424" t="s">
        <v>15</v>
      </c>
      <c r="E424" s="46">
        <v>1980</v>
      </c>
      <c r="F424" s="46">
        <v>1708</v>
      </c>
      <c r="G424" s="46">
        <v>272</v>
      </c>
      <c r="H424" s="46">
        <v>15.93</v>
      </c>
      <c r="I424" t="s">
        <v>23</v>
      </c>
    </row>
    <row r="425" spans="1:9" x14ac:dyDescent="0.25">
      <c r="A425" t="s">
        <v>478</v>
      </c>
      <c r="B425" t="s">
        <v>206</v>
      </c>
      <c r="C425" t="s">
        <v>480</v>
      </c>
      <c r="D425" t="s">
        <v>481</v>
      </c>
      <c r="E425" s="46">
        <v>2140</v>
      </c>
      <c r="F425" s="46">
        <v>1870</v>
      </c>
      <c r="G425" s="46">
        <v>270</v>
      </c>
      <c r="H425" s="46">
        <v>14.44</v>
      </c>
      <c r="I425" t="s">
        <v>29</v>
      </c>
    </row>
    <row r="426" spans="1:9" x14ac:dyDescent="0.25">
      <c r="A426" t="s">
        <v>478</v>
      </c>
      <c r="B426" t="s">
        <v>206</v>
      </c>
      <c r="C426" t="s">
        <v>482</v>
      </c>
      <c r="D426" t="s">
        <v>15</v>
      </c>
      <c r="E426" s="46">
        <v>2140</v>
      </c>
      <c r="F426" s="46">
        <v>1920</v>
      </c>
      <c r="G426" s="46">
        <v>220</v>
      </c>
      <c r="H426" s="46">
        <v>11.46</v>
      </c>
      <c r="I426" t="s">
        <v>29</v>
      </c>
    </row>
    <row r="427" spans="1:9" x14ac:dyDescent="0.25">
      <c r="A427" t="s">
        <v>478</v>
      </c>
      <c r="B427" t="s">
        <v>206</v>
      </c>
      <c r="C427" t="s">
        <v>483</v>
      </c>
      <c r="D427" t="s">
        <v>15</v>
      </c>
      <c r="E427" s="46">
        <v>2140</v>
      </c>
      <c r="F427" s="46">
        <v>1920</v>
      </c>
      <c r="G427" s="46">
        <v>220</v>
      </c>
      <c r="H427" s="46">
        <v>11.46</v>
      </c>
      <c r="I427" t="s">
        <v>29</v>
      </c>
    </row>
    <row r="428" spans="1:9" x14ac:dyDescent="0.25">
      <c r="A428" t="s">
        <v>478</v>
      </c>
      <c r="B428" t="s">
        <v>206</v>
      </c>
      <c r="C428" t="s">
        <v>484</v>
      </c>
      <c r="D428" t="s">
        <v>15</v>
      </c>
      <c r="E428" s="46">
        <v>2140</v>
      </c>
      <c r="F428" s="46">
        <v>1920</v>
      </c>
      <c r="G428" s="46">
        <v>220</v>
      </c>
      <c r="H428" s="46">
        <v>11.46</v>
      </c>
      <c r="I428" t="s">
        <v>29</v>
      </c>
    </row>
    <row r="429" spans="1:9" x14ac:dyDescent="0.25">
      <c r="A429" t="s">
        <v>478</v>
      </c>
      <c r="B429" t="s">
        <v>206</v>
      </c>
      <c r="C429" t="s">
        <v>485</v>
      </c>
      <c r="D429" t="s">
        <v>15</v>
      </c>
      <c r="E429" s="46">
        <v>2140</v>
      </c>
      <c r="F429" s="46">
        <v>1920</v>
      </c>
      <c r="G429" s="46">
        <v>220</v>
      </c>
      <c r="H429" s="46">
        <v>11.46</v>
      </c>
      <c r="I429" t="s">
        <v>29</v>
      </c>
    </row>
    <row r="430" spans="1:9" x14ac:dyDescent="0.25">
      <c r="A430" t="s">
        <v>478</v>
      </c>
      <c r="B430" t="s">
        <v>206</v>
      </c>
      <c r="C430" t="s">
        <v>486</v>
      </c>
      <c r="D430" t="s">
        <v>15</v>
      </c>
      <c r="E430" s="46">
        <v>2140</v>
      </c>
      <c r="F430" s="46">
        <v>1920</v>
      </c>
      <c r="G430" s="46">
        <v>220</v>
      </c>
      <c r="H430" s="46">
        <v>11.46</v>
      </c>
      <c r="I430" t="s">
        <v>29</v>
      </c>
    </row>
    <row r="431" spans="1:9" x14ac:dyDescent="0.25">
      <c r="A431" s="2" t="s">
        <v>478</v>
      </c>
      <c r="B431" s="2" t="s">
        <v>215</v>
      </c>
      <c r="C431" s="2" t="s">
        <v>487</v>
      </c>
      <c r="D431" s="2" t="s">
        <v>488</v>
      </c>
      <c r="E431" s="59">
        <v>2900</v>
      </c>
      <c r="F431" s="59">
        <v>3100</v>
      </c>
      <c r="G431" s="59">
        <v>-200</v>
      </c>
      <c r="H431" s="59">
        <v>-6.45</v>
      </c>
      <c r="I431" s="2" t="s">
        <v>29</v>
      </c>
    </row>
    <row r="432" spans="1:9" x14ac:dyDescent="0.25">
      <c r="A432" s="2" t="s">
        <v>478</v>
      </c>
      <c r="B432" s="2" t="s">
        <v>215</v>
      </c>
      <c r="C432" s="2" t="s">
        <v>489</v>
      </c>
      <c r="D432" s="2" t="s">
        <v>490</v>
      </c>
      <c r="E432" s="59">
        <v>2900</v>
      </c>
      <c r="F432" s="59">
        <v>3130</v>
      </c>
      <c r="G432" s="59">
        <v>-230</v>
      </c>
      <c r="H432" s="59">
        <v>-7.35</v>
      </c>
      <c r="I432" s="2" t="s">
        <v>29</v>
      </c>
    </row>
    <row r="433" spans="1:9" x14ac:dyDescent="0.25">
      <c r="A433" t="s">
        <v>478</v>
      </c>
      <c r="B433" t="s">
        <v>215</v>
      </c>
      <c r="C433" t="s">
        <v>491</v>
      </c>
      <c r="D433" t="s">
        <v>15</v>
      </c>
      <c r="E433" s="46">
        <v>2900</v>
      </c>
      <c r="F433" s="46">
        <v>2350</v>
      </c>
      <c r="G433" s="46">
        <v>550</v>
      </c>
      <c r="H433" s="46">
        <v>23.4</v>
      </c>
      <c r="I433" t="s">
        <v>29</v>
      </c>
    </row>
    <row r="434" spans="1:9" x14ac:dyDescent="0.25">
      <c r="A434" t="s">
        <v>478</v>
      </c>
      <c r="B434" t="s">
        <v>215</v>
      </c>
      <c r="C434" t="s">
        <v>492</v>
      </c>
      <c r="D434" t="s">
        <v>15</v>
      </c>
      <c r="E434" s="46">
        <v>3130</v>
      </c>
      <c r="F434" s="46">
        <v>2750</v>
      </c>
      <c r="G434" s="46">
        <v>380</v>
      </c>
      <c r="H434" s="46">
        <v>13.82</v>
      </c>
      <c r="I434" t="s">
        <v>29</v>
      </c>
    </row>
    <row r="435" spans="1:9" x14ac:dyDescent="0.25">
      <c r="A435" t="s">
        <v>478</v>
      </c>
      <c r="B435" t="s">
        <v>33</v>
      </c>
      <c r="C435" t="s">
        <v>493</v>
      </c>
      <c r="D435" t="s">
        <v>15</v>
      </c>
      <c r="E435" s="46">
        <v>3835.44</v>
      </c>
      <c r="F435" s="46">
        <v>3235</v>
      </c>
      <c r="G435" s="46">
        <v>600.44000000000005</v>
      </c>
      <c r="H435" s="46">
        <v>18.559999999999999</v>
      </c>
      <c r="I435" t="s">
        <v>23</v>
      </c>
    </row>
    <row r="436" spans="1:9" x14ac:dyDescent="0.25">
      <c r="A436" t="s">
        <v>478</v>
      </c>
      <c r="B436" t="s">
        <v>33</v>
      </c>
      <c r="C436" t="s">
        <v>494</v>
      </c>
      <c r="D436" t="s">
        <v>15</v>
      </c>
      <c r="E436" s="46">
        <v>3570</v>
      </c>
      <c r="F436" s="46">
        <v>3450</v>
      </c>
      <c r="G436" s="46">
        <v>120</v>
      </c>
      <c r="H436" s="46">
        <v>3.48</v>
      </c>
      <c r="I436" t="s">
        <v>29</v>
      </c>
    </row>
    <row r="437" spans="1:9" x14ac:dyDescent="0.25">
      <c r="A437" t="s">
        <v>478</v>
      </c>
      <c r="B437" t="s">
        <v>33</v>
      </c>
      <c r="C437" t="s">
        <v>495</v>
      </c>
      <c r="D437" t="s">
        <v>15</v>
      </c>
      <c r="E437" s="46">
        <v>3570</v>
      </c>
      <c r="F437" s="46">
        <v>3450</v>
      </c>
      <c r="G437" s="46">
        <v>120</v>
      </c>
      <c r="H437" s="46">
        <v>3.48</v>
      </c>
      <c r="I437" t="s">
        <v>29</v>
      </c>
    </row>
    <row r="438" spans="1:9" x14ac:dyDescent="0.25">
      <c r="A438" t="s">
        <v>478</v>
      </c>
      <c r="B438" t="s">
        <v>33</v>
      </c>
      <c r="C438" t="s">
        <v>496</v>
      </c>
      <c r="D438" t="s">
        <v>15</v>
      </c>
      <c r="E438" s="46">
        <v>3570</v>
      </c>
      <c r="F438" s="46">
        <v>3450</v>
      </c>
      <c r="G438" s="46">
        <v>120</v>
      </c>
      <c r="H438" s="46">
        <v>3.48</v>
      </c>
      <c r="I438" t="s">
        <v>29</v>
      </c>
    </row>
    <row r="439" spans="1:9" x14ac:dyDescent="0.25">
      <c r="A439" t="s">
        <v>478</v>
      </c>
      <c r="B439" t="s">
        <v>33</v>
      </c>
      <c r="C439" t="s">
        <v>497</v>
      </c>
      <c r="D439" t="s">
        <v>15</v>
      </c>
      <c r="E439" s="46">
        <v>3340</v>
      </c>
      <c r="F439" s="46">
        <v>3130</v>
      </c>
      <c r="G439" s="46">
        <v>210</v>
      </c>
      <c r="H439" s="46">
        <v>6.71</v>
      </c>
      <c r="I439" t="s">
        <v>29</v>
      </c>
    </row>
    <row r="440" spans="1:9" x14ac:dyDescent="0.25">
      <c r="A440" t="s">
        <v>478</v>
      </c>
      <c r="B440" t="s">
        <v>33</v>
      </c>
      <c r="C440" t="s">
        <v>498</v>
      </c>
      <c r="D440" t="s">
        <v>490</v>
      </c>
      <c r="E440" s="46">
        <v>3380</v>
      </c>
      <c r="F440" s="46">
        <v>3130</v>
      </c>
      <c r="G440" s="46">
        <v>250</v>
      </c>
      <c r="H440" s="46">
        <v>7.99</v>
      </c>
      <c r="I440" t="s">
        <v>29</v>
      </c>
    </row>
    <row r="441" spans="1:9" x14ac:dyDescent="0.25">
      <c r="A441" t="s">
        <v>478</v>
      </c>
      <c r="B441" t="s">
        <v>33</v>
      </c>
      <c r="C441" t="s">
        <v>499</v>
      </c>
      <c r="D441" t="s">
        <v>15</v>
      </c>
      <c r="E441" s="46">
        <v>3570</v>
      </c>
      <c r="F441" s="46">
        <v>3450</v>
      </c>
      <c r="G441" s="46">
        <v>120</v>
      </c>
      <c r="H441" s="46">
        <v>3.48</v>
      </c>
      <c r="I441" t="s">
        <v>29</v>
      </c>
    </row>
    <row r="442" spans="1:9" x14ac:dyDescent="0.25">
      <c r="A442" t="s">
        <v>478</v>
      </c>
      <c r="B442" t="s">
        <v>500</v>
      </c>
      <c r="C442" t="s">
        <v>501</v>
      </c>
      <c r="D442" t="s">
        <v>15</v>
      </c>
      <c r="E442" s="46">
        <v>1025</v>
      </c>
      <c r="F442" s="46">
        <v>743</v>
      </c>
      <c r="G442" s="46">
        <v>282</v>
      </c>
      <c r="H442" s="46">
        <v>37.950000000000003</v>
      </c>
      <c r="I442" t="s">
        <v>81</v>
      </c>
    </row>
    <row r="443" spans="1:9" x14ac:dyDescent="0.25">
      <c r="A443" t="s">
        <v>478</v>
      </c>
      <c r="B443" t="s">
        <v>500</v>
      </c>
      <c r="C443" t="s">
        <v>502</v>
      </c>
      <c r="D443" t="s">
        <v>15</v>
      </c>
      <c r="E443" s="46">
        <v>1025</v>
      </c>
      <c r="F443" s="46">
        <v>743</v>
      </c>
      <c r="G443" s="46">
        <v>282</v>
      </c>
      <c r="H443" s="46">
        <v>37.950000000000003</v>
      </c>
      <c r="I443" t="s">
        <v>81</v>
      </c>
    </row>
    <row r="444" spans="1:9" x14ac:dyDescent="0.25">
      <c r="A444" t="s">
        <v>478</v>
      </c>
      <c r="B444" t="s">
        <v>500</v>
      </c>
      <c r="C444" t="s">
        <v>503</v>
      </c>
      <c r="D444" t="s">
        <v>15</v>
      </c>
      <c r="E444" s="46">
        <v>1025</v>
      </c>
      <c r="F444" s="46">
        <v>743</v>
      </c>
      <c r="G444" s="46">
        <v>282</v>
      </c>
      <c r="H444" s="46">
        <v>37.950000000000003</v>
      </c>
      <c r="I444" t="s">
        <v>81</v>
      </c>
    </row>
    <row r="445" spans="1:9" x14ac:dyDescent="0.25">
      <c r="A445" t="s">
        <v>478</v>
      </c>
      <c r="B445" t="s">
        <v>500</v>
      </c>
      <c r="C445" t="s">
        <v>504</v>
      </c>
      <c r="D445" t="s">
        <v>15</v>
      </c>
      <c r="E445" s="46">
        <v>1025</v>
      </c>
      <c r="F445" s="46">
        <v>743</v>
      </c>
      <c r="G445" s="46">
        <v>282</v>
      </c>
      <c r="H445" s="46">
        <v>37.950000000000003</v>
      </c>
      <c r="I445" t="s">
        <v>81</v>
      </c>
    </row>
    <row r="446" spans="1:9" x14ac:dyDescent="0.25">
      <c r="A446" t="s">
        <v>478</v>
      </c>
      <c r="B446" t="s">
        <v>328</v>
      </c>
      <c r="C446" t="s">
        <v>505</v>
      </c>
      <c r="D446" t="s">
        <v>330</v>
      </c>
      <c r="E446" s="46">
        <v>1390</v>
      </c>
      <c r="F446" s="46">
        <v>963.87</v>
      </c>
      <c r="G446" s="46">
        <v>426.13</v>
      </c>
      <c r="H446" s="46">
        <v>44.21</v>
      </c>
      <c r="I446" t="s">
        <v>81</v>
      </c>
    </row>
    <row r="447" spans="1:9" x14ac:dyDescent="0.25">
      <c r="A447" t="s">
        <v>478</v>
      </c>
      <c r="B447" t="s">
        <v>328</v>
      </c>
      <c r="C447" t="s">
        <v>506</v>
      </c>
      <c r="D447" t="s">
        <v>330</v>
      </c>
      <c r="E447" s="46">
        <v>1390</v>
      </c>
      <c r="F447" s="46">
        <v>963.87</v>
      </c>
      <c r="G447" s="46">
        <v>426.13</v>
      </c>
      <c r="H447" s="46">
        <v>44.21</v>
      </c>
      <c r="I447" t="s">
        <v>81</v>
      </c>
    </row>
    <row r="448" spans="1:9" x14ac:dyDescent="0.25">
      <c r="A448" t="s">
        <v>478</v>
      </c>
      <c r="B448" t="s">
        <v>328</v>
      </c>
      <c r="C448" t="s">
        <v>507</v>
      </c>
      <c r="D448" t="s">
        <v>330</v>
      </c>
      <c r="E448" s="46">
        <v>1390</v>
      </c>
      <c r="F448" s="46">
        <v>963.87</v>
      </c>
      <c r="G448" s="46">
        <v>426.13</v>
      </c>
      <c r="H448" s="46">
        <v>44.21</v>
      </c>
      <c r="I448" t="s">
        <v>81</v>
      </c>
    </row>
    <row r="449" spans="1:9" x14ac:dyDescent="0.25">
      <c r="A449" t="s">
        <v>478</v>
      </c>
      <c r="B449" t="s">
        <v>328</v>
      </c>
      <c r="C449" t="s">
        <v>508</v>
      </c>
      <c r="D449" t="s">
        <v>330</v>
      </c>
      <c r="E449" s="46">
        <v>1390</v>
      </c>
      <c r="F449" s="46">
        <v>963.87</v>
      </c>
      <c r="G449" s="46">
        <v>426.13</v>
      </c>
      <c r="H449" s="46">
        <v>44.21</v>
      </c>
      <c r="I449" t="s">
        <v>81</v>
      </c>
    </row>
    <row r="450" spans="1:9" x14ac:dyDescent="0.25">
      <c r="A450" t="s">
        <v>478</v>
      </c>
      <c r="B450" t="s">
        <v>328</v>
      </c>
      <c r="C450" t="s">
        <v>509</v>
      </c>
      <c r="D450" t="s">
        <v>330</v>
      </c>
      <c r="E450" s="46">
        <v>1390</v>
      </c>
      <c r="F450" s="46">
        <v>963.87</v>
      </c>
      <c r="G450" s="46">
        <v>426.13</v>
      </c>
      <c r="H450" s="46">
        <v>44.21</v>
      </c>
      <c r="I450" t="s">
        <v>81</v>
      </c>
    </row>
    <row r="451" spans="1:9" x14ac:dyDescent="0.25">
      <c r="A451" t="s">
        <v>478</v>
      </c>
      <c r="B451" t="s">
        <v>328</v>
      </c>
      <c r="C451" t="s">
        <v>510</v>
      </c>
      <c r="D451" t="s">
        <v>330</v>
      </c>
      <c r="E451" s="46">
        <v>1390</v>
      </c>
      <c r="F451" s="46">
        <v>963.87</v>
      </c>
      <c r="G451" s="46">
        <v>426.13</v>
      </c>
      <c r="H451" s="46">
        <v>44.21</v>
      </c>
      <c r="I451" t="s">
        <v>81</v>
      </c>
    </row>
    <row r="452" spans="1:9" x14ac:dyDescent="0.25">
      <c r="A452" t="s">
        <v>478</v>
      </c>
      <c r="B452" t="s">
        <v>328</v>
      </c>
      <c r="C452" t="s">
        <v>511</v>
      </c>
      <c r="D452" t="s">
        <v>330</v>
      </c>
      <c r="E452" s="46">
        <v>1390</v>
      </c>
      <c r="F452" s="46">
        <v>963.87</v>
      </c>
      <c r="G452" s="46">
        <v>426.13</v>
      </c>
      <c r="H452" s="46">
        <v>44.21</v>
      </c>
      <c r="I452" t="s">
        <v>81</v>
      </c>
    </row>
    <row r="453" spans="1:9" x14ac:dyDescent="0.25">
      <c r="A453" t="s">
        <v>478</v>
      </c>
      <c r="B453" t="s">
        <v>328</v>
      </c>
      <c r="C453" t="s">
        <v>512</v>
      </c>
      <c r="D453" t="s">
        <v>330</v>
      </c>
      <c r="E453" s="46">
        <v>1390</v>
      </c>
      <c r="F453" s="46">
        <v>963.87</v>
      </c>
      <c r="G453" s="46">
        <v>426.13</v>
      </c>
      <c r="H453" s="46">
        <v>44.21</v>
      </c>
      <c r="I453" t="s">
        <v>81</v>
      </c>
    </row>
    <row r="454" spans="1:9" x14ac:dyDescent="0.25">
      <c r="A454" t="s">
        <v>478</v>
      </c>
      <c r="B454" t="s">
        <v>328</v>
      </c>
      <c r="C454" t="s">
        <v>513</v>
      </c>
      <c r="D454" t="s">
        <v>330</v>
      </c>
      <c r="E454" s="46">
        <v>1390</v>
      </c>
      <c r="F454" s="46">
        <v>963.87</v>
      </c>
      <c r="G454" s="46">
        <v>426.13</v>
      </c>
      <c r="H454" s="46">
        <v>44.21</v>
      </c>
      <c r="I454" t="s">
        <v>81</v>
      </c>
    </row>
    <row r="455" spans="1:9" x14ac:dyDescent="0.25">
      <c r="A455" t="s">
        <v>478</v>
      </c>
      <c r="B455" t="s">
        <v>328</v>
      </c>
      <c r="C455" t="s">
        <v>514</v>
      </c>
      <c r="D455" t="s">
        <v>330</v>
      </c>
      <c r="E455" s="46">
        <v>1390</v>
      </c>
      <c r="F455" s="46">
        <v>963.87</v>
      </c>
      <c r="G455" s="46">
        <v>426.13</v>
      </c>
      <c r="H455" s="46">
        <v>44.21</v>
      </c>
      <c r="I455" t="s">
        <v>81</v>
      </c>
    </row>
    <row r="456" spans="1:9" x14ac:dyDescent="0.25">
      <c r="A456" t="s">
        <v>478</v>
      </c>
      <c r="B456" t="s">
        <v>328</v>
      </c>
      <c r="C456" t="s">
        <v>515</v>
      </c>
      <c r="D456" t="s">
        <v>330</v>
      </c>
      <c r="E456" s="46">
        <v>1390</v>
      </c>
      <c r="F456" s="46">
        <v>963.87</v>
      </c>
      <c r="G456" s="46">
        <v>426.13</v>
      </c>
      <c r="H456" s="46">
        <v>44.21</v>
      </c>
      <c r="I456" t="s">
        <v>81</v>
      </c>
    </row>
    <row r="457" spans="1:9" x14ac:dyDescent="0.25">
      <c r="A457" t="s">
        <v>478</v>
      </c>
      <c r="B457" t="s">
        <v>328</v>
      </c>
      <c r="C457" t="s">
        <v>516</v>
      </c>
      <c r="D457" t="s">
        <v>330</v>
      </c>
      <c r="E457" s="46">
        <v>1390</v>
      </c>
      <c r="F457" s="46">
        <v>963.87</v>
      </c>
      <c r="G457" s="46">
        <v>426.13</v>
      </c>
      <c r="H457" s="46">
        <v>44.21</v>
      </c>
      <c r="I457" t="s">
        <v>81</v>
      </c>
    </row>
    <row r="458" spans="1:9" x14ac:dyDescent="0.25">
      <c r="A458" t="s">
        <v>478</v>
      </c>
      <c r="B458" t="s">
        <v>328</v>
      </c>
      <c r="C458" t="s">
        <v>517</v>
      </c>
      <c r="D458" t="s">
        <v>330</v>
      </c>
      <c r="E458" s="46">
        <v>1390</v>
      </c>
      <c r="F458" s="46">
        <v>963.87</v>
      </c>
      <c r="G458" s="46">
        <v>426.13</v>
      </c>
      <c r="H458" s="46">
        <v>44.21</v>
      </c>
      <c r="I458" t="s">
        <v>81</v>
      </c>
    </row>
    <row r="459" spans="1:9" x14ac:dyDescent="0.25">
      <c r="A459" t="s">
        <v>478</v>
      </c>
      <c r="B459" t="s">
        <v>328</v>
      </c>
      <c r="C459" t="s">
        <v>518</v>
      </c>
      <c r="D459" t="s">
        <v>330</v>
      </c>
      <c r="E459" s="46">
        <v>1415</v>
      </c>
      <c r="F459" s="46">
        <v>963.87</v>
      </c>
      <c r="G459" s="46">
        <v>451.13</v>
      </c>
      <c r="H459" s="46">
        <v>46.8</v>
      </c>
      <c r="I459" t="s">
        <v>81</v>
      </c>
    </row>
    <row r="460" spans="1:9" x14ac:dyDescent="0.25">
      <c r="A460" t="s">
        <v>478</v>
      </c>
      <c r="B460" t="s">
        <v>328</v>
      </c>
      <c r="C460" t="s">
        <v>519</v>
      </c>
      <c r="D460" t="s">
        <v>330</v>
      </c>
      <c r="E460" s="46">
        <v>1390</v>
      </c>
      <c r="F460" s="46">
        <v>963.87</v>
      </c>
      <c r="G460" s="46">
        <v>426.13</v>
      </c>
      <c r="H460" s="46">
        <v>44.21</v>
      </c>
      <c r="I460" t="s">
        <v>81</v>
      </c>
    </row>
    <row r="461" spans="1:9" x14ac:dyDescent="0.25">
      <c r="A461" t="s">
        <v>478</v>
      </c>
      <c r="B461" t="s">
        <v>328</v>
      </c>
      <c r="C461" t="s">
        <v>520</v>
      </c>
      <c r="D461" t="s">
        <v>330</v>
      </c>
      <c r="E461" s="46">
        <v>1390</v>
      </c>
      <c r="F461" s="46">
        <v>963.87</v>
      </c>
      <c r="G461" s="46">
        <v>426.13</v>
      </c>
      <c r="H461" s="46">
        <v>44.21</v>
      </c>
      <c r="I461" t="s">
        <v>81</v>
      </c>
    </row>
    <row r="462" spans="1:9" x14ac:dyDescent="0.25">
      <c r="A462" t="s">
        <v>478</v>
      </c>
      <c r="B462" t="s">
        <v>328</v>
      </c>
      <c r="C462" t="s">
        <v>521</v>
      </c>
      <c r="D462" t="s">
        <v>330</v>
      </c>
      <c r="E462" s="46">
        <v>1390</v>
      </c>
      <c r="F462" s="46">
        <v>963.87</v>
      </c>
      <c r="G462" s="46">
        <v>426.13</v>
      </c>
      <c r="H462" s="46">
        <v>44.21</v>
      </c>
      <c r="I462" t="s">
        <v>81</v>
      </c>
    </row>
    <row r="463" spans="1:9" x14ac:dyDescent="0.25">
      <c r="A463" t="s">
        <v>478</v>
      </c>
      <c r="B463" t="s">
        <v>328</v>
      </c>
      <c r="C463" t="s">
        <v>522</v>
      </c>
      <c r="D463" t="s">
        <v>330</v>
      </c>
      <c r="E463" s="46">
        <v>1390</v>
      </c>
      <c r="F463" s="46">
        <v>963.87</v>
      </c>
      <c r="G463" s="46">
        <v>426.13</v>
      </c>
      <c r="H463" s="46">
        <v>44.21</v>
      </c>
      <c r="I463" t="s">
        <v>81</v>
      </c>
    </row>
    <row r="464" spans="1:9" x14ac:dyDescent="0.25">
      <c r="A464" t="s">
        <v>478</v>
      </c>
      <c r="B464" t="s">
        <v>328</v>
      </c>
      <c r="C464" t="s">
        <v>523</v>
      </c>
      <c r="D464" t="s">
        <v>330</v>
      </c>
      <c r="E464" s="46">
        <v>1390</v>
      </c>
      <c r="F464" s="46">
        <v>963.87</v>
      </c>
      <c r="G464" s="46">
        <v>426.13</v>
      </c>
      <c r="H464" s="46">
        <v>44.21</v>
      </c>
      <c r="I464" t="s">
        <v>81</v>
      </c>
    </row>
    <row r="465" spans="1:9" x14ac:dyDescent="0.25">
      <c r="A465" t="s">
        <v>478</v>
      </c>
      <c r="B465" t="s">
        <v>328</v>
      </c>
      <c r="C465" t="s">
        <v>524</v>
      </c>
      <c r="D465" t="s">
        <v>330</v>
      </c>
      <c r="E465" s="46">
        <v>1390</v>
      </c>
      <c r="F465" s="46">
        <v>963.87</v>
      </c>
      <c r="G465" s="46">
        <v>426.13</v>
      </c>
      <c r="H465" s="46">
        <v>44.21</v>
      </c>
      <c r="I465" t="s">
        <v>81</v>
      </c>
    </row>
    <row r="466" spans="1:9" x14ac:dyDescent="0.25">
      <c r="A466" t="s">
        <v>478</v>
      </c>
      <c r="B466" t="s">
        <v>328</v>
      </c>
      <c r="C466" t="s">
        <v>525</v>
      </c>
      <c r="D466" t="s">
        <v>330</v>
      </c>
      <c r="E466" s="46">
        <v>1390</v>
      </c>
      <c r="F466" s="46">
        <v>963.87</v>
      </c>
      <c r="G466" s="46">
        <v>426.13</v>
      </c>
      <c r="H466" s="46">
        <v>44.21</v>
      </c>
      <c r="I466" t="s">
        <v>81</v>
      </c>
    </row>
    <row r="467" spans="1:9" x14ac:dyDescent="0.25">
      <c r="A467" t="s">
        <v>478</v>
      </c>
      <c r="B467" t="s">
        <v>328</v>
      </c>
      <c r="C467" t="s">
        <v>526</v>
      </c>
      <c r="D467" t="s">
        <v>330</v>
      </c>
      <c r="E467" s="46">
        <v>1415</v>
      </c>
      <c r="F467" s="46">
        <v>963.87</v>
      </c>
      <c r="G467" s="46">
        <v>451.13</v>
      </c>
      <c r="H467" s="46">
        <v>46.8</v>
      </c>
      <c r="I467" t="s">
        <v>81</v>
      </c>
    </row>
    <row r="468" spans="1:9" x14ac:dyDescent="0.25">
      <c r="A468" t="s">
        <v>478</v>
      </c>
      <c r="B468" t="s">
        <v>328</v>
      </c>
      <c r="C468" t="s">
        <v>527</v>
      </c>
      <c r="D468" t="s">
        <v>330</v>
      </c>
      <c r="E468" s="46">
        <v>1415</v>
      </c>
      <c r="F468" s="46">
        <v>963.87</v>
      </c>
      <c r="G468" s="46">
        <v>451.13</v>
      </c>
      <c r="H468" s="46">
        <v>46.8</v>
      </c>
      <c r="I468" t="s">
        <v>81</v>
      </c>
    </row>
    <row r="469" spans="1:9" x14ac:dyDescent="0.25">
      <c r="A469" t="s">
        <v>478</v>
      </c>
      <c r="B469" t="s">
        <v>328</v>
      </c>
      <c r="C469" t="s">
        <v>528</v>
      </c>
      <c r="D469" t="s">
        <v>330</v>
      </c>
      <c r="E469" s="46">
        <v>1415</v>
      </c>
      <c r="F469" s="46">
        <v>963.87</v>
      </c>
      <c r="G469" s="46">
        <v>451.13</v>
      </c>
      <c r="H469" s="46">
        <v>46.8</v>
      </c>
      <c r="I469" t="s">
        <v>81</v>
      </c>
    </row>
    <row r="470" spans="1:9" x14ac:dyDescent="0.25">
      <c r="A470" t="s">
        <v>478</v>
      </c>
      <c r="B470" t="s">
        <v>328</v>
      </c>
      <c r="C470" t="s">
        <v>529</v>
      </c>
      <c r="D470" t="s">
        <v>330</v>
      </c>
      <c r="E470" s="46">
        <v>1415</v>
      </c>
      <c r="F470" s="46">
        <v>963.87</v>
      </c>
      <c r="G470" s="46">
        <v>451.13</v>
      </c>
      <c r="H470" s="46">
        <v>46.8</v>
      </c>
      <c r="I470" t="s">
        <v>81</v>
      </c>
    </row>
    <row r="471" spans="1:9" x14ac:dyDescent="0.25">
      <c r="A471" t="s">
        <v>478</v>
      </c>
      <c r="B471" t="s">
        <v>328</v>
      </c>
      <c r="C471" t="s">
        <v>530</v>
      </c>
      <c r="D471" t="s">
        <v>330</v>
      </c>
      <c r="E471" s="46">
        <v>1380</v>
      </c>
      <c r="F471" s="46">
        <v>963.87</v>
      </c>
      <c r="G471" s="46">
        <v>416.13</v>
      </c>
      <c r="H471" s="46">
        <v>43.17</v>
      </c>
      <c r="I471" t="s">
        <v>81</v>
      </c>
    </row>
    <row r="472" spans="1:9" x14ac:dyDescent="0.25">
      <c r="A472" t="s">
        <v>478</v>
      </c>
      <c r="B472" t="s">
        <v>328</v>
      </c>
      <c r="C472" t="s">
        <v>531</v>
      </c>
      <c r="D472" t="s">
        <v>330</v>
      </c>
      <c r="E472" s="46">
        <v>1380</v>
      </c>
      <c r="F472" s="46">
        <v>963.87</v>
      </c>
      <c r="G472" s="46">
        <v>416.13</v>
      </c>
      <c r="H472" s="46">
        <v>43.17</v>
      </c>
      <c r="I472" t="s">
        <v>81</v>
      </c>
    </row>
    <row r="473" spans="1:9" x14ac:dyDescent="0.25">
      <c r="A473" t="s">
        <v>478</v>
      </c>
      <c r="B473" t="s">
        <v>328</v>
      </c>
      <c r="C473" t="s">
        <v>532</v>
      </c>
      <c r="D473" t="s">
        <v>330</v>
      </c>
      <c r="E473" s="46">
        <v>1380</v>
      </c>
      <c r="F473" s="46">
        <v>963.87</v>
      </c>
      <c r="G473" s="46">
        <v>416.13</v>
      </c>
      <c r="H473" s="46">
        <v>43.17</v>
      </c>
      <c r="I473" t="s">
        <v>81</v>
      </c>
    </row>
    <row r="474" spans="1:9" x14ac:dyDescent="0.25">
      <c r="A474" t="s">
        <v>478</v>
      </c>
      <c r="B474" t="s">
        <v>328</v>
      </c>
      <c r="C474" t="s">
        <v>533</v>
      </c>
      <c r="D474" t="s">
        <v>330</v>
      </c>
      <c r="E474" s="46">
        <v>1380</v>
      </c>
      <c r="F474" s="46">
        <v>963.87</v>
      </c>
      <c r="G474" s="46">
        <v>416.13</v>
      </c>
      <c r="H474" s="46">
        <v>43.17</v>
      </c>
      <c r="I474" t="s">
        <v>81</v>
      </c>
    </row>
    <row r="475" spans="1:9" x14ac:dyDescent="0.25">
      <c r="A475" t="s">
        <v>478</v>
      </c>
      <c r="B475" t="s">
        <v>328</v>
      </c>
      <c r="C475" t="s">
        <v>534</v>
      </c>
      <c r="D475" t="s">
        <v>330</v>
      </c>
      <c r="E475" s="46">
        <v>1380</v>
      </c>
      <c r="F475" s="46">
        <v>963.87</v>
      </c>
      <c r="G475" s="46">
        <v>416.13</v>
      </c>
      <c r="H475" s="46">
        <v>43.17</v>
      </c>
      <c r="I475" t="s">
        <v>81</v>
      </c>
    </row>
    <row r="476" spans="1:9" x14ac:dyDescent="0.25">
      <c r="A476" t="s">
        <v>478</v>
      </c>
      <c r="B476" t="s">
        <v>328</v>
      </c>
      <c r="C476" t="s">
        <v>535</v>
      </c>
      <c r="D476" t="s">
        <v>330</v>
      </c>
      <c r="E476" s="46">
        <v>1380</v>
      </c>
      <c r="F476" s="46">
        <v>963.87</v>
      </c>
      <c r="G476" s="46">
        <v>416.13</v>
      </c>
      <c r="H476" s="46">
        <v>43.17</v>
      </c>
      <c r="I476" t="s">
        <v>81</v>
      </c>
    </row>
    <row r="477" spans="1:9" x14ac:dyDescent="0.25">
      <c r="A477" t="s">
        <v>478</v>
      </c>
      <c r="B477" t="s">
        <v>328</v>
      </c>
      <c r="C477" t="s">
        <v>536</v>
      </c>
      <c r="D477" t="s">
        <v>330</v>
      </c>
      <c r="E477" s="46">
        <v>1380</v>
      </c>
      <c r="F477" s="46">
        <v>963.87</v>
      </c>
      <c r="G477" s="46">
        <v>416.13</v>
      </c>
      <c r="H477" s="46">
        <v>43.17</v>
      </c>
      <c r="I477" t="s">
        <v>81</v>
      </c>
    </row>
    <row r="478" spans="1:9" x14ac:dyDescent="0.25">
      <c r="A478" t="s">
        <v>478</v>
      </c>
      <c r="B478" t="s">
        <v>328</v>
      </c>
      <c r="C478" t="s">
        <v>537</v>
      </c>
      <c r="D478" t="s">
        <v>330</v>
      </c>
      <c r="E478" s="46">
        <v>1380</v>
      </c>
      <c r="F478" s="46">
        <v>963.87</v>
      </c>
      <c r="G478" s="46">
        <v>416.13</v>
      </c>
      <c r="H478" s="46">
        <v>43.17</v>
      </c>
      <c r="I478" t="s">
        <v>81</v>
      </c>
    </row>
    <row r="479" spans="1:9" x14ac:dyDescent="0.25">
      <c r="A479" t="s">
        <v>478</v>
      </c>
      <c r="B479" t="s">
        <v>328</v>
      </c>
      <c r="C479" t="s">
        <v>538</v>
      </c>
      <c r="D479" t="s">
        <v>330</v>
      </c>
      <c r="E479" s="46">
        <v>1380</v>
      </c>
      <c r="F479" s="46">
        <v>963.87</v>
      </c>
      <c r="G479" s="46">
        <v>416.13</v>
      </c>
      <c r="H479" s="46">
        <v>43.17</v>
      </c>
      <c r="I479" t="s">
        <v>81</v>
      </c>
    </row>
    <row r="480" spans="1:9" x14ac:dyDescent="0.25">
      <c r="A480" t="s">
        <v>478</v>
      </c>
      <c r="B480" t="s">
        <v>328</v>
      </c>
      <c r="C480" t="s">
        <v>539</v>
      </c>
      <c r="D480" t="s">
        <v>330</v>
      </c>
      <c r="E480" s="46">
        <v>1380</v>
      </c>
      <c r="F480" s="46">
        <v>963.87</v>
      </c>
      <c r="G480" s="46">
        <v>416.13</v>
      </c>
      <c r="H480" s="46">
        <v>43.17</v>
      </c>
      <c r="I480" t="s">
        <v>81</v>
      </c>
    </row>
    <row r="481" spans="1:9" x14ac:dyDescent="0.25">
      <c r="A481" t="s">
        <v>478</v>
      </c>
      <c r="B481" t="s">
        <v>328</v>
      </c>
      <c r="C481" t="s">
        <v>540</v>
      </c>
      <c r="D481" t="s">
        <v>330</v>
      </c>
      <c r="E481" s="46">
        <v>1380</v>
      </c>
      <c r="F481" s="46">
        <v>963.87</v>
      </c>
      <c r="G481" s="46">
        <v>416.13</v>
      </c>
      <c r="H481" s="46">
        <v>43.17</v>
      </c>
      <c r="I481" t="s">
        <v>81</v>
      </c>
    </row>
    <row r="482" spans="1:9" x14ac:dyDescent="0.25">
      <c r="A482" t="s">
        <v>478</v>
      </c>
      <c r="B482" t="s">
        <v>328</v>
      </c>
      <c r="C482" t="s">
        <v>541</v>
      </c>
      <c r="D482" t="s">
        <v>330</v>
      </c>
      <c r="E482" s="46">
        <v>1380</v>
      </c>
      <c r="F482" s="46">
        <v>963.87</v>
      </c>
      <c r="G482" s="46">
        <v>416.13</v>
      </c>
      <c r="H482" s="46">
        <v>43.17</v>
      </c>
      <c r="I482" t="s">
        <v>81</v>
      </c>
    </row>
    <row r="483" spans="1:9" x14ac:dyDescent="0.25">
      <c r="A483" t="s">
        <v>478</v>
      </c>
      <c r="B483" t="s">
        <v>328</v>
      </c>
      <c r="C483" t="s">
        <v>542</v>
      </c>
      <c r="D483" t="s">
        <v>330</v>
      </c>
      <c r="E483" s="46">
        <v>1380</v>
      </c>
      <c r="F483" s="46">
        <v>963.87</v>
      </c>
      <c r="G483" s="46">
        <v>416.13</v>
      </c>
      <c r="H483" s="46">
        <v>43.17</v>
      </c>
      <c r="I483" t="s">
        <v>81</v>
      </c>
    </row>
    <row r="484" spans="1:9" x14ac:dyDescent="0.25">
      <c r="A484" t="s">
        <v>478</v>
      </c>
      <c r="B484" t="s">
        <v>328</v>
      </c>
      <c r="C484" t="s">
        <v>543</v>
      </c>
      <c r="D484" t="s">
        <v>330</v>
      </c>
      <c r="E484" s="46">
        <v>1380</v>
      </c>
      <c r="F484" s="46">
        <v>963.87</v>
      </c>
      <c r="G484" s="46">
        <v>416.13</v>
      </c>
      <c r="H484" s="46">
        <v>43.17</v>
      </c>
      <c r="I484" t="s">
        <v>81</v>
      </c>
    </row>
    <row r="485" spans="1:9" x14ac:dyDescent="0.25">
      <c r="A485" t="s">
        <v>478</v>
      </c>
      <c r="B485" t="s">
        <v>328</v>
      </c>
      <c r="C485" t="s">
        <v>544</v>
      </c>
      <c r="D485" t="s">
        <v>330</v>
      </c>
      <c r="E485" s="46">
        <v>1380</v>
      </c>
      <c r="F485" s="46">
        <v>963.87</v>
      </c>
      <c r="G485" s="46">
        <v>416.13</v>
      </c>
      <c r="H485" s="46">
        <v>43.17</v>
      </c>
      <c r="I485" t="s">
        <v>81</v>
      </c>
    </row>
    <row r="486" spans="1:9" x14ac:dyDescent="0.25">
      <c r="A486" t="s">
        <v>545</v>
      </c>
      <c r="B486" t="s">
        <v>70</v>
      </c>
      <c r="C486" t="s">
        <v>546</v>
      </c>
      <c r="D486" t="s">
        <v>15</v>
      </c>
      <c r="E486" s="46">
        <v>3690</v>
      </c>
      <c r="F486" s="46">
        <v>2829.19</v>
      </c>
      <c r="G486" s="46">
        <v>860.81</v>
      </c>
      <c r="H486" s="46">
        <v>30.43</v>
      </c>
      <c r="I486" t="s">
        <v>16</v>
      </c>
    </row>
    <row r="487" spans="1:9" x14ac:dyDescent="0.25">
      <c r="A487" t="s">
        <v>545</v>
      </c>
      <c r="B487" t="s">
        <v>70</v>
      </c>
      <c r="C487" t="s">
        <v>547</v>
      </c>
      <c r="D487" t="s">
        <v>15</v>
      </c>
      <c r="E487" s="46">
        <v>3690</v>
      </c>
      <c r="F487" s="46">
        <v>2829.19</v>
      </c>
      <c r="G487" s="46">
        <v>860.81</v>
      </c>
      <c r="H487" s="46">
        <v>30.43</v>
      </c>
      <c r="I487" t="s">
        <v>16</v>
      </c>
    </row>
    <row r="488" spans="1:9" x14ac:dyDescent="0.25">
      <c r="A488" t="s">
        <v>545</v>
      </c>
      <c r="B488" t="s">
        <v>70</v>
      </c>
      <c r="C488" t="s">
        <v>548</v>
      </c>
      <c r="D488" t="s">
        <v>15</v>
      </c>
      <c r="E488" s="46">
        <v>3690</v>
      </c>
      <c r="F488" s="46">
        <v>2829.19</v>
      </c>
      <c r="G488" s="46">
        <v>860.81</v>
      </c>
      <c r="H488" s="46">
        <v>30.43</v>
      </c>
      <c r="I488" t="s">
        <v>16</v>
      </c>
    </row>
    <row r="489" spans="1:9" x14ac:dyDescent="0.25">
      <c r="A489" t="s">
        <v>545</v>
      </c>
      <c r="B489" t="s">
        <v>70</v>
      </c>
      <c r="C489" t="s">
        <v>549</v>
      </c>
      <c r="D489" t="s">
        <v>15</v>
      </c>
      <c r="E489" s="46">
        <v>3690</v>
      </c>
      <c r="F489" s="46">
        <v>2829.19</v>
      </c>
      <c r="G489" s="46">
        <v>860.81</v>
      </c>
      <c r="H489" s="46">
        <v>30.43</v>
      </c>
      <c r="I489" t="s">
        <v>16</v>
      </c>
    </row>
    <row r="490" spans="1:9" x14ac:dyDescent="0.25">
      <c r="A490" t="s">
        <v>545</v>
      </c>
      <c r="B490" t="s">
        <v>70</v>
      </c>
      <c r="C490" t="s">
        <v>550</v>
      </c>
      <c r="D490" t="s">
        <v>15</v>
      </c>
      <c r="E490" s="46">
        <v>3690</v>
      </c>
      <c r="F490" s="46">
        <v>2829.19</v>
      </c>
      <c r="G490" s="46">
        <v>860.81</v>
      </c>
      <c r="H490" s="46">
        <v>30.43</v>
      </c>
      <c r="I490" t="s">
        <v>16</v>
      </c>
    </row>
    <row r="491" spans="1:9" x14ac:dyDescent="0.25">
      <c r="A491" t="s">
        <v>545</v>
      </c>
      <c r="B491" t="s">
        <v>13</v>
      </c>
      <c r="C491" t="s">
        <v>551</v>
      </c>
      <c r="D491" t="s">
        <v>15</v>
      </c>
      <c r="E491" s="46">
        <v>2100</v>
      </c>
      <c r="F491" s="46">
        <v>1504.52</v>
      </c>
      <c r="G491" s="46">
        <v>595.48</v>
      </c>
      <c r="H491" s="46">
        <v>39.58</v>
      </c>
      <c r="I491" t="s">
        <v>16</v>
      </c>
    </row>
    <row r="492" spans="1:9" x14ac:dyDescent="0.25">
      <c r="A492" t="s">
        <v>545</v>
      </c>
      <c r="B492" t="s">
        <v>13</v>
      </c>
      <c r="C492" t="s">
        <v>552</v>
      </c>
      <c r="D492" t="s">
        <v>15</v>
      </c>
      <c r="E492" s="46">
        <v>2100</v>
      </c>
      <c r="F492" s="46">
        <v>1504.52</v>
      </c>
      <c r="G492" s="46">
        <v>595.48</v>
      </c>
      <c r="H492" s="46">
        <v>39.58</v>
      </c>
      <c r="I492" t="s">
        <v>16</v>
      </c>
    </row>
    <row r="493" spans="1:9" x14ac:dyDescent="0.25">
      <c r="A493" t="s">
        <v>545</v>
      </c>
      <c r="B493" t="s">
        <v>13</v>
      </c>
      <c r="C493" t="s">
        <v>553</v>
      </c>
      <c r="D493" t="s">
        <v>15</v>
      </c>
      <c r="E493" s="46">
        <v>2100</v>
      </c>
      <c r="F493" s="46">
        <v>1504.52</v>
      </c>
      <c r="G493" s="46">
        <v>595.48</v>
      </c>
      <c r="H493" s="46">
        <v>39.58</v>
      </c>
      <c r="I493" t="s">
        <v>16</v>
      </c>
    </row>
    <row r="494" spans="1:9" x14ac:dyDescent="0.25">
      <c r="A494" t="s">
        <v>545</v>
      </c>
      <c r="B494" t="s">
        <v>13</v>
      </c>
      <c r="C494" t="s">
        <v>554</v>
      </c>
      <c r="D494" t="s">
        <v>15</v>
      </c>
      <c r="E494" s="46">
        <v>2100</v>
      </c>
      <c r="F494" s="46">
        <v>1504.52</v>
      </c>
      <c r="G494" s="46">
        <v>595.48</v>
      </c>
      <c r="H494" s="46">
        <v>39.58</v>
      </c>
      <c r="I494" t="s">
        <v>16</v>
      </c>
    </row>
    <row r="495" spans="1:9" x14ac:dyDescent="0.25">
      <c r="A495" t="s">
        <v>545</v>
      </c>
      <c r="B495" t="s">
        <v>13</v>
      </c>
      <c r="C495" t="s">
        <v>555</v>
      </c>
      <c r="D495" t="s">
        <v>15</v>
      </c>
      <c r="E495" s="46">
        <v>2100</v>
      </c>
      <c r="F495" s="46">
        <v>1504.52</v>
      </c>
      <c r="G495" s="46">
        <v>595.48</v>
      </c>
      <c r="H495" s="46">
        <v>39.58</v>
      </c>
      <c r="I495" t="s">
        <v>16</v>
      </c>
    </row>
    <row r="496" spans="1:9" x14ac:dyDescent="0.25">
      <c r="A496" t="s">
        <v>545</v>
      </c>
      <c r="B496" t="s">
        <v>13</v>
      </c>
      <c r="C496" t="s">
        <v>556</v>
      </c>
      <c r="D496" t="s">
        <v>15</v>
      </c>
      <c r="E496" s="46">
        <v>2100</v>
      </c>
      <c r="F496" s="46">
        <v>1504.52</v>
      </c>
      <c r="G496" s="46">
        <v>595.48</v>
      </c>
      <c r="H496" s="46">
        <v>39.58</v>
      </c>
      <c r="I496" t="s">
        <v>16</v>
      </c>
    </row>
    <row r="497" spans="1:9" x14ac:dyDescent="0.25">
      <c r="A497" s="2" t="s">
        <v>545</v>
      </c>
      <c r="B497" s="2" t="s">
        <v>105</v>
      </c>
      <c r="C497" s="2" t="s">
        <v>557</v>
      </c>
      <c r="D497" s="2" t="s">
        <v>15</v>
      </c>
      <c r="E497" s="59">
        <v>630</v>
      </c>
      <c r="F497" s="59">
        <v>637</v>
      </c>
      <c r="G497" s="59">
        <v>-7</v>
      </c>
      <c r="H497" s="59">
        <v>-1.1000000000000001</v>
      </c>
      <c r="I497" s="2" t="s">
        <v>81</v>
      </c>
    </row>
    <row r="498" spans="1:9" x14ac:dyDescent="0.25">
      <c r="A498" s="2" t="s">
        <v>545</v>
      </c>
      <c r="B498" s="2" t="s">
        <v>105</v>
      </c>
      <c r="C498" s="2" t="s">
        <v>558</v>
      </c>
      <c r="D498" s="2" t="s">
        <v>15</v>
      </c>
      <c r="E498" s="59">
        <v>630</v>
      </c>
      <c r="F498" s="59">
        <v>637</v>
      </c>
      <c r="G498" s="59">
        <v>-7</v>
      </c>
      <c r="H498" s="59">
        <v>-1.1000000000000001</v>
      </c>
      <c r="I498" s="2" t="s">
        <v>81</v>
      </c>
    </row>
    <row r="499" spans="1:9" x14ac:dyDescent="0.25">
      <c r="A499" s="2" t="s">
        <v>545</v>
      </c>
      <c r="B499" s="2" t="s">
        <v>105</v>
      </c>
      <c r="C499" s="2" t="s">
        <v>559</v>
      </c>
      <c r="D499" s="2" t="s">
        <v>15</v>
      </c>
      <c r="E499" s="59">
        <v>630</v>
      </c>
      <c r="F499" s="59">
        <v>637</v>
      </c>
      <c r="G499" s="59">
        <v>-7</v>
      </c>
      <c r="H499" s="59">
        <v>-1.1000000000000001</v>
      </c>
      <c r="I499" s="2" t="s">
        <v>81</v>
      </c>
    </row>
    <row r="500" spans="1:9" x14ac:dyDescent="0.25">
      <c r="A500" s="2" t="s">
        <v>545</v>
      </c>
      <c r="B500" s="2" t="s">
        <v>105</v>
      </c>
      <c r="C500" s="2" t="s">
        <v>560</v>
      </c>
      <c r="D500" s="2" t="s">
        <v>15</v>
      </c>
      <c r="E500" s="59">
        <v>630</v>
      </c>
      <c r="F500" s="59">
        <v>637</v>
      </c>
      <c r="G500" s="59">
        <v>-7</v>
      </c>
      <c r="H500" s="59">
        <v>-1.1000000000000001</v>
      </c>
      <c r="I500" s="2" t="s">
        <v>81</v>
      </c>
    </row>
    <row r="501" spans="1:9" x14ac:dyDescent="0.25">
      <c r="A501" s="2" t="s">
        <v>545</v>
      </c>
      <c r="B501" s="2" t="s">
        <v>105</v>
      </c>
      <c r="C501" s="2" t="s">
        <v>561</v>
      </c>
      <c r="D501" s="2" t="s">
        <v>15</v>
      </c>
      <c r="E501" s="59">
        <v>630</v>
      </c>
      <c r="F501" s="59">
        <v>637</v>
      </c>
      <c r="G501" s="59">
        <v>-7</v>
      </c>
      <c r="H501" s="59">
        <v>-1.1000000000000001</v>
      </c>
      <c r="I501" s="2" t="s">
        <v>81</v>
      </c>
    </row>
    <row r="502" spans="1:9" x14ac:dyDescent="0.25">
      <c r="A502" s="2" t="s">
        <v>545</v>
      </c>
      <c r="B502" s="2" t="s">
        <v>105</v>
      </c>
      <c r="C502" s="2" t="s">
        <v>562</v>
      </c>
      <c r="D502" s="2" t="s">
        <v>15</v>
      </c>
      <c r="E502" s="59">
        <v>630</v>
      </c>
      <c r="F502" s="59">
        <v>637</v>
      </c>
      <c r="G502" s="59">
        <v>-7</v>
      </c>
      <c r="H502" s="59">
        <v>-1.1000000000000001</v>
      </c>
      <c r="I502" s="2" t="s">
        <v>81</v>
      </c>
    </row>
    <row r="503" spans="1:9" x14ac:dyDescent="0.25">
      <c r="A503" s="2" t="s">
        <v>545</v>
      </c>
      <c r="B503" s="2" t="s">
        <v>105</v>
      </c>
      <c r="C503" s="2" t="s">
        <v>563</v>
      </c>
      <c r="D503" s="2" t="s">
        <v>15</v>
      </c>
      <c r="E503" s="59">
        <v>630</v>
      </c>
      <c r="F503" s="59">
        <v>637</v>
      </c>
      <c r="G503" s="59">
        <v>-7</v>
      </c>
      <c r="H503" s="59">
        <v>-1.1000000000000001</v>
      </c>
      <c r="I503" s="2" t="s">
        <v>81</v>
      </c>
    </row>
    <row r="504" spans="1:9" x14ac:dyDescent="0.25">
      <c r="A504" s="2" t="s">
        <v>545</v>
      </c>
      <c r="B504" s="2" t="s">
        <v>105</v>
      </c>
      <c r="C504" s="2" t="s">
        <v>564</v>
      </c>
      <c r="D504" s="2" t="s">
        <v>15</v>
      </c>
      <c r="E504" s="59">
        <v>630</v>
      </c>
      <c r="F504" s="59">
        <v>637</v>
      </c>
      <c r="G504" s="59">
        <v>-7</v>
      </c>
      <c r="H504" s="59">
        <v>-1.1000000000000001</v>
      </c>
      <c r="I504" s="2" t="s">
        <v>81</v>
      </c>
    </row>
    <row r="505" spans="1:9" x14ac:dyDescent="0.25">
      <c r="A505" s="2" t="s">
        <v>545</v>
      </c>
      <c r="B505" s="2" t="s">
        <v>105</v>
      </c>
      <c r="C505" s="2" t="s">
        <v>565</v>
      </c>
      <c r="D505" s="2" t="s">
        <v>15</v>
      </c>
      <c r="E505" s="59">
        <v>630</v>
      </c>
      <c r="F505" s="59">
        <v>637</v>
      </c>
      <c r="G505" s="59">
        <v>-7</v>
      </c>
      <c r="H505" s="59">
        <v>-1.1000000000000001</v>
      </c>
      <c r="I505" s="2" t="s">
        <v>81</v>
      </c>
    </row>
    <row r="506" spans="1:9" x14ac:dyDescent="0.25">
      <c r="A506" s="2" t="s">
        <v>545</v>
      </c>
      <c r="B506" s="2" t="s">
        <v>105</v>
      </c>
      <c r="C506" s="2" t="s">
        <v>566</v>
      </c>
      <c r="D506" s="2" t="s">
        <v>15</v>
      </c>
      <c r="E506" s="59">
        <v>630</v>
      </c>
      <c r="F506" s="59">
        <v>637</v>
      </c>
      <c r="G506" s="59">
        <v>-7</v>
      </c>
      <c r="H506" s="59">
        <v>-1.1000000000000001</v>
      </c>
      <c r="I506" s="2" t="s">
        <v>81</v>
      </c>
    </row>
    <row r="507" spans="1:9" x14ac:dyDescent="0.25">
      <c r="A507" s="2" t="s">
        <v>545</v>
      </c>
      <c r="B507" s="2" t="s">
        <v>206</v>
      </c>
      <c r="C507" s="2" t="s">
        <v>567</v>
      </c>
      <c r="D507" s="2" t="s">
        <v>15</v>
      </c>
      <c r="E507" s="59">
        <v>3370</v>
      </c>
      <c r="F507" s="59">
        <v>3393</v>
      </c>
      <c r="G507" s="59">
        <v>-23</v>
      </c>
      <c r="H507" s="59">
        <v>-0.68</v>
      </c>
      <c r="I507" s="2" t="s">
        <v>81</v>
      </c>
    </row>
    <row r="508" spans="1:9" x14ac:dyDescent="0.25">
      <c r="A508" t="s">
        <v>545</v>
      </c>
      <c r="B508" t="s">
        <v>206</v>
      </c>
      <c r="C508" t="s">
        <v>568</v>
      </c>
      <c r="D508" t="s">
        <v>569</v>
      </c>
      <c r="E508" s="46">
        <v>2145</v>
      </c>
      <c r="F508" s="46">
        <v>1866.8</v>
      </c>
      <c r="G508" s="46">
        <v>278.2</v>
      </c>
      <c r="H508" s="46">
        <v>14.9</v>
      </c>
      <c r="I508" t="s">
        <v>23</v>
      </c>
    </row>
    <row r="509" spans="1:9" x14ac:dyDescent="0.25">
      <c r="A509" t="s">
        <v>545</v>
      </c>
      <c r="B509" t="s">
        <v>206</v>
      </c>
      <c r="C509" t="s">
        <v>570</v>
      </c>
      <c r="D509" t="s">
        <v>571</v>
      </c>
      <c r="E509" s="46">
        <v>2145</v>
      </c>
      <c r="F509" s="46">
        <v>1866.8</v>
      </c>
      <c r="G509" s="46">
        <v>278.2</v>
      </c>
      <c r="H509" s="46">
        <v>14.9</v>
      </c>
      <c r="I509" t="s">
        <v>23</v>
      </c>
    </row>
    <row r="510" spans="1:9" x14ac:dyDescent="0.25">
      <c r="A510" t="s">
        <v>545</v>
      </c>
      <c r="B510" t="s">
        <v>215</v>
      </c>
      <c r="C510" t="s">
        <v>572</v>
      </c>
      <c r="D510" t="s">
        <v>490</v>
      </c>
      <c r="E510" s="46">
        <v>2880</v>
      </c>
      <c r="F510" s="46">
        <v>2872</v>
      </c>
      <c r="G510" s="46">
        <v>8</v>
      </c>
      <c r="H510" s="46">
        <v>0.28000000000000003</v>
      </c>
      <c r="I510" t="s">
        <v>23</v>
      </c>
    </row>
    <row r="511" spans="1:9" x14ac:dyDescent="0.25">
      <c r="A511" t="s">
        <v>545</v>
      </c>
      <c r="B511" t="s">
        <v>215</v>
      </c>
      <c r="C511" t="s">
        <v>573</v>
      </c>
      <c r="D511" t="s">
        <v>15</v>
      </c>
      <c r="E511" s="46">
        <v>2950</v>
      </c>
      <c r="F511" s="46">
        <v>2872</v>
      </c>
      <c r="G511" s="46">
        <v>78</v>
      </c>
      <c r="H511" s="46">
        <v>2.72</v>
      </c>
      <c r="I511" t="s">
        <v>23</v>
      </c>
    </row>
    <row r="512" spans="1:9" x14ac:dyDescent="0.25">
      <c r="A512" t="s">
        <v>545</v>
      </c>
      <c r="B512" t="s">
        <v>215</v>
      </c>
      <c r="C512" t="s">
        <v>574</v>
      </c>
      <c r="D512" t="s">
        <v>15</v>
      </c>
      <c r="E512" s="46">
        <v>2950</v>
      </c>
      <c r="F512" s="46">
        <v>2872</v>
      </c>
      <c r="G512" s="46">
        <v>78</v>
      </c>
      <c r="H512" s="46">
        <v>2.72</v>
      </c>
      <c r="I512" t="s">
        <v>23</v>
      </c>
    </row>
    <row r="513" spans="1:9" x14ac:dyDescent="0.25">
      <c r="A513" t="s">
        <v>545</v>
      </c>
      <c r="B513" t="s">
        <v>215</v>
      </c>
      <c r="C513" t="s">
        <v>575</v>
      </c>
      <c r="D513" t="s">
        <v>15</v>
      </c>
      <c r="E513" s="46">
        <v>2950</v>
      </c>
      <c r="F513" s="46">
        <v>2872</v>
      </c>
      <c r="G513" s="46">
        <v>78</v>
      </c>
      <c r="H513" s="46">
        <v>2.72</v>
      </c>
      <c r="I513" t="s">
        <v>23</v>
      </c>
    </row>
    <row r="514" spans="1:9" x14ac:dyDescent="0.25">
      <c r="A514" t="s">
        <v>545</v>
      </c>
      <c r="B514" t="s">
        <v>215</v>
      </c>
      <c r="C514" t="s">
        <v>576</v>
      </c>
      <c r="D514" t="s">
        <v>15</v>
      </c>
      <c r="E514" s="46">
        <v>2950</v>
      </c>
      <c r="F514" s="46">
        <v>2872</v>
      </c>
      <c r="G514" s="46">
        <v>78</v>
      </c>
      <c r="H514" s="46">
        <v>2.72</v>
      </c>
      <c r="I514" t="s">
        <v>23</v>
      </c>
    </row>
    <row r="515" spans="1:9" x14ac:dyDescent="0.25">
      <c r="A515" t="s">
        <v>545</v>
      </c>
      <c r="B515" t="s">
        <v>215</v>
      </c>
      <c r="C515" t="s">
        <v>577</v>
      </c>
      <c r="D515" t="s">
        <v>15</v>
      </c>
      <c r="E515" s="46">
        <v>2950</v>
      </c>
      <c r="F515" s="46">
        <v>2872</v>
      </c>
      <c r="G515" s="46">
        <v>78</v>
      </c>
      <c r="H515" s="46">
        <v>2.72</v>
      </c>
      <c r="I515" t="s">
        <v>23</v>
      </c>
    </row>
    <row r="516" spans="1:9" x14ac:dyDescent="0.25">
      <c r="A516" t="s">
        <v>545</v>
      </c>
      <c r="B516" t="s">
        <v>215</v>
      </c>
      <c r="C516" t="s">
        <v>578</v>
      </c>
      <c r="D516" t="s">
        <v>15</v>
      </c>
      <c r="E516" s="46">
        <v>2950</v>
      </c>
      <c r="F516" s="46">
        <v>2872</v>
      </c>
      <c r="G516" s="46">
        <v>78</v>
      </c>
      <c r="H516" s="46">
        <v>2.72</v>
      </c>
      <c r="I516" t="s">
        <v>23</v>
      </c>
    </row>
    <row r="517" spans="1:9" x14ac:dyDescent="0.25">
      <c r="A517" t="s">
        <v>545</v>
      </c>
      <c r="B517" t="s">
        <v>215</v>
      </c>
      <c r="C517" t="s">
        <v>579</v>
      </c>
      <c r="D517" t="s">
        <v>15</v>
      </c>
      <c r="E517" s="46">
        <v>2950</v>
      </c>
      <c r="F517" s="46">
        <v>2872</v>
      </c>
      <c r="G517" s="46">
        <v>78</v>
      </c>
      <c r="H517" s="46">
        <v>2.72</v>
      </c>
      <c r="I517" t="s">
        <v>23</v>
      </c>
    </row>
    <row r="518" spans="1:9" x14ac:dyDescent="0.25">
      <c r="A518" t="s">
        <v>545</v>
      </c>
      <c r="B518" t="s">
        <v>33</v>
      </c>
      <c r="C518" t="s">
        <v>580</v>
      </c>
      <c r="D518" t="s">
        <v>15</v>
      </c>
      <c r="E518" s="46">
        <v>3510</v>
      </c>
      <c r="F518" s="46">
        <v>3338.7</v>
      </c>
      <c r="G518" s="46">
        <v>171.3</v>
      </c>
      <c r="H518" s="46">
        <v>5.13</v>
      </c>
      <c r="I518" t="s">
        <v>23</v>
      </c>
    </row>
    <row r="519" spans="1:9" x14ac:dyDescent="0.25">
      <c r="A519" t="s">
        <v>545</v>
      </c>
      <c r="B519" t="s">
        <v>33</v>
      </c>
      <c r="C519" t="s">
        <v>581</v>
      </c>
      <c r="D519" t="s">
        <v>490</v>
      </c>
      <c r="E519" s="46">
        <v>3570</v>
      </c>
      <c r="F519" s="46">
        <v>3338.7</v>
      </c>
      <c r="G519" s="46">
        <v>231.3</v>
      </c>
      <c r="H519" s="46">
        <v>6.93</v>
      </c>
      <c r="I519" t="s">
        <v>23</v>
      </c>
    </row>
    <row r="520" spans="1:9" x14ac:dyDescent="0.25">
      <c r="A520" t="s">
        <v>545</v>
      </c>
      <c r="B520" t="s">
        <v>582</v>
      </c>
      <c r="C520" t="s">
        <v>583</v>
      </c>
      <c r="D520" t="s">
        <v>15</v>
      </c>
      <c r="E520" s="46">
        <v>4164.55</v>
      </c>
      <c r="F520" s="46">
        <v>3130</v>
      </c>
      <c r="G520" s="46">
        <v>1034.55</v>
      </c>
      <c r="H520" s="46">
        <v>33.049999999999997</v>
      </c>
      <c r="I520" t="s">
        <v>29</v>
      </c>
    </row>
    <row r="521" spans="1:9" x14ac:dyDescent="0.25">
      <c r="A521" s="2" t="s">
        <v>545</v>
      </c>
      <c r="B521" s="2" t="s">
        <v>439</v>
      </c>
      <c r="C521" s="2" t="s">
        <v>584</v>
      </c>
      <c r="D521" s="2" t="s">
        <v>15</v>
      </c>
      <c r="E521" s="59">
        <v>770</v>
      </c>
      <c r="F521" s="59">
        <v>841.5</v>
      </c>
      <c r="G521" s="59">
        <v>-71.5</v>
      </c>
      <c r="H521" s="59">
        <v>-8.5</v>
      </c>
      <c r="I521" s="2" t="s">
        <v>16</v>
      </c>
    </row>
    <row r="522" spans="1:9" x14ac:dyDescent="0.25">
      <c r="A522" s="2" t="s">
        <v>545</v>
      </c>
      <c r="B522" s="2" t="s">
        <v>439</v>
      </c>
      <c r="C522" s="2" t="s">
        <v>585</v>
      </c>
      <c r="D522" s="2" t="s">
        <v>15</v>
      </c>
      <c r="E522" s="59">
        <v>770</v>
      </c>
      <c r="F522" s="59">
        <v>841.5</v>
      </c>
      <c r="G522" s="59">
        <v>-71.5</v>
      </c>
      <c r="H522" s="59">
        <v>-8.5</v>
      </c>
      <c r="I522" s="2" t="s">
        <v>16</v>
      </c>
    </row>
    <row r="523" spans="1:9" x14ac:dyDescent="0.25">
      <c r="A523" t="s">
        <v>545</v>
      </c>
      <c r="B523" t="s">
        <v>38</v>
      </c>
      <c r="C523" t="s">
        <v>586</v>
      </c>
      <c r="D523" t="s">
        <v>15</v>
      </c>
      <c r="E523" s="46">
        <v>2430</v>
      </c>
      <c r="F523" s="46">
        <v>2300.8000000000002</v>
      </c>
      <c r="G523" s="46">
        <v>129.19999999999999</v>
      </c>
      <c r="H523" s="46">
        <v>5.62</v>
      </c>
      <c r="I523" t="s">
        <v>23</v>
      </c>
    </row>
    <row r="524" spans="1:9" x14ac:dyDescent="0.25">
      <c r="A524" t="s">
        <v>545</v>
      </c>
      <c r="B524" t="s">
        <v>38</v>
      </c>
      <c r="C524" t="s">
        <v>587</v>
      </c>
      <c r="D524" t="s">
        <v>15</v>
      </c>
      <c r="E524" s="46">
        <v>2430</v>
      </c>
      <c r="F524" s="46">
        <v>2265</v>
      </c>
      <c r="G524" s="46">
        <v>165</v>
      </c>
      <c r="H524" s="46">
        <v>7.28</v>
      </c>
      <c r="I524" t="s">
        <v>23</v>
      </c>
    </row>
    <row r="525" spans="1:9" x14ac:dyDescent="0.25">
      <c r="A525" t="s">
        <v>545</v>
      </c>
      <c r="B525" t="s">
        <v>38</v>
      </c>
      <c r="C525" t="s">
        <v>588</v>
      </c>
      <c r="D525" t="s">
        <v>15</v>
      </c>
      <c r="E525" s="46">
        <v>2430</v>
      </c>
      <c r="F525" s="46">
        <v>2300.8000000000002</v>
      </c>
      <c r="G525" s="46">
        <v>129.19999999999999</v>
      </c>
      <c r="H525" s="46">
        <v>5.62</v>
      </c>
      <c r="I525" t="s">
        <v>23</v>
      </c>
    </row>
    <row r="526" spans="1:9" x14ac:dyDescent="0.25">
      <c r="A526" t="s">
        <v>545</v>
      </c>
      <c r="B526" t="s">
        <v>328</v>
      </c>
      <c r="C526" t="s">
        <v>589</v>
      </c>
      <c r="D526" t="s">
        <v>330</v>
      </c>
      <c r="E526" s="46">
        <v>1385</v>
      </c>
      <c r="F526" s="46">
        <v>1095</v>
      </c>
      <c r="G526" s="46">
        <v>290</v>
      </c>
      <c r="H526" s="46">
        <v>26.48</v>
      </c>
      <c r="I526" t="s">
        <v>81</v>
      </c>
    </row>
    <row r="527" spans="1:9" x14ac:dyDescent="0.25">
      <c r="A527" t="s">
        <v>545</v>
      </c>
      <c r="B527" t="s">
        <v>328</v>
      </c>
      <c r="C527" t="s">
        <v>590</v>
      </c>
      <c r="D527" t="s">
        <v>330</v>
      </c>
      <c r="E527" s="46">
        <v>1385</v>
      </c>
      <c r="F527" s="46">
        <v>978.2</v>
      </c>
      <c r="G527" s="46">
        <v>406.8</v>
      </c>
      <c r="H527" s="46">
        <v>41.59</v>
      </c>
      <c r="I527" t="s">
        <v>81</v>
      </c>
    </row>
    <row r="528" spans="1:9" x14ac:dyDescent="0.25">
      <c r="A528" t="s">
        <v>545</v>
      </c>
      <c r="B528" t="s">
        <v>328</v>
      </c>
      <c r="C528" t="s">
        <v>591</v>
      </c>
      <c r="D528" t="s">
        <v>330</v>
      </c>
      <c r="E528" s="46">
        <v>1385</v>
      </c>
      <c r="F528" s="46">
        <v>978.2</v>
      </c>
      <c r="G528" s="46">
        <v>406.8</v>
      </c>
      <c r="H528" s="46">
        <v>41.59</v>
      </c>
      <c r="I528" t="s">
        <v>81</v>
      </c>
    </row>
    <row r="529" spans="1:9" x14ac:dyDescent="0.25">
      <c r="A529" t="s">
        <v>545</v>
      </c>
      <c r="B529" t="s">
        <v>328</v>
      </c>
      <c r="C529" t="s">
        <v>592</v>
      </c>
      <c r="D529" t="s">
        <v>330</v>
      </c>
      <c r="E529" s="46">
        <v>1385</v>
      </c>
      <c r="F529" s="46">
        <v>978.2</v>
      </c>
      <c r="G529" s="46">
        <v>406.8</v>
      </c>
      <c r="H529" s="46">
        <v>41.59</v>
      </c>
      <c r="I529" t="s">
        <v>81</v>
      </c>
    </row>
    <row r="530" spans="1:9" x14ac:dyDescent="0.25">
      <c r="A530" t="s">
        <v>545</v>
      </c>
      <c r="B530" t="s">
        <v>328</v>
      </c>
      <c r="C530" t="s">
        <v>593</v>
      </c>
      <c r="D530" t="s">
        <v>330</v>
      </c>
      <c r="E530" s="46">
        <v>1385</v>
      </c>
      <c r="F530" s="46">
        <v>978.2</v>
      </c>
      <c r="G530" s="46">
        <v>406.8</v>
      </c>
      <c r="H530" s="46">
        <v>41.59</v>
      </c>
      <c r="I530" t="s">
        <v>81</v>
      </c>
    </row>
    <row r="531" spans="1:9" x14ac:dyDescent="0.25">
      <c r="A531" t="s">
        <v>545</v>
      </c>
      <c r="B531" t="s">
        <v>328</v>
      </c>
      <c r="C531" t="s">
        <v>594</v>
      </c>
      <c r="D531" t="s">
        <v>330</v>
      </c>
      <c r="E531" s="46">
        <v>1385</v>
      </c>
      <c r="F531" s="46">
        <v>978.2</v>
      </c>
      <c r="G531" s="46">
        <v>406.8</v>
      </c>
      <c r="H531" s="46">
        <v>41.59</v>
      </c>
      <c r="I531" t="s">
        <v>81</v>
      </c>
    </row>
    <row r="532" spans="1:9" x14ac:dyDescent="0.25">
      <c r="A532" t="s">
        <v>545</v>
      </c>
      <c r="B532" t="s">
        <v>328</v>
      </c>
      <c r="C532" t="s">
        <v>595</v>
      </c>
      <c r="D532" t="s">
        <v>330</v>
      </c>
      <c r="E532" s="46">
        <v>1385</v>
      </c>
      <c r="F532" s="46">
        <v>978.2</v>
      </c>
      <c r="G532" s="46">
        <v>406.8</v>
      </c>
      <c r="H532" s="46">
        <v>41.59</v>
      </c>
      <c r="I532" t="s">
        <v>81</v>
      </c>
    </row>
    <row r="533" spans="1:9" x14ac:dyDescent="0.25">
      <c r="A533" t="s">
        <v>545</v>
      </c>
      <c r="B533" t="s">
        <v>328</v>
      </c>
      <c r="C533" t="s">
        <v>596</v>
      </c>
      <c r="D533" t="s">
        <v>330</v>
      </c>
      <c r="E533" s="46">
        <v>1385</v>
      </c>
      <c r="F533" s="46">
        <v>978.2</v>
      </c>
      <c r="G533" s="46">
        <v>406.8</v>
      </c>
      <c r="H533" s="46">
        <v>41.59</v>
      </c>
      <c r="I533" t="s">
        <v>81</v>
      </c>
    </row>
    <row r="534" spans="1:9" x14ac:dyDescent="0.25">
      <c r="A534" t="s">
        <v>545</v>
      </c>
      <c r="B534" t="s">
        <v>328</v>
      </c>
      <c r="C534" t="s">
        <v>597</v>
      </c>
      <c r="D534" t="s">
        <v>330</v>
      </c>
      <c r="E534" s="46">
        <v>1385</v>
      </c>
      <c r="F534" s="46">
        <v>978.2</v>
      </c>
      <c r="G534" s="46">
        <v>406.8</v>
      </c>
      <c r="H534" s="46">
        <v>41.59</v>
      </c>
      <c r="I534" t="s">
        <v>81</v>
      </c>
    </row>
    <row r="535" spans="1:9" x14ac:dyDescent="0.25">
      <c r="A535" t="s">
        <v>545</v>
      </c>
      <c r="B535" t="s">
        <v>328</v>
      </c>
      <c r="C535" t="s">
        <v>598</v>
      </c>
      <c r="D535" t="s">
        <v>330</v>
      </c>
      <c r="E535" s="46">
        <v>1385</v>
      </c>
      <c r="F535" s="46">
        <v>978.2</v>
      </c>
      <c r="G535" s="46">
        <v>406.8</v>
      </c>
      <c r="H535" s="46">
        <v>41.59</v>
      </c>
      <c r="I535" t="s">
        <v>81</v>
      </c>
    </row>
    <row r="536" spans="1:9" x14ac:dyDescent="0.25">
      <c r="A536" t="s">
        <v>545</v>
      </c>
      <c r="B536" t="s">
        <v>328</v>
      </c>
      <c r="C536" t="s">
        <v>599</v>
      </c>
      <c r="D536" t="s">
        <v>330</v>
      </c>
      <c r="E536" s="46">
        <v>1385</v>
      </c>
      <c r="F536" s="46">
        <v>978.2</v>
      </c>
      <c r="G536" s="46">
        <v>406.8</v>
      </c>
      <c r="H536" s="46">
        <v>41.59</v>
      </c>
      <c r="I536" t="s">
        <v>81</v>
      </c>
    </row>
    <row r="537" spans="1:9" x14ac:dyDescent="0.25">
      <c r="A537" t="s">
        <v>545</v>
      </c>
      <c r="B537" t="s">
        <v>328</v>
      </c>
      <c r="C537" t="s">
        <v>600</v>
      </c>
      <c r="D537" t="s">
        <v>330</v>
      </c>
      <c r="E537" s="46">
        <v>1385</v>
      </c>
      <c r="F537" s="46">
        <v>978.2</v>
      </c>
      <c r="G537" s="46">
        <v>406.8</v>
      </c>
      <c r="H537" s="46">
        <v>41.59</v>
      </c>
      <c r="I537" t="s">
        <v>81</v>
      </c>
    </row>
    <row r="538" spans="1:9" x14ac:dyDescent="0.25">
      <c r="A538" t="s">
        <v>545</v>
      </c>
      <c r="B538" t="s">
        <v>328</v>
      </c>
      <c r="C538" t="s">
        <v>601</v>
      </c>
      <c r="D538" t="s">
        <v>330</v>
      </c>
      <c r="E538" s="46">
        <v>1385</v>
      </c>
      <c r="F538" s="46">
        <v>978.2</v>
      </c>
      <c r="G538" s="46">
        <v>406.8</v>
      </c>
      <c r="H538" s="46">
        <v>41.59</v>
      </c>
      <c r="I538" t="s">
        <v>81</v>
      </c>
    </row>
    <row r="539" spans="1:9" x14ac:dyDescent="0.25">
      <c r="A539" t="s">
        <v>545</v>
      </c>
      <c r="B539" t="s">
        <v>328</v>
      </c>
      <c r="C539" t="s">
        <v>602</v>
      </c>
      <c r="D539" t="s">
        <v>330</v>
      </c>
      <c r="E539" s="46">
        <v>1385</v>
      </c>
      <c r="F539" s="46">
        <v>978.2</v>
      </c>
      <c r="G539" s="46">
        <v>406.8</v>
      </c>
      <c r="H539" s="46">
        <v>41.59</v>
      </c>
      <c r="I539" t="s">
        <v>81</v>
      </c>
    </row>
    <row r="540" spans="1:9" x14ac:dyDescent="0.25">
      <c r="A540" t="s">
        <v>545</v>
      </c>
      <c r="B540" t="s">
        <v>328</v>
      </c>
      <c r="C540" t="s">
        <v>603</v>
      </c>
      <c r="D540" t="s">
        <v>330</v>
      </c>
      <c r="E540" s="46">
        <v>1385</v>
      </c>
      <c r="F540" s="46">
        <v>978.2</v>
      </c>
      <c r="G540" s="46">
        <v>406.8</v>
      </c>
      <c r="H540" s="46">
        <v>41.59</v>
      </c>
      <c r="I540" t="s">
        <v>81</v>
      </c>
    </row>
    <row r="541" spans="1:9" x14ac:dyDescent="0.25">
      <c r="A541" t="s">
        <v>545</v>
      </c>
      <c r="B541" t="s">
        <v>328</v>
      </c>
      <c r="C541" t="s">
        <v>604</v>
      </c>
      <c r="D541" t="s">
        <v>330</v>
      </c>
      <c r="E541" s="46">
        <v>1385</v>
      </c>
      <c r="F541" s="46">
        <v>978.2</v>
      </c>
      <c r="G541" s="46">
        <v>406.8</v>
      </c>
      <c r="H541" s="46">
        <v>41.59</v>
      </c>
      <c r="I541" t="s">
        <v>81</v>
      </c>
    </row>
    <row r="542" spans="1:9" x14ac:dyDescent="0.25">
      <c r="A542" t="s">
        <v>545</v>
      </c>
      <c r="B542" t="s">
        <v>328</v>
      </c>
      <c r="C542" t="s">
        <v>605</v>
      </c>
      <c r="D542" t="s">
        <v>330</v>
      </c>
      <c r="E542" s="46">
        <v>1385</v>
      </c>
      <c r="F542" s="46">
        <v>978.2</v>
      </c>
      <c r="G542" s="46">
        <v>406.8</v>
      </c>
      <c r="H542" s="46">
        <v>41.59</v>
      </c>
      <c r="I542" t="s">
        <v>81</v>
      </c>
    </row>
    <row r="543" spans="1:9" x14ac:dyDescent="0.25">
      <c r="A543" t="s">
        <v>545</v>
      </c>
      <c r="B543" t="s">
        <v>328</v>
      </c>
      <c r="C543" t="s">
        <v>606</v>
      </c>
      <c r="D543" t="s">
        <v>330</v>
      </c>
      <c r="E543" s="46">
        <v>1385</v>
      </c>
      <c r="F543" s="46">
        <v>978.2</v>
      </c>
      <c r="G543" s="46">
        <v>406.8</v>
      </c>
      <c r="H543" s="46">
        <v>41.59</v>
      </c>
      <c r="I543" t="s">
        <v>81</v>
      </c>
    </row>
    <row r="544" spans="1:9" x14ac:dyDescent="0.25">
      <c r="A544" t="s">
        <v>545</v>
      </c>
      <c r="B544" t="s">
        <v>328</v>
      </c>
      <c r="C544" t="s">
        <v>607</v>
      </c>
      <c r="D544" t="s">
        <v>330</v>
      </c>
      <c r="E544" s="46">
        <v>1385</v>
      </c>
      <c r="F544" s="46">
        <v>978.2</v>
      </c>
      <c r="G544" s="46">
        <v>406.8</v>
      </c>
      <c r="H544" s="46">
        <v>41.59</v>
      </c>
      <c r="I544" t="s">
        <v>81</v>
      </c>
    </row>
    <row r="545" spans="1:9" x14ac:dyDescent="0.25">
      <c r="A545" t="s">
        <v>545</v>
      </c>
      <c r="B545" t="s">
        <v>328</v>
      </c>
      <c r="C545" t="s">
        <v>608</v>
      </c>
      <c r="D545" t="s">
        <v>330</v>
      </c>
      <c r="E545" s="46">
        <v>1385</v>
      </c>
      <c r="F545" s="46">
        <v>978.2</v>
      </c>
      <c r="G545" s="46">
        <v>406.8</v>
      </c>
      <c r="H545" s="46">
        <v>41.59</v>
      </c>
      <c r="I545" t="s">
        <v>81</v>
      </c>
    </row>
    <row r="546" spans="1:9" x14ac:dyDescent="0.25">
      <c r="A546" t="s">
        <v>545</v>
      </c>
      <c r="B546" t="s">
        <v>328</v>
      </c>
      <c r="C546" t="s">
        <v>609</v>
      </c>
      <c r="D546" t="s">
        <v>330</v>
      </c>
      <c r="E546" s="46">
        <v>1385</v>
      </c>
      <c r="F546" s="46">
        <v>978.2</v>
      </c>
      <c r="G546" s="46">
        <v>406.8</v>
      </c>
      <c r="H546" s="46">
        <v>41.59</v>
      </c>
      <c r="I546" t="s">
        <v>81</v>
      </c>
    </row>
    <row r="547" spans="1:9" x14ac:dyDescent="0.25">
      <c r="A547" t="s">
        <v>545</v>
      </c>
      <c r="B547" t="s">
        <v>328</v>
      </c>
      <c r="C547" t="s">
        <v>610</v>
      </c>
      <c r="D547" t="s">
        <v>330</v>
      </c>
      <c r="E547" s="46">
        <v>1385</v>
      </c>
      <c r="F547" s="46">
        <v>978.2</v>
      </c>
      <c r="G547" s="46">
        <v>406.8</v>
      </c>
      <c r="H547" s="46">
        <v>41.59</v>
      </c>
      <c r="I547" t="s">
        <v>81</v>
      </c>
    </row>
    <row r="548" spans="1:9" x14ac:dyDescent="0.25">
      <c r="A548" t="s">
        <v>545</v>
      </c>
      <c r="B548" t="s">
        <v>328</v>
      </c>
      <c r="C548" t="s">
        <v>611</v>
      </c>
      <c r="D548" t="s">
        <v>330</v>
      </c>
      <c r="E548" s="46">
        <v>1385</v>
      </c>
      <c r="F548" s="46">
        <v>978.2</v>
      </c>
      <c r="G548" s="46">
        <v>406.8</v>
      </c>
      <c r="H548" s="46">
        <v>41.59</v>
      </c>
      <c r="I548" t="s">
        <v>81</v>
      </c>
    </row>
    <row r="549" spans="1:9" x14ac:dyDescent="0.25">
      <c r="A549" t="s">
        <v>545</v>
      </c>
      <c r="B549" t="s">
        <v>328</v>
      </c>
      <c r="C549" t="s">
        <v>612</v>
      </c>
      <c r="D549" t="s">
        <v>330</v>
      </c>
      <c r="E549" s="46">
        <v>1385</v>
      </c>
      <c r="F549" s="46">
        <v>978.2</v>
      </c>
      <c r="G549" s="46">
        <v>406.8</v>
      </c>
      <c r="H549" s="46">
        <v>41.59</v>
      </c>
      <c r="I549" t="s">
        <v>81</v>
      </c>
    </row>
    <row r="550" spans="1:9" x14ac:dyDescent="0.25">
      <c r="A550" t="s">
        <v>545</v>
      </c>
      <c r="B550" t="s">
        <v>328</v>
      </c>
      <c r="C550" t="s">
        <v>613</v>
      </c>
      <c r="D550" t="s">
        <v>330</v>
      </c>
      <c r="E550" s="46">
        <v>1385</v>
      </c>
      <c r="F550" s="46">
        <v>978.2</v>
      </c>
      <c r="G550" s="46">
        <v>406.8</v>
      </c>
      <c r="H550" s="46">
        <v>41.59</v>
      </c>
      <c r="I550" t="s">
        <v>81</v>
      </c>
    </row>
    <row r="551" spans="1:9" x14ac:dyDescent="0.25">
      <c r="A551" t="s">
        <v>545</v>
      </c>
      <c r="B551" t="s">
        <v>328</v>
      </c>
      <c r="C551" t="s">
        <v>614</v>
      </c>
      <c r="D551" t="s">
        <v>330</v>
      </c>
      <c r="E551" s="46">
        <v>1415</v>
      </c>
      <c r="F551" s="46">
        <v>1007.29</v>
      </c>
      <c r="G551" s="46">
        <v>407.71</v>
      </c>
      <c r="H551" s="46">
        <v>40.479999999999997</v>
      </c>
      <c r="I551" t="s">
        <v>81</v>
      </c>
    </row>
    <row r="552" spans="1:9" x14ac:dyDescent="0.25">
      <c r="A552" t="s">
        <v>545</v>
      </c>
      <c r="B552" t="s">
        <v>328</v>
      </c>
      <c r="C552" t="s">
        <v>615</v>
      </c>
      <c r="D552" t="s">
        <v>330</v>
      </c>
      <c r="E552" s="46">
        <v>1415</v>
      </c>
      <c r="F552" s="46">
        <v>1007.29</v>
      </c>
      <c r="G552" s="46">
        <v>407.71</v>
      </c>
      <c r="H552" s="46">
        <v>40.479999999999997</v>
      </c>
      <c r="I552" t="s">
        <v>81</v>
      </c>
    </row>
    <row r="553" spans="1:9" x14ac:dyDescent="0.25">
      <c r="A553" t="s">
        <v>545</v>
      </c>
      <c r="B553" t="s">
        <v>328</v>
      </c>
      <c r="C553" t="s">
        <v>616</v>
      </c>
      <c r="D553" t="s">
        <v>330</v>
      </c>
      <c r="E553" s="46">
        <v>1415</v>
      </c>
      <c r="F553" s="46">
        <v>1007.29</v>
      </c>
      <c r="G553" s="46">
        <v>407.71</v>
      </c>
      <c r="H553" s="46">
        <v>40.479999999999997</v>
      </c>
      <c r="I553" t="s">
        <v>81</v>
      </c>
    </row>
    <row r="554" spans="1:9" x14ac:dyDescent="0.25">
      <c r="A554" t="s">
        <v>545</v>
      </c>
      <c r="B554" t="s">
        <v>328</v>
      </c>
      <c r="C554" t="s">
        <v>617</v>
      </c>
      <c r="D554" t="s">
        <v>330</v>
      </c>
      <c r="E554" s="46">
        <v>1415</v>
      </c>
      <c r="F554" s="46">
        <v>1007.29</v>
      </c>
      <c r="G554" s="46">
        <v>407.71</v>
      </c>
      <c r="H554" s="46">
        <v>40.479999999999997</v>
      </c>
      <c r="I554" t="s">
        <v>81</v>
      </c>
    </row>
    <row r="555" spans="1:9" x14ac:dyDescent="0.25">
      <c r="A555" t="s">
        <v>545</v>
      </c>
      <c r="B555" t="s">
        <v>328</v>
      </c>
      <c r="C555" t="s">
        <v>618</v>
      </c>
      <c r="D555" t="s">
        <v>330</v>
      </c>
      <c r="E555" s="46">
        <v>1415</v>
      </c>
      <c r="F555" s="46">
        <v>1007.29</v>
      </c>
      <c r="G555" s="46">
        <v>407.71</v>
      </c>
      <c r="H555" s="46">
        <v>40.479999999999997</v>
      </c>
      <c r="I555" t="s">
        <v>81</v>
      </c>
    </row>
    <row r="556" spans="1:9" x14ac:dyDescent="0.25">
      <c r="A556" t="s">
        <v>545</v>
      </c>
      <c r="B556" t="s">
        <v>328</v>
      </c>
      <c r="C556" t="s">
        <v>619</v>
      </c>
      <c r="D556" t="s">
        <v>330</v>
      </c>
      <c r="E556" s="46">
        <v>1410</v>
      </c>
      <c r="F556" s="46">
        <v>1007.29</v>
      </c>
      <c r="G556" s="46">
        <v>402.71</v>
      </c>
      <c r="H556" s="46">
        <v>39.979999999999997</v>
      </c>
      <c r="I556" t="s">
        <v>81</v>
      </c>
    </row>
    <row r="557" spans="1:9" x14ac:dyDescent="0.25">
      <c r="A557" t="s">
        <v>545</v>
      </c>
      <c r="B557" t="s">
        <v>328</v>
      </c>
      <c r="C557" t="s">
        <v>620</v>
      </c>
      <c r="D557" t="s">
        <v>330</v>
      </c>
      <c r="E557" s="46">
        <v>1410</v>
      </c>
      <c r="F557" s="46">
        <v>1007.29</v>
      </c>
      <c r="G557" s="46">
        <v>402.71</v>
      </c>
      <c r="H557" s="46">
        <v>39.979999999999997</v>
      </c>
      <c r="I557" t="s">
        <v>81</v>
      </c>
    </row>
    <row r="558" spans="1:9" x14ac:dyDescent="0.25">
      <c r="A558" t="s">
        <v>545</v>
      </c>
      <c r="B558" t="s">
        <v>328</v>
      </c>
      <c r="C558" t="s">
        <v>621</v>
      </c>
      <c r="D558" t="s">
        <v>330</v>
      </c>
      <c r="E558" s="46">
        <v>1410</v>
      </c>
      <c r="F558" s="46">
        <v>1007.29</v>
      </c>
      <c r="G558" s="46">
        <v>402.71</v>
      </c>
      <c r="H558" s="46">
        <v>39.979999999999997</v>
      </c>
      <c r="I558" t="s">
        <v>81</v>
      </c>
    </row>
    <row r="559" spans="1:9" x14ac:dyDescent="0.25">
      <c r="A559" t="s">
        <v>545</v>
      </c>
      <c r="B559" t="s">
        <v>328</v>
      </c>
      <c r="C559" t="s">
        <v>622</v>
      </c>
      <c r="D559" t="s">
        <v>330</v>
      </c>
      <c r="E559" s="46">
        <v>1410</v>
      </c>
      <c r="F559" s="46">
        <v>1007.29</v>
      </c>
      <c r="G559" s="46">
        <v>402.71</v>
      </c>
      <c r="H559" s="46">
        <v>39.979999999999997</v>
      </c>
      <c r="I559" t="s">
        <v>81</v>
      </c>
    </row>
    <row r="560" spans="1:9" x14ac:dyDescent="0.25">
      <c r="A560" s="2" t="s">
        <v>623</v>
      </c>
      <c r="B560" s="2" t="s">
        <v>624</v>
      </c>
      <c r="C560" s="2" t="s">
        <v>625</v>
      </c>
      <c r="D560" s="2" t="s">
        <v>15</v>
      </c>
      <c r="E560" s="59">
        <v>730</v>
      </c>
      <c r="F560" s="59">
        <v>900</v>
      </c>
      <c r="G560" s="59">
        <v>-170</v>
      </c>
      <c r="H560" s="59">
        <v>-18.89</v>
      </c>
      <c r="I560" s="2" t="s">
        <v>29</v>
      </c>
    </row>
    <row r="561" spans="1:9" x14ac:dyDescent="0.25">
      <c r="A561" t="s">
        <v>623</v>
      </c>
      <c r="B561" t="s">
        <v>626</v>
      </c>
      <c r="C561" t="s">
        <v>627</v>
      </c>
      <c r="D561" t="s">
        <v>15</v>
      </c>
      <c r="E561" s="46">
        <v>1250</v>
      </c>
      <c r="F561" s="46">
        <v>1250</v>
      </c>
      <c r="G561" s="46">
        <v>0</v>
      </c>
      <c r="H561" s="46">
        <v>0</v>
      </c>
      <c r="I561" t="s">
        <v>29</v>
      </c>
    </row>
    <row r="562" spans="1:9" x14ac:dyDescent="0.25">
      <c r="A562" t="s">
        <v>623</v>
      </c>
      <c r="B562" t="s">
        <v>626</v>
      </c>
      <c r="C562" t="s">
        <v>628</v>
      </c>
      <c r="D562" t="s">
        <v>15</v>
      </c>
      <c r="E562" s="46">
        <v>1080</v>
      </c>
      <c r="F562" s="46">
        <v>1077</v>
      </c>
      <c r="G562" s="46">
        <v>3</v>
      </c>
      <c r="H562" s="46">
        <v>0.28000000000000003</v>
      </c>
      <c r="I562" t="s">
        <v>23</v>
      </c>
    </row>
    <row r="563" spans="1:9" x14ac:dyDescent="0.25">
      <c r="A563" t="s">
        <v>623</v>
      </c>
      <c r="B563" t="s">
        <v>626</v>
      </c>
      <c r="C563" t="s">
        <v>629</v>
      </c>
      <c r="D563" t="s">
        <v>15</v>
      </c>
      <c r="E563" s="46">
        <v>1080</v>
      </c>
      <c r="F563" s="46">
        <v>1077</v>
      </c>
      <c r="G563" s="46">
        <v>3</v>
      </c>
      <c r="H563" s="46">
        <v>0.28000000000000003</v>
      </c>
      <c r="I563" t="s">
        <v>23</v>
      </c>
    </row>
    <row r="564" spans="1:9" x14ac:dyDescent="0.25">
      <c r="A564" t="s">
        <v>623</v>
      </c>
      <c r="B564" t="s">
        <v>630</v>
      </c>
      <c r="C564" t="s">
        <v>631</v>
      </c>
      <c r="D564" t="s">
        <v>15</v>
      </c>
      <c r="E564" s="46">
        <v>1350</v>
      </c>
      <c r="F564" s="46">
        <v>1350</v>
      </c>
      <c r="G564" s="46">
        <v>0</v>
      </c>
      <c r="H564" s="46">
        <v>0</v>
      </c>
      <c r="I564" t="s">
        <v>29</v>
      </c>
    </row>
    <row r="565" spans="1:9" x14ac:dyDescent="0.25">
      <c r="A565" t="s">
        <v>623</v>
      </c>
      <c r="B565" t="s">
        <v>630</v>
      </c>
      <c r="C565" t="s">
        <v>632</v>
      </c>
      <c r="D565" t="s">
        <v>15</v>
      </c>
      <c r="E565" s="46">
        <v>1180</v>
      </c>
      <c r="F565" s="46">
        <v>1148.8</v>
      </c>
      <c r="G565" s="46">
        <v>31.2</v>
      </c>
      <c r="H565" s="46">
        <v>2.72</v>
      </c>
      <c r="I565" t="s">
        <v>23</v>
      </c>
    </row>
    <row r="566" spans="1:9" x14ac:dyDescent="0.25">
      <c r="A566" t="s">
        <v>623</v>
      </c>
      <c r="B566" t="s">
        <v>43</v>
      </c>
      <c r="C566" t="s">
        <v>633</v>
      </c>
      <c r="D566" t="s">
        <v>15</v>
      </c>
      <c r="E566" s="46">
        <v>2510</v>
      </c>
      <c r="F566" s="46">
        <v>2380</v>
      </c>
      <c r="G566" s="46">
        <v>130</v>
      </c>
      <c r="H566" s="46">
        <v>5.46</v>
      </c>
      <c r="I566" t="s">
        <v>29</v>
      </c>
    </row>
    <row r="567" spans="1:9" x14ac:dyDescent="0.25">
      <c r="A567" t="s">
        <v>623</v>
      </c>
      <c r="B567" t="s">
        <v>43</v>
      </c>
      <c r="C567" t="s">
        <v>634</v>
      </c>
      <c r="D567" t="s">
        <v>15</v>
      </c>
      <c r="E567" s="46">
        <v>2510</v>
      </c>
      <c r="F567" s="46">
        <v>2423.25</v>
      </c>
      <c r="G567" s="46">
        <v>86.75</v>
      </c>
      <c r="H567" s="46">
        <v>3.58</v>
      </c>
      <c r="I567" t="s">
        <v>23</v>
      </c>
    </row>
    <row r="568" spans="1:9" x14ac:dyDescent="0.25">
      <c r="A568" t="s">
        <v>623</v>
      </c>
      <c r="B568" t="s">
        <v>43</v>
      </c>
      <c r="C568" t="s">
        <v>635</v>
      </c>
      <c r="D568" t="s">
        <v>15</v>
      </c>
      <c r="E568" s="46">
        <v>2510</v>
      </c>
      <c r="F568" s="46">
        <v>2423.25</v>
      </c>
      <c r="G568" s="46">
        <v>86.75</v>
      </c>
      <c r="H568" s="46">
        <v>3.58</v>
      </c>
      <c r="I568" t="s">
        <v>23</v>
      </c>
    </row>
    <row r="569" spans="1:9" x14ac:dyDescent="0.25">
      <c r="A569" t="s">
        <v>623</v>
      </c>
      <c r="B569" t="s">
        <v>70</v>
      </c>
      <c r="C569" t="s">
        <v>636</v>
      </c>
      <c r="D569" t="s">
        <v>15</v>
      </c>
      <c r="E569" s="46">
        <v>3690</v>
      </c>
      <c r="F569" s="46">
        <v>2829.19</v>
      </c>
      <c r="G569" s="46">
        <v>860.81</v>
      </c>
      <c r="H569" s="46">
        <v>30.43</v>
      </c>
      <c r="I569" t="s">
        <v>16</v>
      </c>
    </row>
    <row r="570" spans="1:9" x14ac:dyDescent="0.25">
      <c r="A570" t="s">
        <v>623</v>
      </c>
      <c r="B570" t="s">
        <v>70</v>
      </c>
      <c r="C570" t="s">
        <v>637</v>
      </c>
      <c r="D570" t="s">
        <v>15</v>
      </c>
      <c r="E570" s="46">
        <v>3690</v>
      </c>
      <c r="F570" s="46">
        <v>2829.19</v>
      </c>
      <c r="G570" s="46">
        <v>860.81</v>
      </c>
      <c r="H570" s="46">
        <v>30.43</v>
      </c>
      <c r="I570" t="s">
        <v>16</v>
      </c>
    </row>
    <row r="571" spans="1:9" x14ac:dyDescent="0.25">
      <c r="A571" t="s">
        <v>623</v>
      </c>
      <c r="B571" t="s">
        <v>13</v>
      </c>
      <c r="C571" t="s">
        <v>638</v>
      </c>
      <c r="D571" t="s">
        <v>15</v>
      </c>
      <c r="E571" s="46">
        <v>2100</v>
      </c>
      <c r="F571" s="46">
        <v>1504.52</v>
      </c>
      <c r="G571" s="46">
        <v>595.48</v>
      </c>
      <c r="H571" s="46">
        <v>39.58</v>
      </c>
      <c r="I571" t="s">
        <v>16</v>
      </c>
    </row>
    <row r="572" spans="1:9" x14ac:dyDescent="0.25">
      <c r="A572" t="s">
        <v>623</v>
      </c>
      <c r="B572" t="s">
        <v>13</v>
      </c>
      <c r="C572" t="s">
        <v>639</v>
      </c>
      <c r="D572" t="s">
        <v>15</v>
      </c>
      <c r="E572" s="46">
        <v>2100</v>
      </c>
      <c r="F572" s="46">
        <v>1569</v>
      </c>
      <c r="G572" s="46">
        <v>531</v>
      </c>
      <c r="H572" s="46">
        <v>33.840000000000003</v>
      </c>
      <c r="I572" t="s">
        <v>81</v>
      </c>
    </row>
    <row r="573" spans="1:9" x14ac:dyDescent="0.25">
      <c r="A573" t="s">
        <v>623</v>
      </c>
      <c r="B573" t="s">
        <v>13</v>
      </c>
      <c r="C573" t="s">
        <v>640</v>
      </c>
      <c r="D573" t="s">
        <v>15</v>
      </c>
      <c r="E573" s="46">
        <v>2100</v>
      </c>
      <c r="F573" s="46">
        <v>1569</v>
      </c>
      <c r="G573" s="46">
        <v>531</v>
      </c>
      <c r="H573" s="46">
        <v>33.840000000000003</v>
      </c>
      <c r="I573" t="s">
        <v>81</v>
      </c>
    </row>
    <row r="574" spans="1:9" x14ac:dyDescent="0.25">
      <c r="A574" t="s">
        <v>623</v>
      </c>
      <c r="B574" t="s">
        <v>13</v>
      </c>
      <c r="C574" t="s">
        <v>641</v>
      </c>
      <c r="D574" t="s">
        <v>15</v>
      </c>
      <c r="E574" s="46">
        <v>2100</v>
      </c>
      <c r="F574" s="46">
        <v>1569</v>
      </c>
      <c r="G574" s="46">
        <v>531</v>
      </c>
      <c r="H574" s="46">
        <v>33.840000000000003</v>
      </c>
      <c r="I574" t="s">
        <v>81</v>
      </c>
    </row>
    <row r="575" spans="1:9" x14ac:dyDescent="0.25">
      <c r="A575" t="s">
        <v>623</v>
      </c>
      <c r="B575" t="s">
        <v>642</v>
      </c>
      <c r="C575" t="s">
        <v>643</v>
      </c>
      <c r="D575" t="s">
        <v>644</v>
      </c>
      <c r="E575" s="46">
        <v>4700</v>
      </c>
      <c r="F575" s="46">
        <v>4272.1000000000004</v>
      </c>
      <c r="G575" s="46">
        <v>427.9</v>
      </c>
      <c r="H575" s="46">
        <v>10.02</v>
      </c>
      <c r="I575" t="s">
        <v>23</v>
      </c>
    </row>
    <row r="576" spans="1:9" x14ac:dyDescent="0.25">
      <c r="A576" t="s">
        <v>623</v>
      </c>
      <c r="B576" t="s">
        <v>33</v>
      </c>
      <c r="C576" t="s">
        <v>645</v>
      </c>
      <c r="D576" t="s">
        <v>646</v>
      </c>
      <c r="E576" s="46">
        <v>3880</v>
      </c>
      <c r="F576" s="46">
        <v>3482.3</v>
      </c>
      <c r="G576" s="46">
        <v>397.7</v>
      </c>
      <c r="H576" s="46">
        <v>11.42</v>
      </c>
      <c r="I576" t="s">
        <v>23</v>
      </c>
    </row>
    <row r="577" spans="1:9" x14ac:dyDescent="0.25">
      <c r="A577" t="s">
        <v>623</v>
      </c>
      <c r="B577" t="s">
        <v>33</v>
      </c>
      <c r="C577" t="s">
        <v>647</v>
      </c>
      <c r="D577" t="s">
        <v>646</v>
      </c>
      <c r="E577" s="46">
        <v>3880</v>
      </c>
      <c r="F577" s="46">
        <v>3482.3</v>
      </c>
      <c r="G577" s="46">
        <v>397.7</v>
      </c>
      <c r="H577" s="46">
        <v>11.42</v>
      </c>
      <c r="I577" t="s">
        <v>23</v>
      </c>
    </row>
    <row r="578" spans="1:9" x14ac:dyDescent="0.25">
      <c r="A578" t="s">
        <v>623</v>
      </c>
      <c r="B578" t="s">
        <v>33</v>
      </c>
      <c r="C578" t="s">
        <v>648</v>
      </c>
      <c r="D578" t="s">
        <v>15</v>
      </c>
      <c r="E578" s="46">
        <v>4164.55</v>
      </c>
      <c r="F578" s="46">
        <v>3397</v>
      </c>
      <c r="G578" s="46">
        <v>767.55</v>
      </c>
      <c r="H578" s="46">
        <v>22.59</v>
      </c>
      <c r="I578" t="s">
        <v>23</v>
      </c>
    </row>
    <row r="579" spans="1:9" x14ac:dyDescent="0.25">
      <c r="A579" t="s">
        <v>623</v>
      </c>
      <c r="B579" t="s">
        <v>33</v>
      </c>
      <c r="C579" t="s">
        <v>649</v>
      </c>
      <c r="D579" t="s">
        <v>646</v>
      </c>
      <c r="E579" s="46">
        <v>3880</v>
      </c>
      <c r="F579" s="46">
        <v>3482.3</v>
      </c>
      <c r="G579" s="46">
        <v>397.7</v>
      </c>
      <c r="H579" s="46">
        <v>11.42</v>
      </c>
      <c r="I579" t="s">
        <v>23</v>
      </c>
    </row>
    <row r="580" spans="1:9" x14ac:dyDescent="0.25">
      <c r="A580" t="s">
        <v>623</v>
      </c>
      <c r="B580" t="s">
        <v>33</v>
      </c>
      <c r="C580" t="s">
        <v>650</v>
      </c>
      <c r="D580" t="s">
        <v>646</v>
      </c>
      <c r="E580" s="46">
        <v>3880</v>
      </c>
      <c r="F580" s="46">
        <v>3482.3</v>
      </c>
      <c r="G580" s="46">
        <v>397.7</v>
      </c>
      <c r="H580" s="46">
        <v>11.42</v>
      </c>
      <c r="I580" t="s">
        <v>23</v>
      </c>
    </row>
    <row r="581" spans="1:9" x14ac:dyDescent="0.25">
      <c r="A581" t="s">
        <v>623</v>
      </c>
      <c r="B581" t="s">
        <v>33</v>
      </c>
      <c r="C581" t="s">
        <v>651</v>
      </c>
      <c r="D581" t="s">
        <v>652</v>
      </c>
      <c r="E581" s="46">
        <v>3880</v>
      </c>
      <c r="F581" s="46">
        <v>3446.4</v>
      </c>
      <c r="G581" s="46">
        <v>433.6</v>
      </c>
      <c r="H581" s="46">
        <v>12.58</v>
      </c>
      <c r="I581" t="s">
        <v>23</v>
      </c>
    </row>
    <row r="582" spans="1:9" x14ac:dyDescent="0.25">
      <c r="A582" t="s">
        <v>623</v>
      </c>
      <c r="B582" t="s">
        <v>33</v>
      </c>
      <c r="C582" t="s">
        <v>653</v>
      </c>
      <c r="D582" t="s">
        <v>646</v>
      </c>
      <c r="E582" s="46">
        <v>3880</v>
      </c>
      <c r="F582" s="46">
        <v>3590</v>
      </c>
      <c r="G582" s="46">
        <v>290</v>
      </c>
      <c r="H582" s="46">
        <v>8.08</v>
      </c>
      <c r="I582" t="s">
        <v>23</v>
      </c>
    </row>
    <row r="583" spans="1:9" x14ac:dyDescent="0.25">
      <c r="A583" t="s">
        <v>623</v>
      </c>
      <c r="B583" t="s">
        <v>33</v>
      </c>
      <c r="C583" t="s">
        <v>654</v>
      </c>
      <c r="D583" t="s">
        <v>646</v>
      </c>
      <c r="E583" s="46">
        <v>3880</v>
      </c>
      <c r="F583" s="46">
        <v>3590</v>
      </c>
      <c r="G583" s="46">
        <v>290</v>
      </c>
      <c r="H583" s="46">
        <v>8.08</v>
      </c>
      <c r="I583" t="s">
        <v>23</v>
      </c>
    </row>
    <row r="584" spans="1:9" x14ac:dyDescent="0.25">
      <c r="A584" t="s">
        <v>623</v>
      </c>
      <c r="B584" t="s">
        <v>33</v>
      </c>
      <c r="C584" t="s">
        <v>655</v>
      </c>
      <c r="D584" t="s">
        <v>646</v>
      </c>
      <c r="E584" s="46">
        <v>3880</v>
      </c>
      <c r="F584" s="46">
        <v>3590</v>
      </c>
      <c r="G584" s="46">
        <v>290</v>
      </c>
      <c r="H584" s="46">
        <v>8.08</v>
      </c>
      <c r="I584" t="s">
        <v>23</v>
      </c>
    </row>
    <row r="585" spans="1:9" x14ac:dyDescent="0.25">
      <c r="A585" t="s">
        <v>623</v>
      </c>
      <c r="B585" t="s">
        <v>33</v>
      </c>
      <c r="C585" t="s">
        <v>656</v>
      </c>
      <c r="D585" t="s">
        <v>646</v>
      </c>
      <c r="E585" s="46">
        <v>3880</v>
      </c>
      <c r="F585" s="46">
        <v>3590</v>
      </c>
      <c r="G585" s="46">
        <v>290</v>
      </c>
      <c r="H585" s="46">
        <v>8.08</v>
      </c>
      <c r="I585" t="s">
        <v>23</v>
      </c>
    </row>
    <row r="586" spans="1:9" x14ac:dyDescent="0.25">
      <c r="A586" t="s">
        <v>623</v>
      </c>
      <c r="B586" t="s">
        <v>33</v>
      </c>
      <c r="C586" t="s">
        <v>657</v>
      </c>
      <c r="D586" t="s">
        <v>646</v>
      </c>
      <c r="E586" s="46">
        <v>3880</v>
      </c>
      <c r="F586" s="46">
        <v>3590</v>
      </c>
      <c r="G586" s="46">
        <v>290</v>
      </c>
      <c r="H586" s="46">
        <v>8.08</v>
      </c>
      <c r="I586" t="s">
        <v>23</v>
      </c>
    </row>
    <row r="587" spans="1:9" x14ac:dyDescent="0.25">
      <c r="A587" t="s">
        <v>623</v>
      </c>
      <c r="B587" t="s">
        <v>33</v>
      </c>
      <c r="C587" t="s">
        <v>658</v>
      </c>
      <c r="D587" t="s">
        <v>646</v>
      </c>
      <c r="E587" s="46">
        <v>3880</v>
      </c>
      <c r="F587" s="46">
        <v>3590</v>
      </c>
      <c r="G587" s="46">
        <v>290</v>
      </c>
      <c r="H587" s="46">
        <v>8.08</v>
      </c>
      <c r="I587" t="s">
        <v>23</v>
      </c>
    </row>
    <row r="588" spans="1:9" x14ac:dyDescent="0.25">
      <c r="A588" t="s">
        <v>623</v>
      </c>
      <c r="B588" t="s">
        <v>33</v>
      </c>
      <c r="C588" t="s">
        <v>659</v>
      </c>
      <c r="D588" t="s">
        <v>646</v>
      </c>
      <c r="E588" s="46">
        <v>3880</v>
      </c>
      <c r="F588" s="46">
        <v>3590</v>
      </c>
      <c r="G588" s="46">
        <v>290</v>
      </c>
      <c r="H588" s="46">
        <v>8.08</v>
      </c>
      <c r="I588" t="s">
        <v>23</v>
      </c>
    </row>
    <row r="589" spans="1:9" x14ac:dyDescent="0.25">
      <c r="A589" t="s">
        <v>623</v>
      </c>
      <c r="B589" t="s">
        <v>33</v>
      </c>
      <c r="C589" t="s">
        <v>660</v>
      </c>
      <c r="D589" t="s">
        <v>646</v>
      </c>
      <c r="E589" s="46">
        <v>3880</v>
      </c>
      <c r="F589" s="46">
        <v>3590</v>
      </c>
      <c r="G589" s="46">
        <v>290</v>
      </c>
      <c r="H589" s="46">
        <v>8.08</v>
      </c>
      <c r="I589" t="s">
        <v>23</v>
      </c>
    </row>
    <row r="590" spans="1:9" x14ac:dyDescent="0.25">
      <c r="A590" t="s">
        <v>623</v>
      </c>
      <c r="B590" t="s">
        <v>33</v>
      </c>
      <c r="C590" t="s">
        <v>661</v>
      </c>
      <c r="D590" t="s">
        <v>646</v>
      </c>
      <c r="E590" s="46">
        <v>3880</v>
      </c>
      <c r="F590" s="46">
        <v>3590</v>
      </c>
      <c r="G590" s="46">
        <v>290</v>
      </c>
      <c r="H590" s="46">
        <v>8.08</v>
      </c>
      <c r="I590" t="s">
        <v>23</v>
      </c>
    </row>
    <row r="591" spans="1:9" x14ac:dyDescent="0.25">
      <c r="A591" t="s">
        <v>623</v>
      </c>
      <c r="B591" t="s">
        <v>33</v>
      </c>
      <c r="C591" t="s">
        <v>662</v>
      </c>
      <c r="D591" t="s">
        <v>646</v>
      </c>
      <c r="E591" s="46">
        <v>3880</v>
      </c>
      <c r="F591" s="46">
        <v>3590</v>
      </c>
      <c r="G591" s="46">
        <v>290</v>
      </c>
      <c r="H591" s="46">
        <v>8.08</v>
      </c>
      <c r="I591" t="s">
        <v>23</v>
      </c>
    </row>
    <row r="592" spans="1:9" x14ac:dyDescent="0.25">
      <c r="A592" t="s">
        <v>623</v>
      </c>
      <c r="B592" t="s">
        <v>33</v>
      </c>
      <c r="C592" t="s">
        <v>663</v>
      </c>
      <c r="D592" t="s">
        <v>646</v>
      </c>
      <c r="E592" s="46">
        <v>3880</v>
      </c>
      <c r="F592" s="46">
        <v>3590</v>
      </c>
      <c r="G592" s="46">
        <v>290</v>
      </c>
      <c r="H592" s="46">
        <v>8.08</v>
      </c>
      <c r="I592" t="s">
        <v>23</v>
      </c>
    </row>
    <row r="593" spans="1:9" x14ac:dyDescent="0.25">
      <c r="A593" t="s">
        <v>623</v>
      </c>
      <c r="B593" t="s">
        <v>33</v>
      </c>
      <c r="C593" t="s">
        <v>664</v>
      </c>
      <c r="D593" t="s">
        <v>646</v>
      </c>
      <c r="E593" s="46">
        <v>3880</v>
      </c>
      <c r="F593" s="46">
        <v>3590</v>
      </c>
      <c r="G593" s="46">
        <v>290</v>
      </c>
      <c r="H593" s="46">
        <v>8.08</v>
      </c>
      <c r="I593" t="s">
        <v>23</v>
      </c>
    </row>
    <row r="594" spans="1:9" x14ac:dyDescent="0.25">
      <c r="A594" t="s">
        <v>623</v>
      </c>
      <c r="B594" t="s">
        <v>33</v>
      </c>
      <c r="C594" t="s">
        <v>665</v>
      </c>
      <c r="D594" t="s">
        <v>646</v>
      </c>
      <c r="E594" s="46">
        <v>3880</v>
      </c>
      <c r="F594" s="46">
        <v>3590</v>
      </c>
      <c r="G594" s="46">
        <v>290</v>
      </c>
      <c r="H594" s="46">
        <v>8.08</v>
      </c>
      <c r="I594" t="s">
        <v>23</v>
      </c>
    </row>
    <row r="595" spans="1:9" x14ac:dyDescent="0.25">
      <c r="A595" t="s">
        <v>623</v>
      </c>
      <c r="B595" t="s">
        <v>33</v>
      </c>
      <c r="C595" t="s">
        <v>666</v>
      </c>
      <c r="D595" t="s">
        <v>652</v>
      </c>
      <c r="E595" s="46">
        <v>3700</v>
      </c>
      <c r="F595" s="46">
        <v>3446.4</v>
      </c>
      <c r="G595" s="46">
        <v>253.6</v>
      </c>
      <c r="H595" s="46">
        <v>7.36</v>
      </c>
      <c r="I595" t="s">
        <v>23</v>
      </c>
    </row>
    <row r="596" spans="1:9" x14ac:dyDescent="0.25">
      <c r="A596" t="s">
        <v>623</v>
      </c>
      <c r="B596" t="s">
        <v>33</v>
      </c>
      <c r="C596" t="s">
        <v>667</v>
      </c>
      <c r="D596" t="s">
        <v>646</v>
      </c>
      <c r="E596" s="46">
        <v>3700</v>
      </c>
      <c r="F596" s="46">
        <v>3643.85</v>
      </c>
      <c r="G596" s="46">
        <v>56.15</v>
      </c>
      <c r="H596" s="46">
        <v>1.54</v>
      </c>
      <c r="I596" t="s">
        <v>23</v>
      </c>
    </row>
    <row r="597" spans="1:9" x14ac:dyDescent="0.25">
      <c r="A597" t="s">
        <v>623</v>
      </c>
      <c r="B597" t="s">
        <v>33</v>
      </c>
      <c r="C597" t="s">
        <v>668</v>
      </c>
      <c r="D597" t="s">
        <v>652</v>
      </c>
      <c r="E597" s="46">
        <v>3880</v>
      </c>
      <c r="F597" s="46">
        <v>3518.2</v>
      </c>
      <c r="G597" s="46">
        <v>361.8</v>
      </c>
      <c r="H597" s="46">
        <v>10.28</v>
      </c>
      <c r="I597" t="s">
        <v>23</v>
      </c>
    </row>
    <row r="598" spans="1:9" x14ac:dyDescent="0.25">
      <c r="A598" t="s">
        <v>623</v>
      </c>
      <c r="B598" t="s">
        <v>33</v>
      </c>
      <c r="C598" t="s">
        <v>669</v>
      </c>
      <c r="D598" t="s">
        <v>652</v>
      </c>
      <c r="E598" s="46">
        <v>3880</v>
      </c>
      <c r="F598" s="46">
        <v>3590</v>
      </c>
      <c r="G598" s="46">
        <v>290</v>
      </c>
      <c r="H598" s="46">
        <v>8.08</v>
      </c>
      <c r="I598" t="s">
        <v>23</v>
      </c>
    </row>
    <row r="599" spans="1:9" x14ac:dyDescent="0.25">
      <c r="A599" t="s">
        <v>623</v>
      </c>
      <c r="B599" t="s">
        <v>33</v>
      </c>
      <c r="C599" t="s">
        <v>670</v>
      </c>
      <c r="D599" t="s">
        <v>646</v>
      </c>
      <c r="E599" s="46">
        <v>3880</v>
      </c>
      <c r="F599" s="46">
        <v>3590</v>
      </c>
      <c r="G599" s="46">
        <v>290</v>
      </c>
      <c r="H599" s="46">
        <v>8.08</v>
      </c>
      <c r="I599" t="s">
        <v>23</v>
      </c>
    </row>
    <row r="600" spans="1:9" x14ac:dyDescent="0.25">
      <c r="A600" t="s">
        <v>623</v>
      </c>
      <c r="B600" t="s">
        <v>33</v>
      </c>
      <c r="C600" t="s">
        <v>671</v>
      </c>
      <c r="D600" t="s">
        <v>646</v>
      </c>
      <c r="E600" s="46">
        <v>3880</v>
      </c>
      <c r="F600" s="46">
        <v>3590</v>
      </c>
      <c r="G600" s="46">
        <v>290</v>
      </c>
      <c r="H600" s="46">
        <v>8.08</v>
      </c>
      <c r="I600" t="s">
        <v>23</v>
      </c>
    </row>
    <row r="601" spans="1:9" x14ac:dyDescent="0.25">
      <c r="A601" t="s">
        <v>623</v>
      </c>
      <c r="B601" t="s">
        <v>33</v>
      </c>
      <c r="C601" t="s">
        <v>672</v>
      </c>
      <c r="D601" t="s">
        <v>646</v>
      </c>
      <c r="E601" s="46">
        <v>3880</v>
      </c>
      <c r="F601" s="46">
        <v>3590</v>
      </c>
      <c r="G601" s="46">
        <v>290</v>
      </c>
      <c r="H601" s="46">
        <v>8.08</v>
      </c>
      <c r="I601" t="s">
        <v>23</v>
      </c>
    </row>
    <row r="602" spans="1:9" x14ac:dyDescent="0.25">
      <c r="A602" t="s">
        <v>623</v>
      </c>
      <c r="B602" t="s">
        <v>673</v>
      </c>
      <c r="C602" t="s">
        <v>674</v>
      </c>
      <c r="D602" t="s">
        <v>15</v>
      </c>
      <c r="E602" s="46">
        <v>1450</v>
      </c>
      <c r="F602" s="46">
        <v>1186.3499999999999</v>
      </c>
      <c r="G602" s="46">
        <v>263.64999999999998</v>
      </c>
      <c r="H602" s="46">
        <v>22.22</v>
      </c>
      <c r="I602" t="s">
        <v>23</v>
      </c>
    </row>
    <row r="603" spans="1:9" x14ac:dyDescent="0.25">
      <c r="A603" t="s">
        <v>623</v>
      </c>
      <c r="B603" t="s">
        <v>673</v>
      </c>
      <c r="C603" t="s">
        <v>675</v>
      </c>
      <c r="D603" t="s">
        <v>15</v>
      </c>
      <c r="E603" s="46">
        <v>1450</v>
      </c>
      <c r="F603" s="46">
        <v>1147.6600000000001</v>
      </c>
      <c r="G603" s="46">
        <v>302.33999999999997</v>
      </c>
      <c r="H603" s="46">
        <v>26.34</v>
      </c>
      <c r="I603" t="s">
        <v>16</v>
      </c>
    </row>
    <row r="604" spans="1:9" x14ac:dyDescent="0.25">
      <c r="A604" t="s">
        <v>623</v>
      </c>
      <c r="B604" t="s">
        <v>328</v>
      </c>
      <c r="C604" t="s">
        <v>676</v>
      </c>
      <c r="D604" t="s">
        <v>330</v>
      </c>
      <c r="E604" s="46">
        <v>1355</v>
      </c>
      <c r="F604" s="46">
        <v>1007.29</v>
      </c>
      <c r="G604" s="46">
        <v>347.71</v>
      </c>
      <c r="H604" s="46">
        <v>34.520000000000003</v>
      </c>
      <c r="I604" t="s">
        <v>81</v>
      </c>
    </row>
    <row r="605" spans="1:9" x14ac:dyDescent="0.25">
      <c r="A605" t="s">
        <v>623</v>
      </c>
      <c r="B605" t="s">
        <v>328</v>
      </c>
      <c r="C605" t="s">
        <v>677</v>
      </c>
      <c r="D605" t="s">
        <v>330</v>
      </c>
      <c r="E605" s="46">
        <v>1355</v>
      </c>
      <c r="F605" s="46">
        <v>1007.29</v>
      </c>
      <c r="G605" s="46">
        <v>347.71</v>
      </c>
      <c r="H605" s="46">
        <v>34.520000000000003</v>
      </c>
      <c r="I605" t="s">
        <v>81</v>
      </c>
    </row>
    <row r="606" spans="1:9" x14ac:dyDescent="0.25">
      <c r="A606" t="s">
        <v>623</v>
      </c>
      <c r="B606" t="s">
        <v>328</v>
      </c>
      <c r="C606" t="s">
        <v>678</v>
      </c>
      <c r="D606" t="s">
        <v>330</v>
      </c>
      <c r="E606" s="46">
        <v>1355</v>
      </c>
      <c r="F606" s="46">
        <v>1007.29</v>
      </c>
      <c r="G606" s="46">
        <v>347.71</v>
      </c>
      <c r="H606" s="46">
        <v>34.520000000000003</v>
      </c>
      <c r="I606" t="s">
        <v>81</v>
      </c>
    </row>
    <row r="607" spans="1:9" x14ac:dyDescent="0.25">
      <c r="A607" t="s">
        <v>623</v>
      </c>
      <c r="B607" t="s">
        <v>328</v>
      </c>
      <c r="C607" t="s">
        <v>679</v>
      </c>
      <c r="D607" t="s">
        <v>330</v>
      </c>
      <c r="E607" s="46">
        <v>1355</v>
      </c>
      <c r="F607" s="46">
        <v>1007.29</v>
      </c>
      <c r="G607" s="46">
        <v>347.71</v>
      </c>
      <c r="H607" s="46">
        <v>34.520000000000003</v>
      </c>
      <c r="I607" t="s">
        <v>81</v>
      </c>
    </row>
    <row r="608" spans="1:9" x14ac:dyDescent="0.25">
      <c r="A608" t="s">
        <v>623</v>
      </c>
      <c r="B608" t="s">
        <v>328</v>
      </c>
      <c r="C608" t="s">
        <v>680</v>
      </c>
      <c r="D608" t="s">
        <v>330</v>
      </c>
      <c r="E608" s="46">
        <v>1355</v>
      </c>
      <c r="F608" s="46">
        <v>1007.29</v>
      </c>
      <c r="G608" s="46">
        <v>347.71</v>
      </c>
      <c r="H608" s="46">
        <v>34.520000000000003</v>
      </c>
      <c r="I608" t="s">
        <v>81</v>
      </c>
    </row>
    <row r="609" spans="1:9" x14ac:dyDescent="0.25">
      <c r="A609" t="s">
        <v>623</v>
      </c>
      <c r="B609" t="s">
        <v>328</v>
      </c>
      <c r="C609" t="s">
        <v>681</v>
      </c>
      <c r="D609" t="s">
        <v>330</v>
      </c>
      <c r="E609" s="46">
        <v>1355</v>
      </c>
      <c r="F609" s="46">
        <v>1007.29</v>
      </c>
      <c r="G609" s="46">
        <v>347.71</v>
      </c>
      <c r="H609" s="46">
        <v>34.520000000000003</v>
      </c>
      <c r="I609" t="s">
        <v>81</v>
      </c>
    </row>
    <row r="610" spans="1:9" x14ac:dyDescent="0.25">
      <c r="A610" t="s">
        <v>623</v>
      </c>
      <c r="B610" t="s">
        <v>328</v>
      </c>
      <c r="C610" t="s">
        <v>682</v>
      </c>
      <c r="D610" t="s">
        <v>330</v>
      </c>
      <c r="E610" s="46">
        <v>1355</v>
      </c>
      <c r="F610" s="46">
        <v>1164.73</v>
      </c>
      <c r="G610" s="46">
        <v>190.27</v>
      </c>
      <c r="H610" s="46">
        <v>16.34</v>
      </c>
      <c r="I610" t="s">
        <v>81</v>
      </c>
    </row>
    <row r="611" spans="1:9" x14ac:dyDescent="0.25">
      <c r="A611" t="s">
        <v>623</v>
      </c>
      <c r="B611" t="s">
        <v>328</v>
      </c>
      <c r="C611" t="s">
        <v>683</v>
      </c>
      <c r="D611" t="s">
        <v>330</v>
      </c>
      <c r="E611" s="46">
        <v>1355</v>
      </c>
      <c r="F611" s="46">
        <v>1164.73</v>
      </c>
      <c r="G611" s="46">
        <v>190.27</v>
      </c>
      <c r="H611" s="46">
        <v>16.34</v>
      </c>
      <c r="I611" t="s">
        <v>81</v>
      </c>
    </row>
    <row r="612" spans="1:9" x14ac:dyDescent="0.25">
      <c r="A612" t="s">
        <v>623</v>
      </c>
      <c r="B612" t="s">
        <v>328</v>
      </c>
      <c r="C612" t="s">
        <v>684</v>
      </c>
      <c r="D612" t="s">
        <v>330</v>
      </c>
      <c r="E612" s="46">
        <v>1355</v>
      </c>
      <c r="F612" s="46">
        <v>1164.73</v>
      </c>
      <c r="G612" s="46">
        <v>190.27</v>
      </c>
      <c r="H612" s="46">
        <v>16.34</v>
      </c>
      <c r="I612" t="s">
        <v>81</v>
      </c>
    </row>
    <row r="613" spans="1:9" x14ac:dyDescent="0.25">
      <c r="A613" t="s">
        <v>623</v>
      </c>
      <c r="B613" t="s">
        <v>328</v>
      </c>
      <c r="C613" t="s">
        <v>685</v>
      </c>
      <c r="D613" t="s">
        <v>330</v>
      </c>
      <c r="E613" s="46">
        <v>1355</v>
      </c>
      <c r="F613" s="46">
        <v>1164.73</v>
      </c>
      <c r="G613" s="46">
        <v>190.27</v>
      </c>
      <c r="H613" s="46">
        <v>16.34</v>
      </c>
      <c r="I613" t="s">
        <v>81</v>
      </c>
    </row>
    <row r="614" spans="1:9" x14ac:dyDescent="0.25">
      <c r="A614" t="s">
        <v>623</v>
      </c>
      <c r="B614" t="s">
        <v>328</v>
      </c>
      <c r="C614" t="s">
        <v>686</v>
      </c>
      <c r="D614" t="s">
        <v>330</v>
      </c>
      <c r="E614" s="46">
        <v>1355</v>
      </c>
      <c r="F614" s="46">
        <v>1164.73</v>
      </c>
      <c r="G614" s="46">
        <v>190.27</v>
      </c>
      <c r="H614" s="46">
        <v>16.34</v>
      </c>
      <c r="I614" t="s">
        <v>81</v>
      </c>
    </row>
    <row r="615" spans="1:9" x14ac:dyDescent="0.25">
      <c r="A615" t="s">
        <v>623</v>
      </c>
      <c r="B615" t="s">
        <v>328</v>
      </c>
      <c r="C615" t="s">
        <v>687</v>
      </c>
      <c r="D615" t="s">
        <v>330</v>
      </c>
      <c r="E615" s="46">
        <v>1355</v>
      </c>
      <c r="F615" s="46">
        <v>1164.73</v>
      </c>
      <c r="G615" s="46">
        <v>190.27</v>
      </c>
      <c r="H615" s="46">
        <v>16.34</v>
      </c>
      <c r="I615" t="s">
        <v>81</v>
      </c>
    </row>
    <row r="616" spans="1:9" x14ac:dyDescent="0.25">
      <c r="A616" t="s">
        <v>623</v>
      </c>
      <c r="B616" t="s">
        <v>328</v>
      </c>
      <c r="C616" t="s">
        <v>688</v>
      </c>
      <c r="D616" t="s">
        <v>330</v>
      </c>
      <c r="E616" s="46">
        <v>1355</v>
      </c>
      <c r="F616" s="46">
        <v>1164.73</v>
      </c>
      <c r="G616" s="46">
        <v>190.27</v>
      </c>
      <c r="H616" s="46">
        <v>16.34</v>
      </c>
      <c r="I616" t="s">
        <v>81</v>
      </c>
    </row>
    <row r="617" spans="1:9" x14ac:dyDescent="0.25">
      <c r="A617" t="s">
        <v>623</v>
      </c>
      <c r="B617" t="s">
        <v>328</v>
      </c>
      <c r="C617" t="s">
        <v>689</v>
      </c>
      <c r="D617" t="s">
        <v>330</v>
      </c>
      <c r="E617" s="46">
        <v>1355</v>
      </c>
      <c r="F617" s="46">
        <v>1164.73</v>
      </c>
      <c r="G617" s="46">
        <v>190.27</v>
      </c>
      <c r="H617" s="46">
        <v>16.34</v>
      </c>
      <c r="I617" t="s">
        <v>81</v>
      </c>
    </row>
    <row r="618" spans="1:9" x14ac:dyDescent="0.25">
      <c r="A618" t="s">
        <v>623</v>
      </c>
      <c r="B618" t="s">
        <v>328</v>
      </c>
      <c r="C618" t="s">
        <v>690</v>
      </c>
      <c r="D618" t="s">
        <v>330</v>
      </c>
      <c r="E618" s="46">
        <v>1355</v>
      </c>
      <c r="F618" s="46">
        <v>1164.73</v>
      </c>
      <c r="G618" s="46">
        <v>190.27</v>
      </c>
      <c r="H618" s="46">
        <v>16.34</v>
      </c>
      <c r="I618" t="s">
        <v>81</v>
      </c>
    </row>
    <row r="619" spans="1:9" x14ac:dyDescent="0.25">
      <c r="A619" t="s">
        <v>623</v>
      </c>
      <c r="B619" t="s">
        <v>328</v>
      </c>
      <c r="C619" t="s">
        <v>691</v>
      </c>
      <c r="D619" t="s">
        <v>330</v>
      </c>
      <c r="E619" s="46">
        <v>1355</v>
      </c>
      <c r="F619" s="46">
        <v>1164.73</v>
      </c>
      <c r="G619" s="46">
        <v>190.27</v>
      </c>
      <c r="H619" s="46">
        <v>16.34</v>
      </c>
      <c r="I619" t="s">
        <v>81</v>
      </c>
    </row>
    <row r="620" spans="1:9" x14ac:dyDescent="0.25">
      <c r="A620" t="s">
        <v>623</v>
      </c>
      <c r="B620" t="s">
        <v>328</v>
      </c>
      <c r="C620" t="s">
        <v>692</v>
      </c>
      <c r="D620" t="s">
        <v>330</v>
      </c>
      <c r="E620" s="46">
        <v>1355</v>
      </c>
      <c r="F620" s="46">
        <v>1164.73</v>
      </c>
      <c r="G620" s="46">
        <v>190.27</v>
      </c>
      <c r="H620" s="46">
        <v>16.34</v>
      </c>
      <c r="I620" t="s">
        <v>81</v>
      </c>
    </row>
    <row r="621" spans="1:9" x14ac:dyDescent="0.25">
      <c r="A621" t="s">
        <v>623</v>
      </c>
      <c r="B621" t="s">
        <v>328</v>
      </c>
      <c r="C621" t="s">
        <v>693</v>
      </c>
      <c r="D621" t="s">
        <v>330</v>
      </c>
      <c r="E621" s="46">
        <v>1355</v>
      </c>
      <c r="F621" s="46">
        <v>1164.73</v>
      </c>
      <c r="G621" s="46">
        <v>190.27</v>
      </c>
      <c r="H621" s="46">
        <v>16.34</v>
      </c>
      <c r="I621" t="s">
        <v>81</v>
      </c>
    </row>
    <row r="622" spans="1:9" x14ac:dyDescent="0.25">
      <c r="A622" t="s">
        <v>623</v>
      </c>
      <c r="B622" t="s">
        <v>328</v>
      </c>
      <c r="C622" t="s">
        <v>694</v>
      </c>
      <c r="D622" t="s">
        <v>330</v>
      </c>
      <c r="E622" s="46">
        <v>1355</v>
      </c>
      <c r="F622" s="46">
        <v>1164.73</v>
      </c>
      <c r="G622" s="46">
        <v>190.27</v>
      </c>
      <c r="H622" s="46">
        <v>16.34</v>
      </c>
      <c r="I622" t="s">
        <v>81</v>
      </c>
    </row>
    <row r="623" spans="1:9" x14ac:dyDescent="0.25">
      <c r="A623" t="s">
        <v>623</v>
      </c>
      <c r="B623" t="s">
        <v>328</v>
      </c>
      <c r="C623" t="s">
        <v>695</v>
      </c>
      <c r="D623" t="s">
        <v>330</v>
      </c>
      <c r="E623" s="46">
        <v>1355</v>
      </c>
      <c r="F623" s="46">
        <v>1164.73</v>
      </c>
      <c r="G623" s="46">
        <v>190.27</v>
      </c>
      <c r="H623" s="46">
        <v>16.34</v>
      </c>
      <c r="I623" t="s">
        <v>81</v>
      </c>
    </row>
    <row r="624" spans="1:9" x14ac:dyDescent="0.25">
      <c r="A624" t="s">
        <v>623</v>
      </c>
      <c r="B624" t="s">
        <v>328</v>
      </c>
      <c r="C624" t="s">
        <v>696</v>
      </c>
      <c r="D624" t="s">
        <v>330</v>
      </c>
      <c r="E624" s="46">
        <v>1355</v>
      </c>
      <c r="F624" s="46">
        <v>1164.73</v>
      </c>
      <c r="G624" s="46">
        <v>190.27</v>
      </c>
      <c r="H624" s="46">
        <v>16.34</v>
      </c>
      <c r="I624" t="s">
        <v>81</v>
      </c>
    </row>
    <row r="625" spans="1:9" x14ac:dyDescent="0.25">
      <c r="A625" t="s">
        <v>623</v>
      </c>
      <c r="B625" t="s">
        <v>328</v>
      </c>
      <c r="C625" t="s">
        <v>697</v>
      </c>
      <c r="D625" t="s">
        <v>330</v>
      </c>
      <c r="E625" s="46">
        <v>1355</v>
      </c>
      <c r="F625" s="46">
        <v>1164.73</v>
      </c>
      <c r="G625" s="46">
        <v>190.27</v>
      </c>
      <c r="H625" s="46">
        <v>16.34</v>
      </c>
      <c r="I625" t="s">
        <v>81</v>
      </c>
    </row>
    <row r="626" spans="1:9" x14ac:dyDescent="0.25">
      <c r="A626" t="s">
        <v>623</v>
      </c>
      <c r="B626" t="s">
        <v>328</v>
      </c>
      <c r="C626" t="s">
        <v>698</v>
      </c>
      <c r="D626" t="s">
        <v>330</v>
      </c>
      <c r="E626" s="46">
        <v>1355</v>
      </c>
      <c r="F626" s="46">
        <v>1164.73</v>
      </c>
      <c r="G626" s="46">
        <v>190.27</v>
      </c>
      <c r="H626" s="46">
        <v>16.34</v>
      </c>
      <c r="I626" t="s">
        <v>81</v>
      </c>
    </row>
    <row r="627" spans="1:9" x14ac:dyDescent="0.25">
      <c r="A627" t="s">
        <v>623</v>
      </c>
      <c r="B627" t="s">
        <v>328</v>
      </c>
      <c r="C627" t="s">
        <v>699</v>
      </c>
      <c r="D627" t="s">
        <v>330</v>
      </c>
      <c r="E627" s="46">
        <v>1355</v>
      </c>
      <c r="F627" s="46">
        <v>1164.73</v>
      </c>
      <c r="G627" s="46">
        <v>190.27</v>
      </c>
      <c r="H627" s="46">
        <v>16.34</v>
      </c>
      <c r="I627" t="s">
        <v>81</v>
      </c>
    </row>
    <row r="628" spans="1:9" x14ac:dyDescent="0.25">
      <c r="A628" t="s">
        <v>623</v>
      </c>
      <c r="B628" t="s">
        <v>328</v>
      </c>
      <c r="C628" t="s">
        <v>700</v>
      </c>
      <c r="D628" t="s">
        <v>330</v>
      </c>
      <c r="E628" s="46">
        <v>1355</v>
      </c>
      <c r="F628" s="46">
        <v>1164.73</v>
      </c>
      <c r="G628" s="46">
        <v>190.27</v>
      </c>
      <c r="H628" s="46">
        <v>16.34</v>
      </c>
      <c r="I628" t="s">
        <v>81</v>
      </c>
    </row>
    <row r="629" spans="1:9" x14ac:dyDescent="0.25">
      <c r="A629" t="s">
        <v>623</v>
      </c>
      <c r="B629" t="s">
        <v>328</v>
      </c>
      <c r="C629" t="s">
        <v>701</v>
      </c>
      <c r="D629" t="s">
        <v>330</v>
      </c>
      <c r="E629" s="46">
        <v>1355</v>
      </c>
      <c r="F629" s="46">
        <v>1164.73</v>
      </c>
      <c r="G629" s="46">
        <v>190.27</v>
      </c>
      <c r="H629" s="46">
        <v>16.34</v>
      </c>
      <c r="I629" t="s">
        <v>81</v>
      </c>
    </row>
    <row r="630" spans="1:9" x14ac:dyDescent="0.25">
      <c r="A630" t="s">
        <v>623</v>
      </c>
      <c r="B630" t="s">
        <v>328</v>
      </c>
      <c r="C630" t="s">
        <v>702</v>
      </c>
      <c r="D630" t="s">
        <v>330</v>
      </c>
      <c r="E630" s="46">
        <v>1355</v>
      </c>
      <c r="F630" s="46">
        <v>1164.73</v>
      </c>
      <c r="G630" s="46">
        <v>190.27</v>
      </c>
      <c r="H630" s="46">
        <v>16.34</v>
      </c>
      <c r="I630" t="s">
        <v>81</v>
      </c>
    </row>
    <row r="631" spans="1:9" x14ac:dyDescent="0.25">
      <c r="A631" t="s">
        <v>623</v>
      </c>
      <c r="B631" t="s">
        <v>328</v>
      </c>
      <c r="C631" t="s">
        <v>703</v>
      </c>
      <c r="D631" t="s">
        <v>330</v>
      </c>
      <c r="E631" s="46">
        <v>1355</v>
      </c>
      <c r="F631" s="46">
        <v>1164.73</v>
      </c>
      <c r="G631" s="46">
        <v>190.27</v>
      </c>
      <c r="H631" s="46">
        <v>16.34</v>
      </c>
      <c r="I631" t="s">
        <v>81</v>
      </c>
    </row>
    <row r="632" spans="1:9" x14ac:dyDescent="0.25">
      <c r="A632" t="s">
        <v>623</v>
      </c>
      <c r="B632" t="s">
        <v>328</v>
      </c>
      <c r="C632" t="s">
        <v>704</v>
      </c>
      <c r="D632" t="s">
        <v>330</v>
      </c>
      <c r="E632" s="46">
        <v>1355</v>
      </c>
      <c r="F632" s="46">
        <v>1164.73</v>
      </c>
      <c r="G632" s="46">
        <v>190.27</v>
      </c>
      <c r="H632" s="46">
        <v>16.34</v>
      </c>
      <c r="I632" t="s">
        <v>81</v>
      </c>
    </row>
    <row r="633" spans="1:9" x14ac:dyDescent="0.25">
      <c r="A633" t="s">
        <v>623</v>
      </c>
      <c r="B633" t="s">
        <v>328</v>
      </c>
      <c r="C633" t="s">
        <v>705</v>
      </c>
      <c r="D633" t="s">
        <v>330</v>
      </c>
      <c r="E633" s="46">
        <v>1355</v>
      </c>
      <c r="F633" s="46">
        <v>1164.73</v>
      </c>
      <c r="G633" s="46">
        <v>190.27</v>
      </c>
      <c r="H633" s="46">
        <v>16.34</v>
      </c>
      <c r="I633" t="s">
        <v>81</v>
      </c>
    </row>
    <row r="634" spans="1:9" x14ac:dyDescent="0.25">
      <c r="A634" t="s">
        <v>623</v>
      </c>
      <c r="B634" t="s">
        <v>328</v>
      </c>
      <c r="C634" t="s">
        <v>706</v>
      </c>
      <c r="D634" t="s">
        <v>330</v>
      </c>
      <c r="E634" s="46">
        <v>1355</v>
      </c>
      <c r="F634" s="46">
        <v>1164.73</v>
      </c>
      <c r="G634" s="46">
        <v>190.27</v>
      </c>
      <c r="H634" s="46">
        <v>16.34</v>
      </c>
      <c r="I634" t="s">
        <v>81</v>
      </c>
    </row>
    <row r="635" spans="1:9" x14ac:dyDescent="0.25">
      <c r="A635" t="s">
        <v>623</v>
      </c>
      <c r="B635" t="s">
        <v>328</v>
      </c>
      <c r="C635" t="s">
        <v>707</v>
      </c>
      <c r="D635" t="s">
        <v>330</v>
      </c>
      <c r="E635" s="46">
        <v>1355</v>
      </c>
      <c r="F635" s="46">
        <v>1164.73</v>
      </c>
      <c r="G635" s="46">
        <v>190.27</v>
      </c>
      <c r="H635" s="46">
        <v>16.34</v>
      </c>
      <c r="I635" t="s">
        <v>81</v>
      </c>
    </row>
    <row r="636" spans="1:9" x14ac:dyDescent="0.25">
      <c r="A636" t="s">
        <v>623</v>
      </c>
      <c r="B636" t="s">
        <v>328</v>
      </c>
      <c r="C636" t="s">
        <v>708</v>
      </c>
      <c r="D636" t="s">
        <v>330</v>
      </c>
      <c r="E636" s="46">
        <v>1355</v>
      </c>
      <c r="F636" s="46">
        <v>1164.73</v>
      </c>
      <c r="G636" s="46">
        <v>190.27</v>
      </c>
      <c r="H636" s="46">
        <v>16.34</v>
      </c>
      <c r="I636" t="s">
        <v>81</v>
      </c>
    </row>
    <row r="637" spans="1:9" x14ac:dyDescent="0.25">
      <c r="A637" t="s">
        <v>623</v>
      </c>
      <c r="B637" t="s">
        <v>328</v>
      </c>
      <c r="C637" t="s">
        <v>709</v>
      </c>
      <c r="D637" t="s">
        <v>330</v>
      </c>
      <c r="E637" s="46">
        <v>1355</v>
      </c>
      <c r="F637" s="46">
        <v>1164.73</v>
      </c>
      <c r="G637" s="46">
        <v>190.27</v>
      </c>
      <c r="H637" s="46">
        <v>16.34</v>
      </c>
      <c r="I637" t="s">
        <v>81</v>
      </c>
    </row>
    <row r="638" spans="1:9" x14ac:dyDescent="0.25">
      <c r="A638" t="s">
        <v>623</v>
      </c>
      <c r="B638" t="s">
        <v>328</v>
      </c>
      <c r="C638" t="s">
        <v>710</v>
      </c>
      <c r="D638" t="s">
        <v>330</v>
      </c>
      <c r="E638" s="46">
        <v>1355</v>
      </c>
      <c r="F638" s="46">
        <v>1164.73</v>
      </c>
      <c r="G638" s="46">
        <v>190.27</v>
      </c>
      <c r="H638" s="46">
        <v>16.34</v>
      </c>
      <c r="I638" t="s">
        <v>81</v>
      </c>
    </row>
    <row r="639" spans="1:9" x14ac:dyDescent="0.25">
      <c r="A639" t="s">
        <v>623</v>
      </c>
      <c r="B639" t="s">
        <v>328</v>
      </c>
      <c r="C639" t="s">
        <v>711</v>
      </c>
      <c r="D639" t="s">
        <v>330</v>
      </c>
      <c r="E639" s="46">
        <v>1355</v>
      </c>
      <c r="F639" s="46">
        <v>1164.73</v>
      </c>
      <c r="G639" s="46">
        <v>190.27</v>
      </c>
      <c r="H639" s="46">
        <v>16.34</v>
      </c>
      <c r="I639" t="s">
        <v>81</v>
      </c>
    </row>
    <row r="640" spans="1:9" x14ac:dyDescent="0.25">
      <c r="A640" t="s">
        <v>623</v>
      </c>
      <c r="B640" t="s">
        <v>328</v>
      </c>
      <c r="C640" t="s">
        <v>712</v>
      </c>
      <c r="D640" t="s">
        <v>330</v>
      </c>
      <c r="E640" s="46">
        <v>1355</v>
      </c>
      <c r="F640" s="46">
        <v>1164.73</v>
      </c>
      <c r="G640" s="46">
        <v>190.27</v>
      </c>
      <c r="H640" s="46">
        <v>16.34</v>
      </c>
      <c r="I640" t="s">
        <v>81</v>
      </c>
    </row>
    <row r="641" spans="1:9" x14ac:dyDescent="0.25">
      <c r="A641" t="s">
        <v>623</v>
      </c>
      <c r="B641" t="s">
        <v>328</v>
      </c>
      <c r="C641" t="s">
        <v>713</v>
      </c>
      <c r="D641" t="s">
        <v>330</v>
      </c>
      <c r="E641" s="46">
        <v>1355</v>
      </c>
      <c r="F641" s="46">
        <v>1164.73</v>
      </c>
      <c r="G641" s="46">
        <v>190.27</v>
      </c>
      <c r="H641" s="46">
        <v>16.34</v>
      </c>
      <c r="I641" t="s">
        <v>81</v>
      </c>
    </row>
    <row r="642" spans="1:9" x14ac:dyDescent="0.25">
      <c r="A642" t="s">
        <v>623</v>
      </c>
      <c r="B642" t="s">
        <v>328</v>
      </c>
      <c r="C642" t="s">
        <v>714</v>
      </c>
      <c r="D642" t="s">
        <v>330</v>
      </c>
      <c r="E642" s="46">
        <v>1355</v>
      </c>
      <c r="F642" s="46">
        <v>1164.73</v>
      </c>
      <c r="G642" s="46">
        <v>190.27</v>
      </c>
      <c r="H642" s="46">
        <v>16.34</v>
      </c>
      <c r="I642" t="s">
        <v>81</v>
      </c>
    </row>
    <row r="643" spans="1:9" x14ac:dyDescent="0.25">
      <c r="A643" t="s">
        <v>623</v>
      </c>
      <c r="B643" t="s">
        <v>328</v>
      </c>
      <c r="C643" t="s">
        <v>715</v>
      </c>
      <c r="D643" t="s">
        <v>330</v>
      </c>
      <c r="E643" s="46">
        <v>1355</v>
      </c>
      <c r="F643" s="46">
        <v>1164.73</v>
      </c>
      <c r="G643" s="46">
        <v>190.27</v>
      </c>
      <c r="H643" s="46">
        <v>16.34</v>
      </c>
      <c r="I643" t="s">
        <v>81</v>
      </c>
    </row>
    <row r="644" spans="1:9" x14ac:dyDescent="0.25">
      <c r="A644" t="s">
        <v>623</v>
      </c>
      <c r="B644" t="s">
        <v>328</v>
      </c>
      <c r="C644" t="s">
        <v>716</v>
      </c>
      <c r="D644" t="s">
        <v>330</v>
      </c>
      <c r="E644" s="46">
        <v>1355</v>
      </c>
      <c r="F644" s="46">
        <v>1164.73</v>
      </c>
      <c r="G644" s="46">
        <v>190.27</v>
      </c>
      <c r="H644" s="46">
        <v>16.34</v>
      </c>
      <c r="I644" t="s">
        <v>81</v>
      </c>
    </row>
    <row r="645" spans="1:9" x14ac:dyDescent="0.25">
      <c r="A645" t="s">
        <v>623</v>
      </c>
      <c r="B645" t="s">
        <v>328</v>
      </c>
      <c r="C645" t="s">
        <v>717</v>
      </c>
      <c r="D645" t="s">
        <v>330</v>
      </c>
      <c r="E645" s="46">
        <v>1355</v>
      </c>
      <c r="F645" s="46">
        <v>1164.73</v>
      </c>
      <c r="G645" s="46">
        <v>190.27</v>
      </c>
      <c r="H645" s="46">
        <v>16.34</v>
      </c>
      <c r="I645" t="s">
        <v>81</v>
      </c>
    </row>
    <row r="646" spans="1:9" x14ac:dyDescent="0.25">
      <c r="A646" t="s">
        <v>623</v>
      </c>
      <c r="B646" t="s">
        <v>328</v>
      </c>
      <c r="C646" t="s">
        <v>718</v>
      </c>
      <c r="D646" t="s">
        <v>330</v>
      </c>
      <c r="E646" s="46">
        <v>1355</v>
      </c>
      <c r="F646" s="46">
        <v>1164.73</v>
      </c>
      <c r="G646" s="46">
        <v>190.27</v>
      </c>
      <c r="H646" s="46">
        <v>16.34</v>
      </c>
      <c r="I646" t="s">
        <v>81</v>
      </c>
    </row>
    <row r="647" spans="1:9" x14ac:dyDescent="0.25">
      <c r="A647" t="s">
        <v>623</v>
      </c>
      <c r="B647" t="s">
        <v>328</v>
      </c>
      <c r="C647" t="s">
        <v>719</v>
      </c>
      <c r="D647" t="s">
        <v>330</v>
      </c>
      <c r="E647" s="46">
        <v>1355</v>
      </c>
      <c r="F647" s="46">
        <v>1164.73</v>
      </c>
      <c r="G647" s="46">
        <v>190.27</v>
      </c>
      <c r="H647" s="46">
        <v>16.34</v>
      </c>
      <c r="I647" t="s">
        <v>81</v>
      </c>
    </row>
    <row r="648" spans="1:9" x14ac:dyDescent="0.25">
      <c r="A648" t="s">
        <v>623</v>
      </c>
      <c r="B648" t="s">
        <v>328</v>
      </c>
      <c r="C648" t="s">
        <v>720</v>
      </c>
      <c r="D648" t="s">
        <v>330</v>
      </c>
      <c r="E648" s="46">
        <v>1355</v>
      </c>
      <c r="F648" s="46">
        <v>1164.73</v>
      </c>
      <c r="G648" s="46">
        <v>190.27</v>
      </c>
      <c r="H648" s="46">
        <v>16.34</v>
      </c>
      <c r="I648" t="s">
        <v>81</v>
      </c>
    </row>
    <row r="649" spans="1:9" x14ac:dyDescent="0.25">
      <c r="A649" t="s">
        <v>623</v>
      </c>
      <c r="B649" t="s">
        <v>328</v>
      </c>
      <c r="C649" t="s">
        <v>721</v>
      </c>
      <c r="D649" t="s">
        <v>330</v>
      </c>
      <c r="E649" s="46">
        <v>1355</v>
      </c>
      <c r="F649" s="46">
        <v>1164.73</v>
      </c>
      <c r="G649" s="46">
        <v>190.27</v>
      </c>
      <c r="H649" s="46">
        <v>16.34</v>
      </c>
      <c r="I649" t="s">
        <v>81</v>
      </c>
    </row>
    <row r="650" spans="1:9" x14ac:dyDescent="0.25">
      <c r="A650" t="s">
        <v>623</v>
      </c>
      <c r="B650" t="s">
        <v>328</v>
      </c>
      <c r="C650" t="s">
        <v>722</v>
      </c>
      <c r="D650" t="s">
        <v>330</v>
      </c>
      <c r="E650" s="46">
        <v>1355</v>
      </c>
      <c r="F650" s="46">
        <v>1164.73</v>
      </c>
      <c r="G650" s="46">
        <v>190.27</v>
      </c>
      <c r="H650" s="46">
        <v>16.34</v>
      </c>
      <c r="I650" t="s">
        <v>81</v>
      </c>
    </row>
    <row r="651" spans="1:9" x14ac:dyDescent="0.25">
      <c r="A651" t="s">
        <v>623</v>
      </c>
      <c r="B651" t="s">
        <v>328</v>
      </c>
      <c r="C651" t="s">
        <v>723</v>
      </c>
      <c r="D651" t="s">
        <v>330</v>
      </c>
      <c r="E651" s="46">
        <v>1355</v>
      </c>
      <c r="F651" s="46">
        <v>1164.73</v>
      </c>
      <c r="G651" s="46">
        <v>190.27</v>
      </c>
      <c r="H651" s="46">
        <v>16.34</v>
      </c>
      <c r="I651" t="s">
        <v>81</v>
      </c>
    </row>
    <row r="652" spans="1:9" x14ac:dyDescent="0.25">
      <c r="A652" t="s">
        <v>623</v>
      </c>
      <c r="B652" t="s">
        <v>328</v>
      </c>
      <c r="C652" t="s">
        <v>724</v>
      </c>
      <c r="D652" t="s">
        <v>330</v>
      </c>
      <c r="E652" s="46">
        <v>1355</v>
      </c>
      <c r="F652" s="46">
        <v>1164.73</v>
      </c>
      <c r="G652" s="46">
        <v>190.27</v>
      </c>
      <c r="H652" s="46">
        <v>16.34</v>
      </c>
      <c r="I652" t="s">
        <v>81</v>
      </c>
    </row>
    <row r="653" spans="1:9" x14ac:dyDescent="0.25">
      <c r="A653" t="s">
        <v>623</v>
      </c>
      <c r="B653" t="s">
        <v>328</v>
      </c>
      <c r="C653" t="s">
        <v>725</v>
      </c>
      <c r="D653" t="s">
        <v>330</v>
      </c>
      <c r="E653" s="46">
        <v>1355</v>
      </c>
      <c r="F653" s="46">
        <v>1164.73</v>
      </c>
      <c r="G653" s="46">
        <v>190.27</v>
      </c>
      <c r="H653" s="46">
        <v>16.34</v>
      </c>
      <c r="I653" t="s">
        <v>81</v>
      </c>
    </row>
    <row r="654" spans="1:9" x14ac:dyDescent="0.25">
      <c r="A654" t="s">
        <v>726</v>
      </c>
      <c r="B654" t="s">
        <v>70</v>
      </c>
      <c r="C654" t="s">
        <v>727</v>
      </c>
      <c r="D654" t="s">
        <v>15</v>
      </c>
      <c r="E654" s="46">
        <v>3690</v>
      </c>
      <c r="F654" s="46">
        <v>2829.19</v>
      </c>
      <c r="G654" s="46">
        <v>860.81</v>
      </c>
      <c r="H654" s="46">
        <v>30.43</v>
      </c>
      <c r="I654" t="s">
        <v>16</v>
      </c>
    </row>
    <row r="655" spans="1:9" x14ac:dyDescent="0.25">
      <c r="A655" t="s">
        <v>726</v>
      </c>
      <c r="B655" t="s">
        <v>70</v>
      </c>
      <c r="C655" t="s">
        <v>728</v>
      </c>
      <c r="D655" t="s">
        <v>15</v>
      </c>
      <c r="E655" s="46">
        <v>3690</v>
      </c>
      <c r="F655" s="46">
        <v>2829.19</v>
      </c>
      <c r="G655" s="46">
        <v>860.81</v>
      </c>
      <c r="H655" s="46">
        <v>30.43</v>
      </c>
      <c r="I655" t="s">
        <v>16</v>
      </c>
    </row>
    <row r="656" spans="1:9" x14ac:dyDescent="0.25">
      <c r="A656" t="s">
        <v>726</v>
      </c>
      <c r="B656" t="s">
        <v>70</v>
      </c>
      <c r="C656" t="s">
        <v>729</v>
      </c>
      <c r="D656" t="s">
        <v>15</v>
      </c>
      <c r="E656" s="46">
        <v>3690</v>
      </c>
      <c r="F656" s="46">
        <v>2829.19</v>
      </c>
      <c r="G656" s="46">
        <v>860.81</v>
      </c>
      <c r="H656" s="46">
        <v>30.43</v>
      </c>
      <c r="I656" t="s">
        <v>16</v>
      </c>
    </row>
    <row r="657" spans="1:9" x14ac:dyDescent="0.25">
      <c r="A657" t="s">
        <v>726</v>
      </c>
      <c r="B657" t="s">
        <v>70</v>
      </c>
      <c r="C657" t="s">
        <v>730</v>
      </c>
      <c r="D657" t="s">
        <v>15</v>
      </c>
      <c r="E657" s="46">
        <v>3690</v>
      </c>
      <c r="F657" s="46">
        <v>2829.19</v>
      </c>
      <c r="G657" s="46">
        <v>860.81</v>
      </c>
      <c r="H657" s="46">
        <v>30.43</v>
      </c>
      <c r="I657" t="s">
        <v>16</v>
      </c>
    </row>
    <row r="658" spans="1:9" x14ac:dyDescent="0.25">
      <c r="A658" t="s">
        <v>726</v>
      </c>
      <c r="B658" t="s">
        <v>70</v>
      </c>
      <c r="C658" t="s">
        <v>731</v>
      </c>
      <c r="D658" t="s">
        <v>15</v>
      </c>
      <c r="E658" s="46">
        <v>3690</v>
      </c>
      <c r="F658" s="46">
        <v>2829.19</v>
      </c>
      <c r="G658" s="46">
        <v>860.81</v>
      </c>
      <c r="H658" s="46">
        <v>30.43</v>
      </c>
      <c r="I658" t="s">
        <v>16</v>
      </c>
    </row>
    <row r="659" spans="1:9" x14ac:dyDescent="0.25">
      <c r="A659" t="s">
        <v>726</v>
      </c>
      <c r="B659" t="s">
        <v>33</v>
      </c>
      <c r="C659" t="s">
        <v>732</v>
      </c>
      <c r="D659" t="s">
        <v>15</v>
      </c>
      <c r="E659" s="46">
        <v>3949.36</v>
      </c>
      <c r="F659" s="46">
        <v>3343.35</v>
      </c>
      <c r="G659" s="46">
        <v>606.01</v>
      </c>
      <c r="H659" s="46">
        <v>18.13</v>
      </c>
      <c r="I659" t="s">
        <v>23</v>
      </c>
    </row>
    <row r="660" spans="1:9" x14ac:dyDescent="0.25">
      <c r="A660" t="s">
        <v>726</v>
      </c>
      <c r="B660" t="s">
        <v>33</v>
      </c>
      <c r="C660" t="s">
        <v>733</v>
      </c>
      <c r="D660" t="s">
        <v>15</v>
      </c>
      <c r="E660" s="46">
        <v>3550</v>
      </c>
      <c r="F660" s="46">
        <v>3231</v>
      </c>
      <c r="G660" s="46">
        <v>319</v>
      </c>
      <c r="H660" s="46">
        <v>9.8699999999999992</v>
      </c>
      <c r="I660" t="s">
        <v>23</v>
      </c>
    </row>
    <row r="661" spans="1:9" x14ac:dyDescent="0.25">
      <c r="A661" t="s">
        <v>726</v>
      </c>
      <c r="B661" t="s">
        <v>33</v>
      </c>
      <c r="C661" t="s">
        <v>734</v>
      </c>
      <c r="D661" t="s">
        <v>15</v>
      </c>
      <c r="E661" s="46">
        <v>3550</v>
      </c>
      <c r="F661" s="46">
        <v>3231</v>
      </c>
      <c r="G661" s="46">
        <v>319</v>
      </c>
      <c r="H661" s="46">
        <v>9.8699999999999992</v>
      </c>
      <c r="I661" t="s">
        <v>23</v>
      </c>
    </row>
    <row r="662" spans="1:9" x14ac:dyDescent="0.25">
      <c r="A662" t="s">
        <v>726</v>
      </c>
      <c r="B662" t="s">
        <v>33</v>
      </c>
      <c r="C662" t="s">
        <v>735</v>
      </c>
      <c r="D662" t="s">
        <v>15</v>
      </c>
      <c r="E662" s="46">
        <v>3550</v>
      </c>
      <c r="F662" s="46">
        <v>3338.7</v>
      </c>
      <c r="G662" s="46">
        <v>211.3</v>
      </c>
      <c r="H662" s="46">
        <v>6.33</v>
      </c>
      <c r="I662" t="s">
        <v>23</v>
      </c>
    </row>
    <row r="663" spans="1:9" x14ac:dyDescent="0.25">
      <c r="A663" s="3" t="s">
        <v>726</v>
      </c>
      <c r="B663" s="3" t="s">
        <v>736</v>
      </c>
      <c r="C663" s="3" t="s">
        <v>737</v>
      </c>
      <c r="D663" s="3" t="s">
        <v>15</v>
      </c>
      <c r="E663" s="70">
        <v>45</v>
      </c>
      <c r="F663" s="70">
        <v>1</v>
      </c>
      <c r="G663" s="70">
        <v>44</v>
      </c>
      <c r="H663" s="70">
        <v>4400</v>
      </c>
      <c r="I663" s="3" t="s">
        <v>738</v>
      </c>
    </row>
    <row r="664" spans="1:9" x14ac:dyDescent="0.25">
      <c r="A664" s="3" t="s">
        <v>726</v>
      </c>
      <c r="B664" s="3" t="s">
        <v>736</v>
      </c>
      <c r="C664" s="3" t="s">
        <v>739</v>
      </c>
      <c r="D664" s="3" t="s">
        <v>15</v>
      </c>
      <c r="E664" s="70">
        <v>45</v>
      </c>
      <c r="F664" s="70">
        <v>1</v>
      </c>
      <c r="G664" s="70">
        <v>44</v>
      </c>
      <c r="H664" s="70">
        <v>4400</v>
      </c>
      <c r="I664" s="3" t="s">
        <v>738</v>
      </c>
    </row>
    <row r="665" spans="1:9" x14ac:dyDescent="0.25">
      <c r="A665" s="3" t="s">
        <v>726</v>
      </c>
      <c r="B665" s="3" t="s">
        <v>736</v>
      </c>
      <c r="C665" s="3" t="s">
        <v>740</v>
      </c>
      <c r="D665" s="3" t="s">
        <v>15</v>
      </c>
      <c r="E665" s="70">
        <v>45</v>
      </c>
      <c r="F665" s="70">
        <v>1</v>
      </c>
      <c r="G665" s="70">
        <v>44</v>
      </c>
      <c r="H665" s="70">
        <v>4400</v>
      </c>
      <c r="I665" s="3" t="s">
        <v>738</v>
      </c>
    </row>
    <row r="666" spans="1:9" x14ac:dyDescent="0.25">
      <c r="A666" s="3" t="s">
        <v>726</v>
      </c>
      <c r="B666" s="3" t="s">
        <v>736</v>
      </c>
      <c r="C666" s="3" t="s">
        <v>741</v>
      </c>
      <c r="D666" s="3" t="s">
        <v>15</v>
      </c>
      <c r="E666" s="70">
        <v>45</v>
      </c>
      <c r="F666" s="70">
        <v>1</v>
      </c>
      <c r="G666" s="70">
        <v>44</v>
      </c>
      <c r="H666" s="70">
        <v>4400</v>
      </c>
      <c r="I666" s="3" t="s">
        <v>738</v>
      </c>
    </row>
    <row r="667" spans="1:9" x14ac:dyDescent="0.25">
      <c r="A667" s="3" t="s">
        <v>726</v>
      </c>
      <c r="B667" s="3" t="s">
        <v>736</v>
      </c>
      <c r="C667" s="3" t="s">
        <v>742</v>
      </c>
      <c r="D667" s="3" t="s">
        <v>15</v>
      </c>
      <c r="E667" s="70">
        <v>45</v>
      </c>
      <c r="F667" s="70">
        <v>1</v>
      </c>
      <c r="G667" s="70">
        <v>44</v>
      </c>
      <c r="H667" s="70">
        <v>4400</v>
      </c>
      <c r="I667" s="3" t="s">
        <v>738</v>
      </c>
    </row>
    <row r="668" spans="1:9" x14ac:dyDescent="0.25">
      <c r="A668" s="3" t="s">
        <v>726</v>
      </c>
      <c r="B668" s="3" t="s">
        <v>736</v>
      </c>
      <c r="C668" s="3" t="s">
        <v>743</v>
      </c>
      <c r="D668" s="3" t="s">
        <v>15</v>
      </c>
      <c r="E668" s="70">
        <v>45</v>
      </c>
      <c r="F668" s="70">
        <v>1</v>
      </c>
      <c r="G668" s="70">
        <v>44</v>
      </c>
      <c r="H668" s="70">
        <v>4400</v>
      </c>
      <c r="I668" s="3" t="s">
        <v>738</v>
      </c>
    </row>
    <row r="669" spans="1:9" x14ac:dyDescent="0.25">
      <c r="A669" s="3" t="s">
        <v>726</v>
      </c>
      <c r="B669" s="3" t="s">
        <v>736</v>
      </c>
      <c r="C669" s="3" t="s">
        <v>744</v>
      </c>
      <c r="D669" s="3" t="s">
        <v>15</v>
      </c>
      <c r="E669" s="70">
        <v>45</v>
      </c>
      <c r="F669" s="70">
        <v>1</v>
      </c>
      <c r="G669" s="70">
        <v>44</v>
      </c>
      <c r="H669" s="70">
        <v>4400</v>
      </c>
      <c r="I669" s="3" t="s">
        <v>738</v>
      </c>
    </row>
    <row r="670" spans="1:9" x14ac:dyDescent="0.25">
      <c r="A670" s="3" t="s">
        <v>726</v>
      </c>
      <c r="B670" s="3" t="s">
        <v>736</v>
      </c>
      <c r="C670" s="3" t="s">
        <v>745</v>
      </c>
      <c r="D670" s="3" t="s">
        <v>15</v>
      </c>
      <c r="E670" s="70">
        <v>45</v>
      </c>
      <c r="F670" s="70">
        <v>1</v>
      </c>
      <c r="G670" s="70">
        <v>44</v>
      </c>
      <c r="H670" s="70">
        <v>4400</v>
      </c>
      <c r="I670" s="3" t="s">
        <v>738</v>
      </c>
    </row>
    <row r="671" spans="1:9" x14ac:dyDescent="0.25">
      <c r="A671" s="3" t="s">
        <v>726</v>
      </c>
      <c r="B671" s="3" t="s">
        <v>736</v>
      </c>
      <c r="C671" s="3" t="s">
        <v>746</v>
      </c>
      <c r="D671" s="3" t="s">
        <v>15</v>
      </c>
      <c r="E671" s="70">
        <v>45</v>
      </c>
      <c r="F671" s="70">
        <v>1</v>
      </c>
      <c r="G671" s="70">
        <v>44</v>
      </c>
      <c r="H671" s="70">
        <v>4400</v>
      </c>
      <c r="I671" s="3" t="s">
        <v>738</v>
      </c>
    </row>
    <row r="672" spans="1:9" x14ac:dyDescent="0.25">
      <c r="A672" s="3" t="s">
        <v>726</v>
      </c>
      <c r="B672" s="3" t="s">
        <v>736</v>
      </c>
      <c r="C672" s="3" t="s">
        <v>747</v>
      </c>
      <c r="D672" s="3" t="s">
        <v>15</v>
      </c>
      <c r="E672" s="70">
        <v>45</v>
      </c>
      <c r="F672" s="70">
        <v>1</v>
      </c>
      <c r="G672" s="70">
        <v>44</v>
      </c>
      <c r="H672" s="70">
        <v>4400</v>
      </c>
      <c r="I672" s="3" t="s">
        <v>738</v>
      </c>
    </row>
    <row r="673" spans="1:9" x14ac:dyDescent="0.25">
      <c r="A673" s="3" t="s">
        <v>726</v>
      </c>
      <c r="B673" s="3" t="s">
        <v>736</v>
      </c>
      <c r="C673" s="3" t="s">
        <v>748</v>
      </c>
      <c r="D673" s="3" t="s">
        <v>15</v>
      </c>
      <c r="E673" s="70">
        <v>45</v>
      </c>
      <c r="F673" s="70">
        <v>1</v>
      </c>
      <c r="G673" s="70">
        <v>44</v>
      </c>
      <c r="H673" s="70">
        <v>4400</v>
      </c>
      <c r="I673" s="3" t="s">
        <v>738</v>
      </c>
    </row>
    <row r="674" spans="1:9" x14ac:dyDescent="0.25">
      <c r="A674" s="3" t="s">
        <v>726</v>
      </c>
      <c r="B674" s="3" t="s">
        <v>736</v>
      </c>
      <c r="C674" s="3" t="s">
        <v>749</v>
      </c>
      <c r="D674" s="3" t="s">
        <v>15</v>
      </c>
      <c r="E674" s="70">
        <v>45</v>
      </c>
      <c r="F674" s="70">
        <v>1</v>
      </c>
      <c r="G674" s="70">
        <v>44</v>
      </c>
      <c r="H674" s="70">
        <v>4400</v>
      </c>
      <c r="I674" s="3" t="s">
        <v>738</v>
      </c>
    </row>
    <row r="675" spans="1:9" x14ac:dyDescent="0.25">
      <c r="A675" s="3" t="s">
        <v>726</v>
      </c>
      <c r="B675" s="3" t="s">
        <v>736</v>
      </c>
      <c r="C675" s="3" t="s">
        <v>750</v>
      </c>
      <c r="D675" s="3" t="s">
        <v>15</v>
      </c>
      <c r="E675" s="70">
        <v>45</v>
      </c>
      <c r="F675" s="70">
        <v>1</v>
      </c>
      <c r="G675" s="70">
        <v>44</v>
      </c>
      <c r="H675" s="70">
        <v>4400</v>
      </c>
      <c r="I675" s="3" t="s">
        <v>738</v>
      </c>
    </row>
    <row r="676" spans="1:9" x14ac:dyDescent="0.25">
      <c r="A676" s="3" t="s">
        <v>726</v>
      </c>
      <c r="B676" s="3" t="s">
        <v>736</v>
      </c>
      <c r="C676" s="3" t="s">
        <v>751</v>
      </c>
      <c r="D676" s="3" t="s">
        <v>15</v>
      </c>
      <c r="E676" s="70">
        <v>45</v>
      </c>
      <c r="F676" s="70">
        <v>1</v>
      </c>
      <c r="G676" s="70">
        <v>44</v>
      </c>
      <c r="H676" s="70">
        <v>4400</v>
      </c>
      <c r="I676" s="3" t="s">
        <v>738</v>
      </c>
    </row>
    <row r="677" spans="1:9" x14ac:dyDescent="0.25">
      <c r="A677" s="3" t="s">
        <v>726</v>
      </c>
      <c r="B677" s="3" t="s">
        <v>736</v>
      </c>
      <c r="C677" s="3" t="s">
        <v>752</v>
      </c>
      <c r="D677" s="3" t="s">
        <v>15</v>
      </c>
      <c r="E677" s="70">
        <v>45</v>
      </c>
      <c r="F677" s="70">
        <v>1</v>
      </c>
      <c r="G677" s="70">
        <v>44</v>
      </c>
      <c r="H677" s="70">
        <v>4400</v>
      </c>
      <c r="I677" s="3" t="s">
        <v>738</v>
      </c>
    </row>
    <row r="678" spans="1:9" x14ac:dyDescent="0.25">
      <c r="A678" s="3" t="s">
        <v>726</v>
      </c>
      <c r="B678" s="3" t="s">
        <v>736</v>
      </c>
      <c r="C678" s="3" t="s">
        <v>753</v>
      </c>
      <c r="D678" s="3" t="s">
        <v>15</v>
      </c>
      <c r="E678" s="70">
        <v>45</v>
      </c>
      <c r="F678" s="70">
        <v>1</v>
      </c>
      <c r="G678" s="70">
        <v>44</v>
      </c>
      <c r="H678" s="70">
        <v>4400</v>
      </c>
      <c r="I678" s="3" t="s">
        <v>738</v>
      </c>
    </row>
    <row r="679" spans="1:9" x14ac:dyDescent="0.25">
      <c r="A679" s="3" t="s">
        <v>726</v>
      </c>
      <c r="B679" s="3" t="s">
        <v>736</v>
      </c>
      <c r="C679" s="3" t="s">
        <v>754</v>
      </c>
      <c r="D679" s="3" t="s">
        <v>15</v>
      </c>
      <c r="E679" s="70">
        <v>45</v>
      </c>
      <c r="F679" s="70">
        <v>1</v>
      </c>
      <c r="G679" s="70">
        <v>44</v>
      </c>
      <c r="H679" s="70">
        <v>4400</v>
      </c>
      <c r="I679" s="3" t="s">
        <v>738</v>
      </c>
    </row>
    <row r="680" spans="1:9" x14ac:dyDescent="0.25">
      <c r="A680" s="3" t="s">
        <v>726</v>
      </c>
      <c r="B680" s="3" t="s">
        <v>736</v>
      </c>
      <c r="C680" s="3" t="s">
        <v>755</v>
      </c>
      <c r="D680" s="3" t="s">
        <v>15</v>
      </c>
      <c r="E680" s="70">
        <v>45</v>
      </c>
      <c r="F680" s="70">
        <v>1</v>
      </c>
      <c r="G680" s="70">
        <v>44</v>
      </c>
      <c r="H680" s="70">
        <v>4400</v>
      </c>
      <c r="I680" s="3" t="s">
        <v>738</v>
      </c>
    </row>
    <row r="681" spans="1:9" x14ac:dyDescent="0.25">
      <c r="A681" s="3" t="s">
        <v>726</v>
      </c>
      <c r="B681" s="3" t="s">
        <v>736</v>
      </c>
      <c r="C681" s="3" t="s">
        <v>756</v>
      </c>
      <c r="D681" s="3" t="s">
        <v>15</v>
      </c>
      <c r="E681" s="70">
        <v>45</v>
      </c>
      <c r="F681" s="70">
        <v>1</v>
      </c>
      <c r="G681" s="70">
        <v>44</v>
      </c>
      <c r="H681" s="70">
        <v>4400</v>
      </c>
      <c r="I681" s="3" t="s">
        <v>738</v>
      </c>
    </row>
    <row r="682" spans="1:9" x14ac:dyDescent="0.25">
      <c r="A682" t="s">
        <v>726</v>
      </c>
      <c r="B682" t="s">
        <v>673</v>
      </c>
      <c r="C682" t="s">
        <v>757</v>
      </c>
      <c r="D682" t="s">
        <v>15</v>
      </c>
      <c r="E682" s="46">
        <v>1400</v>
      </c>
      <c r="F682" s="46">
        <v>1147.6600000000001</v>
      </c>
      <c r="G682" s="46">
        <v>252.34</v>
      </c>
      <c r="H682" s="46">
        <v>21.99</v>
      </c>
      <c r="I682" t="s">
        <v>16</v>
      </c>
    </row>
    <row r="683" spans="1:9" x14ac:dyDescent="0.25">
      <c r="A683" t="s">
        <v>726</v>
      </c>
      <c r="B683" t="s">
        <v>673</v>
      </c>
      <c r="C683" t="s">
        <v>758</v>
      </c>
      <c r="D683" t="s">
        <v>15</v>
      </c>
      <c r="E683" s="46">
        <v>1400</v>
      </c>
      <c r="F683" s="46">
        <v>1152.44</v>
      </c>
      <c r="G683" s="46">
        <v>247.56</v>
      </c>
      <c r="H683" s="46">
        <v>21.48</v>
      </c>
      <c r="I683" t="s">
        <v>16</v>
      </c>
    </row>
    <row r="684" spans="1:9" x14ac:dyDescent="0.25">
      <c r="A684" t="s">
        <v>726</v>
      </c>
      <c r="B684" t="s">
        <v>673</v>
      </c>
      <c r="C684" t="s">
        <v>759</v>
      </c>
      <c r="D684" t="s">
        <v>15</v>
      </c>
      <c r="E684" s="46">
        <v>1410</v>
      </c>
      <c r="F684" s="46">
        <v>1147.6600000000001</v>
      </c>
      <c r="G684" s="46">
        <v>262.33999999999997</v>
      </c>
      <c r="H684" s="46">
        <v>22.86</v>
      </c>
      <c r="I684" t="s">
        <v>16</v>
      </c>
    </row>
    <row r="685" spans="1:9" x14ac:dyDescent="0.25">
      <c r="A685" t="s">
        <v>726</v>
      </c>
      <c r="B685" t="s">
        <v>673</v>
      </c>
      <c r="C685" t="s">
        <v>760</v>
      </c>
      <c r="D685" t="s">
        <v>15</v>
      </c>
      <c r="E685" s="46">
        <v>1410</v>
      </c>
      <c r="F685" s="46">
        <v>1152.44</v>
      </c>
      <c r="G685" s="46">
        <v>257.56</v>
      </c>
      <c r="H685" s="46">
        <v>22.35</v>
      </c>
      <c r="I685" t="s">
        <v>16</v>
      </c>
    </row>
    <row r="686" spans="1:9" x14ac:dyDescent="0.25">
      <c r="A686" t="s">
        <v>726</v>
      </c>
      <c r="B686" t="s">
        <v>673</v>
      </c>
      <c r="C686" t="s">
        <v>761</v>
      </c>
      <c r="D686" t="s">
        <v>15</v>
      </c>
      <c r="E686" s="46">
        <v>1410</v>
      </c>
      <c r="F686" s="46">
        <v>1152.44</v>
      </c>
      <c r="G686" s="46">
        <v>257.56</v>
      </c>
      <c r="H686" s="46">
        <v>22.35</v>
      </c>
      <c r="I686" t="s">
        <v>16</v>
      </c>
    </row>
    <row r="687" spans="1:9" x14ac:dyDescent="0.25">
      <c r="A687" t="s">
        <v>726</v>
      </c>
      <c r="B687" t="s">
        <v>673</v>
      </c>
      <c r="C687" t="s">
        <v>762</v>
      </c>
      <c r="D687" t="s">
        <v>15</v>
      </c>
      <c r="E687" s="46">
        <v>1410</v>
      </c>
      <c r="F687" s="46">
        <v>1147.6600000000001</v>
      </c>
      <c r="G687" s="46">
        <v>262.33999999999997</v>
      </c>
      <c r="H687" s="46">
        <v>22.86</v>
      </c>
      <c r="I687" t="s">
        <v>16</v>
      </c>
    </row>
    <row r="688" spans="1:9" x14ac:dyDescent="0.25">
      <c r="A688" t="s">
        <v>726</v>
      </c>
      <c r="B688" t="s">
        <v>673</v>
      </c>
      <c r="C688" t="s">
        <v>763</v>
      </c>
      <c r="D688" t="s">
        <v>15</v>
      </c>
      <c r="E688" s="46">
        <v>1410</v>
      </c>
      <c r="F688" s="46">
        <v>1207.28</v>
      </c>
      <c r="G688" s="46">
        <v>202.72</v>
      </c>
      <c r="H688" s="46">
        <v>16.79</v>
      </c>
      <c r="I688" t="s">
        <v>16</v>
      </c>
    </row>
    <row r="689" spans="1:9" x14ac:dyDescent="0.25">
      <c r="A689" t="s">
        <v>726</v>
      </c>
      <c r="B689" t="s">
        <v>673</v>
      </c>
      <c r="C689" t="s">
        <v>764</v>
      </c>
      <c r="D689" t="s">
        <v>15</v>
      </c>
      <c r="E689" s="46">
        <v>1410</v>
      </c>
      <c r="F689" s="46">
        <v>1152.44</v>
      </c>
      <c r="G689" s="46">
        <v>257.56</v>
      </c>
      <c r="H689" s="46">
        <v>22.35</v>
      </c>
      <c r="I689" t="s">
        <v>16</v>
      </c>
    </row>
    <row r="690" spans="1:9" x14ac:dyDescent="0.25">
      <c r="A690" t="s">
        <v>726</v>
      </c>
      <c r="B690" t="s">
        <v>673</v>
      </c>
      <c r="C690" t="s">
        <v>765</v>
      </c>
      <c r="D690" t="s">
        <v>15</v>
      </c>
      <c r="E690" s="46">
        <v>1410</v>
      </c>
      <c r="F690" s="46">
        <v>1207.22</v>
      </c>
      <c r="G690" s="46">
        <v>202.78</v>
      </c>
      <c r="H690" s="46">
        <v>16.8</v>
      </c>
      <c r="I690" t="s">
        <v>16</v>
      </c>
    </row>
    <row r="691" spans="1:9" x14ac:dyDescent="0.25">
      <c r="A691" t="s">
        <v>726</v>
      </c>
      <c r="B691" t="s">
        <v>673</v>
      </c>
      <c r="C691" t="s">
        <v>766</v>
      </c>
      <c r="D691" t="s">
        <v>15</v>
      </c>
      <c r="E691" s="46">
        <v>1410</v>
      </c>
      <c r="F691" s="46">
        <v>1141.9000000000001</v>
      </c>
      <c r="G691" s="46">
        <v>268.10000000000002</v>
      </c>
      <c r="H691" s="46">
        <v>23.48</v>
      </c>
      <c r="I691" t="s">
        <v>16</v>
      </c>
    </row>
    <row r="692" spans="1:9" x14ac:dyDescent="0.25">
      <c r="A692" t="s">
        <v>726</v>
      </c>
      <c r="B692" t="s">
        <v>673</v>
      </c>
      <c r="C692" t="s">
        <v>767</v>
      </c>
      <c r="D692" t="s">
        <v>15</v>
      </c>
      <c r="E692" s="46">
        <v>1410</v>
      </c>
      <c r="F692" s="46">
        <v>1207.22</v>
      </c>
      <c r="G692" s="46">
        <v>202.78</v>
      </c>
      <c r="H692" s="46">
        <v>16.8</v>
      </c>
      <c r="I692" t="s">
        <v>16</v>
      </c>
    </row>
    <row r="693" spans="1:9" x14ac:dyDescent="0.25">
      <c r="A693" t="s">
        <v>726</v>
      </c>
      <c r="B693" t="s">
        <v>673</v>
      </c>
      <c r="C693" t="s">
        <v>768</v>
      </c>
      <c r="D693" t="s">
        <v>15</v>
      </c>
      <c r="E693" s="46">
        <v>1410</v>
      </c>
      <c r="F693" s="46">
        <v>1147.6600000000001</v>
      </c>
      <c r="G693" s="46">
        <v>262.33999999999997</v>
      </c>
      <c r="H693" s="46">
        <v>22.86</v>
      </c>
      <c r="I693" t="s">
        <v>16</v>
      </c>
    </row>
    <row r="694" spans="1:9" x14ac:dyDescent="0.25">
      <c r="A694" t="s">
        <v>726</v>
      </c>
      <c r="B694" t="s">
        <v>673</v>
      </c>
      <c r="C694" t="s">
        <v>769</v>
      </c>
      <c r="D694" t="s">
        <v>15</v>
      </c>
      <c r="E694" s="46">
        <v>1410</v>
      </c>
      <c r="F694" s="46">
        <v>1152.44</v>
      </c>
      <c r="G694" s="46">
        <v>257.56</v>
      </c>
      <c r="H694" s="46">
        <v>22.35</v>
      </c>
      <c r="I694" t="s">
        <v>16</v>
      </c>
    </row>
    <row r="695" spans="1:9" x14ac:dyDescent="0.25">
      <c r="A695" t="s">
        <v>726</v>
      </c>
      <c r="B695" t="s">
        <v>673</v>
      </c>
      <c r="C695" t="s">
        <v>770</v>
      </c>
      <c r="D695" t="s">
        <v>15</v>
      </c>
      <c r="E695" s="46">
        <v>1410</v>
      </c>
      <c r="F695" s="46">
        <v>1147.6600000000001</v>
      </c>
      <c r="G695" s="46">
        <v>262.33999999999997</v>
      </c>
      <c r="H695" s="46">
        <v>22.86</v>
      </c>
      <c r="I695" t="s">
        <v>16</v>
      </c>
    </row>
    <row r="696" spans="1:9" x14ac:dyDescent="0.25">
      <c r="A696" t="s">
        <v>726</v>
      </c>
      <c r="B696" t="s">
        <v>673</v>
      </c>
      <c r="C696" t="s">
        <v>771</v>
      </c>
      <c r="D696" t="s">
        <v>15</v>
      </c>
      <c r="E696" s="46">
        <v>1410</v>
      </c>
      <c r="F696" s="46">
        <v>1207.28</v>
      </c>
      <c r="G696" s="46">
        <v>202.72</v>
      </c>
      <c r="H696" s="46">
        <v>16.79</v>
      </c>
      <c r="I696" t="s">
        <v>16</v>
      </c>
    </row>
    <row r="697" spans="1:9" x14ac:dyDescent="0.25">
      <c r="A697" t="s">
        <v>726</v>
      </c>
      <c r="B697" t="s">
        <v>673</v>
      </c>
      <c r="C697" t="s">
        <v>772</v>
      </c>
      <c r="D697" t="s">
        <v>15</v>
      </c>
      <c r="E697" s="46">
        <v>1410</v>
      </c>
      <c r="F697" s="46">
        <v>1207.22</v>
      </c>
      <c r="G697" s="46">
        <v>202.78</v>
      </c>
      <c r="H697" s="46">
        <v>16.8</v>
      </c>
      <c r="I697" t="s">
        <v>16</v>
      </c>
    </row>
    <row r="698" spans="1:9" x14ac:dyDescent="0.25">
      <c r="A698" t="s">
        <v>726</v>
      </c>
      <c r="B698" t="s">
        <v>673</v>
      </c>
      <c r="C698" t="s">
        <v>773</v>
      </c>
      <c r="D698" t="s">
        <v>15</v>
      </c>
      <c r="E698" s="46">
        <v>1410</v>
      </c>
      <c r="F698" s="46">
        <v>1152.44</v>
      </c>
      <c r="G698" s="46">
        <v>257.56</v>
      </c>
      <c r="H698" s="46">
        <v>22.35</v>
      </c>
      <c r="I698" t="s">
        <v>16</v>
      </c>
    </row>
    <row r="699" spans="1:9" x14ac:dyDescent="0.25">
      <c r="A699" t="s">
        <v>726</v>
      </c>
      <c r="B699" t="s">
        <v>673</v>
      </c>
      <c r="C699" t="s">
        <v>774</v>
      </c>
      <c r="D699" t="s">
        <v>15</v>
      </c>
      <c r="E699" s="46">
        <v>1410</v>
      </c>
      <c r="F699" s="46">
        <v>1141.9000000000001</v>
      </c>
      <c r="G699" s="46">
        <v>268.10000000000002</v>
      </c>
      <c r="H699" s="46">
        <v>23.48</v>
      </c>
      <c r="I699" t="s">
        <v>16</v>
      </c>
    </row>
    <row r="700" spans="1:9" x14ac:dyDescent="0.25">
      <c r="A700" t="s">
        <v>726</v>
      </c>
      <c r="B700" t="s">
        <v>673</v>
      </c>
      <c r="C700" t="s">
        <v>775</v>
      </c>
      <c r="D700" t="s">
        <v>15</v>
      </c>
      <c r="E700" s="46">
        <v>1410</v>
      </c>
      <c r="F700" s="46">
        <v>1152.44</v>
      </c>
      <c r="G700" s="46">
        <v>257.56</v>
      </c>
      <c r="H700" s="46">
        <v>22.35</v>
      </c>
      <c r="I700" t="s">
        <v>16</v>
      </c>
    </row>
    <row r="701" spans="1:9" x14ac:dyDescent="0.25">
      <c r="A701" t="s">
        <v>726</v>
      </c>
      <c r="B701" t="s">
        <v>673</v>
      </c>
      <c r="C701" t="s">
        <v>776</v>
      </c>
      <c r="D701" t="s">
        <v>15</v>
      </c>
      <c r="E701" s="46">
        <v>1410</v>
      </c>
      <c r="F701" s="46">
        <v>1147.6600000000001</v>
      </c>
      <c r="G701" s="46">
        <v>262.33999999999997</v>
      </c>
      <c r="H701" s="46">
        <v>22.86</v>
      </c>
      <c r="I701" t="s">
        <v>16</v>
      </c>
    </row>
    <row r="702" spans="1:9" x14ac:dyDescent="0.25">
      <c r="A702" t="s">
        <v>726</v>
      </c>
      <c r="B702" t="s">
        <v>673</v>
      </c>
      <c r="C702" t="s">
        <v>777</v>
      </c>
      <c r="D702" t="s">
        <v>15</v>
      </c>
      <c r="E702" s="46">
        <v>1410</v>
      </c>
      <c r="F702" s="46">
        <v>1207.22</v>
      </c>
      <c r="G702" s="46">
        <v>202.78</v>
      </c>
      <c r="H702" s="46">
        <v>16.8</v>
      </c>
      <c r="I702" t="s">
        <v>16</v>
      </c>
    </row>
    <row r="703" spans="1:9" x14ac:dyDescent="0.25">
      <c r="A703" t="s">
        <v>726</v>
      </c>
      <c r="B703" t="s">
        <v>673</v>
      </c>
      <c r="C703" t="s">
        <v>778</v>
      </c>
      <c r="D703" t="s">
        <v>15</v>
      </c>
      <c r="E703" s="46">
        <v>1410</v>
      </c>
      <c r="F703" s="46">
        <v>1147.6600000000001</v>
      </c>
      <c r="G703" s="46">
        <v>262.33999999999997</v>
      </c>
      <c r="H703" s="46">
        <v>22.86</v>
      </c>
      <c r="I703" t="s">
        <v>16</v>
      </c>
    </row>
    <row r="704" spans="1:9" x14ac:dyDescent="0.25">
      <c r="A704" t="s">
        <v>726</v>
      </c>
      <c r="B704" t="s">
        <v>673</v>
      </c>
      <c r="C704" t="s">
        <v>779</v>
      </c>
      <c r="D704" t="s">
        <v>15</v>
      </c>
      <c r="E704" s="46">
        <v>1410</v>
      </c>
      <c r="F704" s="46">
        <v>1147.6600000000001</v>
      </c>
      <c r="G704" s="46">
        <v>262.33999999999997</v>
      </c>
      <c r="H704" s="46">
        <v>22.86</v>
      </c>
      <c r="I704" t="s">
        <v>16</v>
      </c>
    </row>
    <row r="705" spans="1:9" x14ac:dyDescent="0.25">
      <c r="A705" t="s">
        <v>726</v>
      </c>
      <c r="B705" t="s">
        <v>673</v>
      </c>
      <c r="C705" t="s">
        <v>780</v>
      </c>
      <c r="D705" t="s">
        <v>15</v>
      </c>
      <c r="E705" s="46">
        <v>1410</v>
      </c>
      <c r="F705" s="46">
        <v>1141.9000000000001</v>
      </c>
      <c r="G705" s="46">
        <v>268.10000000000002</v>
      </c>
      <c r="H705" s="46">
        <v>23.48</v>
      </c>
      <c r="I705" t="s">
        <v>16</v>
      </c>
    </row>
    <row r="706" spans="1:9" x14ac:dyDescent="0.25">
      <c r="A706" t="s">
        <v>726</v>
      </c>
      <c r="B706" t="s">
        <v>673</v>
      </c>
      <c r="C706" t="s">
        <v>781</v>
      </c>
      <c r="D706" t="s">
        <v>15</v>
      </c>
      <c r="E706" s="46">
        <v>1410</v>
      </c>
      <c r="F706" s="46">
        <v>1207.28</v>
      </c>
      <c r="G706" s="46">
        <v>202.72</v>
      </c>
      <c r="H706" s="46">
        <v>16.79</v>
      </c>
      <c r="I706" t="s">
        <v>16</v>
      </c>
    </row>
    <row r="707" spans="1:9" x14ac:dyDescent="0.25">
      <c r="A707" t="s">
        <v>726</v>
      </c>
      <c r="B707" t="s">
        <v>673</v>
      </c>
      <c r="C707" t="s">
        <v>782</v>
      </c>
      <c r="D707" t="s">
        <v>15</v>
      </c>
      <c r="E707" s="46">
        <v>1410</v>
      </c>
      <c r="F707" s="46">
        <v>1207.25</v>
      </c>
      <c r="G707" s="46">
        <v>202.75</v>
      </c>
      <c r="H707" s="46">
        <v>16.79</v>
      </c>
      <c r="I707" t="s">
        <v>16</v>
      </c>
    </row>
    <row r="708" spans="1:9" x14ac:dyDescent="0.25">
      <c r="A708" t="s">
        <v>726</v>
      </c>
      <c r="B708" t="s">
        <v>673</v>
      </c>
      <c r="C708" t="s">
        <v>783</v>
      </c>
      <c r="D708" t="s">
        <v>15</v>
      </c>
      <c r="E708" s="46">
        <v>1410</v>
      </c>
      <c r="F708" s="46">
        <v>1141.9000000000001</v>
      </c>
      <c r="G708" s="46">
        <v>268.10000000000002</v>
      </c>
      <c r="H708" s="46">
        <v>23.48</v>
      </c>
      <c r="I708" t="s">
        <v>16</v>
      </c>
    </row>
    <row r="709" spans="1:9" x14ac:dyDescent="0.25">
      <c r="A709" t="s">
        <v>726</v>
      </c>
      <c r="B709" t="s">
        <v>673</v>
      </c>
      <c r="C709" t="s">
        <v>784</v>
      </c>
      <c r="D709" t="s">
        <v>15</v>
      </c>
      <c r="E709" s="46">
        <v>1410</v>
      </c>
      <c r="F709" s="46">
        <v>1141.9000000000001</v>
      </c>
      <c r="G709" s="46">
        <v>268.10000000000002</v>
      </c>
      <c r="H709" s="46">
        <v>23.48</v>
      </c>
      <c r="I709" t="s">
        <v>16</v>
      </c>
    </row>
    <row r="710" spans="1:9" x14ac:dyDescent="0.25">
      <c r="A710" t="s">
        <v>726</v>
      </c>
      <c r="B710" t="s">
        <v>673</v>
      </c>
      <c r="C710" t="s">
        <v>785</v>
      </c>
      <c r="D710" t="s">
        <v>15</v>
      </c>
      <c r="E710" s="46">
        <v>1410</v>
      </c>
      <c r="F710" s="46">
        <v>1152.44</v>
      </c>
      <c r="G710" s="46">
        <v>257.56</v>
      </c>
      <c r="H710" s="46">
        <v>22.35</v>
      </c>
      <c r="I710" t="s">
        <v>16</v>
      </c>
    </row>
    <row r="711" spans="1:9" x14ac:dyDescent="0.25">
      <c r="A711" t="s">
        <v>726</v>
      </c>
      <c r="B711" t="s">
        <v>673</v>
      </c>
      <c r="C711" t="s">
        <v>786</v>
      </c>
      <c r="D711" t="s">
        <v>15</v>
      </c>
      <c r="E711" s="46">
        <v>1410</v>
      </c>
      <c r="F711" s="46">
        <v>1141.9000000000001</v>
      </c>
      <c r="G711" s="46">
        <v>268.10000000000002</v>
      </c>
      <c r="H711" s="46">
        <v>23.48</v>
      </c>
      <c r="I711" t="s">
        <v>16</v>
      </c>
    </row>
    <row r="712" spans="1:9" x14ac:dyDescent="0.25">
      <c r="A712" t="s">
        <v>726</v>
      </c>
      <c r="B712" t="s">
        <v>673</v>
      </c>
      <c r="C712" t="s">
        <v>787</v>
      </c>
      <c r="D712" t="s">
        <v>15</v>
      </c>
      <c r="E712" s="46">
        <v>1410</v>
      </c>
      <c r="F712" s="46">
        <v>1152.44</v>
      </c>
      <c r="G712" s="46">
        <v>257.56</v>
      </c>
      <c r="H712" s="46">
        <v>22.35</v>
      </c>
      <c r="I712" t="s">
        <v>16</v>
      </c>
    </row>
    <row r="713" spans="1:9" x14ac:dyDescent="0.25">
      <c r="A713" t="s">
        <v>726</v>
      </c>
      <c r="B713" t="s">
        <v>673</v>
      </c>
      <c r="C713" t="s">
        <v>788</v>
      </c>
      <c r="D713" t="s">
        <v>15</v>
      </c>
      <c r="E713" s="46">
        <v>1410</v>
      </c>
      <c r="F713" s="46">
        <v>1147.6600000000001</v>
      </c>
      <c r="G713" s="46">
        <v>262.33999999999997</v>
      </c>
      <c r="H713" s="46">
        <v>22.86</v>
      </c>
      <c r="I713" t="s">
        <v>16</v>
      </c>
    </row>
    <row r="714" spans="1:9" x14ac:dyDescent="0.25">
      <c r="A714" t="s">
        <v>726</v>
      </c>
      <c r="B714" t="s">
        <v>673</v>
      </c>
      <c r="C714" t="s">
        <v>789</v>
      </c>
      <c r="D714" t="s">
        <v>15</v>
      </c>
      <c r="E714" s="46">
        <v>1410</v>
      </c>
      <c r="F714" s="46">
        <v>1207.22</v>
      </c>
      <c r="G714" s="46">
        <v>202.78</v>
      </c>
      <c r="H714" s="46">
        <v>16.8</v>
      </c>
      <c r="I714" t="s">
        <v>16</v>
      </c>
    </row>
    <row r="715" spans="1:9" x14ac:dyDescent="0.25">
      <c r="A715" t="s">
        <v>726</v>
      </c>
      <c r="B715" t="s">
        <v>673</v>
      </c>
      <c r="C715" t="s">
        <v>790</v>
      </c>
      <c r="D715" t="s">
        <v>15</v>
      </c>
      <c r="E715" s="46">
        <v>1410</v>
      </c>
      <c r="F715" s="46">
        <v>1207.25</v>
      </c>
      <c r="G715" s="46">
        <v>202.75</v>
      </c>
      <c r="H715" s="46">
        <v>16.79</v>
      </c>
      <c r="I715" t="s">
        <v>16</v>
      </c>
    </row>
    <row r="716" spans="1:9" x14ac:dyDescent="0.25">
      <c r="A716" t="s">
        <v>726</v>
      </c>
      <c r="B716" t="s">
        <v>673</v>
      </c>
      <c r="C716" t="s">
        <v>791</v>
      </c>
      <c r="D716" t="s">
        <v>15</v>
      </c>
      <c r="E716" s="46">
        <v>1410</v>
      </c>
      <c r="F716" s="46">
        <v>1147.6600000000001</v>
      </c>
      <c r="G716" s="46">
        <v>262.33999999999997</v>
      </c>
      <c r="H716" s="46">
        <v>22.86</v>
      </c>
      <c r="I716" t="s">
        <v>16</v>
      </c>
    </row>
    <row r="717" spans="1:9" x14ac:dyDescent="0.25">
      <c r="A717" t="s">
        <v>726</v>
      </c>
      <c r="B717" t="s">
        <v>673</v>
      </c>
      <c r="C717" t="s">
        <v>792</v>
      </c>
      <c r="D717" t="s">
        <v>15</v>
      </c>
      <c r="E717" s="46">
        <v>1410</v>
      </c>
      <c r="F717" s="46">
        <v>1141.9000000000001</v>
      </c>
      <c r="G717" s="46">
        <v>268.10000000000002</v>
      </c>
      <c r="H717" s="46">
        <v>23.48</v>
      </c>
      <c r="I717" t="s">
        <v>16</v>
      </c>
    </row>
    <row r="718" spans="1:9" x14ac:dyDescent="0.25">
      <c r="A718" t="s">
        <v>726</v>
      </c>
      <c r="B718" t="s">
        <v>328</v>
      </c>
      <c r="C718" t="s">
        <v>793</v>
      </c>
      <c r="D718" t="s">
        <v>330</v>
      </c>
      <c r="E718" s="46">
        <v>1370</v>
      </c>
      <c r="F718" s="46">
        <v>1164.73</v>
      </c>
      <c r="G718" s="46">
        <v>205.27</v>
      </c>
      <c r="H718" s="46">
        <v>17.62</v>
      </c>
      <c r="I718" t="s">
        <v>81</v>
      </c>
    </row>
    <row r="719" spans="1:9" x14ac:dyDescent="0.25">
      <c r="A719" t="s">
        <v>726</v>
      </c>
      <c r="B719" t="s">
        <v>328</v>
      </c>
      <c r="C719" t="s">
        <v>794</v>
      </c>
      <c r="D719" t="s">
        <v>330</v>
      </c>
      <c r="E719" s="46">
        <v>1370</v>
      </c>
      <c r="F719" s="46">
        <v>1164.73</v>
      </c>
      <c r="G719" s="46">
        <v>205.27</v>
      </c>
      <c r="H719" s="46">
        <v>17.62</v>
      </c>
      <c r="I719" t="s">
        <v>81</v>
      </c>
    </row>
    <row r="720" spans="1:9" x14ac:dyDescent="0.25">
      <c r="A720" t="s">
        <v>726</v>
      </c>
      <c r="B720" t="s">
        <v>328</v>
      </c>
      <c r="C720" t="s">
        <v>795</v>
      </c>
      <c r="D720" t="s">
        <v>330</v>
      </c>
      <c r="E720" s="46">
        <v>1370</v>
      </c>
      <c r="F720" s="46">
        <v>1164.73</v>
      </c>
      <c r="G720" s="46">
        <v>205.27</v>
      </c>
      <c r="H720" s="46">
        <v>17.62</v>
      </c>
      <c r="I720" t="s">
        <v>81</v>
      </c>
    </row>
    <row r="721" spans="1:9" x14ac:dyDescent="0.25">
      <c r="A721" t="s">
        <v>726</v>
      </c>
      <c r="B721" t="s">
        <v>328</v>
      </c>
      <c r="C721" t="s">
        <v>796</v>
      </c>
      <c r="D721" t="s">
        <v>330</v>
      </c>
      <c r="E721" s="46">
        <v>1370</v>
      </c>
      <c r="F721" s="46">
        <v>1164.73</v>
      </c>
      <c r="G721" s="46">
        <v>205.27</v>
      </c>
      <c r="H721" s="46">
        <v>17.62</v>
      </c>
      <c r="I721" t="s">
        <v>81</v>
      </c>
    </row>
    <row r="722" spans="1:9" x14ac:dyDescent="0.25">
      <c r="A722" t="s">
        <v>726</v>
      </c>
      <c r="B722" t="s">
        <v>328</v>
      </c>
      <c r="C722" t="s">
        <v>797</v>
      </c>
      <c r="D722" t="s">
        <v>330</v>
      </c>
      <c r="E722" s="46">
        <v>1370</v>
      </c>
      <c r="F722" s="46">
        <v>1164.73</v>
      </c>
      <c r="G722" s="46">
        <v>205.27</v>
      </c>
      <c r="H722" s="46">
        <v>17.62</v>
      </c>
      <c r="I722" t="s">
        <v>81</v>
      </c>
    </row>
    <row r="723" spans="1:9" x14ac:dyDescent="0.25">
      <c r="A723" t="s">
        <v>726</v>
      </c>
      <c r="B723" t="s">
        <v>328</v>
      </c>
      <c r="C723" t="s">
        <v>798</v>
      </c>
      <c r="D723" t="s">
        <v>330</v>
      </c>
      <c r="E723" s="46">
        <v>1370</v>
      </c>
      <c r="F723" s="46">
        <v>1164.73</v>
      </c>
      <c r="G723" s="46">
        <v>205.27</v>
      </c>
      <c r="H723" s="46">
        <v>17.62</v>
      </c>
      <c r="I723" t="s">
        <v>81</v>
      </c>
    </row>
    <row r="724" spans="1:9" x14ac:dyDescent="0.25">
      <c r="A724" t="s">
        <v>726</v>
      </c>
      <c r="B724" t="s">
        <v>328</v>
      </c>
      <c r="C724" t="s">
        <v>799</v>
      </c>
      <c r="D724" t="s">
        <v>330</v>
      </c>
      <c r="E724" s="46">
        <v>1370</v>
      </c>
      <c r="F724" s="46">
        <v>1164.73</v>
      </c>
      <c r="G724" s="46">
        <v>205.27</v>
      </c>
      <c r="H724" s="46">
        <v>17.62</v>
      </c>
      <c r="I724" t="s">
        <v>81</v>
      </c>
    </row>
    <row r="725" spans="1:9" x14ac:dyDescent="0.25">
      <c r="A725" t="s">
        <v>726</v>
      </c>
      <c r="B725" t="s">
        <v>328</v>
      </c>
      <c r="C725" t="s">
        <v>800</v>
      </c>
      <c r="D725" t="s">
        <v>330</v>
      </c>
      <c r="E725" s="46">
        <v>1370</v>
      </c>
      <c r="F725" s="46">
        <v>1164.73</v>
      </c>
      <c r="G725" s="46">
        <v>205.27</v>
      </c>
      <c r="H725" s="46">
        <v>17.62</v>
      </c>
      <c r="I725" t="s">
        <v>81</v>
      </c>
    </row>
    <row r="726" spans="1:9" x14ac:dyDescent="0.25">
      <c r="A726" t="s">
        <v>726</v>
      </c>
      <c r="B726" t="s">
        <v>328</v>
      </c>
      <c r="C726" t="s">
        <v>801</v>
      </c>
      <c r="D726" t="s">
        <v>330</v>
      </c>
      <c r="E726" s="46">
        <v>1370</v>
      </c>
      <c r="F726" s="46">
        <v>1164.73</v>
      </c>
      <c r="G726" s="46">
        <v>205.27</v>
      </c>
      <c r="H726" s="46">
        <v>17.62</v>
      </c>
      <c r="I726" t="s">
        <v>81</v>
      </c>
    </row>
    <row r="727" spans="1:9" x14ac:dyDescent="0.25">
      <c r="A727" t="s">
        <v>726</v>
      </c>
      <c r="B727" t="s">
        <v>328</v>
      </c>
      <c r="C727" t="s">
        <v>802</v>
      </c>
      <c r="D727" t="s">
        <v>330</v>
      </c>
      <c r="E727" s="46">
        <v>1370</v>
      </c>
      <c r="F727" s="46">
        <v>1164.73</v>
      </c>
      <c r="G727" s="46">
        <v>205.27</v>
      </c>
      <c r="H727" s="46">
        <v>17.62</v>
      </c>
      <c r="I727" t="s">
        <v>81</v>
      </c>
    </row>
    <row r="728" spans="1:9" x14ac:dyDescent="0.25">
      <c r="A728" t="s">
        <v>726</v>
      </c>
      <c r="B728" t="s">
        <v>328</v>
      </c>
      <c r="C728" t="s">
        <v>803</v>
      </c>
      <c r="D728" t="s">
        <v>330</v>
      </c>
      <c r="E728" s="46">
        <v>1370</v>
      </c>
      <c r="F728" s="46">
        <v>1164.73</v>
      </c>
      <c r="G728" s="46">
        <v>205.27</v>
      </c>
      <c r="H728" s="46">
        <v>17.62</v>
      </c>
      <c r="I728" t="s">
        <v>81</v>
      </c>
    </row>
    <row r="729" spans="1:9" x14ac:dyDescent="0.25">
      <c r="A729" t="s">
        <v>726</v>
      </c>
      <c r="B729" t="s">
        <v>328</v>
      </c>
      <c r="C729" t="s">
        <v>804</v>
      </c>
      <c r="D729" t="s">
        <v>330</v>
      </c>
      <c r="E729" s="46">
        <v>1370</v>
      </c>
      <c r="F729" s="46">
        <v>1164.73</v>
      </c>
      <c r="G729" s="46">
        <v>205.27</v>
      </c>
      <c r="H729" s="46">
        <v>17.62</v>
      </c>
      <c r="I729" t="s">
        <v>81</v>
      </c>
    </row>
    <row r="730" spans="1:9" x14ac:dyDescent="0.25">
      <c r="A730" t="s">
        <v>726</v>
      </c>
      <c r="B730" t="s">
        <v>328</v>
      </c>
      <c r="C730" t="s">
        <v>805</v>
      </c>
      <c r="D730" t="s">
        <v>330</v>
      </c>
      <c r="E730" s="46">
        <v>1370</v>
      </c>
      <c r="F730" s="46">
        <v>1164.73</v>
      </c>
      <c r="G730" s="46">
        <v>205.27</v>
      </c>
      <c r="H730" s="46">
        <v>17.62</v>
      </c>
      <c r="I730" t="s">
        <v>81</v>
      </c>
    </row>
    <row r="731" spans="1:9" x14ac:dyDescent="0.25">
      <c r="A731" t="s">
        <v>726</v>
      </c>
      <c r="B731" t="s">
        <v>328</v>
      </c>
      <c r="C731" t="s">
        <v>806</v>
      </c>
      <c r="D731" t="s">
        <v>330</v>
      </c>
      <c r="E731" s="46">
        <v>1370</v>
      </c>
      <c r="F731" s="46">
        <v>1164.73</v>
      </c>
      <c r="G731" s="46">
        <v>205.27</v>
      </c>
      <c r="H731" s="46">
        <v>17.62</v>
      </c>
      <c r="I731" t="s">
        <v>81</v>
      </c>
    </row>
    <row r="732" spans="1:9" x14ac:dyDescent="0.25">
      <c r="A732" t="s">
        <v>726</v>
      </c>
      <c r="B732" t="s">
        <v>328</v>
      </c>
      <c r="C732" t="s">
        <v>807</v>
      </c>
      <c r="D732" t="s">
        <v>330</v>
      </c>
      <c r="E732" s="46">
        <v>1370</v>
      </c>
      <c r="F732" s="46">
        <v>1164.73</v>
      </c>
      <c r="G732" s="46">
        <v>205.27</v>
      </c>
      <c r="H732" s="46">
        <v>17.62</v>
      </c>
      <c r="I732" t="s">
        <v>81</v>
      </c>
    </row>
    <row r="733" spans="1:9" x14ac:dyDescent="0.25">
      <c r="A733" t="s">
        <v>726</v>
      </c>
      <c r="B733" t="s">
        <v>328</v>
      </c>
      <c r="C733" t="s">
        <v>808</v>
      </c>
      <c r="D733" t="s">
        <v>330</v>
      </c>
      <c r="E733" s="46">
        <v>1370</v>
      </c>
      <c r="F733" s="46">
        <v>1164.73</v>
      </c>
      <c r="G733" s="46">
        <v>205.27</v>
      </c>
      <c r="H733" s="46">
        <v>17.62</v>
      </c>
      <c r="I733" t="s">
        <v>81</v>
      </c>
    </row>
    <row r="734" spans="1:9" x14ac:dyDescent="0.25">
      <c r="A734" t="s">
        <v>726</v>
      </c>
      <c r="B734" t="s">
        <v>328</v>
      </c>
      <c r="C734" t="s">
        <v>809</v>
      </c>
      <c r="D734" t="s">
        <v>330</v>
      </c>
      <c r="E734" s="46">
        <v>1370</v>
      </c>
      <c r="F734" s="46">
        <v>1164.73</v>
      </c>
      <c r="G734" s="46">
        <v>205.27</v>
      </c>
      <c r="H734" s="46">
        <v>17.62</v>
      </c>
      <c r="I734" t="s">
        <v>81</v>
      </c>
    </row>
    <row r="735" spans="1:9" x14ac:dyDescent="0.25">
      <c r="A735" t="s">
        <v>726</v>
      </c>
      <c r="B735" t="s">
        <v>328</v>
      </c>
      <c r="C735" t="s">
        <v>810</v>
      </c>
      <c r="D735" t="s">
        <v>330</v>
      </c>
      <c r="E735" s="46">
        <v>1370</v>
      </c>
      <c r="F735" s="46">
        <v>1164.73</v>
      </c>
      <c r="G735" s="46">
        <v>205.27</v>
      </c>
      <c r="H735" s="46">
        <v>17.62</v>
      </c>
      <c r="I735" t="s">
        <v>81</v>
      </c>
    </row>
    <row r="736" spans="1:9" x14ac:dyDescent="0.25">
      <c r="A736" t="s">
        <v>726</v>
      </c>
      <c r="B736" t="s">
        <v>328</v>
      </c>
      <c r="C736" t="s">
        <v>811</v>
      </c>
      <c r="D736" t="s">
        <v>330</v>
      </c>
      <c r="E736" s="46">
        <v>1370</v>
      </c>
      <c r="F736" s="46">
        <v>1164.73</v>
      </c>
      <c r="G736" s="46">
        <v>205.27</v>
      </c>
      <c r="H736" s="46">
        <v>17.62</v>
      </c>
      <c r="I736" t="s">
        <v>81</v>
      </c>
    </row>
    <row r="737" spans="1:9" x14ac:dyDescent="0.25">
      <c r="A737" t="s">
        <v>726</v>
      </c>
      <c r="B737" t="s">
        <v>328</v>
      </c>
      <c r="C737" t="s">
        <v>812</v>
      </c>
      <c r="D737" t="s">
        <v>330</v>
      </c>
      <c r="E737" s="46">
        <v>1370</v>
      </c>
      <c r="F737" s="46">
        <v>1164.73</v>
      </c>
      <c r="G737" s="46">
        <v>205.27</v>
      </c>
      <c r="H737" s="46">
        <v>17.62</v>
      </c>
      <c r="I737" t="s">
        <v>81</v>
      </c>
    </row>
    <row r="738" spans="1:9" x14ac:dyDescent="0.25">
      <c r="A738" t="s">
        <v>726</v>
      </c>
      <c r="B738" t="s">
        <v>328</v>
      </c>
      <c r="C738" t="s">
        <v>813</v>
      </c>
      <c r="D738" t="s">
        <v>330</v>
      </c>
      <c r="E738" s="46">
        <v>1360</v>
      </c>
      <c r="F738" s="46">
        <v>1164.73</v>
      </c>
      <c r="G738" s="46">
        <v>195.27</v>
      </c>
      <c r="H738" s="46">
        <v>16.77</v>
      </c>
      <c r="I738" t="s">
        <v>81</v>
      </c>
    </row>
    <row r="739" spans="1:9" x14ac:dyDescent="0.25">
      <c r="A739" t="s">
        <v>726</v>
      </c>
      <c r="B739" t="s">
        <v>328</v>
      </c>
      <c r="C739" t="s">
        <v>814</v>
      </c>
      <c r="D739" t="s">
        <v>330</v>
      </c>
      <c r="E739" s="46">
        <v>1360</v>
      </c>
      <c r="F739" s="46">
        <v>1164.73</v>
      </c>
      <c r="G739" s="46">
        <v>195.27</v>
      </c>
      <c r="H739" s="46">
        <v>16.77</v>
      </c>
      <c r="I739" t="s">
        <v>81</v>
      </c>
    </row>
    <row r="740" spans="1:9" x14ac:dyDescent="0.25">
      <c r="A740" t="s">
        <v>726</v>
      </c>
      <c r="B740" t="s">
        <v>328</v>
      </c>
      <c r="C740" t="s">
        <v>815</v>
      </c>
      <c r="D740" t="s">
        <v>330</v>
      </c>
      <c r="E740" s="46">
        <v>1360</v>
      </c>
      <c r="F740" s="46">
        <v>1164.73</v>
      </c>
      <c r="G740" s="46">
        <v>195.27</v>
      </c>
      <c r="H740" s="46">
        <v>16.77</v>
      </c>
      <c r="I740" t="s">
        <v>81</v>
      </c>
    </row>
    <row r="741" spans="1:9" x14ac:dyDescent="0.25">
      <c r="A741" t="s">
        <v>726</v>
      </c>
      <c r="B741" t="s">
        <v>328</v>
      </c>
      <c r="C741" t="s">
        <v>816</v>
      </c>
      <c r="D741" t="s">
        <v>330</v>
      </c>
      <c r="E741" s="46">
        <v>1360</v>
      </c>
      <c r="F741" s="46">
        <v>1164.73</v>
      </c>
      <c r="G741" s="46">
        <v>195.27</v>
      </c>
      <c r="H741" s="46">
        <v>16.77</v>
      </c>
      <c r="I741" t="s">
        <v>81</v>
      </c>
    </row>
    <row r="742" spans="1:9" x14ac:dyDescent="0.25">
      <c r="A742" t="s">
        <v>726</v>
      </c>
      <c r="B742" t="s">
        <v>328</v>
      </c>
      <c r="C742" t="s">
        <v>817</v>
      </c>
      <c r="D742" t="s">
        <v>330</v>
      </c>
      <c r="E742" s="46">
        <v>1360</v>
      </c>
      <c r="F742" s="46">
        <v>1164.73</v>
      </c>
      <c r="G742" s="46">
        <v>195.27</v>
      </c>
      <c r="H742" s="46">
        <v>16.77</v>
      </c>
      <c r="I742" t="s">
        <v>81</v>
      </c>
    </row>
    <row r="743" spans="1:9" x14ac:dyDescent="0.25">
      <c r="A743" t="s">
        <v>726</v>
      </c>
      <c r="B743" t="s">
        <v>328</v>
      </c>
      <c r="C743" t="s">
        <v>818</v>
      </c>
      <c r="D743" t="s">
        <v>330</v>
      </c>
      <c r="E743" s="46">
        <v>1360</v>
      </c>
      <c r="F743" s="46">
        <v>1164.73</v>
      </c>
      <c r="G743" s="46">
        <v>195.27</v>
      </c>
      <c r="H743" s="46">
        <v>16.77</v>
      </c>
      <c r="I743" t="s">
        <v>81</v>
      </c>
    </row>
    <row r="744" spans="1:9" x14ac:dyDescent="0.25">
      <c r="A744" t="s">
        <v>726</v>
      </c>
      <c r="B744" t="s">
        <v>328</v>
      </c>
      <c r="C744" t="s">
        <v>819</v>
      </c>
      <c r="D744" t="s">
        <v>330</v>
      </c>
      <c r="E744" s="46">
        <v>1360</v>
      </c>
      <c r="F744" s="46">
        <v>1164.73</v>
      </c>
      <c r="G744" s="46">
        <v>195.27</v>
      </c>
      <c r="H744" s="46">
        <v>16.77</v>
      </c>
      <c r="I744" t="s">
        <v>81</v>
      </c>
    </row>
    <row r="745" spans="1:9" x14ac:dyDescent="0.25">
      <c r="A745" t="s">
        <v>726</v>
      </c>
      <c r="B745" t="s">
        <v>328</v>
      </c>
      <c r="C745" t="s">
        <v>820</v>
      </c>
      <c r="D745" t="s">
        <v>330</v>
      </c>
      <c r="E745" s="46">
        <v>1360</v>
      </c>
      <c r="F745" s="46">
        <v>1164.73</v>
      </c>
      <c r="G745" s="46">
        <v>195.27</v>
      </c>
      <c r="H745" s="46">
        <v>16.77</v>
      </c>
      <c r="I745" t="s">
        <v>81</v>
      </c>
    </row>
    <row r="746" spans="1:9" x14ac:dyDescent="0.25">
      <c r="A746" t="s">
        <v>726</v>
      </c>
      <c r="B746" t="s">
        <v>328</v>
      </c>
      <c r="C746" t="s">
        <v>821</v>
      </c>
      <c r="D746" t="s">
        <v>330</v>
      </c>
      <c r="E746" s="46">
        <v>1360</v>
      </c>
      <c r="F746" s="46">
        <v>1164.73</v>
      </c>
      <c r="G746" s="46">
        <v>195.27</v>
      </c>
      <c r="H746" s="46">
        <v>16.77</v>
      </c>
      <c r="I746" t="s">
        <v>81</v>
      </c>
    </row>
    <row r="747" spans="1:9" x14ac:dyDescent="0.25">
      <c r="A747" t="s">
        <v>726</v>
      </c>
      <c r="B747" t="s">
        <v>328</v>
      </c>
      <c r="C747" t="s">
        <v>822</v>
      </c>
      <c r="D747" t="s">
        <v>330</v>
      </c>
      <c r="E747" s="46">
        <v>1360</v>
      </c>
      <c r="F747" s="46">
        <v>1164.73</v>
      </c>
      <c r="G747" s="46">
        <v>195.27</v>
      </c>
      <c r="H747" s="46">
        <v>16.77</v>
      </c>
      <c r="I747" t="s">
        <v>81</v>
      </c>
    </row>
    <row r="748" spans="1:9" x14ac:dyDescent="0.25">
      <c r="A748" t="s">
        <v>726</v>
      </c>
      <c r="B748" t="s">
        <v>328</v>
      </c>
      <c r="C748" t="s">
        <v>823</v>
      </c>
      <c r="D748" t="s">
        <v>330</v>
      </c>
      <c r="E748" s="46">
        <v>1360</v>
      </c>
      <c r="F748" s="46">
        <v>1164.73</v>
      </c>
      <c r="G748" s="46">
        <v>195.27</v>
      </c>
      <c r="H748" s="46">
        <v>16.77</v>
      </c>
      <c r="I748" t="s">
        <v>81</v>
      </c>
    </row>
    <row r="749" spans="1:9" x14ac:dyDescent="0.25">
      <c r="A749" t="s">
        <v>726</v>
      </c>
      <c r="B749" t="s">
        <v>328</v>
      </c>
      <c r="C749" t="s">
        <v>824</v>
      </c>
      <c r="D749" t="s">
        <v>330</v>
      </c>
      <c r="E749" s="46">
        <v>1360</v>
      </c>
      <c r="F749" s="46">
        <v>1164.73</v>
      </c>
      <c r="G749" s="46">
        <v>195.27</v>
      </c>
      <c r="H749" s="46">
        <v>16.77</v>
      </c>
      <c r="I749" t="s">
        <v>81</v>
      </c>
    </row>
    <row r="750" spans="1:9" x14ac:dyDescent="0.25">
      <c r="A750" t="s">
        <v>726</v>
      </c>
      <c r="B750" t="s">
        <v>328</v>
      </c>
      <c r="C750" t="s">
        <v>825</v>
      </c>
      <c r="D750" t="s">
        <v>330</v>
      </c>
      <c r="E750" s="46">
        <v>1360</v>
      </c>
      <c r="F750" s="46">
        <v>1164.73</v>
      </c>
      <c r="G750" s="46">
        <v>195.27</v>
      </c>
      <c r="H750" s="46">
        <v>16.77</v>
      </c>
      <c r="I750" t="s">
        <v>81</v>
      </c>
    </row>
    <row r="751" spans="1:9" x14ac:dyDescent="0.25">
      <c r="A751" t="s">
        <v>726</v>
      </c>
      <c r="B751" t="s">
        <v>328</v>
      </c>
      <c r="C751" t="s">
        <v>826</v>
      </c>
      <c r="D751" t="s">
        <v>330</v>
      </c>
      <c r="E751" s="46">
        <v>1360</v>
      </c>
      <c r="F751" s="46">
        <v>1164.73</v>
      </c>
      <c r="G751" s="46">
        <v>195.27</v>
      </c>
      <c r="H751" s="46">
        <v>16.77</v>
      </c>
      <c r="I751" t="s">
        <v>81</v>
      </c>
    </row>
    <row r="752" spans="1:9" x14ac:dyDescent="0.25">
      <c r="A752" t="s">
        <v>726</v>
      </c>
      <c r="B752" t="s">
        <v>328</v>
      </c>
      <c r="C752" t="s">
        <v>827</v>
      </c>
      <c r="D752" t="s">
        <v>330</v>
      </c>
      <c r="E752" s="46">
        <v>1360</v>
      </c>
      <c r="F752" s="46">
        <v>1164.73</v>
      </c>
      <c r="G752" s="46">
        <v>195.27</v>
      </c>
      <c r="H752" s="46">
        <v>16.77</v>
      </c>
      <c r="I752" t="s">
        <v>81</v>
      </c>
    </row>
    <row r="753" spans="1:9" x14ac:dyDescent="0.25">
      <c r="A753" t="s">
        <v>726</v>
      </c>
      <c r="B753" t="s">
        <v>328</v>
      </c>
      <c r="C753" t="s">
        <v>828</v>
      </c>
      <c r="D753" t="s">
        <v>330</v>
      </c>
      <c r="E753" s="46">
        <v>1360</v>
      </c>
      <c r="F753" s="46">
        <v>1164.73</v>
      </c>
      <c r="G753" s="46">
        <v>195.27</v>
      </c>
      <c r="H753" s="46">
        <v>16.77</v>
      </c>
      <c r="I753" t="s">
        <v>81</v>
      </c>
    </row>
    <row r="754" spans="1:9" x14ac:dyDescent="0.25">
      <c r="A754" t="s">
        <v>726</v>
      </c>
      <c r="B754" t="s">
        <v>328</v>
      </c>
      <c r="C754" t="s">
        <v>829</v>
      </c>
      <c r="D754" t="s">
        <v>330</v>
      </c>
      <c r="E754" s="46">
        <v>1360</v>
      </c>
      <c r="F754" s="46">
        <v>1164.73</v>
      </c>
      <c r="G754" s="46">
        <v>195.27</v>
      </c>
      <c r="H754" s="46">
        <v>16.77</v>
      </c>
      <c r="I754" t="s">
        <v>81</v>
      </c>
    </row>
    <row r="755" spans="1:9" x14ac:dyDescent="0.25">
      <c r="A755" t="s">
        <v>726</v>
      </c>
      <c r="B755" t="s">
        <v>328</v>
      </c>
      <c r="C755" t="s">
        <v>830</v>
      </c>
      <c r="D755" t="s">
        <v>330</v>
      </c>
      <c r="E755" s="46">
        <v>1360</v>
      </c>
      <c r="F755" s="46">
        <v>1164.73</v>
      </c>
      <c r="G755" s="46">
        <v>195.27</v>
      </c>
      <c r="H755" s="46">
        <v>16.77</v>
      </c>
      <c r="I755" t="s">
        <v>81</v>
      </c>
    </row>
    <row r="756" spans="1:9" x14ac:dyDescent="0.25">
      <c r="A756" t="s">
        <v>726</v>
      </c>
      <c r="B756" t="s">
        <v>328</v>
      </c>
      <c r="C756" t="s">
        <v>831</v>
      </c>
      <c r="D756" t="s">
        <v>330</v>
      </c>
      <c r="E756" s="46">
        <v>1360</v>
      </c>
      <c r="F756" s="46">
        <v>1164.73</v>
      </c>
      <c r="G756" s="46">
        <v>195.27</v>
      </c>
      <c r="H756" s="46">
        <v>16.77</v>
      </c>
      <c r="I756" t="s">
        <v>81</v>
      </c>
    </row>
    <row r="757" spans="1:9" x14ac:dyDescent="0.25">
      <c r="A757" t="s">
        <v>726</v>
      </c>
      <c r="B757" t="s">
        <v>328</v>
      </c>
      <c r="C757" t="s">
        <v>832</v>
      </c>
      <c r="D757" t="s">
        <v>330</v>
      </c>
      <c r="E757" s="46">
        <v>1360</v>
      </c>
      <c r="F757" s="46">
        <v>1164.73</v>
      </c>
      <c r="G757" s="46">
        <v>195.27</v>
      </c>
      <c r="H757" s="46">
        <v>16.77</v>
      </c>
      <c r="I757" t="s">
        <v>81</v>
      </c>
    </row>
    <row r="758" spans="1:9" x14ac:dyDescent="0.25">
      <c r="A758" t="s">
        <v>726</v>
      </c>
      <c r="B758" t="s">
        <v>328</v>
      </c>
      <c r="C758" t="s">
        <v>833</v>
      </c>
      <c r="D758" t="s">
        <v>330</v>
      </c>
      <c r="E758" s="46">
        <v>1360</v>
      </c>
      <c r="F758" s="46">
        <v>1164.73</v>
      </c>
      <c r="G758" s="46">
        <v>195.27</v>
      </c>
      <c r="H758" s="46">
        <v>16.77</v>
      </c>
      <c r="I758" t="s">
        <v>81</v>
      </c>
    </row>
    <row r="759" spans="1:9" x14ac:dyDescent="0.25">
      <c r="A759" t="s">
        <v>726</v>
      </c>
      <c r="B759" t="s">
        <v>328</v>
      </c>
      <c r="C759" t="s">
        <v>834</v>
      </c>
      <c r="D759" t="s">
        <v>330</v>
      </c>
      <c r="E759" s="46">
        <v>1360</v>
      </c>
      <c r="F759" s="46">
        <v>1164.73</v>
      </c>
      <c r="G759" s="46">
        <v>195.27</v>
      </c>
      <c r="H759" s="46">
        <v>16.77</v>
      </c>
      <c r="I759" t="s">
        <v>81</v>
      </c>
    </row>
    <row r="760" spans="1:9" x14ac:dyDescent="0.25">
      <c r="A760" t="s">
        <v>726</v>
      </c>
      <c r="B760" t="s">
        <v>328</v>
      </c>
      <c r="C760" t="s">
        <v>835</v>
      </c>
      <c r="D760" t="s">
        <v>330</v>
      </c>
      <c r="E760" s="46">
        <v>1360</v>
      </c>
      <c r="F760" s="46">
        <v>1164.73</v>
      </c>
      <c r="G760" s="46">
        <v>195.27</v>
      </c>
      <c r="H760" s="46">
        <v>16.77</v>
      </c>
      <c r="I760" t="s">
        <v>81</v>
      </c>
    </row>
    <row r="761" spans="1:9" x14ac:dyDescent="0.25">
      <c r="A761" t="s">
        <v>726</v>
      </c>
      <c r="B761" t="s">
        <v>328</v>
      </c>
      <c r="C761" t="s">
        <v>836</v>
      </c>
      <c r="D761" t="s">
        <v>330</v>
      </c>
      <c r="E761" s="46">
        <v>1360</v>
      </c>
      <c r="F761" s="46">
        <v>1164.73</v>
      </c>
      <c r="G761" s="46">
        <v>195.27</v>
      </c>
      <c r="H761" s="46">
        <v>16.77</v>
      </c>
      <c r="I761" t="s">
        <v>81</v>
      </c>
    </row>
    <row r="762" spans="1:9" x14ac:dyDescent="0.25">
      <c r="A762" t="s">
        <v>726</v>
      </c>
      <c r="B762" t="s">
        <v>328</v>
      </c>
      <c r="C762" t="s">
        <v>837</v>
      </c>
      <c r="D762" t="s">
        <v>330</v>
      </c>
      <c r="E762" s="46">
        <v>1360</v>
      </c>
      <c r="F762" s="46">
        <v>1164.73</v>
      </c>
      <c r="G762" s="46">
        <v>195.27</v>
      </c>
      <c r="H762" s="46">
        <v>16.77</v>
      </c>
      <c r="I762" t="s">
        <v>81</v>
      </c>
    </row>
    <row r="763" spans="1:9" x14ac:dyDescent="0.25">
      <c r="A763" t="s">
        <v>726</v>
      </c>
      <c r="B763" t="s">
        <v>328</v>
      </c>
      <c r="C763" t="s">
        <v>838</v>
      </c>
      <c r="D763" t="s">
        <v>330</v>
      </c>
      <c r="E763" s="46">
        <v>1360</v>
      </c>
      <c r="F763" s="46">
        <v>1164.73</v>
      </c>
      <c r="G763" s="46">
        <v>195.27</v>
      </c>
      <c r="H763" s="46">
        <v>16.77</v>
      </c>
      <c r="I763" t="s">
        <v>81</v>
      </c>
    </row>
    <row r="764" spans="1:9" x14ac:dyDescent="0.25">
      <c r="A764" t="s">
        <v>726</v>
      </c>
      <c r="B764" t="s">
        <v>328</v>
      </c>
      <c r="C764" t="s">
        <v>839</v>
      </c>
      <c r="D764" t="s">
        <v>330</v>
      </c>
      <c r="E764" s="46">
        <v>1360</v>
      </c>
      <c r="F764" s="46">
        <v>1164.73</v>
      </c>
      <c r="G764" s="46">
        <v>195.27</v>
      </c>
      <c r="H764" s="46">
        <v>16.77</v>
      </c>
      <c r="I764" t="s">
        <v>81</v>
      </c>
    </row>
    <row r="765" spans="1:9" x14ac:dyDescent="0.25">
      <c r="A765" t="s">
        <v>726</v>
      </c>
      <c r="B765" t="s">
        <v>328</v>
      </c>
      <c r="C765" t="s">
        <v>840</v>
      </c>
      <c r="D765" t="s">
        <v>330</v>
      </c>
      <c r="E765" s="46">
        <v>1360</v>
      </c>
      <c r="F765" s="46">
        <v>1164.73</v>
      </c>
      <c r="G765" s="46">
        <v>195.27</v>
      </c>
      <c r="H765" s="46">
        <v>16.77</v>
      </c>
      <c r="I765" t="s">
        <v>81</v>
      </c>
    </row>
    <row r="766" spans="1:9" x14ac:dyDescent="0.25">
      <c r="A766" t="s">
        <v>726</v>
      </c>
      <c r="B766" t="s">
        <v>328</v>
      </c>
      <c r="C766" t="s">
        <v>841</v>
      </c>
      <c r="D766" t="s">
        <v>330</v>
      </c>
      <c r="E766" s="46">
        <v>1360</v>
      </c>
      <c r="F766" s="46">
        <v>1164.73</v>
      </c>
      <c r="G766" s="46">
        <v>195.27</v>
      </c>
      <c r="H766" s="46">
        <v>16.77</v>
      </c>
      <c r="I766" t="s">
        <v>81</v>
      </c>
    </row>
    <row r="767" spans="1:9" x14ac:dyDescent="0.25">
      <c r="A767" t="s">
        <v>726</v>
      </c>
      <c r="B767" t="s">
        <v>328</v>
      </c>
      <c r="C767" t="s">
        <v>842</v>
      </c>
      <c r="D767" t="s">
        <v>330</v>
      </c>
      <c r="E767" s="46">
        <v>1360</v>
      </c>
      <c r="F767" s="46">
        <v>1164.73</v>
      </c>
      <c r="G767" s="46">
        <v>195.27</v>
      </c>
      <c r="H767" s="46">
        <v>16.77</v>
      </c>
      <c r="I767" t="s">
        <v>81</v>
      </c>
    </row>
    <row r="768" spans="1:9" x14ac:dyDescent="0.25">
      <c r="A768" t="s">
        <v>726</v>
      </c>
      <c r="B768" t="s">
        <v>328</v>
      </c>
      <c r="C768" t="s">
        <v>843</v>
      </c>
      <c r="D768" t="s">
        <v>330</v>
      </c>
      <c r="E768" s="46">
        <v>1370</v>
      </c>
      <c r="F768" s="46">
        <v>1164.73</v>
      </c>
      <c r="G768" s="46">
        <v>205.27</v>
      </c>
      <c r="H768" s="46">
        <v>17.62</v>
      </c>
      <c r="I768" t="s">
        <v>81</v>
      </c>
    </row>
    <row r="769" spans="1:9" x14ac:dyDescent="0.25">
      <c r="A769" t="s">
        <v>726</v>
      </c>
      <c r="B769" t="s">
        <v>328</v>
      </c>
      <c r="C769" t="s">
        <v>844</v>
      </c>
      <c r="D769" t="s">
        <v>330</v>
      </c>
      <c r="E769" s="46">
        <v>1370</v>
      </c>
      <c r="F769" s="46">
        <v>1164.73</v>
      </c>
      <c r="G769" s="46">
        <v>205.27</v>
      </c>
      <c r="H769" s="46">
        <v>17.62</v>
      </c>
      <c r="I769" t="s">
        <v>81</v>
      </c>
    </row>
    <row r="770" spans="1:9" x14ac:dyDescent="0.25">
      <c r="A770" t="s">
        <v>726</v>
      </c>
      <c r="B770" t="s">
        <v>328</v>
      </c>
      <c r="C770" t="s">
        <v>845</v>
      </c>
      <c r="D770" t="s">
        <v>330</v>
      </c>
      <c r="E770" s="46">
        <v>1370</v>
      </c>
      <c r="F770" s="46">
        <v>1164.73</v>
      </c>
      <c r="G770" s="46">
        <v>205.27</v>
      </c>
      <c r="H770" s="46">
        <v>17.62</v>
      </c>
      <c r="I770" t="s">
        <v>81</v>
      </c>
    </row>
    <row r="771" spans="1:9" x14ac:dyDescent="0.25">
      <c r="A771" t="s">
        <v>726</v>
      </c>
      <c r="B771" t="s">
        <v>328</v>
      </c>
      <c r="C771" t="s">
        <v>846</v>
      </c>
      <c r="D771" t="s">
        <v>330</v>
      </c>
      <c r="E771" s="46">
        <v>1370</v>
      </c>
      <c r="F771" s="46">
        <v>1164.73</v>
      </c>
      <c r="G771" s="46">
        <v>205.27</v>
      </c>
      <c r="H771" s="46">
        <v>17.62</v>
      </c>
      <c r="I771" t="s">
        <v>81</v>
      </c>
    </row>
    <row r="772" spans="1:9" x14ac:dyDescent="0.25">
      <c r="A772" t="s">
        <v>726</v>
      </c>
      <c r="B772" t="s">
        <v>328</v>
      </c>
      <c r="C772" t="s">
        <v>847</v>
      </c>
      <c r="D772" t="s">
        <v>330</v>
      </c>
      <c r="E772" s="46">
        <v>1370</v>
      </c>
      <c r="F772" s="46">
        <v>1164.73</v>
      </c>
      <c r="G772" s="46">
        <v>205.27</v>
      </c>
      <c r="H772" s="46">
        <v>17.62</v>
      </c>
      <c r="I772" t="s">
        <v>81</v>
      </c>
    </row>
    <row r="773" spans="1:9" x14ac:dyDescent="0.25">
      <c r="A773" t="s">
        <v>726</v>
      </c>
      <c r="B773" t="s">
        <v>328</v>
      </c>
      <c r="C773" t="s">
        <v>848</v>
      </c>
      <c r="D773" t="s">
        <v>330</v>
      </c>
      <c r="E773" s="46">
        <v>1370</v>
      </c>
      <c r="F773" s="46">
        <v>1164.73</v>
      </c>
      <c r="G773" s="46">
        <v>205.27</v>
      </c>
      <c r="H773" s="46">
        <v>17.62</v>
      </c>
      <c r="I773" t="s">
        <v>81</v>
      </c>
    </row>
    <row r="774" spans="1:9" x14ac:dyDescent="0.25">
      <c r="A774" t="s">
        <v>726</v>
      </c>
      <c r="B774" t="s">
        <v>328</v>
      </c>
      <c r="C774" t="s">
        <v>849</v>
      </c>
      <c r="D774" t="s">
        <v>330</v>
      </c>
      <c r="E774" s="46">
        <v>1370</v>
      </c>
      <c r="F774" s="46">
        <v>1164.73</v>
      </c>
      <c r="G774" s="46">
        <v>205.27</v>
      </c>
      <c r="H774" s="46">
        <v>17.62</v>
      </c>
      <c r="I774" t="s">
        <v>81</v>
      </c>
    </row>
    <row r="775" spans="1:9" x14ac:dyDescent="0.25">
      <c r="A775" s="2" t="s">
        <v>726</v>
      </c>
      <c r="B775" s="2" t="s">
        <v>850</v>
      </c>
      <c r="C775" s="2" t="s">
        <v>851</v>
      </c>
      <c r="D775" s="2" t="s">
        <v>15</v>
      </c>
      <c r="E775" s="59">
        <v>1130</v>
      </c>
      <c r="F775" s="59">
        <v>1438</v>
      </c>
      <c r="G775" s="59">
        <v>-308</v>
      </c>
      <c r="H775" s="59">
        <v>-21.42</v>
      </c>
      <c r="I775" s="2" t="s">
        <v>23</v>
      </c>
    </row>
    <row r="776" spans="1:9" x14ac:dyDescent="0.25">
      <c r="A776" t="s">
        <v>726</v>
      </c>
      <c r="B776" t="s">
        <v>852</v>
      </c>
      <c r="C776" t="s">
        <v>853</v>
      </c>
      <c r="D776" t="s">
        <v>15</v>
      </c>
      <c r="E776" s="46">
        <v>2300</v>
      </c>
      <c r="F776" s="46">
        <v>2228.9</v>
      </c>
      <c r="G776" s="46">
        <v>71.099999999999994</v>
      </c>
      <c r="H776" s="46">
        <v>3.19</v>
      </c>
      <c r="I776" t="s">
        <v>23</v>
      </c>
    </row>
    <row r="777" spans="1:9" x14ac:dyDescent="0.25">
      <c r="A777" t="s">
        <v>726</v>
      </c>
      <c r="B777" t="s">
        <v>852</v>
      </c>
      <c r="C777" t="s">
        <v>854</v>
      </c>
      <c r="D777" t="s">
        <v>15</v>
      </c>
      <c r="E777" s="46">
        <v>2300</v>
      </c>
      <c r="F777" s="46">
        <v>2228.9</v>
      </c>
      <c r="G777" s="46">
        <v>71.099999999999994</v>
      </c>
      <c r="H777" s="46">
        <v>3.19</v>
      </c>
      <c r="I777" t="s">
        <v>23</v>
      </c>
    </row>
    <row r="778" spans="1:9" x14ac:dyDescent="0.25">
      <c r="A778" t="s">
        <v>726</v>
      </c>
      <c r="B778" t="s">
        <v>855</v>
      </c>
      <c r="C778" t="s">
        <v>856</v>
      </c>
      <c r="D778" t="s">
        <v>15</v>
      </c>
      <c r="E778" s="46">
        <v>1935</v>
      </c>
      <c r="F778" s="46">
        <v>1797.5</v>
      </c>
      <c r="G778" s="46">
        <v>137.5</v>
      </c>
      <c r="H778" s="46">
        <v>7.65</v>
      </c>
      <c r="I778" t="s">
        <v>23</v>
      </c>
    </row>
    <row r="779" spans="1:9" x14ac:dyDescent="0.25">
      <c r="A779" s="2" t="s">
        <v>857</v>
      </c>
      <c r="B779" s="2" t="s">
        <v>858</v>
      </c>
      <c r="C779" s="2" t="s">
        <v>859</v>
      </c>
      <c r="D779" s="2" t="s">
        <v>15</v>
      </c>
      <c r="E779" s="59">
        <v>450</v>
      </c>
      <c r="F779" s="59">
        <v>629</v>
      </c>
      <c r="G779" s="59">
        <v>-179</v>
      </c>
      <c r="H779" s="59">
        <v>-28.46</v>
      </c>
      <c r="I779" s="2" t="s">
        <v>81</v>
      </c>
    </row>
    <row r="780" spans="1:9" x14ac:dyDescent="0.25">
      <c r="A780" s="2" t="s">
        <v>857</v>
      </c>
      <c r="B780" s="2" t="s">
        <v>858</v>
      </c>
      <c r="C780" s="2" t="s">
        <v>860</v>
      </c>
      <c r="D780" s="2" t="s">
        <v>15</v>
      </c>
      <c r="E780" s="59">
        <v>450</v>
      </c>
      <c r="F780" s="59">
        <v>629</v>
      </c>
      <c r="G780" s="59">
        <v>-179</v>
      </c>
      <c r="H780" s="59">
        <v>-28.46</v>
      </c>
      <c r="I780" s="2" t="s">
        <v>81</v>
      </c>
    </row>
    <row r="781" spans="1:9" x14ac:dyDescent="0.25">
      <c r="A781" s="2" t="s">
        <v>857</v>
      </c>
      <c r="B781" s="2" t="s">
        <v>858</v>
      </c>
      <c r="C781" s="2" t="s">
        <v>861</v>
      </c>
      <c r="D781" s="2" t="s">
        <v>15</v>
      </c>
      <c r="E781" s="59">
        <v>450</v>
      </c>
      <c r="F781" s="59">
        <v>629</v>
      </c>
      <c r="G781" s="59">
        <v>-179</v>
      </c>
      <c r="H781" s="59">
        <v>-28.46</v>
      </c>
      <c r="I781" s="2" t="s">
        <v>81</v>
      </c>
    </row>
    <row r="782" spans="1:9" x14ac:dyDescent="0.25">
      <c r="A782" t="s">
        <v>857</v>
      </c>
      <c r="B782" t="s">
        <v>862</v>
      </c>
      <c r="C782" t="s">
        <v>863</v>
      </c>
      <c r="D782" t="s">
        <v>15</v>
      </c>
      <c r="E782" s="46">
        <v>760</v>
      </c>
      <c r="F782" s="46">
        <v>735.95</v>
      </c>
      <c r="G782" s="46">
        <v>24.05</v>
      </c>
      <c r="H782" s="46">
        <v>3.27</v>
      </c>
      <c r="I782" t="s">
        <v>23</v>
      </c>
    </row>
    <row r="783" spans="1:9" x14ac:dyDescent="0.25">
      <c r="A783" t="s">
        <v>857</v>
      </c>
      <c r="B783" t="s">
        <v>864</v>
      </c>
      <c r="C783" t="s">
        <v>865</v>
      </c>
      <c r="D783" t="s">
        <v>15</v>
      </c>
      <c r="E783" s="46">
        <v>1230</v>
      </c>
      <c r="F783" s="46">
        <v>629</v>
      </c>
      <c r="G783" s="46">
        <v>601</v>
      </c>
      <c r="H783" s="46">
        <v>95.55</v>
      </c>
      <c r="I783" t="s">
        <v>23</v>
      </c>
    </row>
    <row r="784" spans="1:9" x14ac:dyDescent="0.25">
      <c r="A784" s="2" t="s">
        <v>857</v>
      </c>
      <c r="B784" s="2" t="s">
        <v>866</v>
      </c>
      <c r="C784" s="2" t="s">
        <v>867</v>
      </c>
      <c r="D784" s="2" t="s">
        <v>15</v>
      </c>
      <c r="E784" s="59">
        <v>180</v>
      </c>
      <c r="F784" s="59">
        <v>306</v>
      </c>
      <c r="G784" s="59">
        <v>-126</v>
      </c>
      <c r="H784" s="59">
        <v>-41.18</v>
      </c>
      <c r="I784" s="2" t="s">
        <v>23</v>
      </c>
    </row>
    <row r="785" spans="1:9" x14ac:dyDescent="0.25">
      <c r="A785" s="2" t="s">
        <v>857</v>
      </c>
      <c r="B785" s="2" t="s">
        <v>868</v>
      </c>
      <c r="C785" s="2" t="s">
        <v>869</v>
      </c>
      <c r="D785" s="2" t="s">
        <v>15</v>
      </c>
      <c r="E785" s="59">
        <v>58</v>
      </c>
      <c r="F785" s="59">
        <v>59.36</v>
      </c>
      <c r="G785" s="59">
        <v>-1.36</v>
      </c>
      <c r="H785" s="59">
        <v>-2.29</v>
      </c>
      <c r="I785" s="2" t="s">
        <v>16</v>
      </c>
    </row>
    <row r="786" spans="1:9" x14ac:dyDescent="0.25">
      <c r="A786" s="2" t="s">
        <v>857</v>
      </c>
      <c r="B786" s="2" t="s">
        <v>868</v>
      </c>
      <c r="C786" s="2" t="s">
        <v>870</v>
      </c>
      <c r="D786" s="2" t="s">
        <v>15</v>
      </c>
      <c r="E786" s="59">
        <v>58</v>
      </c>
      <c r="F786" s="59">
        <v>59.36</v>
      </c>
      <c r="G786" s="59">
        <v>-1.36</v>
      </c>
      <c r="H786" s="59">
        <v>-2.29</v>
      </c>
      <c r="I786" s="2" t="s">
        <v>16</v>
      </c>
    </row>
    <row r="787" spans="1:9" x14ac:dyDescent="0.25">
      <c r="A787" s="2" t="s">
        <v>857</v>
      </c>
      <c r="B787" s="2" t="s">
        <v>868</v>
      </c>
      <c r="C787" s="2" t="s">
        <v>871</v>
      </c>
      <c r="D787" s="2" t="s">
        <v>15</v>
      </c>
      <c r="E787" s="59">
        <v>58</v>
      </c>
      <c r="F787" s="59">
        <v>59.36</v>
      </c>
      <c r="G787" s="59">
        <v>-1.36</v>
      </c>
      <c r="H787" s="59">
        <v>-2.29</v>
      </c>
      <c r="I787" s="2" t="s">
        <v>16</v>
      </c>
    </row>
    <row r="788" spans="1:9" x14ac:dyDescent="0.25">
      <c r="A788" s="2" t="s">
        <v>857</v>
      </c>
      <c r="B788" s="2" t="s">
        <v>868</v>
      </c>
      <c r="C788" s="2" t="s">
        <v>872</v>
      </c>
      <c r="D788" s="2" t="s">
        <v>15</v>
      </c>
      <c r="E788" s="59">
        <v>58</v>
      </c>
      <c r="F788" s="59">
        <v>59.36</v>
      </c>
      <c r="G788" s="59">
        <v>-1.36</v>
      </c>
      <c r="H788" s="59">
        <v>-2.29</v>
      </c>
      <c r="I788" s="2" t="s">
        <v>16</v>
      </c>
    </row>
    <row r="789" spans="1:9" x14ac:dyDescent="0.25">
      <c r="A789" s="2" t="s">
        <v>857</v>
      </c>
      <c r="B789" s="2" t="s">
        <v>868</v>
      </c>
      <c r="C789" s="2" t="s">
        <v>873</v>
      </c>
      <c r="D789" s="2" t="s">
        <v>15</v>
      </c>
      <c r="E789" s="59">
        <v>58</v>
      </c>
      <c r="F789" s="59">
        <v>59.36</v>
      </c>
      <c r="G789" s="59">
        <v>-1.36</v>
      </c>
      <c r="H789" s="59">
        <v>-2.29</v>
      </c>
      <c r="I789" s="2" t="s">
        <v>16</v>
      </c>
    </row>
    <row r="790" spans="1:9" x14ac:dyDescent="0.25">
      <c r="A790" s="2" t="s">
        <v>857</v>
      </c>
      <c r="B790" s="2" t="s">
        <v>868</v>
      </c>
      <c r="C790" s="2" t="s">
        <v>874</v>
      </c>
      <c r="D790" s="2" t="s">
        <v>15</v>
      </c>
      <c r="E790" s="59">
        <v>58</v>
      </c>
      <c r="F790" s="59">
        <v>59.36</v>
      </c>
      <c r="G790" s="59">
        <v>-1.36</v>
      </c>
      <c r="H790" s="59">
        <v>-2.29</v>
      </c>
      <c r="I790" s="2" t="s">
        <v>16</v>
      </c>
    </row>
    <row r="791" spans="1:9" x14ac:dyDescent="0.25">
      <c r="A791" s="2" t="s">
        <v>857</v>
      </c>
      <c r="B791" s="2" t="s">
        <v>868</v>
      </c>
      <c r="C791" s="2" t="s">
        <v>875</v>
      </c>
      <c r="D791" s="2" t="s">
        <v>15</v>
      </c>
      <c r="E791" s="59">
        <v>58</v>
      </c>
      <c r="F791" s="59">
        <v>59.36</v>
      </c>
      <c r="G791" s="59">
        <v>-1.36</v>
      </c>
      <c r="H791" s="59">
        <v>-2.29</v>
      </c>
      <c r="I791" s="2" t="s">
        <v>16</v>
      </c>
    </row>
    <row r="792" spans="1:9" x14ac:dyDescent="0.25">
      <c r="A792" s="2" t="s">
        <v>857</v>
      </c>
      <c r="B792" s="2" t="s">
        <v>868</v>
      </c>
      <c r="C792" s="2" t="s">
        <v>876</v>
      </c>
      <c r="D792" s="2" t="s">
        <v>15</v>
      </c>
      <c r="E792" s="59">
        <v>58</v>
      </c>
      <c r="F792" s="59">
        <v>59.36</v>
      </c>
      <c r="G792" s="59">
        <v>-1.36</v>
      </c>
      <c r="H792" s="59">
        <v>-2.29</v>
      </c>
      <c r="I792" s="2" t="s">
        <v>16</v>
      </c>
    </row>
    <row r="793" spans="1:9" x14ac:dyDescent="0.25">
      <c r="A793" s="2" t="s">
        <v>857</v>
      </c>
      <c r="B793" s="2" t="s">
        <v>868</v>
      </c>
      <c r="C793" s="2" t="s">
        <v>877</v>
      </c>
      <c r="D793" s="2" t="s">
        <v>15</v>
      </c>
      <c r="E793" s="59">
        <v>58</v>
      </c>
      <c r="F793" s="59">
        <v>59.36</v>
      </c>
      <c r="G793" s="59">
        <v>-1.36</v>
      </c>
      <c r="H793" s="59">
        <v>-2.29</v>
      </c>
      <c r="I793" s="2" t="s">
        <v>16</v>
      </c>
    </row>
    <row r="794" spans="1:9" x14ac:dyDescent="0.25">
      <c r="A794" s="2" t="s">
        <v>857</v>
      </c>
      <c r="B794" s="2" t="s">
        <v>868</v>
      </c>
      <c r="C794" s="2" t="s">
        <v>878</v>
      </c>
      <c r="D794" s="2" t="s">
        <v>15</v>
      </c>
      <c r="E794" s="59">
        <v>58</v>
      </c>
      <c r="F794" s="59">
        <v>59.36</v>
      </c>
      <c r="G794" s="59">
        <v>-1.36</v>
      </c>
      <c r="H794" s="59">
        <v>-2.29</v>
      </c>
      <c r="I794" s="2" t="s">
        <v>16</v>
      </c>
    </row>
    <row r="795" spans="1:9" x14ac:dyDescent="0.25">
      <c r="A795" s="2" t="s">
        <v>857</v>
      </c>
      <c r="B795" s="2" t="s">
        <v>868</v>
      </c>
      <c r="C795" s="2" t="s">
        <v>879</v>
      </c>
      <c r="D795" s="2" t="s">
        <v>15</v>
      </c>
      <c r="E795" s="59">
        <v>58</v>
      </c>
      <c r="F795" s="59">
        <v>59.36</v>
      </c>
      <c r="G795" s="59">
        <v>-1.36</v>
      </c>
      <c r="H795" s="59">
        <v>-2.29</v>
      </c>
      <c r="I795" s="2" t="s">
        <v>16</v>
      </c>
    </row>
    <row r="796" spans="1:9" x14ac:dyDescent="0.25">
      <c r="A796" s="2" t="s">
        <v>857</v>
      </c>
      <c r="B796" s="2" t="s">
        <v>868</v>
      </c>
      <c r="C796" s="2" t="s">
        <v>880</v>
      </c>
      <c r="D796" s="2" t="s">
        <v>15</v>
      </c>
      <c r="E796" s="59">
        <v>58</v>
      </c>
      <c r="F796" s="59">
        <v>59.36</v>
      </c>
      <c r="G796" s="59">
        <v>-1.36</v>
      </c>
      <c r="H796" s="59">
        <v>-2.29</v>
      </c>
      <c r="I796" s="2" t="s">
        <v>16</v>
      </c>
    </row>
    <row r="797" spans="1:9" x14ac:dyDescent="0.25">
      <c r="A797" s="2" t="s">
        <v>857</v>
      </c>
      <c r="B797" s="2" t="s">
        <v>868</v>
      </c>
      <c r="C797" s="2" t="s">
        <v>881</v>
      </c>
      <c r="D797" s="2" t="s">
        <v>15</v>
      </c>
      <c r="E797" s="59">
        <v>58</v>
      </c>
      <c r="F797" s="59">
        <v>59.36</v>
      </c>
      <c r="G797" s="59">
        <v>-1.36</v>
      </c>
      <c r="H797" s="59">
        <v>-2.29</v>
      </c>
      <c r="I797" s="2" t="s">
        <v>16</v>
      </c>
    </row>
    <row r="798" spans="1:9" x14ac:dyDescent="0.25">
      <c r="A798" s="2" t="s">
        <v>857</v>
      </c>
      <c r="B798" s="2" t="s">
        <v>868</v>
      </c>
      <c r="C798" s="2" t="s">
        <v>882</v>
      </c>
      <c r="D798" s="2" t="s">
        <v>15</v>
      </c>
      <c r="E798" s="59">
        <v>58</v>
      </c>
      <c r="F798" s="59">
        <v>59.36</v>
      </c>
      <c r="G798" s="59">
        <v>-1.36</v>
      </c>
      <c r="H798" s="59">
        <v>-2.29</v>
      </c>
      <c r="I798" s="2" t="s">
        <v>16</v>
      </c>
    </row>
    <row r="799" spans="1:9" x14ac:dyDescent="0.25">
      <c r="A799" s="2" t="s">
        <v>857</v>
      </c>
      <c r="B799" s="2" t="s">
        <v>868</v>
      </c>
      <c r="C799" s="2" t="s">
        <v>883</v>
      </c>
      <c r="D799" s="2" t="s">
        <v>15</v>
      </c>
      <c r="E799" s="59">
        <v>58</v>
      </c>
      <c r="F799" s="59">
        <v>59.36</v>
      </c>
      <c r="G799" s="59">
        <v>-1.36</v>
      </c>
      <c r="H799" s="59">
        <v>-2.29</v>
      </c>
      <c r="I799" s="2" t="s">
        <v>16</v>
      </c>
    </row>
    <row r="800" spans="1:9" x14ac:dyDescent="0.25">
      <c r="A800" s="2" t="s">
        <v>857</v>
      </c>
      <c r="B800" s="2" t="s">
        <v>868</v>
      </c>
      <c r="C800" s="2" t="s">
        <v>884</v>
      </c>
      <c r="D800" s="2" t="s">
        <v>15</v>
      </c>
      <c r="E800" s="59">
        <v>58</v>
      </c>
      <c r="F800" s="59">
        <v>59.36</v>
      </c>
      <c r="G800" s="59">
        <v>-1.36</v>
      </c>
      <c r="H800" s="59">
        <v>-2.29</v>
      </c>
      <c r="I800" s="2" t="s">
        <v>16</v>
      </c>
    </row>
    <row r="801" spans="1:9" x14ac:dyDescent="0.25">
      <c r="A801" s="2" t="s">
        <v>857</v>
      </c>
      <c r="B801" s="2" t="s">
        <v>868</v>
      </c>
      <c r="C801" s="2" t="s">
        <v>885</v>
      </c>
      <c r="D801" s="2" t="s">
        <v>15</v>
      </c>
      <c r="E801" s="59">
        <v>58</v>
      </c>
      <c r="F801" s="59">
        <v>59.36</v>
      </c>
      <c r="G801" s="59">
        <v>-1.36</v>
      </c>
      <c r="H801" s="59">
        <v>-2.29</v>
      </c>
      <c r="I801" s="2" t="s">
        <v>16</v>
      </c>
    </row>
    <row r="802" spans="1:9" x14ac:dyDescent="0.25">
      <c r="A802" s="2" t="s">
        <v>857</v>
      </c>
      <c r="B802" s="2" t="s">
        <v>868</v>
      </c>
      <c r="C802" s="2" t="s">
        <v>886</v>
      </c>
      <c r="D802" s="2" t="s">
        <v>15</v>
      </c>
      <c r="E802" s="59">
        <v>58</v>
      </c>
      <c r="F802" s="59">
        <v>59.36</v>
      </c>
      <c r="G802" s="59">
        <v>-1.36</v>
      </c>
      <c r="H802" s="59">
        <v>-2.29</v>
      </c>
      <c r="I802" s="2" t="s">
        <v>16</v>
      </c>
    </row>
    <row r="803" spans="1:9" x14ac:dyDescent="0.25">
      <c r="A803" s="2" t="s">
        <v>857</v>
      </c>
      <c r="B803" s="2" t="s">
        <v>868</v>
      </c>
      <c r="C803" s="2" t="s">
        <v>887</v>
      </c>
      <c r="D803" s="2" t="s">
        <v>15</v>
      </c>
      <c r="E803" s="59">
        <v>58</v>
      </c>
      <c r="F803" s="59">
        <v>59.36</v>
      </c>
      <c r="G803" s="59">
        <v>-1.36</v>
      </c>
      <c r="H803" s="59">
        <v>-2.29</v>
      </c>
      <c r="I803" s="2" t="s">
        <v>16</v>
      </c>
    </row>
    <row r="804" spans="1:9" x14ac:dyDescent="0.25">
      <c r="A804" s="2" t="s">
        <v>857</v>
      </c>
      <c r="B804" s="2" t="s">
        <v>868</v>
      </c>
      <c r="C804" s="2" t="s">
        <v>888</v>
      </c>
      <c r="D804" s="2" t="s">
        <v>15</v>
      </c>
      <c r="E804" s="59">
        <v>58</v>
      </c>
      <c r="F804" s="59">
        <v>59.36</v>
      </c>
      <c r="G804" s="59">
        <v>-1.36</v>
      </c>
      <c r="H804" s="59">
        <v>-2.29</v>
      </c>
      <c r="I804" s="2" t="s">
        <v>16</v>
      </c>
    </row>
    <row r="805" spans="1:9" x14ac:dyDescent="0.25">
      <c r="A805" s="2" t="s">
        <v>857</v>
      </c>
      <c r="B805" s="2" t="s">
        <v>868</v>
      </c>
      <c r="C805" s="2" t="s">
        <v>889</v>
      </c>
      <c r="D805" s="2" t="s">
        <v>15</v>
      </c>
      <c r="E805" s="59">
        <v>58</v>
      </c>
      <c r="F805" s="59">
        <v>59.36</v>
      </c>
      <c r="G805" s="59">
        <v>-1.36</v>
      </c>
      <c r="H805" s="59">
        <v>-2.29</v>
      </c>
      <c r="I805" s="2" t="s">
        <v>16</v>
      </c>
    </row>
    <row r="806" spans="1:9" x14ac:dyDescent="0.25">
      <c r="A806" s="2" t="s">
        <v>857</v>
      </c>
      <c r="B806" s="2" t="s">
        <v>868</v>
      </c>
      <c r="C806" s="2" t="s">
        <v>890</v>
      </c>
      <c r="D806" s="2" t="s">
        <v>15</v>
      </c>
      <c r="E806" s="59">
        <v>58</v>
      </c>
      <c r="F806" s="59">
        <v>59.36</v>
      </c>
      <c r="G806" s="59">
        <v>-1.36</v>
      </c>
      <c r="H806" s="59">
        <v>-2.29</v>
      </c>
      <c r="I806" s="2" t="s">
        <v>16</v>
      </c>
    </row>
    <row r="807" spans="1:9" x14ac:dyDescent="0.25">
      <c r="A807" s="2" t="s">
        <v>857</v>
      </c>
      <c r="B807" s="2" t="s">
        <v>868</v>
      </c>
      <c r="C807" s="2" t="s">
        <v>891</v>
      </c>
      <c r="D807" s="2" t="s">
        <v>15</v>
      </c>
      <c r="E807" s="59">
        <v>58</v>
      </c>
      <c r="F807" s="59">
        <v>59.36</v>
      </c>
      <c r="G807" s="59">
        <v>-1.36</v>
      </c>
      <c r="H807" s="59">
        <v>-2.29</v>
      </c>
      <c r="I807" s="2" t="s">
        <v>16</v>
      </c>
    </row>
    <row r="808" spans="1:9" x14ac:dyDescent="0.25">
      <c r="A808" s="2" t="s">
        <v>857</v>
      </c>
      <c r="B808" s="2" t="s">
        <v>868</v>
      </c>
      <c r="C808" s="2" t="s">
        <v>892</v>
      </c>
      <c r="D808" s="2" t="s">
        <v>15</v>
      </c>
      <c r="E808" s="59">
        <v>58</v>
      </c>
      <c r="F808" s="59">
        <v>59.36</v>
      </c>
      <c r="G808" s="59">
        <v>-1.36</v>
      </c>
      <c r="H808" s="59">
        <v>-2.29</v>
      </c>
      <c r="I808" s="2" t="s">
        <v>16</v>
      </c>
    </row>
    <row r="809" spans="1:9" x14ac:dyDescent="0.25">
      <c r="A809" s="2" t="s">
        <v>857</v>
      </c>
      <c r="B809" s="2" t="s">
        <v>868</v>
      </c>
      <c r="C809" s="2" t="s">
        <v>893</v>
      </c>
      <c r="D809" s="2" t="s">
        <v>15</v>
      </c>
      <c r="E809" s="59">
        <v>58</v>
      </c>
      <c r="F809" s="59">
        <v>59.36</v>
      </c>
      <c r="G809" s="59">
        <v>-1.36</v>
      </c>
      <c r="H809" s="59">
        <v>-2.29</v>
      </c>
      <c r="I809" s="2" t="s">
        <v>16</v>
      </c>
    </row>
    <row r="810" spans="1:9" x14ac:dyDescent="0.25">
      <c r="A810" s="2" t="s">
        <v>857</v>
      </c>
      <c r="B810" s="2" t="s">
        <v>868</v>
      </c>
      <c r="C810" s="2" t="s">
        <v>894</v>
      </c>
      <c r="D810" s="2" t="s">
        <v>15</v>
      </c>
      <c r="E810" s="59">
        <v>58</v>
      </c>
      <c r="F810" s="59">
        <v>59.36</v>
      </c>
      <c r="G810" s="59">
        <v>-1.36</v>
      </c>
      <c r="H810" s="59">
        <v>-2.29</v>
      </c>
      <c r="I810" s="2" t="s">
        <v>16</v>
      </c>
    </row>
    <row r="811" spans="1:9" x14ac:dyDescent="0.25">
      <c r="A811" s="2" t="s">
        <v>857</v>
      </c>
      <c r="B811" s="2" t="s">
        <v>868</v>
      </c>
      <c r="C811" s="2" t="s">
        <v>895</v>
      </c>
      <c r="D811" s="2" t="s">
        <v>15</v>
      </c>
      <c r="E811" s="59">
        <v>58</v>
      </c>
      <c r="F811" s="59">
        <v>59.36</v>
      </c>
      <c r="G811" s="59">
        <v>-1.36</v>
      </c>
      <c r="H811" s="59">
        <v>-2.29</v>
      </c>
      <c r="I811" s="2" t="s">
        <v>16</v>
      </c>
    </row>
    <row r="812" spans="1:9" x14ac:dyDescent="0.25">
      <c r="A812" s="2" t="s">
        <v>857</v>
      </c>
      <c r="B812" s="2" t="s">
        <v>868</v>
      </c>
      <c r="C812" s="2" t="s">
        <v>896</v>
      </c>
      <c r="D812" s="2" t="s">
        <v>15</v>
      </c>
      <c r="E812" s="59">
        <v>58</v>
      </c>
      <c r="F812" s="59">
        <v>59.36</v>
      </c>
      <c r="G812" s="59">
        <v>-1.36</v>
      </c>
      <c r="H812" s="59">
        <v>-2.29</v>
      </c>
      <c r="I812" s="2" t="s">
        <v>16</v>
      </c>
    </row>
    <row r="813" spans="1:9" x14ac:dyDescent="0.25">
      <c r="A813" s="2" t="s">
        <v>857</v>
      </c>
      <c r="B813" s="2" t="s">
        <v>868</v>
      </c>
      <c r="C813" s="2" t="s">
        <v>897</v>
      </c>
      <c r="D813" s="2" t="s">
        <v>15</v>
      </c>
      <c r="E813" s="59">
        <v>58</v>
      </c>
      <c r="F813" s="59">
        <v>59.36</v>
      </c>
      <c r="G813" s="59">
        <v>-1.36</v>
      </c>
      <c r="H813" s="59">
        <v>-2.29</v>
      </c>
      <c r="I813" s="2" t="s">
        <v>16</v>
      </c>
    </row>
    <row r="814" spans="1:9" x14ac:dyDescent="0.25">
      <c r="A814" s="2" t="s">
        <v>857</v>
      </c>
      <c r="B814" s="2" t="s">
        <v>868</v>
      </c>
      <c r="C814" s="2" t="s">
        <v>898</v>
      </c>
      <c r="D814" s="2" t="s">
        <v>15</v>
      </c>
      <c r="E814" s="59">
        <v>58</v>
      </c>
      <c r="F814" s="59">
        <v>59.36</v>
      </c>
      <c r="G814" s="59">
        <v>-1.36</v>
      </c>
      <c r="H814" s="59">
        <v>-2.29</v>
      </c>
      <c r="I814" s="2" t="s">
        <v>16</v>
      </c>
    </row>
    <row r="815" spans="1:9" x14ac:dyDescent="0.25">
      <c r="A815" s="2" t="s">
        <v>857</v>
      </c>
      <c r="B815" s="2" t="s">
        <v>868</v>
      </c>
      <c r="C815" s="2" t="s">
        <v>899</v>
      </c>
      <c r="D815" s="2" t="s">
        <v>15</v>
      </c>
      <c r="E815" s="59">
        <v>58</v>
      </c>
      <c r="F815" s="59">
        <v>59.36</v>
      </c>
      <c r="G815" s="59">
        <v>-1.36</v>
      </c>
      <c r="H815" s="59">
        <v>-2.29</v>
      </c>
      <c r="I815" s="2" t="s">
        <v>16</v>
      </c>
    </row>
    <row r="816" spans="1:9" x14ac:dyDescent="0.25">
      <c r="A816" s="2" t="s">
        <v>857</v>
      </c>
      <c r="B816" s="2" t="s">
        <v>868</v>
      </c>
      <c r="C816" s="2" t="s">
        <v>900</v>
      </c>
      <c r="D816" s="2" t="s">
        <v>15</v>
      </c>
      <c r="E816" s="59">
        <v>58</v>
      </c>
      <c r="F816" s="59">
        <v>59.36</v>
      </c>
      <c r="G816" s="59">
        <v>-1.36</v>
      </c>
      <c r="H816" s="59">
        <v>-2.29</v>
      </c>
      <c r="I816" s="2" t="s">
        <v>16</v>
      </c>
    </row>
    <row r="817" spans="1:9" x14ac:dyDescent="0.25">
      <c r="A817" s="2" t="s">
        <v>857</v>
      </c>
      <c r="B817" s="2" t="s">
        <v>868</v>
      </c>
      <c r="C817" s="2" t="s">
        <v>901</v>
      </c>
      <c r="D817" s="2" t="s">
        <v>15</v>
      </c>
      <c r="E817" s="59">
        <v>58</v>
      </c>
      <c r="F817" s="59">
        <v>59.36</v>
      </c>
      <c r="G817" s="59">
        <v>-1.36</v>
      </c>
      <c r="H817" s="59">
        <v>-2.29</v>
      </c>
      <c r="I817" s="2" t="s">
        <v>16</v>
      </c>
    </row>
    <row r="818" spans="1:9" x14ac:dyDescent="0.25">
      <c r="A818" s="2" t="s">
        <v>857</v>
      </c>
      <c r="B818" s="2" t="s">
        <v>868</v>
      </c>
      <c r="C818" s="2" t="s">
        <v>902</v>
      </c>
      <c r="D818" s="2" t="s">
        <v>15</v>
      </c>
      <c r="E818" s="59">
        <v>58</v>
      </c>
      <c r="F818" s="59">
        <v>59.36</v>
      </c>
      <c r="G818" s="59">
        <v>-1.36</v>
      </c>
      <c r="H818" s="59">
        <v>-2.29</v>
      </c>
      <c r="I818" s="2" t="s">
        <v>16</v>
      </c>
    </row>
    <row r="819" spans="1:9" x14ac:dyDescent="0.25">
      <c r="A819" s="2" t="s">
        <v>857</v>
      </c>
      <c r="B819" s="2" t="s">
        <v>868</v>
      </c>
      <c r="C819" s="2" t="s">
        <v>903</v>
      </c>
      <c r="D819" s="2" t="s">
        <v>15</v>
      </c>
      <c r="E819" s="59">
        <v>58</v>
      </c>
      <c r="F819" s="59">
        <v>59.36</v>
      </c>
      <c r="G819" s="59">
        <v>-1.36</v>
      </c>
      <c r="H819" s="59">
        <v>-2.29</v>
      </c>
      <c r="I819" s="2" t="s">
        <v>16</v>
      </c>
    </row>
    <row r="820" spans="1:9" x14ac:dyDescent="0.25">
      <c r="A820" s="2" t="s">
        <v>857</v>
      </c>
      <c r="B820" s="2" t="s">
        <v>868</v>
      </c>
      <c r="C820" s="2" t="s">
        <v>904</v>
      </c>
      <c r="D820" s="2" t="s">
        <v>15</v>
      </c>
      <c r="E820" s="59">
        <v>58</v>
      </c>
      <c r="F820" s="59">
        <v>59.36</v>
      </c>
      <c r="G820" s="59">
        <v>-1.36</v>
      </c>
      <c r="H820" s="59">
        <v>-2.29</v>
      </c>
      <c r="I820" s="2" t="s">
        <v>16</v>
      </c>
    </row>
    <row r="821" spans="1:9" x14ac:dyDescent="0.25">
      <c r="A821" t="s">
        <v>857</v>
      </c>
      <c r="B821" t="s">
        <v>905</v>
      </c>
      <c r="C821" t="s">
        <v>906</v>
      </c>
      <c r="D821" t="s">
        <v>15</v>
      </c>
      <c r="E821" s="46">
        <v>430</v>
      </c>
      <c r="F821" s="46">
        <v>10</v>
      </c>
      <c r="G821" s="46">
        <v>420</v>
      </c>
      <c r="H821" s="46">
        <v>4200</v>
      </c>
      <c r="I821" t="s">
        <v>907</v>
      </c>
    </row>
    <row r="822" spans="1:9" x14ac:dyDescent="0.25">
      <c r="A822" t="s">
        <v>857</v>
      </c>
      <c r="B822" t="s">
        <v>905</v>
      </c>
      <c r="C822" t="s">
        <v>908</v>
      </c>
      <c r="D822" t="s">
        <v>15</v>
      </c>
      <c r="E822" s="46">
        <v>430</v>
      </c>
      <c r="F822" s="46">
        <v>10</v>
      </c>
      <c r="G822" s="46">
        <v>420</v>
      </c>
      <c r="H822" s="46">
        <v>4200</v>
      </c>
      <c r="I822" t="s">
        <v>907</v>
      </c>
    </row>
    <row r="823" spans="1:9" x14ac:dyDescent="0.25">
      <c r="A823" t="s">
        <v>857</v>
      </c>
      <c r="B823" t="s">
        <v>905</v>
      </c>
      <c r="C823" t="s">
        <v>909</v>
      </c>
      <c r="D823" t="s">
        <v>15</v>
      </c>
      <c r="E823" s="46">
        <v>430</v>
      </c>
      <c r="F823" s="46">
        <v>10</v>
      </c>
      <c r="G823" s="46">
        <v>420</v>
      </c>
      <c r="H823" s="46">
        <v>4200</v>
      </c>
      <c r="I823" t="s">
        <v>907</v>
      </c>
    </row>
    <row r="824" spans="1:9" x14ac:dyDescent="0.25">
      <c r="A824" t="s">
        <v>857</v>
      </c>
      <c r="B824" t="s">
        <v>905</v>
      </c>
      <c r="C824" t="s">
        <v>910</v>
      </c>
      <c r="D824" t="s">
        <v>15</v>
      </c>
      <c r="E824" s="46">
        <v>430</v>
      </c>
      <c r="F824" s="46">
        <v>10</v>
      </c>
      <c r="G824" s="46">
        <v>420</v>
      </c>
      <c r="H824" s="46">
        <v>4200</v>
      </c>
      <c r="I824" t="s">
        <v>907</v>
      </c>
    </row>
    <row r="825" spans="1:9" x14ac:dyDescent="0.25">
      <c r="A825" t="s">
        <v>857</v>
      </c>
      <c r="B825" t="s">
        <v>905</v>
      </c>
      <c r="C825" t="s">
        <v>911</v>
      </c>
      <c r="D825" t="s">
        <v>15</v>
      </c>
      <c r="E825" s="46">
        <v>430</v>
      </c>
      <c r="F825" s="46">
        <v>10</v>
      </c>
      <c r="G825" s="46">
        <v>420</v>
      </c>
      <c r="H825" s="46">
        <v>4200</v>
      </c>
      <c r="I825" t="s">
        <v>907</v>
      </c>
    </row>
    <row r="826" spans="1:9" x14ac:dyDescent="0.25">
      <c r="A826" t="s">
        <v>857</v>
      </c>
      <c r="B826" t="s">
        <v>905</v>
      </c>
      <c r="C826" t="s">
        <v>912</v>
      </c>
      <c r="D826" t="s">
        <v>15</v>
      </c>
      <c r="E826" s="46">
        <v>430</v>
      </c>
      <c r="F826" s="46">
        <v>10</v>
      </c>
      <c r="G826" s="46">
        <v>420</v>
      </c>
      <c r="H826" s="46">
        <v>4200</v>
      </c>
      <c r="I826" t="s">
        <v>907</v>
      </c>
    </row>
    <row r="827" spans="1:9" x14ac:dyDescent="0.25">
      <c r="A827" t="s">
        <v>857</v>
      </c>
      <c r="B827" t="s">
        <v>215</v>
      </c>
      <c r="C827" t="s">
        <v>913</v>
      </c>
      <c r="D827" t="s">
        <v>644</v>
      </c>
      <c r="E827" s="46">
        <v>4120</v>
      </c>
      <c r="F827" s="46">
        <v>3823.35</v>
      </c>
      <c r="G827" s="46">
        <v>296.64999999999998</v>
      </c>
      <c r="H827" s="46">
        <v>7.76</v>
      </c>
      <c r="I827" t="s">
        <v>23</v>
      </c>
    </row>
    <row r="828" spans="1:9" x14ac:dyDescent="0.25">
      <c r="A828" t="s">
        <v>857</v>
      </c>
      <c r="B828" t="s">
        <v>215</v>
      </c>
      <c r="C828" t="s">
        <v>914</v>
      </c>
      <c r="D828" t="s">
        <v>644</v>
      </c>
      <c r="E828" s="46">
        <v>4120</v>
      </c>
      <c r="F828" s="46">
        <v>3823.35</v>
      </c>
      <c r="G828" s="46">
        <v>296.64999999999998</v>
      </c>
      <c r="H828" s="46">
        <v>7.76</v>
      </c>
      <c r="I828" t="s">
        <v>23</v>
      </c>
    </row>
    <row r="829" spans="1:9" x14ac:dyDescent="0.25">
      <c r="A829" t="s">
        <v>857</v>
      </c>
      <c r="B829" t="s">
        <v>215</v>
      </c>
      <c r="C829" t="s">
        <v>915</v>
      </c>
      <c r="D829" t="s">
        <v>644</v>
      </c>
      <c r="E829" s="46">
        <v>4120</v>
      </c>
      <c r="F829" s="46">
        <v>3823.35</v>
      </c>
      <c r="G829" s="46">
        <v>296.64999999999998</v>
      </c>
      <c r="H829" s="46">
        <v>7.76</v>
      </c>
      <c r="I829" t="s">
        <v>23</v>
      </c>
    </row>
    <row r="830" spans="1:9" x14ac:dyDescent="0.25">
      <c r="A830" t="s">
        <v>857</v>
      </c>
      <c r="B830" t="s">
        <v>215</v>
      </c>
      <c r="C830" t="s">
        <v>916</v>
      </c>
      <c r="D830" t="s">
        <v>15</v>
      </c>
      <c r="E830" s="46">
        <v>4120</v>
      </c>
      <c r="F830" s="46">
        <v>3774</v>
      </c>
      <c r="G830" s="46">
        <v>346</v>
      </c>
      <c r="H830" s="46">
        <v>9.17</v>
      </c>
      <c r="I830" t="s">
        <v>23</v>
      </c>
    </row>
    <row r="831" spans="1:9" x14ac:dyDescent="0.25">
      <c r="A831" t="s">
        <v>857</v>
      </c>
      <c r="B831" t="s">
        <v>33</v>
      </c>
      <c r="C831" t="s">
        <v>917</v>
      </c>
      <c r="D831" t="s">
        <v>15</v>
      </c>
      <c r="E831" s="46">
        <v>3936.7</v>
      </c>
      <c r="F831" s="46">
        <v>3343</v>
      </c>
      <c r="G831" s="46">
        <v>593.70000000000005</v>
      </c>
      <c r="H831" s="46">
        <v>17.760000000000002</v>
      </c>
      <c r="I831" t="s">
        <v>23</v>
      </c>
    </row>
    <row r="832" spans="1:9" x14ac:dyDescent="0.25">
      <c r="A832" t="s">
        <v>857</v>
      </c>
      <c r="B832" t="s">
        <v>33</v>
      </c>
      <c r="C832" t="s">
        <v>918</v>
      </c>
      <c r="D832" t="s">
        <v>490</v>
      </c>
      <c r="E832" s="46">
        <v>3290</v>
      </c>
      <c r="F832" s="46">
        <v>3231</v>
      </c>
      <c r="G832" s="46">
        <v>59</v>
      </c>
      <c r="H832" s="46">
        <v>1.83</v>
      </c>
      <c r="I832" t="s">
        <v>23</v>
      </c>
    </row>
    <row r="833" spans="1:9" x14ac:dyDescent="0.25">
      <c r="A833" t="s">
        <v>857</v>
      </c>
      <c r="B833" t="s">
        <v>33</v>
      </c>
      <c r="C833" t="s">
        <v>919</v>
      </c>
      <c r="D833" t="s">
        <v>490</v>
      </c>
      <c r="E833" s="46">
        <v>3290</v>
      </c>
      <c r="F833" s="46">
        <v>3231</v>
      </c>
      <c r="G833" s="46">
        <v>59</v>
      </c>
      <c r="H833" s="46">
        <v>1.83</v>
      </c>
      <c r="I833" t="s">
        <v>23</v>
      </c>
    </row>
    <row r="834" spans="1:9" x14ac:dyDescent="0.25">
      <c r="A834" t="s">
        <v>857</v>
      </c>
      <c r="B834" t="s">
        <v>33</v>
      </c>
      <c r="C834" t="s">
        <v>920</v>
      </c>
      <c r="D834" t="s">
        <v>490</v>
      </c>
      <c r="E834" s="46">
        <v>3290</v>
      </c>
      <c r="F834" s="46">
        <v>3231</v>
      </c>
      <c r="G834" s="46">
        <v>59</v>
      </c>
      <c r="H834" s="46">
        <v>1.83</v>
      </c>
      <c r="I834" t="s">
        <v>23</v>
      </c>
    </row>
    <row r="835" spans="1:9" x14ac:dyDescent="0.25">
      <c r="A835" t="s">
        <v>857</v>
      </c>
      <c r="B835" t="s">
        <v>33</v>
      </c>
      <c r="C835" t="s">
        <v>921</v>
      </c>
      <c r="D835" t="s">
        <v>644</v>
      </c>
      <c r="E835" s="46">
        <v>4430</v>
      </c>
      <c r="F835" s="46">
        <v>3913.1</v>
      </c>
      <c r="G835" s="46">
        <v>516.9</v>
      </c>
      <c r="H835" s="46">
        <v>13.21</v>
      </c>
      <c r="I835" t="s">
        <v>23</v>
      </c>
    </row>
    <row r="836" spans="1:9" x14ac:dyDescent="0.25">
      <c r="A836" t="s">
        <v>857</v>
      </c>
      <c r="B836" t="s">
        <v>33</v>
      </c>
      <c r="C836" t="s">
        <v>922</v>
      </c>
      <c r="D836" t="s">
        <v>644</v>
      </c>
      <c r="E836" s="46">
        <v>4430</v>
      </c>
      <c r="F836" s="46">
        <v>3913.1</v>
      </c>
      <c r="G836" s="46">
        <v>516.9</v>
      </c>
      <c r="H836" s="46">
        <v>13.21</v>
      </c>
      <c r="I836" t="s">
        <v>23</v>
      </c>
    </row>
    <row r="837" spans="1:9" x14ac:dyDescent="0.25">
      <c r="A837" t="s">
        <v>857</v>
      </c>
      <c r="B837" t="s">
        <v>33</v>
      </c>
      <c r="C837" t="s">
        <v>923</v>
      </c>
      <c r="D837" t="s">
        <v>490</v>
      </c>
      <c r="E837" s="46">
        <v>3490</v>
      </c>
      <c r="F837" s="46">
        <v>3338.7</v>
      </c>
      <c r="G837" s="46">
        <v>151.30000000000001</v>
      </c>
      <c r="H837" s="46">
        <v>4.53</v>
      </c>
      <c r="I837" t="s">
        <v>23</v>
      </c>
    </row>
    <row r="838" spans="1:9" x14ac:dyDescent="0.25">
      <c r="A838" t="s">
        <v>857</v>
      </c>
      <c r="B838" t="s">
        <v>582</v>
      </c>
      <c r="C838" t="s">
        <v>924</v>
      </c>
      <c r="D838" t="s">
        <v>15</v>
      </c>
      <c r="E838" s="46">
        <v>5090</v>
      </c>
      <c r="F838" s="46">
        <v>4745</v>
      </c>
      <c r="G838" s="46">
        <v>345</v>
      </c>
      <c r="H838" s="46">
        <v>7.27</v>
      </c>
      <c r="I838" t="s">
        <v>23</v>
      </c>
    </row>
    <row r="839" spans="1:9" x14ac:dyDescent="0.25">
      <c r="A839" s="2" t="s">
        <v>857</v>
      </c>
      <c r="B839" s="2" t="s">
        <v>925</v>
      </c>
      <c r="C839" s="2" t="s">
        <v>926</v>
      </c>
      <c r="D839" s="2" t="s">
        <v>15</v>
      </c>
      <c r="E839" s="59">
        <v>250</v>
      </c>
      <c r="F839" s="59">
        <v>252.63</v>
      </c>
      <c r="G839" s="59">
        <v>-2.63</v>
      </c>
      <c r="H839" s="59">
        <v>-1.04</v>
      </c>
      <c r="I839" s="2" t="s">
        <v>16</v>
      </c>
    </row>
    <row r="840" spans="1:9" x14ac:dyDescent="0.25">
      <c r="A840" s="2" t="s">
        <v>857</v>
      </c>
      <c r="B840" s="2" t="s">
        <v>925</v>
      </c>
      <c r="C840" s="2" t="s">
        <v>927</v>
      </c>
      <c r="D840" s="2" t="s">
        <v>15</v>
      </c>
      <c r="E840" s="59">
        <v>250</v>
      </c>
      <c r="F840" s="59">
        <v>252.63</v>
      </c>
      <c r="G840" s="59">
        <v>-2.63</v>
      </c>
      <c r="H840" s="59">
        <v>-1.04</v>
      </c>
      <c r="I840" s="2" t="s">
        <v>16</v>
      </c>
    </row>
    <row r="841" spans="1:9" x14ac:dyDescent="0.25">
      <c r="A841" t="s">
        <v>857</v>
      </c>
      <c r="B841" t="s">
        <v>288</v>
      </c>
      <c r="C841" t="s">
        <v>928</v>
      </c>
      <c r="D841" t="s">
        <v>15</v>
      </c>
      <c r="E841" s="46">
        <v>1655</v>
      </c>
      <c r="F841" s="46">
        <v>1527.75</v>
      </c>
      <c r="G841" s="46">
        <v>127.25</v>
      </c>
      <c r="H841" s="46">
        <v>8.33</v>
      </c>
      <c r="I841" t="s">
        <v>23</v>
      </c>
    </row>
    <row r="842" spans="1:9" x14ac:dyDescent="0.25">
      <c r="A842" t="s">
        <v>857</v>
      </c>
      <c r="B842" t="s">
        <v>929</v>
      </c>
      <c r="C842" t="s">
        <v>930</v>
      </c>
      <c r="D842" t="s">
        <v>15</v>
      </c>
      <c r="E842" s="46">
        <v>860</v>
      </c>
      <c r="F842" s="46">
        <v>791</v>
      </c>
      <c r="G842" s="46">
        <v>69</v>
      </c>
      <c r="H842" s="46">
        <v>8.7200000000000006</v>
      </c>
      <c r="I842" t="s">
        <v>23</v>
      </c>
    </row>
    <row r="843" spans="1:9" x14ac:dyDescent="0.25">
      <c r="A843" s="2" t="s">
        <v>857</v>
      </c>
      <c r="B843" s="2" t="s">
        <v>931</v>
      </c>
      <c r="C843" s="2" t="s">
        <v>932</v>
      </c>
      <c r="D843" s="2" t="s">
        <v>15</v>
      </c>
      <c r="E843" s="59">
        <v>1650</v>
      </c>
      <c r="F843" s="59">
        <v>1658</v>
      </c>
      <c r="G843" s="59">
        <v>-8</v>
      </c>
      <c r="H843" s="59">
        <v>-0.48</v>
      </c>
      <c r="I843" s="2" t="s">
        <v>16</v>
      </c>
    </row>
    <row r="844" spans="1:9" x14ac:dyDescent="0.25">
      <c r="A844" s="2" t="s">
        <v>857</v>
      </c>
      <c r="B844" s="2" t="s">
        <v>931</v>
      </c>
      <c r="C844" s="2" t="s">
        <v>933</v>
      </c>
      <c r="D844" s="2" t="s">
        <v>15</v>
      </c>
      <c r="E844" s="59">
        <v>1650</v>
      </c>
      <c r="F844" s="59">
        <v>1658</v>
      </c>
      <c r="G844" s="59">
        <v>-8</v>
      </c>
      <c r="H844" s="59">
        <v>-0.48</v>
      </c>
      <c r="I844" s="2" t="s">
        <v>16</v>
      </c>
    </row>
    <row r="845" spans="1:9" x14ac:dyDescent="0.25">
      <c r="A845" t="s">
        <v>857</v>
      </c>
      <c r="B845" t="s">
        <v>931</v>
      </c>
      <c r="C845" t="s">
        <v>934</v>
      </c>
      <c r="D845" t="s">
        <v>15</v>
      </c>
      <c r="E845" s="46">
        <v>1650</v>
      </c>
      <c r="F845" s="46">
        <v>1293.3800000000001</v>
      </c>
      <c r="G845" s="46">
        <v>356.62</v>
      </c>
      <c r="H845" s="46">
        <v>27.57</v>
      </c>
      <c r="I845" t="s">
        <v>23</v>
      </c>
    </row>
    <row r="846" spans="1:9" x14ac:dyDescent="0.25">
      <c r="A846" t="s">
        <v>857</v>
      </c>
      <c r="B846" t="s">
        <v>935</v>
      </c>
      <c r="C846" t="s">
        <v>936</v>
      </c>
      <c r="D846" t="s">
        <v>15</v>
      </c>
      <c r="E846" s="46">
        <v>190</v>
      </c>
      <c r="F846" s="46">
        <v>161.55000000000001</v>
      </c>
      <c r="G846" s="46">
        <v>28.45</v>
      </c>
      <c r="H846" s="46">
        <v>17.61</v>
      </c>
      <c r="I846" t="s">
        <v>23</v>
      </c>
    </row>
    <row r="847" spans="1:9" x14ac:dyDescent="0.25">
      <c r="A847" t="s">
        <v>857</v>
      </c>
      <c r="B847" t="s">
        <v>935</v>
      </c>
      <c r="C847" t="s">
        <v>937</v>
      </c>
      <c r="D847" t="s">
        <v>15</v>
      </c>
      <c r="E847" s="46">
        <v>190</v>
      </c>
      <c r="F847" s="46">
        <v>161.55000000000001</v>
      </c>
      <c r="G847" s="46">
        <v>28.45</v>
      </c>
      <c r="H847" s="46">
        <v>17.61</v>
      </c>
      <c r="I847" t="s">
        <v>23</v>
      </c>
    </row>
    <row r="848" spans="1:9" x14ac:dyDescent="0.25">
      <c r="A848" t="s">
        <v>857</v>
      </c>
      <c r="B848" t="s">
        <v>935</v>
      </c>
      <c r="C848" t="s">
        <v>938</v>
      </c>
      <c r="D848" t="s">
        <v>15</v>
      </c>
      <c r="E848" s="46">
        <v>190</v>
      </c>
      <c r="F848" s="46">
        <v>161.55000000000001</v>
      </c>
      <c r="G848" s="46">
        <v>28.45</v>
      </c>
      <c r="H848" s="46">
        <v>17.61</v>
      </c>
      <c r="I848" t="s">
        <v>23</v>
      </c>
    </row>
    <row r="849" spans="1:9" x14ac:dyDescent="0.25">
      <c r="A849" t="s">
        <v>857</v>
      </c>
      <c r="B849" t="s">
        <v>935</v>
      </c>
      <c r="C849" t="s">
        <v>939</v>
      </c>
      <c r="D849" t="s">
        <v>15</v>
      </c>
      <c r="E849" s="46">
        <v>190</v>
      </c>
      <c r="F849" s="46">
        <v>161.55000000000001</v>
      </c>
      <c r="G849" s="46">
        <v>28.45</v>
      </c>
      <c r="H849" s="46">
        <v>17.61</v>
      </c>
      <c r="I849" t="s">
        <v>23</v>
      </c>
    </row>
    <row r="850" spans="1:9" x14ac:dyDescent="0.25">
      <c r="A850" t="s">
        <v>857</v>
      </c>
      <c r="B850" t="s">
        <v>328</v>
      </c>
      <c r="C850" t="s">
        <v>940</v>
      </c>
      <c r="D850" t="s">
        <v>330</v>
      </c>
      <c r="E850" s="46">
        <v>1365</v>
      </c>
      <c r="F850" s="46">
        <v>1164.73</v>
      </c>
      <c r="G850" s="46">
        <v>200.27</v>
      </c>
      <c r="H850" s="46">
        <v>17.190000000000001</v>
      </c>
      <c r="I850" t="s">
        <v>81</v>
      </c>
    </row>
    <row r="851" spans="1:9" x14ac:dyDescent="0.25">
      <c r="A851" t="s">
        <v>857</v>
      </c>
      <c r="B851" t="s">
        <v>328</v>
      </c>
      <c r="C851" t="s">
        <v>941</v>
      </c>
      <c r="D851" t="s">
        <v>330</v>
      </c>
      <c r="E851" s="46">
        <v>1365</v>
      </c>
      <c r="F851" s="46">
        <v>1164.73</v>
      </c>
      <c r="G851" s="46">
        <v>200.27</v>
      </c>
      <c r="H851" s="46">
        <v>17.190000000000001</v>
      </c>
      <c r="I851" t="s">
        <v>81</v>
      </c>
    </row>
    <row r="852" spans="1:9" x14ac:dyDescent="0.25">
      <c r="A852" t="s">
        <v>857</v>
      </c>
      <c r="B852" t="s">
        <v>328</v>
      </c>
      <c r="C852" t="s">
        <v>942</v>
      </c>
      <c r="D852" t="s">
        <v>330</v>
      </c>
      <c r="E852" s="46">
        <v>1365</v>
      </c>
      <c r="F852" s="46">
        <v>1164.73</v>
      </c>
      <c r="G852" s="46">
        <v>200.27</v>
      </c>
      <c r="H852" s="46">
        <v>17.190000000000001</v>
      </c>
      <c r="I852" t="s">
        <v>81</v>
      </c>
    </row>
    <row r="853" spans="1:9" x14ac:dyDescent="0.25">
      <c r="A853" t="s">
        <v>857</v>
      </c>
      <c r="B853" t="s">
        <v>328</v>
      </c>
      <c r="C853" t="s">
        <v>943</v>
      </c>
      <c r="D853" t="s">
        <v>330</v>
      </c>
      <c r="E853" s="46">
        <v>1365</v>
      </c>
      <c r="F853" s="46">
        <v>1164.73</v>
      </c>
      <c r="G853" s="46">
        <v>200.27</v>
      </c>
      <c r="H853" s="46">
        <v>17.190000000000001</v>
      </c>
      <c r="I853" t="s">
        <v>81</v>
      </c>
    </row>
    <row r="854" spans="1:9" x14ac:dyDescent="0.25">
      <c r="A854" t="s">
        <v>857</v>
      </c>
      <c r="B854" t="s">
        <v>328</v>
      </c>
      <c r="C854" t="s">
        <v>944</v>
      </c>
      <c r="D854" t="s">
        <v>330</v>
      </c>
      <c r="E854" s="46">
        <v>1365</v>
      </c>
      <c r="F854" s="46">
        <v>1164.73</v>
      </c>
      <c r="G854" s="46">
        <v>200.27</v>
      </c>
      <c r="H854" s="46">
        <v>17.190000000000001</v>
      </c>
      <c r="I854" t="s">
        <v>81</v>
      </c>
    </row>
    <row r="855" spans="1:9" x14ac:dyDescent="0.25">
      <c r="A855" t="s">
        <v>857</v>
      </c>
      <c r="B855" t="s">
        <v>328</v>
      </c>
      <c r="C855" t="s">
        <v>945</v>
      </c>
      <c r="D855" t="s">
        <v>330</v>
      </c>
      <c r="E855" s="46">
        <v>1365</v>
      </c>
      <c r="F855" s="46">
        <v>1164.73</v>
      </c>
      <c r="G855" s="46">
        <v>200.27</v>
      </c>
      <c r="H855" s="46">
        <v>17.190000000000001</v>
      </c>
      <c r="I855" t="s">
        <v>81</v>
      </c>
    </row>
    <row r="856" spans="1:9" x14ac:dyDescent="0.25">
      <c r="A856" t="s">
        <v>857</v>
      </c>
      <c r="B856" t="s">
        <v>328</v>
      </c>
      <c r="C856" t="s">
        <v>946</v>
      </c>
      <c r="D856" t="s">
        <v>330</v>
      </c>
      <c r="E856" s="46">
        <v>1365</v>
      </c>
      <c r="F856" s="46">
        <v>1164.73</v>
      </c>
      <c r="G856" s="46">
        <v>200.27</v>
      </c>
      <c r="H856" s="46">
        <v>17.190000000000001</v>
      </c>
      <c r="I856" t="s">
        <v>81</v>
      </c>
    </row>
    <row r="857" spans="1:9" x14ac:dyDescent="0.25">
      <c r="A857" t="s">
        <v>857</v>
      </c>
      <c r="B857" t="s">
        <v>328</v>
      </c>
      <c r="C857" t="s">
        <v>947</v>
      </c>
      <c r="D857" t="s">
        <v>330</v>
      </c>
      <c r="E857" s="46">
        <v>1365</v>
      </c>
      <c r="F857" s="46">
        <v>1164.73</v>
      </c>
      <c r="G857" s="46">
        <v>200.27</v>
      </c>
      <c r="H857" s="46">
        <v>17.190000000000001</v>
      </c>
      <c r="I857" t="s">
        <v>81</v>
      </c>
    </row>
    <row r="858" spans="1:9" x14ac:dyDescent="0.25">
      <c r="A858" t="s">
        <v>857</v>
      </c>
      <c r="B858" t="s">
        <v>328</v>
      </c>
      <c r="C858" t="s">
        <v>948</v>
      </c>
      <c r="D858" t="s">
        <v>330</v>
      </c>
      <c r="E858" s="46">
        <v>1365</v>
      </c>
      <c r="F858" s="46">
        <v>1164.73</v>
      </c>
      <c r="G858" s="46">
        <v>200.27</v>
      </c>
      <c r="H858" s="46">
        <v>17.190000000000001</v>
      </c>
      <c r="I858" t="s">
        <v>81</v>
      </c>
    </row>
    <row r="859" spans="1:9" x14ac:dyDescent="0.25">
      <c r="A859" t="s">
        <v>857</v>
      </c>
      <c r="B859" t="s">
        <v>328</v>
      </c>
      <c r="C859" t="s">
        <v>949</v>
      </c>
      <c r="D859" t="s">
        <v>330</v>
      </c>
      <c r="E859" s="46">
        <v>1360</v>
      </c>
      <c r="F859" s="46">
        <v>1164.73</v>
      </c>
      <c r="G859" s="46">
        <v>195.27</v>
      </c>
      <c r="H859" s="46">
        <v>16.77</v>
      </c>
      <c r="I859" t="s">
        <v>81</v>
      </c>
    </row>
    <row r="860" spans="1:9" x14ac:dyDescent="0.25">
      <c r="A860" t="s">
        <v>857</v>
      </c>
      <c r="B860" t="s">
        <v>328</v>
      </c>
      <c r="C860" t="s">
        <v>950</v>
      </c>
      <c r="D860" t="s">
        <v>330</v>
      </c>
      <c r="E860" s="46">
        <v>1360</v>
      </c>
      <c r="F860" s="46">
        <v>1164.73</v>
      </c>
      <c r="G860" s="46">
        <v>195.27</v>
      </c>
      <c r="H860" s="46">
        <v>16.77</v>
      </c>
      <c r="I860" t="s">
        <v>81</v>
      </c>
    </row>
    <row r="861" spans="1:9" x14ac:dyDescent="0.25">
      <c r="A861" t="s">
        <v>857</v>
      </c>
      <c r="B861" t="s">
        <v>328</v>
      </c>
      <c r="C861" t="s">
        <v>951</v>
      </c>
      <c r="D861" t="s">
        <v>330</v>
      </c>
      <c r="E861" s="46">
        <v>1360</v>
      </c>
      <c r="F861" s="46">
        <v>1164.73</v>
      </c>
      <c r="G861" s="46">
        <v>195.27</v>
      </c>
      <c r="H861" s="46">
        <v>16.77</v>
      </c>
      <c r="I861" t="s">
        <v>81</v>
      </c>
    </row>
    <row r="862" spans="1:9" x14ac:dyDescent="0.25">
      <c r="A862" t="s">
        <v>857</v>
      </c>
      <c r="B862" t="s">
        <v>328</v>
      </c>
      <c r="C862" t="s">
        <v>952</v>
      </c>
      <c r="D862" t="s">
        <v>330</v>
      </c>
      <c r="E862" s="46">
        <v>1360</v>
      </c>
      <c r="F862" s="46">
        <v>1164.73</v>
      </c>
      <c r="G862" s="46">
        <v>195.27</v>
      </c>
      <c r="H862" s="46">
        <v>16.77</v>
      </c>
      <c r="I862" t="s">
        <v>81</v>
      </c>
    </row>
    <row r="863" spans="1:9" x14ac:dyDescent="0.25">
      <c r="A863" t="s">
        <v>857</v>
      </c>
      <c r="B863" t="s">
        <v>328</v>
      </c>
      <c r="C863" t="s">
        <v>953</v>
      </c>
      <c r="D863" t="s">
        <v>330</v>
      </c>
      <c r="E863" s="46">
        <v>1360</v>
      </c>
      <c r="F863" s="46">
        <v>1164.73</v>
      </c>
      <c r="G863" s="46">
        <v>195.27</v>
      </c>
      <c r="H863" s="46">
        <v>16.77</v>
      </c>
      <c r="I863" t="s">
        <v>81</v>
      </c>
    </row>
    <row r="864" spans="1:9" x14ac:dyDescent="0.25">
      <c r="A864" t="s">
        <v>857</v>
      </c>
      <c r="B864" t="s">
        <v>328</v>
      </c>
      <c r="C864" t="s">
        <v>954</v>
      </c>
      <c r="D864" t="s">
        <v>330</v>
      </c>
      <c r="E864" s="46">
        <v>1360</v>
      </c>
      <c r="F864" s="46">
        <v>1164.73</v>
      </c>
      <c r="G864" s="46">
        <v>195.27</v>
      </c>
      <c r="H864" s="46">
        <v>16.77</v>
      </c>
      <c r="I864" t="s">
        <v>81</v>
      </c>
    </row>
    <row r="865" spans="1:9" x14ac:dyDescent="0.25">
      <c r="A865" t="s">
        <v>857</v>
      </c>
      <c r="B865" t="s">
        <v>328</v>
      </c>
      <c r="C865" t="s">
        <v>955</v>
      </c>
      <c r="D865" t="s">
        <v>330</v>
      </c>
      <c r="E865" s="46">
        <v>1360</v>
      </c>
      <c r="F865" s="46">
        <v>1164.73</v>
      </c>
      <c r="G865" s="46">
        <v>195.27</v>
      </c>
      <c r="H865" s="46">
        <v>16.77</v>
      </c>
      <c r="I865" t="s">
        <v>81</v>
      </c>
    </row>
    <row r="866" spans="1:9" x14ac:dyDescent="0.25">
      <c r="A866" t="s">
        <v>857</v>
      </c>
      <c r="B866" t="s">
        <v>328</v>
      </c>
      <c r="C866" t="s">
        <v>956</v>
      </c>
      <c r="D866" t="s">
        <v>330</v>
      </c>
      <c r="E866" s="46">
        <v>1360</v>
      </c>
      <c r="F866" s="46">
        <v>1164.73</v>
      </c>
      <c r="G866" s="46">
        <v>195.27</v>
      </c>
      <c r="H866" s="46">
        <v>16.77</v>
      </c>
      <c r="I866" t="s">
        <v>81</v>
      </c>
    </row>
    <row r="867" spans="1:9" x14ac:dyDescent="0.25">
      <c r="A867" t="s">
        <v>857</v>
      </c>
      <c r="B867" t="s">
        <v>328</v>
      </c>
      <c r="C867" t="s">
        <v>957</v>
      </c>
      <c r="D867" t="s">
        <v>330</v>
      </c>
      <c r="E867" s="46">
        <v>1360</v>
      </c>
      <c r="F867" s="46">
        <v>1164.73</v>
      </c>
      <c r="G867" s="46">
        <v>195.27</v>
      </c>
      <c r="H867" s="46">
        <v>16.77</v>
      </c>
      <c r="I867" t="s">
        <v>81</v>
      </c>
    </row>
    <row r="868" spans="1:9" x14ac:dyDescent="0.25">
      <c r="A868" t="s">
        <v>857</v>
      </c>
      <c r="B868" t="s">
        <v>328</v>
      </c>
      <c r="C868" t="s">
        <v>958</v>
      </c>
      <c r="D868" t="s">
        <v>330</v>
      </c>
      <c r="E868" s="46">
        <v>1360</v>
      </c>
      <c r="F868" s="46">
        <v>1164.73</v>
      </c>
      <c r="G868" s="46">
        <v>195.27</v>
      </c>
      <c r="H868" s="46">
        <v>16.77</v>
      </c>
      <c r="I868" t="s">
        <v>81</v>
      </c>
    </row>
    <row r="869" spans="1:9" x14ac:dyDescent="0.25">
      <c r="A869" t="s">
        <v>857</v>
      </c>
      <c r="B869" t="s">
        <v>328</v>
      </c>
      <c r="C869" t="s">
        <v>959</v>
      </c>
      <c r="D869" t="s">
        <v>330</v>
      </c>
      <c r="E869" s="46">
        <v>1360</v>
      </c>
      <c r="F869" s="46">
        <v>1164.73</v>
      </c>
      <c r="G869" s="46">
        <v>195.27</v>
      </c>
      <c r="H869" s="46">
        <v>16.77</v>
      </c>
      <c r="I869" t="s">
        <v>81</v>
      </c>
    </row>
    <row r="870" spans="1:9" x14ac:dyDescent="0.25">
      <c r="A870" t="s">
        <v>857</v>
      </c>
      <c r="B870" t="s">
        <v>328</v>
      </c>
      <c r="C870" t="s">
        <v>960</v>
      </c>
      <c r="D870" t="s">
        <v>330</v>
      </c>
      <c r="E870" s="46">
        <v>1360</v>
      </c>
      <c r="F870" s="46">
        <v>1164.73</v>
      </c>
      <c r="G870" s="46">
        <v>195.27</v>
      </c>
      <c r="H870" s="46">
        <v>16.77</v>
      </c>
      <c r="I870" t="s">
        <v>81</v>
      </c>
    </row>
    <row r="871" spans="1:9" x14ac:dyDescent="0.25">
      <c r="A871" t="s">
        <v>857</v>
      </c>
      <c r="B871" t="s">
        <v>328</v>
      </c>
      <c r="C871" t="s">
        <v>961</v>
      </c>
      <c r="D871" t="s">
        <v>330</v>
      </c>
      <c r="E871" s="46">
        <v>1360</v>
      </c>
      <c r="F871" s="46">
        <v>1164.73</v>
      </c>
      <c r="G871" s="46">
        <v>195.27</v>
      </c>
      <c r="H871" s="46">
        <v>16.77</v>
      </c>
      <c r="I871" t="s">
        <v>81</v>
      </c>
    </row>
    <row r="872" spans="1:9" x14ac:dyDescent="0.25">
      <c r="A872" t="s">
        <v>857</v>
      </c>
      <c r="B872" t="s">
        <v>328</v>
      </c>
      <c r="C872" t="s">
        <v>962</v>
      </c>
      <c r="D872" t="s">
        <v>330</v>
      </c>
      <c r="E872" s="46">
        <v>1360</v>
      </c>
      <c r="F872" s="46">
        <v>1164.73</v>
      </c>
      <c r="G872" s="46">
        <v>195.27</v>
      </c>
      <c r="H872" s="46">
        <v>16.77</v>
      </c>
      <c r="I872" t="s">
        <v>81</v>
      </c>
    </row>
    <row r="873" spans="1:9" x14ac:dyDescent="0.25">
      <c r="A873" t="s">
        <v>857</v>
      </c>
      <c r="B873" t="s">
        <v>328</v>
      </c>
      <c r="C873" t="s">
        <v>963</v>
      </c>
      <c r="D873" t="s">
        <v>330</v>
      </c>
      <c r="E873" s="46">
        <v>1360</v>
      </c>
      <c r="F873" s="46">
        <v>1164.73</v>
      </c>
      <c r="G873" s="46">
        <v>195.27</v>
      </c>
      <c r="H873" s="46">
        <v>16.77</v>
      </c>
      <c r="I873" t="s">
        <v>81</v>
      </c>
    </row>
    <row r="874" spans="1:9" x14ac:dyDescent="0.25">
      <c r="A874" t="s">
        <v>857</v>
      </c>
      <c r="B874" t="s">
        <v>328</v>
      </c>
      <c r="C874" t="s">
        <v>964</v>
      </c>
      <c r="D874" t="s">
        <v>330</v>
      </c>
      <c r="E874" s="46">
        <v>1360</v>
      </c>
      <c r="F874" s="46">
        <v>1164.73</v>
      </c>
      <c r="G874" s="46">
        <v>195.27</v>
      </c>
      <c r="H874" s="46">
        <v>16.77</v>
      </c>
      <c r="I874" t="s">
        <v>81</v>
      </c>
    </row>
    <row r="875" spans="1:9" x14ac:dyDescent="0.25">
      <c r="A875" t="s">
        <v>857</v>
      </c>
      <c r="B875" t="s">
        <v>328</v>
      </c>
      <c r="C875" t="s">
        <v>965</v>
      </c>
      <c r="D875" t="s">
        <v>330</v>
      </c>
      <c r="E875" s="46">
        <v>1360</v>
      </c>
      <c r="F875" s="46">
        <v>1164.73</v>
      </c>
      <c r="G875" s="46">
        <v>195.27</v>
      </c>
      <c r="H875" s="46">
        <v>16.77</v>
      </c>
      <c r="I875" t="s">
        <v>81</v>
      </c>
    </row>
    <row r="876" spans="1:9" x14ac:dyDescent="0.25">
      <c r="A876" t="s">
        <v>857</v>
      </c>
      <c r="B876" t="s">
        <v>328</v>
      </c>
      <c r="C876" t="s">
        <v>966</v>
      </c>
      <c r="D876" t="s">
        <v>330</v>
      </c>
      <c r="E876" s="46">
        <v>1360</v>
      </c>
      <c r="F876" s="46">
        <v>1164.73</v>
      </c>
      <c r="G876" s="46">
        <v>195.27</v>
      </c>
      <c r="H876" s="46">
        <v>16.77</v>
      </c>
      <c r="I876" t="s">
        <v>81</v>
      </c>
    </row>
    <row r="877" spans="1:9" x14ac:dyDescent="0.25">
      <c r="A877" t="s">
        <v>857</v>
      </c>
      <c r="B877" t="s">
        <v>328</v>
      </c>
      <c r="C877" t="s">
        <v>967</v>
      </c>
      <c r="D877" t="s">
        <v>330</v>
      </c>
      <c r="E877" s="46">
        <v>1360</v>
      </c>
      <c r="F877" s="46">
        <v>1164.73</v>
      </c>
      <c r="G877" s="46">
        <v>195.27</v>
      </c>
      <c r="H877" s="46">
        <v>16.77</v>
      </c>
      <c r="I877" t="s">
        <v>81</v>
      </c>
    </row>
    <row r="878" spans="1:9" x14ac:dyDescent="0.25">
      <c r="A878" t="s">
        <v>857</v>
      </c>
      <c r="B878" t="s">
        <v>328</v>
      </c>
      <c r="C878" t="s">
        <v>968</v>
      </c>
      <c r="D878" t="s">
        <v>330</v>
      </c>
      <c r="E878" s="46">
        <v>1360</v>
      </c>
      <c r="F878" s="46">
        <v>1164.73</v>
      </c>
      <c r="G878" s="46">
        <v>195.27</v>
      </c>
      <c r="H878" s="46">
        <v>16.77</v>
      </c>
      <c r="I878" t="s">
        <v>81</v>
      </c>
    </row>
    <row r="879" spans="1:9" x14ac:dyDescent="0.25">
      <c r="A879" t="s">
        <v>857</v>
      </c>
      <c r="B879" t="s">
        <v>328</v>
      </c>
      <c r="C879" t="s">
        <v>969</v>
      </c>
      <c r="D879" t="s">
        <v>330</v>
      </c>
      <c r="E879" s="46">
        <v>1360</v>
      </c>
      <c r="F879" s="46">
        <v>1164.73</v>
      </c>
      <c r="G879" s="46">
        <v>195.27</v>
      </c>
      <c r="H879" s="46">
        <v>16.77</v>
      </c>
      <c r="I879" t="s">
        <v>81</v>
      </c>
    </row>
    <row r="880" spans="1:9" x14ac:dyDescent="0.25">
      <c r="A880" t="s">
        <v>857</v>
      </c>
      <c r="B880" t="s">
        <v>328</v>
      </c>
      <c r="C880" t="s">
        <v>970</v>
      </c>
      <c r="D880" t="s">
        <v>330</v>
      </c>
      <c r="E880" s="46">
        <v>1360</v>
      </c>
      <c r="F880" s="46">
        <v>1164.73</v>
      </c>
      <c r="G880" s="46">
        <v>195.27</v>
      </c>
      <c r="H880" s="46">
        <v>16.77</v>
      </c>
      <c r="I880" t="s">
        <v>81</v>
      </c>
    </row>
    <row r="881" spans="1:9" x14ac:dyDescent="0.25">
      <c r="A881" t="s">
        <v>857</v>
      </c>
      <c r="B881" t="s">
        <v>328</v>
      </c>
      <c r="C881" t="s">
        <v>971</v>
      </c>
      <c r="D881" t="s">
        <v>330</v>
      </c>
      <c r="E881" s="46">
        <v>1360</v>
      </c>
      <c r="F881" s="46">
        <v>1164.73</v>
      </c>
      <c r="G881" s="46">
        <v>195.27</v>
      </c>
      <c r="H881" s="46">
        <v>16.77</v>
      </c>
      <c r="I881" t="s">
        <v>81</v>
      </c>
    </row>
    <row r="882" spans="1:9" x14ac:dyDescent="0.25">
      <c r="A882" t="s">
        <v>857</v>
      </c>
      <c r="B882" t="s">
        <v>328</v>
      </c>
      <c r="C882" t="s">
        <v>972</v>
      </c>
      <c r="D882" t="s">
        <v>330</v>
      </c>
      <c r="E882" s="46">
        <v>1360</v>
      </c>
      <c r="F882" s="46">
        <v>1164.73</v>
      </c>
      <c r="G882" s="46">
        <v>195.27</v>
      </c>
      <c r="H882" s="46">
        <v>16.77</v>
      </c>
      <c r="I882" t="s">
        <v>81</v>
      </c>
    </row>
    <row r="883" spans="1:9" x14ac:dyDescent="0.25">
      <c r="A883" t="s">
        <v>857</v>
      </c>
      <c r="B883" t="s">
        <v>328</v>
      </c>
      <c r="C883" t="s">
        <v>973</v>
      </c>
      <c r="D883" t="s">
        <v>330</v>
      </c>
      <c r="E883" s="46">
        <v>1360</v>
      </c>
      <c r="F883" s="46">
        <v>1164.73</v>
      </c>
      <c r="G883" s="46">
        <v>195.27</v>
      </c>
      <c r="H883" s="46">
        <v>16.77</v>
      </c>
      <c r="I883" t="s">
        <v>81</v>
      </c>
    </row>
    <row r="884" spans="1:9" x14ac:dyDescent="0.25">
      <c r="A884" t="s">
        <v>857</v>
      </c>
      <c r="B884" t="s">
        <v>328</v>
      </c>
      <c r="C884" t="s">
        <v>974</v>
      </c>
      <c r="D884" t="s">
        <v>330</v>
      </c>
      <c r="E884" s="46">
        <v>1360</v>
      </c>
      <c r="F884" s="46">
        <v>1164.73</v>
      </c>
      <c r="G884" s="46">
        <v>195.27</v>
      </c>
      <c r="H884" s="46">
        <v>16.77</v>
      </c>
      <c r="I884" t="s">
        <v>81</v>
      </c>
    </row>
    <row r="885" spans="1:9" x14ac:dyDescent="0.25">
      <c r="A885" t="s">
        <v>857</v>
      </c>
      <c r="B885" t="s">
        <v>328</v>
      </c>
      <c r="C885" t="s">
        <v>975</v>
      </c>
      <c r="D885" t="s">
        <v>330</v>
      </c>
      <c r="E885" s="46">
        <v>1360</v>
      </c>
      <c r="F885" s="46">
        <v>1164.73</v>
      </c>
      <c r="G885" s="46">
        <v>195.27</v>
      </c>
      <c r="H885" s="46">
        <v>16.77</v>
      </c>
      <c r="I885" t="s">
        <v>81</v>
      </c>
    </row>
    <row r="886" spans="1:9" x14ac:dyDescent="0.25">
      <c r="A886" t="s">
        <v>857</v>
      </c>
      <c r="B886" t="s">
        <v>328</v>
      </c>
      <c r="C886" t="s">
        <v>976</v>
      </c>
      <c r="D886" t="s">
        <v>330</v>
      </c>
      <c r="E886" s="46">
        <v>1360</v>
      </c>
      <c r="F886" s="46">
        <v>1164.73</v>
      </c>
      <c r="G886" s="46">
        <v>195.27</v>
      </c>
      <c r="H886" s="46">
        <v>16.77</v>
      </c>
      <c r="I886" t="s">
        <v>81</v>
      </c>
    </row>
    <row r="887" spans="1:9" x14ac:dyDescent="0.25">
      <c r="A887" t="s">
        <v>857</v>
      </c>
      <c r="B887" t="s">
        <v>328</v>
      </c>
      <c r="C887" t="s">
        <v>977</v>
      </c>
      <c r="D887" t="s">
        <v>330</v>
      </c>
      <c r="E887" s="46">
        <v>1360</v>
      </c>
      <c r="F887" s="46">
        <v>1164.73</v>
      </c>
      <c r="G887" s="46">
        <v>195.27</v>
      </c>
      <c r="H887" s="46">
        <v>16.77</v>
      </c>
      <c r="I887" t="s">
        <v>81</v>
      </c>
    </row>
    <row r="888" spans="1:9" x14ac:dyDescent="0.25">
      <c r="A888" t="s">
        <v>857</v>
      </c>
      <c r="B888" t="s">
        <v>328</v>
      </c>
      <c r="C888" t="s">
        <v>978</v>
      </c>
      <c r="D888" t="s">
        <v>330</v>
      </c>
      <c r="E888" s="46">
        <v>1360</v>
      </c>
      <c r="F888" s="46">
        <v>1164.73</v>
      </c>
      <c r="G888" s="46">
        <v>195.27</v>
      </c>
      <c r="H888" s="46">
        <v>16.77</v>
      </c>
      <c r="I888" t="s">
        <v>81</v>
      </c>
    </row>
    <row r="889" spans="1:9" x14ac:dyDescent="0.25">
      <c r="A889" t="s">
        <v>857</v>
      </c>
      <c r="B889" t="s">
        <v>328</v>
      </c>
      <c r="C889" t="s">
        <v>979</v>
      </c>
      <c r="D889" t="s">
        <v>330</v>
      </c>
      <c r="E889" s="46">
        <v>1360</v>
      </c>
      <c r="F889" s="46">
        <v>1164.73</v>
      </c>
      <c r="G889" s="46">
        <v>195.27</v>
      </c>
      <c r="H889" s="46">
        <v>16.77</v>
      </c>
      <c r="I889" t="s">
        <v>81</v>
      </c>
    </row>
    <row r="890" spans="1:9" x14ac:dyDescent="0.25">
      <c r="A890" t="s">
        <v>857</v>
      </c>
      <c r="B890" t="s">
        <v>328</v>
      </c>
      <c r="C890" t="s">
        <v>980</v>
      </c>
      <c r="D890" t="s">
        <v>330</v>
      </c>
      <c r="E890" s="46">
        <v>1360</v>
      </c>
      <c r="F890" s="46">
        <v>1164.73</v>
      </c>
      <c r="G890" s="46">
        <v>195.27</v>
      </c>
      <c r="H890" s="46">
        <v>16.77</v>
      </c>
      <c r="I890" t="s">
        <v>81</v>
      </c>
    </row>
    <row r="891" spans="1:9" x14ac:dyDescent="0.25">
      <c r="A891" t="s">
        <v>857</v>
      </c>
      <c r="B891" t="s">
        <v>328</v>
      </c>
      <c r="C891" t="s">
        <v>981</v>
      </c>
      <c r="D891" t="s">
        <v>330</v>
      </c>
      <c r="E891" s="46">
        <v>1360</v>
      </c>
      <c r="F891" s="46">
        <v>1164.73</v>
      </c>
      <c r="G891" s="46">
        <v>195.27</v>
      </c>
      <c r="H891" s="46">
        <v>16.77</v>
      </c>
      <c r="I891" t="s">
        <v>81</v>
      </c>
    </row>
    <row r="892" spans="1:9" x14ac:dyDescent="0.25">
      <c r="A892" t="s">
        <v>857</v>
      </c>
      <c r="B892" t="s">
        <v>328</v>
      </c>
      <c r="C892" t="s">
        <v>982</v>
      </c>
      <c r="D892" t="s">
        <v>330</v>
      </c>
      <c r="E892" s="46">
        <v>1360</v>
      </c>
      <c r="F892" s="46">
        <v>1164.73</v>
      </c>
      <c r="G892" s="46">
        <v>195.27</v>
      </c>
      <c r="H892" s="46">
        <v>16.77</v>
      </c>
      <c r="I892" t="s">
        <v>81</v>
      </c>
    </row>
    <row r="893" spans="1:9" x14ac:dyDescent="0.25">
      <c r="A893" t="s">
        <v>857</v>
      </c>
      <c r="B893" t="s">
        <v>328</v>
      </c>
      <c r="C893" t="s">
        <v>983</v>
      </c>
      <c r="D893" t="s">
        <v>330</v>
      </c>
      <c r="E893" s="46">
        <v>1360</v>
      </c>
      <c r="F893" s="46">
        <v>1164.73</v>
      </c>
      <c r="G893" s="46">
        <v>195.27</v>
      </c>
      <c r="H893" s="46">
        <v>16.77</v>
      </c>
      <c r="I893" t="s">
        <v>81</v>
      </c>
    </row>
    <row r="894" spans="1:9" x14ac:dyDescent="0.25">
      <c r="A894" t="s">
        <v>857</v>
      </c>
      <c r="B894" t="s">
        <v>328</v>
      </c>
      <c r="C894" t="s">
        <v>984</v>
      </c>
      <c r="D894" t="s">
        <v>330</v>
      </c>
      <c r="E894" s="46">
        <v>1360</v>
      </c>
      <c r="F894" s="46">
        <v>1164.73</v>
      </c>
      <c r="G894" s="46">
        <v>195.27</v>
      </c>
      <c r="H894" s="46">
        <v>16.77</v>
      </c>
      <c r="I894" t="s">
        <v>81</v>
      </c>
    </row>
    <row r="895" spans="1:9" x14ac:dyDescent="0.25">
      <c r="A895" t="s">
        <v>857</v>
      </c>
      <c r="B895" t="s">
        <v>328</v>
      </c>
      <c r="C895" t="s">
        <v>985</v>
      </c>
      <c r="D895" t="s">
        <v>330</v>
      </c>
      <c r="E895" s="46">
        <v>1360</v>
      </c>
      <c r="F895" s="46">
        <v>1164.73</v>
      </c>
      <c r="G895" s="46">
        <v>195.27</v>
      </c>
      <c r="H895" s="46">
        <v>16.77</v>
      </c>
      <c r="I895" t="s">
        <v>81</v>
      </c>
    </row>
    <row r="896" spans="1:9" x14ac:dyDescent="0.25">
      <c r="A896" t="s">
        <v>857</v>
      </c>
      <c r="B896" t="s">
        <v>328</v>
      </c>
      <c r="C896" t="s">
        <v>986</v>
      </c>
      <c r="D896" t="s">
        <v>330</v>
      </c>
      <c r="E896" s="46">
        <v>1360</v>
      </c>
      <c r="F896" s="46">
        <v>1164.73</v>
      </c>
      <c r="G896" s="46">
        <v>195.27</v>
      </c>
      <c r="H896" s="46">
        <v>16.77</v>
      </c>
      <c r="I896" t="s">
        <v>81</v>
      </c>
    </row>
    <row r="897" spans="1:9" x14ac:dyDescent="0.25">
      <c r="A897" t="s">
        <v>857</v>
      </c>
      <c r="B897" t="s">
        <v>328</v>
      </c>
      <c r="C897" t="s">
        <v>987</v>
      </c>
      <c r="D897" t="s">
        <v>330</v>
      </c>
      <c r="E897" s="46">
        <v>1360</v>
      </c>
      <c r="F897" s="46">
        <v>1164.73</v>
      </c>
      <c r="G897" s="46">
        <v>195.27</v>
      </c>
      <c r="H897" s="46">
        <v>16.77</v>
      </c>
      <c r="I897" t="s">
        <v>81</v>
      </c>
    </row>
    <row r="898" spans="1:9" x14ac:dyDescent="0.25">
      <c r="A898" t="s">
        <v>857</v>
      </c>
      <c r="B898" t="s">
        <v>328</v>
      </c>
      <c r="C898" t="s">
        <v>988</v>
      </c>
      <c r="D898" t="s">
        <v>330</v>
      </c>
      <c r="E898" s="46">
        <v>1360</v>
      </c>
      <c r="F898" s="46">
        <v>1164.73</v>
      </c>
      <c r="G898" s="46">
        <v>195.27</v>
      </c>
      <c r="H898" s="46">
        <v>16.77</v>
      </c>
      <c r="I898" t="s">
        <v>81</v>
      </c>
    </row>
    <row r="899" spans="1:9" x14ac:dyDescent="0.25">
      <c r="A899" t="s">
        <v>857</v>
      </c>
      <c r="B899" t="s">
        <v>328</v>
      </c>
      <c r="C899" t="s">
        <v>989</v>
      </c>
      <c r="D899" t="s">
        <v>330</v>
      </c>
      <c r="E899" s="46">
        <v>1360</v>
      </c>
      <c r="F899" s="46">
        <v>1164.73</v>
      </c>
      <c r="G899" s="46">
        <v>195.27</v>
      </c>
      <c r="H899" s="46">
        <v>16.77</v>
      </c>
      <c r="I899" t="s">
        <v>81</v>
      </c>
    </row>
    <row r="900" spans="1:9" x14ac:dyDescent="0.25">
      <c r="A900" t="s">
        <v>857</v>
      </c>
      <c r="B900" t="s">
        <v>328</v>
      </c>
      <c r="C900" t="s">
        <v>990</v>
      </c>
      <c r="D900" t="s">
        <v>330</v>
      </c>
      <c r="E900" s="46">
        <v>1360</v>
      </c>
      <c r="F900" s="46">
        <v>1164.73</v>
      </c>
      <c r="G900" s="46">
        <v>195.27</v>
      </c>
      <c r="H900" s="46">
        <v>16.77</v>
      </c>
      <c r="I900" t="s">
        <v>81</v>
      </c>
    </row>
    <row r="901" spans="1:9" x14ac:dyDescent="0.25">
      <c r="A901" t="s">
        <v>857</v>
      </c>
      <c r="B901" t="s">
        <v>328</v>
      </c>
      <c r="C901" t="s">
        <v>991</v>
      </c>
      <c r="D901" t="s">
        <v>330</v>
      </c>
      <c r="E901" s="46">
        <v>1360</v>
      </c>
      <c r="F901" s="46">
        <v>1164.73</v>
      </c>
      <c r="G901" s="46">
        <v>195.27</v>
      </c>
      <c r="H901" s="46">
        <v>16.77</v>
      </c>
      <c r="I901" t="s">
        <v>81</v>
      </c>
    </row>
    <row r="902" spans="1:9" x14ac:dyDescent="0.25">
      <c r="A902" t="s">
        <v>857</v>
      </c>
      <c r="B902" t="s">
        <v>328</v>
      </c>
      <c r="C902" t="s">
        <v>992</v>
      </c>
      <c r="D902" t="s">
        <v>330</v>
      </c>
      <c r="E902" s="46">
        <v>1360</v>
      </c>
      <c r="F902" s="46">
        <v>1164.73</v>
      </c>
      <c r="G902" s="46">
        <v>195.27</v>
      </c>
      <c r="H902" s="46">
        <v>16.77</v>
      </c>
      <c r="I902" t="s">
        <v>81</v>
      </c>
    </row>
    <row r="903" spans="1:9" x14ac:dyDescent="0.25">
      <c r="A903" t="s">
        <v>857</v>
      </c>
      <c r="B903" t="s">
        <v>328</v>
      </c>
      <c r="C903" t="s">
        <v>993</v>
      </c>
      <c r="D903" t="s">
        <v>330</v>
      </c>
      <c r="E903" s="46">
        <v>1360</v>
      </c>
      <c r="F903" s="46">
        <v>1164.73</v>
      </c>
      <c r="G903" s="46">
        <v>195.27</v>
      </c>
      <c r="H903" s="46">
        <v>16.77</v>
      </c>
      <c r="I903" t="s">
        <v>81</v>
      </c>
    </row>
    <row r="904" spans="1:9" x14ac:dyDescent="0.25">
      <c r="A904" t="s">
        <v>857</v>
      </c>
      <c r="B904" t="s">
        <v>328</v>
      </c>
      <c r="C904" t="s">
        <v>994</v>
      </c>
      <c r="D904" t="s">
        <v>330</v>
      </c>
      <c r="E904" s="46">
        <v>1360</v>
      </c>
      <c r="F904" s="46">
        <v>1164.73</v>
      </c>
      <c r="G904" s="46">
        <v>195.27</v>
      </c>
      <c r="H904" s="46">
        <v>16.77</v>
      </c>
      <c r="I904" t="s">
        <v>81</v>
      </c>
    </row>
    <row r="905" spans="1:9" x14ac:dyDescent="0.25">
      <c r="A905" t="s">
        <v>857</v>
      </c>
      <c r="B905" t="s">
        <v>328</v>
      </c>
      <c r="C905" t="s">
        <v>995</v>
      </c>
      <c r="D905" t="s">
        <v>330</v>
      </c>
      <c r="E905" s="46">
        <v>1360</v>
      </c>
      <c r="F905" s="46">
        <v>1164.73</v>
      </c>
      <c r="G905" s="46">
        <v>195.27</v>
      </c>
      <c r="H905" s="46">
        <v>16.77</v>
      </c>
      <c r="I905" t="s">
        <v>81</v>
      </c>
    </row>
    <row r="906" spans="1:9" x14ac:dyDescent="0.25">
      <c r="A906" t="s">
        <v>857</v>
      </c>
      <c r="B906" t="s">
        <v>328</v>
      </c>
      <c r="C906" t="s">
        <v>996</v>
      </c>
      <c r="D906" t="s">
        <v>330</v>
      </c>
      <c r="E906" s="46">
        <v>1360</v>
      </c>
      <c r="F906" s="46">
        <v>1164.73</v>
      </c>
      <c r="G906" s="46">
        <v>195.27</v>
      </c>
      <c r="H906" s="46">
        <v>16.77</v>
      </c>
      <c r="I906" t="s">
        <v>81</v>
      </c>
    </row>
    <row r="907" spans="1:9" x14ac:dyDescent="0.25">
      <c r="A907" t="s">
        <v>857</v>
      </c>
      <c r="B907" t="s">
        <v>328</v>
      </c>
      <c r="C907" t="s">
        <v>997</v>
      </c>
      <c r="D907" t="s">
        <v>330</v>
      </c>
      <c r="E907" s="46">
        <v>1360</v>
      </c>
      <c r="F907" s="46">
        <v>1164.73</v>
      </c>
      <c r="G907" s="46">
        <v>195.27</v>
      </c>
      <c r="H907" s="46">
        <v>16.77</v>
      </c>
      <c r="I907" t="s">
        <v>81</v>
      </c>
    </row>
    <row r="908" spans="1:9" x14ac:dyDescent="0.25">
      <c r="A908" t="s">
        <v>857</v>
      </c>
      <c r="B908" t="s">
        <v>328</v>
      </c>
      <c r="C908" t="s">
        <v>998</v>
      </c>
      <c r="D908" t="s">
        <v>330</v>
      </c>
      <c r="E908" s="46">
        <v>1360</v>
      </c>
      <c r="F908" s="46">
        <v>1164.73</v>
      </c>
      <c r="G908" s="46">
        <v>195.27</v>
      </c>
      <c r="H908" s="46">
        <v>16.77</v>
      </c>
      <c r="I908" t="s">
        <v>81</v>
      </c>
    </row>
    <row r="909" spans="1:9" x14ac:dyDescent="0.25">
      <c r="A909" s="2" t="s">
        <v>999</v>
      </c>
      <c r="B909" s="2" t="s">
        <v>1000</v>
      </c>
      <c r="C909" s="2" t="s">
        <v>1001</v>
      </c>
      <c r="D909" s="2" t="s">
        <v>15</v>
      </c>
      <c r="E909" s="59">
        <v>1150</v>
      </c>
      <c r="F909" s="59">
        <v>1314.3</v>
      </c>
      <c r="G909" s="59">
        <v>-164.3</v>
      </c>
      <c r="H909" s="59">
        <v>-12.5</v>
      </c>
      <c r="I909" s="2" t="s">
        <v>16</v>
      </c>
    </row>
    <row r="910" spans="1:9" x14ac:dyDescent="0.25">
      <c r="A910" s="3" t="s">
        <v>999</v>
      </c>
      <c r="B910" s="3" t="s">
        <v>1002</v>
      </c>
      <c r="C910" s="3" t="s">
        <v>1003</v>
      </c>
      <c r="D910" s="3" t="s">
        <v>15</v>
      </c>
      <c r="E910" s="70">
        <v>1680</v>
      </c>
      <c r="F910" s="70">
        <v>1</v>
      </c>
      <c r="G910" s="70">
        <v>1679</v>
      </c>
      <c r="H910" s="70">
        <v>167900</v>
      </c>
      <c r="I910" s="3" t="s">
        <v>16</v>
      </c>
    </row>
    <row r="911" spans="1:9" x14ac:dyDescent="0.25">
      <c r="A911" s="3" t="s">
        <v>999</v>
      </c>
      <c r="B911" s="3" t="s">
        <v>1002</v>
      </c>
      <c r="C911" s="3" t="s">
        <v>1004</v>
      </c>
      <c r="D911" s="3" t="s">
        <v>15</v>
      </c>
      <c r="E911" s="70">
        <v>1680</v>
      </c>
      <c r="F911" s="70">
        <v>1</v>
      </c>
      <c r="G911" s="70">
        <v>1679</v>
      </c>
      <c r="H911" s="70">
        <v>167900</v>
      </c>
      <c r="I911" s="3" t="s">
        <v>16</v>
      </c>
    </row>
    <row r="912" spans="1:9" x14ac:dyDescent="0.25">
      <c r="A912" s="3" t="s">
        <v>999</v>
      </c>
      <c r="B912" s="3" t="s">
        <v>1002</v>
      </c>
      <c r="C912" s="3" t="s">
        <v>1005</v>
      </c>
      <c r="D912" s="3" t="s">
        <v>15</v>
      </c>
      <c r="E912" s="70">
        <v>1680</v>
      </c>
      <c r="F912" s="70">
        <v>1</v>
      </c>
      <c r="G912" s="70">
        <v>1679</v>
      </c>
      <c r="H912" s="70">
        <v>167900</v>
      </c>
      <c r="I912" s="3" t="s">
        <v>16</v>
      </c>
    </row>
    <row r="913" spans="1:9" x14ac:dyDescent="0.25">
      <c r="A913" s="3" t="s">
        <v>999</v>
      </c>
      <c r="B913" s="3" t="s">
        <v>1002</v>
      </c>
      <c r="C913" s="3" t="s">
        <v>1006</v>
      </c>
      <c r="D913" s="3" t="s">
        <v>15</v>
      </c>
      <c r="E913" s="70">
        <v>1630</v>
      </c>
      <c r="F913" s="70">
        <v>1</v>
      </c>
      <c r="G913" s="70">
        <v>1629</v>
      </c>
      <c r="H913" s="70">
        <v>162900</v>
      </c>
      <c r="I913" s="3" t="s">
        <v>16</v>
      </c>
    </row>
    <row r="914" spans="1:9" x14ac:dyDescent="0.25">
      <c r="A914" s="2" t="s">
        <v>999</v>
      </c>
      <c r="B914" s="2" t="s">
        <v>27</v>
      </c>
      <c r="C914" s="2" t="s">
        <v>1007</v>
      </c>
      <c r="D914" s="2" t="s">
        <v>15</v>
      </c>
      <c r="E914" s="59">
        <v>1650</v>
      </c>
      <c r="F914" s="59">
        <v>1869</v>
      </c>
      <c r="G914" s="59">
        <v>-219</v>
      </c>
      <c r="H914" s="59">
        <v>-11.72</v>
      </c>
      <c r="I914" s="2" t="s">
        <v>23</v>
      </c>
    </row>
    <row r="915" spans="1:9" x14ac:dyDescent="0.25">
      <c r="A915" s="2" t="s">
        <v>999</v>
      </c>
      <c r="B915" s="2" t="s">
        <v>27</v>
      </c>
      <c r="C915" s="2" t="s">
        <v>1008</v>
      </c>
      <c r="D915" s="2" t="s">
        <v>15</v>
      </c>
      <c r="E915" s="59">
        <v>1650</v>
      </c>
      <c r="F915" s="59">
        <v>1869</v>
      </c>
      <c r="G915" s="59">
        <v>-219</v>
      </c>
      <c r="H915" s="59">
        <v>-11.72</v>
      </c>
      <c r="I915" s="2" t="s">
        <v>23</v>
      </c>
    </row>
    <row r="916" spans="1:9" x14ac:dyDescent="0.25">
      <c r="A916" s="2" t="s">
        <v>999</v>
      </c>
      <c r="B916" s="2" t="s">
        <v>393</v>
      </c>
      <c r="C916" s="2" t="s">
        <v>1009</v>
      </c>
      <c r="D916" s="2" t="s">
        <v>15</v>
      </c>
      <c r="E916" s="59">
        <v>3200</v>
      </c>
      <c r="F916" s="59">
        <v>3523.1</v>
      </c>
      <c r="G916" s="59">
        <v>-323.10000000000002</v>
      </c>
      <c r="H916" s="59">
        <v>-9.17</v>
      </c>
      <c r="I916" s="2" t="s">
        <v>23</v>
      </c>
    </row>
    <row r="917" spans="1:9" x14ac:dyDescent="0.25">
      <c r="A917" t="s">
        <v>999</v>
      </c>
      <c r="B917" t="s">
        <v>33</v>
      </c>
      <c r="C917" t="s">
        <v>1010</v>
      </c>
      <c r="D917" t="s">
        <v>15</v>
      </c>
      <c r="E917" s="46">
        <v>4164.55</v>
      </c>
      <c r="F917" s="46">
        <v>3428.45</v>
      </c>
      <c r="G917" s="46">
        <v>736.1</v>
      </c>
      <c r="H917" s="46">
        <v>21.47</v>
      </c>
      <c r="I917" t="s">
        <v>23</v>
      </c>
    </row>
    <row r="918" spans="1:9" x14ac:dyDescent="0.25">
      <c r="A918" t="s">
        <v>999</v>
      </c>
      <c r="B918" t="s">
        <v>33</v>
      </c>
      <c r="C918" t="s">
        <v>1011</v>
      </c>
      <c r="D918" t="s">
        <v>15</v>
      </c>
      <c r="E918" s="46">
        <v>3949.36</v>
      </c>
      <c r="F918" s="46">
        <v>3338.7</v>
      </c>
      <c r="G918" s="46">
        <v>610.66</v>
      </c>
      <c r="H918" s="46">
        <v>18.29</v>
      </c>
      <c r="I918" t="s">
        <v>23</v>
      </c>
    </row>
    <row r="919" spans="1:9" x14ac:dyDescent="0.25">
      <c r="A919" t="s">
        <v>999</v>
      </c>
      <c r="B919" t="s">
        <v>33</v>
      </c>
      <c r="C919" t="s">
        <v>1012</v>
      </c>
      <c r="D919" t="s">
        <v>15</v>
      </c>
      <c r="E919" s="46">
        <v>3949.36</v>
      </c>
      <c r="F919" s="46">
        <v>3338.7</v>
      </c>
      <c r="G919" s="46">
        <v>610.66</v>
      </c>
      <c r="H919" s="46">
        <v>18.29</v>
      </c>
      <c r="I919" t="s">
        <v>23</v>
      </c>
    </row>
    <row r="920" spans="1:9" x14ac:dyDescent="0.25">
      <c r="A920" t="s">
        <v>999</v>
      </c>
      <c r="B920" t="s">
        <v>328</v>
      </c>
      <c r="C920" t="s">
        <v>1013</v>
      </c>
      <c r="D920" t="s">
        <v>330</v>
      </c>
      <c r="E920" s="46">
        <v>1365</v>
      </c>
      <c r="F920" s="46">
        <v>1164.73</v>
      </c>
      <c r="G920" s="46">
        <v>200.27</v>
      </c>
      <c r="H920" s="46">
        <v>17.190000000000001</v>
      </c>
      <c r="I920" t="s">
        <v>81</v>
      </c>
    </row>
    <row r="921" spans="1:9" x14ac:dyDescent="0.25">
      <c r="A921" t="s">
        <v>999</v>
      </c>
      <c r="B921" t="s">
        <v>328</v>
      </c>
      <c r="C921" t="s">
        <v>1014</v>
      </c>
      <c r="D921" t="s">
        <v>330</v>
      </c>
      <c r="E921" s="46">
        <v>1365</v>
      </c>
      <c r="F921" s="46">
        <v>1164.73</v>
      </c>
      <c r="G921" s="46">
        <v>200.27</v>
      </c>
      <c r="H921" s="46">
        <v>17.190000000000001</v>
      </c>
      <c r="I921" t="s">
        <v>81</v>
      </c>
    </row>
    <row r="922" spans="1:9" x14ac:dyDescent="0.25">
      <c r="A922" t="s">
        <v>999</v>
      </c>
      <c r="B922" t="s">
        <v>328</v>
      </c>
      <c r="C922" t="s">
        <v>1015</v>
      </c>
      <c r="D922" t="s">
        <v>330</v>
      </c>
      <c r="E922" s="46">
        <v>1365</v>
      </c>
      <c r="F922" s="46">
        <v>1164.73</v>
      </c>
      <c r="G922" s="46">
        <v>200.27</v>
      </c>
      <c r="H922" s="46">
        <v>17.190000000000001</v>
      </c>
      <c r="I922" t="s">
        <v>81</v>
      </c>
    </row>
    <row r="923" spans="1:9" x14ac:dyDescent="0.25">
      <c r="A923" t="s">
        <v>999</v>
      </c>
      <c r="B923" t="s">
        <v>328</v>
      </c>
      <c r="C923" t="s">
        <v>1016</v>
      </c>
      <c r="D923" t="s">
        <v>330</v>
      </c>
      <c r="E923" s="46">
        <v>1365</v>
      </c>
      <c r="F923" s="46">
        <v>1164.73</v>
      </c>
      <c r="G923" s="46">
        <v>200.27</v>
      </c>
      <c r="H923" s="46">
        <v>17.190000000000001</v>
      </c>
      <c r="I923" t="s">
        <v>81</v>
      </c>
    </row>
    <row r="924" spans="1:9" x14ac:dyDescent="0.25">
      <c r="A924" t="s">
        <v>999</v>
      </c>
      <c r="B924" t="s">
        <v>328</v>
      </c>
      <c r="C924" t="s">
        <v>1017</v>
      </c>
      <c r="D924" t="s">
        <v>330</v>
      </c>
      <c r="E924" s="46">
        <v>1365</v>
      </c>
      <c r="F924" s="46">
        <v>1164.73</v>
      </c>
      <c r="G924" s="46">
        <v>200.27</v>
      </c>
      <c r="H924" s="46">
        <v>17.190000000000001</v>
      </c>
      <c r="I924" t="s">
        <v>81</v>
      </c>
    </row>
    <row r="925" spans="1:9" x14ac:dyDescent="0.25">
      <c r="A925" t="s">
        <v>999</v>
      </c>
      <c r="B925" t="s">
        <v>328</v>
      </c>
      <c r="C925" t="s">
        <v>1018</v>
      </c>
      <c r="D925" t="s">
        <v>330</v>
      </c>
      <c r="E925" s="46">
        <v>1365</v>
      </c>
      <c r="F925" s="46">
        <v>1164.73</v>
      </c>
      <c r="G925" s="46">
        <v>200.27</v>
      </c>
      <c r="H925" s="46">
        <v>17.190000000000001</v>
      </c>
      <c r="I925" t="s">
        <v>81</v>
      </c>
    </row>
    <row r="926" spans="1:9" x14ac:dyDescent="0.25">
      <c r="A926" t="s">
        <v>999</v>
      </c>
      <c r="B926" t="s">
        <v>328</v>
      </c>
      <c r="C926" t="s">
        <v>1019</v>
      </c>
      <c r="D926" t="s">
        <v>330</v>
      </c>
      <c r="E926" s="46">
        <v>1365</v>
      </c>
      <c r="F926" s="46">
        <v>1164.73</v>
      </c>
      <c r="G926" s="46">
        <v>200.27</v>
      </c>
      <c r="H926" s="46">
        <v>17.190000000000001</v>
      </c>
      <c r="I926" t="s">
        <v>81</v>
      </c>
    </row>
    <row r="927" spans="1:9" x14ac:dyDescent="0.25">
      <c r="A927" t="s">
        <v>999</v>
      </c>
      <c r="B927" t="s">
        <v>328</v>
      </c>
      <c r="C927" t="s">
        <v>1020</v>
      </c>
      <c r="D927" t="s">
        <v>330</v>
      </c>
      <c r="E927" s="46">
        <v>1365</v>
      </c>
      <c r="F927" s="46">
        <v>1164.73</v>
      </c>
      <c r="G927" s="46">
        <v>200.27</v>
      </c>
      <c r="H927" s="46">
        <v>17.190000000000001</v>
      </c>
      <c r="I927" t="s">
        <v>81</v>
      </c>
    </row>
    <row r="928" spans="1:9" x14ac:dyDescent="0.25">
      <c r="A928" t="s">
        <v>999</v>
      </c>
      <c r="B928" t="s">
        <v>328</v>
      </c>
      <c r="C928" t="s">
        <v>1021</v>
      </c>
      <c r="D928" t="s">
        <v>330</v>
      </c>
      <c r="E928" s="46">
        <v>1365</v>
      </c>
      <c r="F928" s="46">
        <v>1164.73</v>
      </c>
      <c r="G928" s="46">
        <v>200.27</v>
      </c>
      <c r="H928" s="46">
        <v>17.190000000000001</v>
      </c>
      <c r="I928" t="s">
        <v>81</v>
      </c>
    </row>
    <row r="929" spans="1:9" x14ac:dyDescent="0.25">
      <c r="A929" t="s">
        <v>999</v>
      </c>
      <c r="B929" t="s">
        <v>328</v>
      </c>
      <c r="C929" t="s">
        <v>1022</v>
      </c>
      <c r="D929" t="s">
        <v>330</v>
      </c>
      <c r="E929" s="46">
        <v>1365</v>
      </c>
      <c r="F929" s="46">
        <v>1164.73</v>
      </c>
      <c r="G929" s="46">
        <v>200.27</v>
      </c>
      <c r="H929" s="46">
        <v>17.190000000000001</v>
      </c>
      <c r="I929" t="s">
        <v>81</v>
      </c>
    </row>
    <row r="930" spans="1:9" x14ac:dyDescent="0.25">
      <c r="A930" t="s">
        <v>999</v>
      </c>
      <c r="B930" t="s">
        <v>328</v>
      </c>
      <c r="C930" t="s">
        <v>1023</v>
      </c>
      <c r="D930" t="s">
        <v>330</v>
      </c>
      <c r="E930" s="46">
        <v>1390</v>
      </c>
      <c r="F930" s="46">
        <v>1164.73</v>
      </c>
      <c r="G930" s="46">
        <v>225.27</v>
      </c>
      <c r="H930" s="46">
        <v>19.34</v>
      </c>
      <c r="I930" t="s">
        <v>81</v>
      </c>
    </row>
    <row r="931" spans="1:9" x14ac:dyDescent="0.25">
      <c r="A931" t="s">
        <v>999</v>
      </c>
      <c r="B931" t="s">
        <v>328</v>
      </c>
      <c r="C931" t="s">
        <v>1024</v>
      </c>
      <c r="D931" t="s">
        <v>330</v>
      </c>
      <c r="E931" s="46">
        <v>1390</v>
      </c>
      <c r="F931" s="46">
        <v>1164.73</v>
      </c>
      <c r="G931" s="46">
        <v>225.27</v>
      </c>
      <c r="H931" s="46">
        <v>19.34</v>
      </c>
      <c r="I931" t="s">
        <v>81</v>
      </c>
    </row>
    <row r="932" spans="1:9" x14ac:dyDescent="0.25">
      <c r="A932" t="s">
        <v>999</v>
      </c>
      <c r="B932" t="s">
        <v>328</v>
      </c>
      <c r="C932" t="s">
        <v>1025</v>
      </c>
      <c r="D932" t="s">
        <v>330</v>
      </c>
      <c r="E932" s="46">
        <v>1390</v>
      </c>
      <c r="F932" s="46">
        <v>1164.73</v>
      </c>
      <c r="G932" s="46">
        <v>225.27</v>
      </c>
      <c r="H932" s="46">
        <v>19.34</v>
      </c>
      <c r="I932" t="s">
        <v>81</v>
      </c>
    </row>
    <row r="933" spans="1:9" x14ac:dyDescent="0.25">
      <c r="A933" t="s">
        <v>999</v>
      </c>
      <c r="B933" t="s">
        <v>328</v>
      </c>
      <c r="C933" t="s">
        <v>1026</v>
      </c>
      <c r="D933" t="s">
        <v>330</v>
      </c>
      <c r="E933" s="46">
        <v>1390</v>
      </c>
      <c r="F933" s="46">
        <v>1164.73</v>
      </c>
      <c r="G933" s="46">
        <v>225.27</v>
      </c>
      <c r="H933" s="46">
        <v>19.34</v>
      </c>
      <c r="I933" t="s">
        <v>81</v>
      </c>
    </row>
    <row r="934" spans="1:9" x14ac:dyDescent="0.25">
      <c r="A934" t="s">
        <v>999</v>
      </c>
      <c r="B934" t="s">
        <v>328</v>
      </c>
      <c r="C934" t="s">
        <v>1027</v>
      </c>
      <c r="D934" t="s">
        <v>330</v>
      </c>
      <c r="E934" s="46">
        <v>1390</v>
      </c>
      <c r="F934" s="46">
        <v>1164.73</v>
      </c>
      <c r="G934" s="46">
        <v>225.27</v>
      </c>
      <c r="H934" s="46">
        <v>19.34</v>
      </c>
      <c r="I934" t="s">
        <v>81</v>
      </c>
    </row>
    <row r="935" spans="1:9" x14ac:dyDescent="0.25">
      <c r="A935" t="s">
        <v>999</v>
      </c>
      <c r="B935" t="s">
        <v>328</v>
      </c>
      <c r="C935" t="s">
        <v>1028</v>
      </c>
      <c r="D935" t="s">
        <v>330</v>
      </c>
      <c r="E935" s="46">
        <v>1390</v>
      </c>
      <c r="F935" s="46">
        <v>1164.73</v>
      </c>
      <c r="G935" s="46">
        <v>225.27</v>
      </c>
      <c r="H935" s="46">
        <v>19.34</v>
      </c>
      <c r="I935" t="s">
        <v>81</v>
      </c>
    </row>
    <row r="936" spans="1:9" x14ac:dyDescent="0.25">
      <c r="A936" t="s">
        <v>999</v>
      </c>
      <c r="B936" t="s">
        <v>328</v>
      </c>
      <c r="C936" t="s">
        <v>1029</v>
      </c>
      <c r="D936" t="s">
        <v>330</v>
      </c>
      <c r="E936" s="46">
        <v>1390</v>
      </c>
      <c r="F936" s="46">
        <v>1164.73</v>
      </c>
      <c r="G936" s="46">
        <v>225.27</v>
      </c>
      <c r="H936" s="46">
        <v>19.34</v>
      </c>
      <c r="I936" t="s">
        <v>81</v>
      </c>
    </row>
    <row r="937" spans="1:9" x14ac:dyDescent="0.25">
      <c r="A937" t="s">
        <v>999</v>
      </c>
      <c r="B937" t="s">
        <v>328</v>
      </c>
      <c r="C937" t="s">
        <v>1030</v>
      </c>
      <c r="D937" t="s">
        <v>330</v>
      </c>
      <c r="E937" s="46">
        <v>1390</v>
      </c>
      <c r="F937" s="46">
        <v>1164.73</v>
      </c>
      <c r="G937" s="46">
        <v>225.27</v>
      </c>
      <c r="H937" s="46">
        <v>19.34</v>
      </c>
      <c r="I937" t="s">
        <v>81</v>
      </c>
    </row>
    <row r="938" spans="1:9" x14ac:dyDescent="0.25">
      <c r="A938" t="s">
        <v>999</v>
      </c>
      <c r="B938" t="s">
        <v>328</v>
      </c>
      <c r="C938" t="s">
        <v>1031</v>
      </c>
      <c r="D938" t="s">
        <v>330</v>
      </c>
      <c r="E938" s="46">
        <v>1390</v>
      </c>
      <c r="F938" s="46">
        <v>1164.73</v>
      </c>
      <c r="G938" s="46">
        <v>225.27</v>
      </c>
      <c r="H938" s="46">
        <v>19.34</v>
      </c>
      <c r="I938" t="s">
        <v>81</v>
      </c>
    </row>
    <row r="939" spans="1:9" x14ac:dyDescent="0.25">
      <c r="A939" t="s">
        <v>999</v>
      </c>
      <c r="B939" t="s">
        <v>328</v>
      </c>
      <c r="C939" t="s">
        <v>1032</v>
      </c>
      <c r="D939" t="s">
        <v>330</v>
      </c>
      <c r="E939" s="46">
        <v>1390</v>
      </c>
      <c r="F939" s="46">
        <v>1164.73</v>
      </c>
      <c r="G939" s="46">
        <v>225.27</v>
      </c>
      <c r="H939" s="46">
        <v>19.34</v>
      </c>
      <c r="I939" t="s">
        <v>81</v>
      </c>
    </row>
    <row r="940" spans="1:9" x14ac:dyDescent="0.25">
      <c r="A940" t="s">
        <v>999</v>
      </c>
      <c r="B940" t="s">
        <v>328</v>
      </c>
      <c r="C940" t="s">
        <v>1033</v>
      </c>
      <c r="D940" t="s">
        <v>330</v>
      </c>
      <c r="E940" s="46">
        <v>1360</v>
      </c>
      <c r="F940" s="46">
        <v>1164.73</v>
      </c>
      <c r="G940" s="46">
        <v>195.27</v>
      </c>
      <c r="H940" s="46">
        <v>16.77</v>
      </c>
      <c r="I940" t="s">
        <v>81</v>
      </c>
    </row>
    <row r="941" spans="1:9" x14ac:dyDescent="0.25">
      <c r="A941" t="s">
        <v>999</v>
      </c>
      <c r="B941" t="s">
        <v>328</v>
      </c>
      <c r="C941" t="s">
        <v>1034</v>
      </c>
      <c r="D941" t="s">
        <v>330</v>
      </c>
      <c r="E941" s="46">
        <v>1360</v>
      </c>
      <c r="F941" s="46">
        <v>1164.73</v>
      </c>
      <c r="G941" s="46">
        <v>195.27</v>
      </c>
      <c r="H941" s="46">
        <v>16.77</v>
      </c>
      <c r="I941" t="s">
        <v>81</v>
      </c>
    </row>
    <row r="942" spans="1:9" x14ac:dyDescent="0.25">
      <c r="A942" t="s">
        <v>999</v>
      </c>
      <c r="B942" t="s">
        <v>328</v>
      </c>
      <c r="C942" t="s">
        <v>1035</v>
      </c>
      <c r="D942" t="s">
        <v>330</v>
      </c>
      <c r="E942" s="46">
        <v>1360</v>
      </c>
      <c r="F942" s="46">
        <v>1164.73</v>
      </c>
      <c r="G942" s="46">
        <v>195.27</v>
      </c>
      <c r="H942" s="46">
        <v>16.77</v>
      </c>
      <c r="I942" t="s">
        <v>81</v>
      </c>
    </row>
    <row r="943" spans="1:9" x14ac:dyDescent="0.25">
      <c r="A943" t="s">
        <v>999</v>
      </c>
      <c r="B943" t="s">
        <v>328</v>
      </c>
      <c r="C943" t="s">
        <v>1036</v>
      </c>
      <c r="D943" t="s">
        <v>330</v>
      </c>
      <c r="E943" s="46">
        <v>1360</v>
      </c>
      <c r="F943" s="46">
        <v>1164.73</v>
      </c>
      <c r="G943" s="46">
        <v>195.27</v>
      </c>
      <c r="H943" s="46">
        <v>16.77</v>
      </c>
      <c r="I943" t="s">
        <v>81</v>
      </c>
    </row>
    <row r="944" spans="1:9" x14ac:dyDescent="0.25">
      <c r="A944" t="s">
        <v>999</v>
      </c>
      <c r="B944" t="s">
        <v>328</v>
      </c>
      <c r="C944" t="s">
        <v>1037</v>
      </c>
      <c r="D944" t="s">
        <v>330</v>
      </c>
      <c r="E944" s="46">
        <v>1360</v>
      </c>
      <c r="F944" s="46">
        <v>1164.73</v>
      </c>
      <c r="G944" s="46">
        <v>195.27</v>
      </c>
      <c r="H944" s="46">
        <v>16.77</v>
      </c>
      <c r="I944" t="s">
        <v>81</v>
      </c>
    </row>
    <row r="945" spans="1:9" x14ac:dyDescent="0.25">
      <c r="A945" t="s">
        <v>999</v>
      </c>
      <c r="B945" t="s">
        <v>328</v>
      </c>
      <c r="C945" t="s">
        <v>1038</v>
      </c>
      <c r="D945" t="s">
        <v>330</v>
      </c>
      <c r="E945" s="46">
        <v>1360</v>
      </c>
      <c r="F945" s="46">
        <v>1164.73</v>
      </c>
      <c r="G945" s="46">
        <v>195.27</v>
      </c>
      <c r="H945" s="46">
        <v>16.77</v>
      </c>
      <c r="I945" t="s">
        <v>81</v>
      </c>
    </row>
    <row r="946" spans="1:9" x14ac:dyDescent="0.25">
      <c r="A946" t="s">
        <v>999</v>
      </c>
      <c r="B946" t="s">
        <v>328</v>
      </c>
      <c r="C946" t="s">
        <v>1039</v>
      </c>
      <c r="D946" t="s">
        <v>330</v>
      </c>
      <c r="E946" s="46">
        <v>1360</v>
      </c>
      <c r="F946" s="46">
        <v>1164.73</v>
      </c>
      <c r="G946" s="46">
        <v>195.27</v>
      </c>
      <c r="H946" s="46">
        <v>16.77</v>
      </c>
      <c r="I946" t="s">
        <v>81</v>
      </c>
    </row>
    <row r="947" spans="1:9" x14ac:dyDescent="0.25">
      <c r="A947" t="s">
        <v>999</v>
      </c>
      <c r="B947" t="s">
        <v>328</v>
      </c>
      <c r="C947" t="s">
        <v>1040</v>
      </c>
      <c r="D947" t="s">
        <v>330</v>
      </c>
      <c r="E947" s="46">
        <v>1360</v>
      </c>
      <c r="F947" s="46">
        <v>1164.73</v>
      </c>
      <c r="G947" s="46">
        <v>195.27</v>
      </c>
      <c r="H947" s="46">
        <v>16.77</v>
      </c>
      <c r="I947" t="s">
        <v>81</v>
      </c>
    </row>
    <row r="948" spans="1:9" x14ac:dyDescent="0.25">
      <c r="A948" t="s">
        <v>999</v>
      </c>
      <c r="B948" t="s">
        <v>328</v>
      </c>
      <c r="C948" t="s">
        <v>1041</v>
      </c>
      <c r="D948" t="s">
        <v>330</v>
      </c>
      <c r="E948" s="46">
        <v>1360</v>
      </c>
      <c r="F948" s="46">
        <v>1164.73</v>
      </c>
      <c r="G948" s="46">
        <v>195.27</v>
      </c>
      <c r="H948" s="46">
        <v>16.77</v>
      </c>
      <c r="I948" t="s">
        <v>81</v>
      </c>
    </row>
    <row r="949" spans="1:9" x14ac:dyDescent="0.25">
      <c r="A949" t="s">
        <v>999</v>
      </c>
      <c r="B949" t="s">
        <v>328</v>
      </c>
      <c r="C949" t="s">
        <v>1042</v>
      </c>
      <c r="D949" t="s">
        <v>330</v>
      </c>
      <c r="E949" s="46">
        <v>1360</v>
      </c>
      <c r="F949" s="46">
        <v>1164.73</v>
      </c>
      <c r="G949" s="46">
        <v>195.27</v>
      </c>
      <c r="H949" s="46">
        <v>16.77</v>
      </c>
      <c r="I949" t="s">
        <v>81</v>
      </c>
    </row>
    <row r="950" spans="1:9" x14ac:dyDescent="0.25">
      <c r="A950" t="s">
        <v>999</v>
      </c>
      <c r="B950" t="s">
        <v>328</v>
      </c>
      <c r="C950" t="s">
        <v>1043</v>
      </c>
      <c r="D950" t="s">
        <v>330</v>
      </c>
      <c r="E950" s="46">
        <v>1365</v>
      </c>
      <c r="F950" s="46">
        <v>1164.73</v>
      </c>
      <c r="G950" s="46">
        <v>200.27</v>
      </c>
      <c r="H950" s="46">
        <v>17.190000000000001</v>
      </c>
      <c r="I950" t="s">
        <v>81</v>
      </c>
    </row>
    <row r="951" spans="1:9" x14ac:dyDescent="0.25">
      <c r="A951" t="s">
        <v>999</v>
      </c>
      <c r="B951" t="s">
        <v>328</v>
      </c>
      <c r="C951" t="s">
        <v>1044</v>
      </c>
      <c r="D951" t="s">
        <v>330</v>
      </c>
      <c r="E951" s="46">
        <v>1365</v>
      </c>
      <c r="F951" s="46">
        <v>1164.73</v>
      </c>
      <c r="G951" s="46">
        <v>200.27</v>
      </c>
      <c r="H951" s="46">
        <v>17.190000000000001</v>
      </c>
      <c r="I951" t="s">
        <v>81</v>
      </c>
    </row>
    <row r="952" spans="1:9" x14ac:dyDescent="0.25">
      <c r="A952" t="s">
        <v>999</v>
      </c>
      <c r="B952" t="s">
        <v>328</v>
      </c>
      <c r="C952" t="s">
        <v>1045</v>
      </c>
      <c r="D952" t="s">
        <v>330</v>
      </c>
      <c r="E952" s="46">
        <v>1365</v>
      </c>
      <c r="F952" s="46">
        <v>1164.73</v>
      </c>
      <c r="G952" s="46">
        <v>200.27</v>
      </c>
      <c r="H952" s="46">
        <v>17.190000000000001</v>
      </c>
      <c r="I952" t="s">
        <v>81</v>
      </c>
    </row>
    <row r="953" spans="1:9" x14ac:dyDescent="0.25">
      <c r="A953" t="s">
        <v>999</v>
      </c>
      <c r="B953" t="s">
        <v>328</v>
      </c>
      <c r="C953" t="s">
        <v>1046</v>
      </c>
      <c r="D953" t="s">
        <v>330</v>
      </c>
      <c r="E953" s="46">
        <v>1365</v>
      </c>
      <c r="F953" s="46">
        <v>1164.73</v>
      </c>
      <c r="G953" s="46">
        <v>200.27</v>
      </c>
      <c r="H953" s="46">
        <v>17.190000000000001</v>
      </c>
      <c r="I953" t="s">
        <v>81</v>
      </c>
    </row>
    <row r="954" spans="1:9" x14ac:dyDescent="0.25">
      <c r="A954" t="s">
        <v>999</v>
      </c>
      <c r="B954" t="s">
        <v>328</v>
      </c>
      <c r="C954" t="s">
        <v>1047</v>
      </c>
      <c r="D954" t="s">
        <v>330</v>
      </c>
      <c r="E954" s="46">
        <v>1365</v>
      </c>
      <c r="F954" s="46">
        <v>1164.73</v>
      </c>
      <c r="G954" s="46">
        <v>200.27</v>
      </c>
      <c r="H954" s="46">
        <v>17.190000000000001</v>
      </c>
      <c r="I954" t="s">
        <v>81</v>
      </c>
    </row>
    <row r="955" spans="1:9" x14ac:dyDescent="0.25">
      <c r="A955" t="s">
        <v>999</v>
      </c>
      <c r="B955" t="s">
        <v>328</v>
      </c>
      <c r="C955" t="s">
        <v>1048</v>
      </c>
      <c r="D955" t="s">
        <v>330</v>
      </c>
      <c r="E955" s="46">
        <v>1365</v>
      </c>
      <c r="F955" s="46">
        <v>1164.73</v>
      </c>
      <c r="G955" s="46">
        <v>200.27</v>
      </c>
      <c r="H955" s="46">
        <v>17.190000000000001</v>
      </c>
      <c r="I955" t="s">
        <v>81</v>
      </c>
    </row>
    <row r="956" spans="1:9" x14ac:dyDescent="0.25">
      <c r="A956" t="s">
        <v>999</v>
      </c>
      <c r="B956" t="s">
        <v>328</v>
      </c>
      <c r="C956" t="s">
        <v>1049</v>
      </c>
      <c r="D956" t="s">
        <v>330</v>
      </c>
      <c r="E956" s="46">
        <v>1365</v>
      </c>
      <c r="F956" s="46">
        <v>1164.73</v>
      </c>
      <c r="G956" s="46">
        <v>200.27</v>
      </c>
      <c r="H956" s="46">
        <v>17.190000000000001</v>
      </c>
      <c r="I956" t="s">
        <v>81</v>
      </c>
    </row>
    <row r="957" spans="1:9" x14ac:dyDescent="0.25">
      <c r="A957" t="s">
        <v>999</v>
      </c>
      <c r="B957" t="s">
        <v>328</v>
      </c>
      <c r="C957" t="s">
        <v>1050</v>
      </c>
      <c r="D957" t="s">
        <v>330</v>
      </c>
      <c r="E957" s="46">
        <v>1365</v>
      </c>
      <c r="F957" s="46">
        <v>1164.73</v>
      </c>
      <c r="G957" s="46">
        <v>200.27</v>
      </c>
      <c r="H957" s="46">
        <v>17.190000000000001</v>
      </c>
      <c r="I957" t="s">
        <v>81</v>
      </c>
    </row>
    <row r="958" spans="1:9" x14ac:dyDescent="0.25">
      <c r="A958" t="s">
        <v>999</v>
      </c>
      <c r="B958" t="s">
        <v>328</v>
      </c>
      <c r="C958" t="s">
        <v>1051</v>
      </c>
      <c r="D958" t="s">
        <v>330</v>
      </c>
      <c r="E958" s="46">
        <v>1365</v>
      </c>
      <c r="F958" s="46">
        <v>1164.73</v>
      </c>
      <c r="G958" s="46">
        <v>200.27</v>
      </c>
      <c r="H958" s="46">
        <v>17.190000000000001</v>
      </c>
      <c r="I958" t="s">
        <v>81</v>
      </c>
    </row>
    <row r="959" spans="1:9" x14ac:dyDescent="0.25">
      <c r="A959" t="s">
        <v>999</v>
      </c>
      <c r="B959" t="s">
        <v>328</v>
      </c>
      <c r="C959" t="s">
        <v>1052</v>
      </c>
      <c r="D959" t="s">
        <v>330</v>
      </c>
      <c r="E959" s="46">
        <v>1365</v>
      </c>
      <c r="F959" s="46">
        <v>1164.73</v>
      </c>
      <c r="G959" s="46">
        <v>200.27</v>
      </c>
      <c r="H959" s="46">
        <v>17.190000000000001</v>
      </c>
      <c r="I959" t="s">
        <v>81</v>
      </c>
    </row>
    <row r="960" spans="1:9" x14ac:dyDescent="0.25">
      <c r="A960" t="s">
        <v>999</v>
      </c>
      <c r="B960" t="s">
        <v>328</v>
      </c>
      <c r="C960" t="s">
        <v>1053</v>
      </c>
      <c r="D960" t="s">
        <v>330</v>
      </c>
      <c r="E960" s="46">
        <v>1365</v>
      </c>
      <c r="F960" s="46">
        <v>1164.73</v>
      </c>
      <c r="G960" s="46">
        <v>200.27</v>
      </c>
      <c r="H960" s="46">
        <v>17.190000000000001</v>
      </c>
      <c r="I960" t="s">
        <v>81</v>
      </c>
    </row>
    <row r="961" spans="1:9" x14ac:dyDescent="0.25">
      <c r="A961" t="s">
        <v>999</v>
      </c>
      <c r="B961" t="s">
        <v>328</v>
      </c>
      <c r="C961" t="s">
        <v>1054</v>
      </c>
      <c r="D961" t="s">
        <v>330</v>
      </c>
      <c r="E961" s="46">
        <v>1365</v>
      </c>
      <c r="F961" s="46">
        <v>1164.73</v>
      </c>
      <c r="G961" s="46">
        <v>200.27</v>
      </c>
      <c r="H961" s="46">
        <v>17.190000000000001</v>
      </c>
      <c r="I961" t="s">
        <v>81</v>
      </c>
    </row>
    <row r="962" spans="1:9" x14ac:dyDescent="0.25">
      <c r="A962" t="s">
        <v>999</v>
      </c>
      <c r="B962" t="s">
        <v>328</v>
      </c>
      <c r="C962" t="s">
        <v>1055</v>
      </c>
      <c r="D962" t="s">
        <v>330</v>
      </c>
      <c r="E962" s="46">
        <v>1365</v>
      </c>
      <c r="F962" s="46">
        <v>1164.73</v>
      </c>
      <c r="G962" s="46">
        <v>200.27</v>
      </c>
      <c r="H962" s="46">
        <v>17.190000000000001</v>
      </c>
      <c r="I962" t="s">
        <v>81</v>
      </c>
    </row>
    <row r="963" spans="1:9" x14ac:dyDescent="0.25">
      <c r="A963" t="s">
        <v>999</v>
      </c>
      <c r="B963" t="s">
        <v>328</v>
      </c>
      <c r="C963" t="s">
        <v>1056</v>
      </c>
      <c r="D963" t="s">
        <v>330</v>
      </c>
      <c r="E963" s="46">
        <v>1365</v>
      </c>
      <c r="F963" s="46">
        <v>1164.73</v>
      </c>
      <c r="G963" s="46">
        <v>200.27</v>
      </c>
      <c r="H963" s="46">
        <v>17.190000000000001</v>
      </c>
      <c r="I963" t="s">
        <v>81</v>
      </c>
    </row>
    <row r="964" spans="1:9" x14ac:dyDescent="0.25">
      <c r="A964" t="s">
        <v>999</v>
      </c>
      <c r="B964" t="s">
        <v>328</v>
      </c>
      <c r="C964" t="s">
        <v>1057</v>
      </c>
      <c r="D964" t="s">
        <v>330</v>
      </c>
      <c r="E964" s="46">
        <v>1365</v>
      </c>
      <c r="F964" s="46">
        <v>1164.73</v>
      </c>
      <c r="G964" s="46">
        <v>200.27</v>
      </c>
      <c r="H964" s="46">
        <v>17.190000000000001</v>
      </c>
      <c r="I964" t="s">
        <v>81</v>
      </c>
    </row>
    <row r="965" spans="1:9" x14ac:dyDescent="0.25">
      <c r="A965" t="s">
        <v>999</v>
      </c>
      <c r="B965" t="s">
        <v>328</v>
      </c>
      <c r="C965" t="s">
        <v>1058</v>
      </c>
      <c r="D965" t="s">
        <v>330</v>
      </c>
      <c r="E965" s="46">
        <v>1365</v>
      </c>
      <c r="F965" s="46">
        <v>1164.73</v>
      </c>
      <c r="G965" s="46">
        <v>200.27</v>
      </c>
      <c r="H965" s="46">
        <v>17.190000000000001</v>
      </c>
      <c r="I965" t="s">
        <v>81</v>
      </c>
    </row>
    <row r="966" spans="1:9" x14ac:dyDescent="0.25">
      <c r="A966" t="s">
        <v>999</v>
      </c>
      <c r="B966" t="s">
        <v>328</v>
      </c>
      <c r="C966" t="s">
        <v>1059</v>
      </c>
      <c r="D966" t="s">
        <v>330</v>
      </c>
      <c r="E966" s="46">
        <v>1365</v>
      </c>
      <c r="F966" s="46">
        <v>1164.73</v>
      </c>
      <c r="G966" s="46">
        <v>200.27</v>
      </c>
      <c r="H966" s="46">
        <v>17.190000000000001</v>
      </c>
      <c r="I966" t="s">
        <v>81</v>
      </c>
    </row>
    <row r="967" spans="1:9" x14ac:dyDescent="0.25">
      <c r="A967" t="s">
        <v>999</v>
      </c>
      <c r="B967" t="s">
        <v>328</v>
      </c>
      <c r="C967" t="s">
        <v>1060</v>
      </c>
      <c r="D967" t="s">
        <v>330</v>
      </c>
      <c r="E967" s="46">
        <v>1365</v>
      </c>
      <c r="F967" s="46">
        <v>1164.73</v>
      </c>
      <c r="G967" s="46">
        <v>200.27</v>
      </c>
      <c r="H967" s="46">
        <v>17.190000000000001</v>
      </c>
      <c r="I967" t="s">
        <v>81</v>
      </c>
    </row>
    <row r="968" spans="1:9" x14ac:dyDescent="0.25">
      <c r="A968" t="s">
        <v>999</v>
      </c>
      <c r="B968" t="s">
        <v>328</v>
      </c>
      <c r="C968" t="s">
        <v>1061</v>
      </c>
      <c r="D968" t="s">
        <v>330</v>
      </c>
      <c r="E968" s="46">
        <v>1365</v>
      </c>
      <c r="F968" s="46">
        <v>1164.73</v>
      </c>
      <c r="G968" s="46">
        <v>200.27</v>
      </c>
      <c r="H968" s="46">
        <v>17.190000000000001</v>
      </c>
      <c r="I968" t="s">
        <v>81</v>
      </c>
    </row>
    <row r="969" spans="1:9" x14ac:dyDescent="0.25">
      <c r="A969" t="s">
        <v>999</v>
      </c>
      <c r="B969" t="s">
        <v>328</v>
      </c>
      <c r="C969" t="s">
        <v>1062</v>
      </c>
      <c r="D969" t="s">
        <v>330</v>
      </c>
      <c r="E969" s="46">
        <v>1365</v>
      </c>
      <c r="F969" s="46">
        <v>1164.73</v>
      </c>
      <c r="G969" s="46">
        <v>200.27</v>
      </c>
      <c r="H969" s="46">
        <v>17.190000000000001</v>
      </c>
      <c r="I969" t="s">
        <v>81</v>
      </c>
    </row>
    <row r="970" spans="1:9" x14ac:dyDescent="0.25">
      <c r="A970" t="s">
        <v>1063</v>
      </c>
      <c r="B970" t="s">
        <v>862</v>
      </c>
      <c r="C970" t="s">
        <v>1064</v>
      </c>
      <c r="D970" t="s">
        <v>15</v>
      </c>
      <c r="E970" s="46">
        <v>760</v>
      </c>
      <c r="F970" s="46">
        <v>735.95</v>
      </c>
      <c r="G970" s="46">
        <v>24.05</v>
      </c>
      <c r="H970" s="46">
        <v>3.27</v>
      </c>
      <c r="I970" t="s">
        <v>23</v>
      </c>
    </row>
    <row r="971" spans="1:9" x14ac:dyDescent="0.25">
      <c r="A971" t="s">
        <v>1063</v>
      </c>
      <c r="B971" t="s">
        <v>105</v>
      </c>
      <c r="C971" t="s">
        <v>1065</v>
      </c>
      <c r="D971" t="s">
        <v>15</v>
      </c>
      <c r="E971" s="46">
        <v>670</v>
      </c>
      <c r="F971" s="46">
        <v>637</v>
      </c>
      <c r="G971" s="46">
        <v>33</v>
      </c>
      <c r="H971" s="46">
        <v>5.18</v>
      </c>
      <c r="I971" t="s">
        <v>81</v>
      </c>
    </row>
    <row r="972" spans="1:9" x14ac:dyDescent="0.25">
      <c r="A972" t="s">
        <v>1063</v>
      </c>
      <c r="B972" t="s">
        <v>1066</v>
      </c>
      <c r="C972" t="s">
        <v>1067</v>
      </c>
      <c r="D972" t="s">
        <v>644</v>
      </c>
      <c r="E972" s="46">
        <v>6850</v>
      </c>
      <c r="F972" s="46">
        <v>6390.2</v>
      </c>
      <c r="G972" s="46">
        <v>459.8</v>
      </c>
      <c r="H972" s="46">
        <v>7.2</v>
      </c>
      <c r="I972" t="s">
        <v>23</v>
      </c>
    </row>
    <row r="973" spans="1:9" x14ac:dyDescent="0.25">
      <c r="A973" t="s">
        <v>1063</v>
      </c>
      <c r="B973" t="s">
        <v>33</v>
      </c>
      <c r="C973" t="s">
        <v>1068</v>
      </c>
      <c r="D973" t="s">
        <v>490</v>
      </c>
      <c r="E973" s="46">
        <v>3490</v>
      </c>
      <c r="F973" s="46">
        <v>3338.7</v>
      </c>
      <c r="G973" s="46">
        <v>151.30000000000001</v>
      </c>
      <c r="H973" s="46">
        <v>4.53</v>
      </c>
      <c r="I973" t="s">
        <v>23</v>
      </c>
    </row>
    <row r="974" spans="1:9" x14ac:dyDescent="0.25">
      <c r="A974" t="s">
        <v>1063</v>
      </c>
      <c r="B974" t="s">
        <v>33</v>
      </c>
      <c r="C974" t="s">
        <v>1069</v>
      </c>
      <c r="D974" t="s">
        <v>490</v>
      </c>
      <c r="E974" s="46">
        <v>3490</v>
      </c>
      <c r="F974" s="46">
        <v>3338.7</v>
      </c>
      <c r="G974" s="46">
        <v>151.30000000000001</v>
      </c>
      <c r="H974" s="46">
        <v>4.53</v>
      </c>
      <c r="I974" t="s">
        <v>23</v>
      </c>
    </row>
    <row r="975" spans="1:9" x14ac:dyDescent="0.25">
      <c r="A975" t="s">
        <v>1063</v>
      </c>
      <c r="B975" t="s">
        <v>33</v>
      </c>
      <c r="C975" t="s">
        <v>1070</v>
      </c>
      <c r="D975" t="s">
        <v>490</v>
      </c>
      <c r="E975" s="46">
        <v>3490</v>
      </c>
      <c r="F975" s="46">
        <v>3338.7</v>
      </c>
      <c r="G975" s="46">
        <v>151.30000000000001</v>
      </c>
      <c r="H975" s="46">
        <v>4.53</v>
      </c>
      <c r="I975" t="s">
        <v>23</v>
      </c>
    </row>
    <row r="976" spans="1:9" x14ac:dyDescent="0.25">
      <c r="A976" t="s">
        <v>1063</v>
      </c>
      <c r="B976" t="s">
        <v>33</v>
      </c>
      <c r="C976" t="s">
        <v>1071</v>
      </c>
      <c r="D976" t="s">
        <v>644</v>
      </c>
      <c r="E976" s="46">
        <v>4430</v>
      </c>
      <c r="F976" s="46">
        <v>3338.7</v>
      </c>
      <c r="G976" s="46">
        <v>1091.3</v>
      </c>
      <c r="H976" s="46">
        <v>32.69</v>
      </c>
      <c r="I976" t="s">
        <v>23</v>
      </c>
    </row>
    <row r="977" spans="1:9" x14ac:dyDescent="0.25">
      <c r="A977" t="s">
        <v>1063</v>
      </c>
      <c r="B977" t="s">
        <v>33</v>
      </c>
      <c r="C977" t="s">
        <v>1072</v>
      </c>
      <c r="D977" t="s">
        <v>644</v>
      </c>
      <c r="E977" s="46">
        <v>4430</v>
      </c>
      <c r="F977" s="46">
        <v>3338.7</v>
      </c>
      <c r="G977" s="46">
        <v>1091.3</v>
      </c>
      <c r="H977" s="46">
        <v>32.69</v>
      </c>
      <c r="I977" t="s">
        <v>23</v>
      </c>
    </row>
    <row r="978" spans="1:9" x14ac:dyDescent="0.25">
      <c r="A978" t="s">
        <v>1063</v>
      </c>
      <c r="B978" t="s">
        <v>33</v>
      </c>
      <c r="C978" t="s">
        <v>1073</v>
      </c>
      <c r="D978" t="s">
        <v>15</v>
      </c>
      <c r="E978" s="46">
        <v>3700</v>
      </c>
      <c r="F978" s="46">
        <v>3500</v>
      </c>
      <c r="G978" s="46">
        <v>200</v>
      </c>
      <c r="H978" s="46">
        <v>5.71</v>
      </c>
      <c r="I978" t="s">
        <v>29</v>
      </c>
    </row>
    <row r="979" spans="1:9" x14ac:dyDescent="0.25">
      <c r="A979" t="s">
        <v>1063</v>
      </c>
      <c r="B979" t="s">
        <v>33</v>
      </c>
      <c r="C979" t="s">
        <v>1074</v>
      </c>
      <c r="D979" t="s">
        <v>490</v>
      </c>
      <c r="E979" s="46">
        <v>3490</v>
      </c>
      <c r="F979" s="46">
        <v>3338.7</v>
      </c>
      <c r="G979" s="46">
        <v>151.30000000000001</v>
      </c>
      <c r="H979" s="46">
        <v>4.53</v>
      </c>
      <c r="I979" t="s">
        <v>23</v>
      </c>
    </row>
    <row r="980" spans="1:9" x14ac:dyDescent="0.25">
      <c r="A980" t="s">
        <v>1063</v>
      </c>
      <c r="B980" t="s">
        <v>33</v>
      </c>
      <c r="C980" t="s">
        <v>1075</v>
      </c>
      <c r="D980" t="s">
        <v>644</v>
      </c>
      <c r="E980" s="46">
        <v>4430</v>
      </c>
      <c r="F980" s="46">
        <v>3913.1</v>
      </c>
      <c r="G980" s="46">
        <v>516.9</v>
      </c>
      <c r="H980" s="46">
        <v>13.21</v>
      </c>
      <c r="I980" t="s">
        <v>23</v>
      </c>
    </row>
    <row r="981" spans="1:9" x14ac:dyDescent="0.25">
      <c r="A981" t="s">
        <v>1063</v>
      </c>
      <c r="B981" t="s">
        <v>33</v>
      </c>
      <c r="C981" t="s">
        <v>1076</v>
      </c>
      <c r="D981" t="s">
        <v>644</v>
      </c>
      <c r="E981" s="46">
        <v>4430</v>
      </c>
      <c r="F981" s="46">
        <v>3913.1</v>
      </c>
      <c r="G981" s="46">
        <v>516.9</v>
      </c>
      <c r="H981" s="46">
        <v>13.21</v>
      </c>
      <c r="I981" t="s">
        <v>23</v>
      </c>
    </row>
    <row r="982" spans="1:9" x14ac:dyDescent="0.25">
      <c r="A982" t="s">
        <v>1063</v>
      </c>
      <c r="B982" t="s">
        <v>33</v>
      </c>
      <c r="C982" t="s">
        <v>1077</v>
      </c>
      <c r="D982" t="s">
        <v>644</v>
      </c>
      <c r="E982" s="46">
        <v>4430</v>
      </c>
      <c r="F982" s="46">
        <v>3338.7</v>
      </c>
      <c r="G982" s="46">
        <v>1091.3</v>
      </c>
      <c r="H982" s="46">
        <v>32.69</v>
      </c>
      <c r="I982" t="s">
        <v>23</v>
      </c>
    </row>
    <row r="983" spans="1:9" x14ac:dyDescent="0.25">
      <c r="A983" t="s">
        <v>1063</v>
      </c>
      <c r="B983" t="s">
        <v>38</v>
      </c>
      <c r="C983" t="s">
        <v>1078</v>
      </c>
      <c r="D983" t="s">
        <v>15</v>
      </c>
      <c r="E983" s="46">
        <v>2440</v>
      </c>
      <c r="F983" s="46">
        <v>2300.8000000000002</v>
      </c>
      <c r="G983" s="46">
        <v>139.19999999999999</v>
      </c>
      <c r="H983" s="46">
        <v>6.05</v>
      </c>
      <c r="I983" t="s">
        <v>23</v>
      </c>
    </row>
    <row r="984" spans="1:9" x14ac:dyDescent="0.25">
      <c r="A984" t="s">
        <v>1063</v>
      </c>
      <c r="B984" t="s">
        <v>38</v>
      </c>
      <c r="C984" t="s">
        <v>1079</v>
      </c>
      <c r="D984" t="s">
        <v>15</v>
      </c>
      <c r="E984" s="46">
        <v>2440</v>
      </c>
      <c r="F984" s="46">
        <v>2300.8000000000002</v>
      </c>
      <c r="G984" s="46">
        <v>139.19999999999999</v>
      </c>
      <c r="H984" s="46">
        <v>6.05</v>
      </c>
      <c r="I984" t="s">
        <v>23</v>
      </c>
    </row>
    <row r="985" spans="1:9" x14ac:dyDescent="0.25">
      <c r="A985" t="s">
        <v>1063</v>
      </c>
      <c r="B985" t="s">
        <v>38</v>
      </c>
      <c r="C985" t="s">
        <v>1080</v>
      </c>
      <c r="D985" t="s">
        <v>15</v>
      </c>
      <c r="E985" s="46">
        <v>2440</v>
      </c>
      <c r="F985" s="46">
        <v>2300.8000000000002</v>
      </c>
      <c r="G985" s="46">
        <v>139.19999999999999</v>
      </c>
      <c r="H985" s="46">
        <v>6.05</v>
      </c>
      <c r="I985" t="s">
        <v>23</v>
      </c>
    </row>
    <row r="986" spans="1:9" x14ac:dyDescent="0.25">
      <c r="A986" t="s">
        <v>1063</v>
      </c>
      <c r="B986" t="s">
        <v>328</v>
      </c>
      <c r="C986" t="s">
        <v>1081</v>
      </c>
      <c r="D986" t="s">
        <v>330</v>
      </c>
      <c r="E986" s="46">
        <v>1335</v>
      </c>
      <c r="F986" s="46">
        <v>1164.73</v>
      </c>
      <c r="G986" s="46">
        <v>170.27</v>
      </c>
      <c r="H986" s="46">
        <v>14.62</v>
      </c>
      <c r="I986" t="s">
        <v>81</v>
      </c>
    </row>
    <row r="987" spans="1:9" x14ac:dyDescent="0.25">
      <c r="A987" t="s">
        <v>1063</v>
      </c>
      <c r="B987" t="s">
        <v>328</v>
      </c>
      <c r="C987" t="s">
        <v>1082</v>
      </c>
      <c r="D987" t="s">
        <v>330</v>
      </c>
      <c r="E987" s="46">
        <v>1335</v>
      </c>
      <c r="F987" s="46">
        <v>1164.73</v>
      </c>
      <c r="G987" s="46">
        <v>170.27</v>
      </c>
      <c r="H987" s="46">
        <v>14.62</v>
      </c>
      <c r="I987" t="s">
        <v>81</v>
      </c>
    </row>
    <row r="988" spans="1:9" x14ac:dyDescent="0.25">
      <c r="A988" t="s">
        <v>1063</v>
      </c>
      <c r="B988" t="s">
        <v>328</v>
      </c>
      <c r="C988" t="s">
        <v>1083</v>
      </c>
      <c r="D988" t="s">
        <v>330</v>
      </c>
      <c r="E988" s="46">
        <v>1335</v>
      </c>
      <c r="F988" s="46">
        <v>1164.73</v>
      </c>
      <c r="G988" s="46">
        <v>170.27</v>
      </c>
      <c r="H988" s="46">
        <v>14.62</v>
      </c>
      <c r="I988" t="s">
        <v>81</v>
      </c>
    </row>
    <row r="989" spans="1:9" x14ac:dyDescent="0.25">
      <c r="A989" t="s">
        <v>1063</v>
      </c>
      <c r="B989" t="s">
        <v>328</v>
      </c>
      <c r="C989" t="s">
        <v>1084</v>
      </c>
      <c r="D989" t="s">
        <v>15</v>
      </c>
      <c r="E989" s="46">
        <v>1335</v>
      </c>
      <c r="F989" s="46">
        <v>1164.76</v>
      </c>
      <c r="G989" s="46">
        <v>170.24</v>
      </c>
      <c r="H989" s="46">
        <v>14.62</v>
      </c>
      <c r="I989" t="s">
        <v>81</v>
      </c>
    </row>
    <row r="990" spans="1:9" x14ac:dyDescent="0.25">
      <c r="A990" t="s">
        <v>1063</v>
      </c>
      <c r="B990" t="s">
        <v>328</v>
      </c>
      <c r="C990" t="s">
        <v>1085</v>
      </c>
      <c r="D990" t="s">
        <v>15</v>
      </c>
      <c r="E990" s="46">
        <v>1335</v>
      </c>
      <c r="F990" s="46">
        <v>1164.76</v>
      </c>
      <c r="G990" s="46">
        <v>170.24</v>
      </c>
      <c r="H990" s="46">
        <v>14.62</v>
      </c>
      <c r="I990" t="s">
        <v>81</v>
      </c>
    </row>
    <row r="991" spans="1:9" x14ac:dyDescent="0.25">
      <c r="A991" t="s">
        <v>1063</v>
      </c>
      <c r="B991" t="s">
        <v>328</v>
      </c>
      <c r="C991" t="s">
        <v>1086</v>
      </c>
      <c r="D991" t="s">
        <v>15</v>
      </c>
      <c r="E991" s="46">
        <v>1335</v>
      </c>
      <c r="F991" s="46">
        <v>1164.76</v>
      </c>
      <c r="G991" s="46">
        <v>170.24</v>
      </c>
      <c r="H991" s="46">
        <v>14.62</v>
      </c>
      <c r="I991" t="s">
        <v>81</v>
      </c>
    </row>
    <row r="992" spans="1:9" x14ac:dyDescent="0.25">
      <c r="A992" t="s">
        <v>1063</v>
      </c>
      <c r="B992" t="s">
        <v>328</v>
      </c>
      <c r="C992" t="s">
        <v>1087</v>
      </c>
      <c r="D992" t="s">
        <v>15</v>
      </c>
      <c r="E992" s="46">
        <v>1335</v>
      </c>
      <c r="F992" s="46">
        <v>1164.76</v>
      </c>
      <c r="G992" s="46">
        <v>170.24</v>
      </c>
      <c r="H992" s="46">
        <v>14.62</v>
      </c>
      <c r="I992" t="s">
        <v>81</v>
      </c>
    </row>
    <row r="993" spans="1:9" x14ac:dyDescent="0.25">
      <c r="A993" t="s">
        <v>1063</v>
      </c>
      <c r="B993" t="s">
        <v>328</v>
      </c>
      <c r="C993" t="s">
        <v>1088</v>
      </c>
      <c r="D993" t="s">
        <v>15</v>
      </c>
      <c r="E993" s="46">
        <v>1335</v>
      </c>
      <c r="F993" s="46">
        <v>1164.76</v>
      </c>
      <c r="G993" s="46">
        <v>170.24</v>
      </c>
      <c r="H993" s="46">
        <v>14.62</v>
      </c>
      <c r="I993" t="s">
        <v>81</v>
      </c>
    </row>
    <row r="994" spans="1:9" x14ac:dyDescent="0.25">
      <c r="A994" t="s">
        <v>1063</v>
      </c>
      <c r="B994" t="s">
        <v>328</v>
      </c>
      <c r="C994" t="s">
        <v>1089</v>
      </c>
      <c r="D994" t="s">
        <v>15</v>
      </c>
      <c r="E994" s="46">
        <v>1335</v>
      </c>
      <c r="F994" s="46">
        <v>1164.76</v>
      </c>
      <c r="G994" s="46">
        <v>170.24</v>
      </c>
      <c r="H994" s="46">
        <v>14.62</v>
      </c>
      <c r="I994" t="s">
        <v>81</v>
      </c>
    </row>
    <row r="995" spans="1:9" x14ac:dyDescent="0.25">
      <c r="A995" t="s">
        <v>1063</v>
      </c>
      <c r="B995" t="s">
        <v>328</v>
      </c>
      <c r="C995" t="s">
        <v>1090</v>
      </c>
      <c r="D995" t="s">
        <v>15</v>
      </c>
      <c r="E995" s="46">
        <v>1335</v>
      </c>
      <c r="F995" s="46">
        <v>1164.76</v>
      </c>
      <c r="G995" s="46">
        <v>170.24</v>
      </c>
      <c r="H995" s="46">
        <v>14.62</v>
      </c>
      <c r="I995" t="s">
        <v>81</v>
      </c>
    </row>
    <row r="996" spans="1:9" x14ac:dyDescent="0.25">
      <c r="A996" t="s">
        <v>1063</v>
      </c>
      <c r="B996" t="s">
        <v>328</v>
      </c>
      <c r="C996" t="s">
        <v>1091</v>
      </c>
      <c r="D996" t="s">
        <v>15</v>
      </c>
      <c r="E996" s="46">
        <v>1335</v>
      </c>
      <c r="F996" s="46">
        <v>1164.76</v>
      </c>
      <c r="G996" s="46">
        <v>170.24</v>
      </c>
      <c r="H996" s="46">
        <v>14.62</v>
      </c>
      <c r="I996" t="s">
        <v>81</v>
      </c>
    </row>
    <row r="997" spans="1:9" x14ac:dyDescent="0.25">
      <c r="A997" t="s">
        <v>1063</v>
      </c>
      <c r="B997" t="s">
        <v>328</v>
      </c>
      <c r="C997" t="s">
        <v>1092</v>
      </c>
      <c r="D997" t="s">
        <v>15</v>
      </c>
      <c r="E997" s="46">
        <v>1335</v>
      </c>
      <c r="F997" s="46">
        <v>1164.76</v>
      </c>
      <c r="G997" s="46">
        <v>170.24</v>
      </c>
      <c r="H997" s="46">
        <v>14.62</v>
      </c>
      <c r="I997" t="s">
        <v>81</v>
      </c>
    </row>
    <row r="998" spans="1:9" x14ac:dyDescent="0.25">
      <c r="A998" t="s">
        <v>1063</v>
      </c>
      <c r="B998" t="s">
        <v>328</v>
      </c>
      <c r="C998" t="s">
        <v>1093</v>
      </c>
      <c r="D998" t="s">
        <v>15</v>
      </c>
      <c r="E998" s="46">
        <v>1335</v>
      </c>
      <c r="F998" s="46">
        <v>1164.76</v>
      </c>
      <c r="G998" s="46">
        <v>170.24</v>
      </c>
      <c r="H998" s="46">
        <v>14.62</v>
      </c>
      <c r="I998" t="s">
        <v>81</v>
      </c>
    </row>
    <row r="999" spans="1:9" x14ac:dyDescent="0.25">
      <c r="A999" t="s">
        <v>1063</v>
      </c>
      <c r="B999" t="s">
        <v>328</v>
      </c>
      <c r="C999" t="s">
        <v>1094</v>
      </c>
      <c r="D999" t="s">
        <v>15</v>
      </c>
      <c r="E999" s="46">
        <v>1335</v>
      </c>
      <c r="F999" s="46">
        <v>1164.76</v>
      </c>
      <c r="G999" s="46">
        <v>170.24</v>
      </c>
      <c r="H999" s="46">
        <v>14.62</v>
      </c>
      <c r="I999" t="s">
        <v>81</v>
      </c>
    </row>
    <row r="1000" spans="1:9" x14ac:dyDescent="0.25">
      <c r="A1000" t="s">
        <v>1063</v>
      </c>
      <c r="B1000" t="s">
        <v>328</v>
      </c>
      <c r="C1000" t="s">
        <v>1095</v>
      </c>
      <c r="D1000" t="s">
        <v>15</v>
      </c>
      <c r="E1000" s="46">
        <v>1335</v>
      </c>
      <c r="F1000" s="46">
        <v>1164.76</v>
      </c>
      <c r="G1000" s="46">
        <v>170.24</v>
      </c>
      <c r="H1000" s="46">
        <v>14.62</v>
      </c>
      <c r="I1000" t="s">
        <v>81</v>
      </c>
    </row>
    <row r="1001" spans="1:9" x14ac:dyDescent="0.25">
      <c r="A1001" t="s">
        <v>1063</v>
      </c>
      <c r="B1001" t="s">
        <v>328</v>
      </c>
      <c r="C1001" t="s">
        <v>1096</v>
      </c>
      <c r="D1001" t="s">
        <v>15</v>
      </c>
      <c r="E1001" s="46">
        <v>1335</v>
      </c>
      <c r="F1001" s="46">
        <v>1164.76</v>
      </c>
      <c r="G1001" s="46">
        <v>170.24</v>
      </c>
      <c r="H1001" s="46">
        <v>14.62</v>
      </c>
      <c r="I1001" t="s">
        <v>81</v>
      </c>
    </row>
    <row r="1002" spans="1:9" x14ac:dyDescent="0.25">
      <c r="A1002" t="s">
        <v>1063</v>
      </c>
      <c r="B1002" t="s">
        <v>328</v>
      </c>
      <c r="C1002" t="s">
        <v>1097</v>
      </c>
      <c r="D1002" t="s">
        <v>15</v>
      </c>
      <c r="E1002" s="46">
        <v>1335</v>
      </c>
      <c r="F1002" s="46">
        <v>1164.76</v>
      </c>
      <c r="G1002" s="46">
        <v>170.24</v>
      </c>
      <c r="H1002" s="46">
        <v>14.62</v>
      </c>
      <c r="I1002" t="s">
        <v>81</v>
      </c>
    </row>
    <row r="1003" spans="1:9" x14ac:dyDescent="0.25">
      <c r="A1003" t="s">
        <v>1063</v>
      </c>
      <c r="B1003" t="s">
        <v>328</v>
      </c>
      <c r="C1003" t="s">
        <v>1098</v>
      </c>
      <c r="D1003" t="s">
        <v>15</v>
      </c>
      <c r="E1003" s="46">
        <v>1335</v>
      </c>
      <c r="F1003" s="46">
        <v>1164.76</v>
      </c>
      <c r="G1003" s="46">
        <v>170.24</v>
      </c>
      <c r="H1003" s="46">
        <v>14.62</v>
      </c>
      <c r="I1003" t="s">
        <v>81</v>
      </c>
    </row>
    <row r="1004" spans="1:9" x14ac:dyDescent="0.25">
      <c r="A1004" t="s">
        <v>1063</v>
      </c>
      <c r="B1004" t="s">
        <v>328</v>
      </c>
      <c r="C1004" t="s">
        <v>1099</v>
      </c>
      <c r="D1004" t="s">
        <v>15</v>
      </c>
      <c r="E1004" s="46">
        <v>1335</v>
      </c>
      <c r="F1004" s="46">
        <v>1164.76</v>
      </c>
      <c r="G1004" s="46">
        <v>170.24</v>
      </c>
      <c r="H1004" s="46">
        <v>14.62</v>
      </c>
      <c r="I1004" t="s">
        <v>81</v>
      </c>
    </row>
    <row r="1005" spans="1:9" x14ac:dyDescent="0.25">
      <c r="A1005" t="s">
        <v>1063</v>
      </c>
      <c r="B1005" t="s">
        <v>328</v>
      </c>
      <c r="C1005" t="s">
        <v>1100</v>
      </c>
      <c r="D1005" t="s">
        <v>15</v>
      </c>
      <c r="E1005" s="46">
        <v>1335</v>
      </c>
      <c r="F1005" s="46">
        <v>1164.76</v>
      </c>
      <c r="G1005" s="46">
        <v>170.24</v>
      </c>
      <c r="H1005" s="46">
        <v>14.62</v>
      </c>
      <c r="I1005" t="s">
        <v>81</v>
      </c>
    </row>
    <row r="1006" spans="1:9" x14ac:dyDescent="0.25">
      <c r="A1006" t="s">
        <v>1063</v>
      </c>
      <c r="B1006" t="s">
        <v>328</v>
      </c>
      <c r="C1006" t="s">
        <v>1101</v>
      </c>
      <c r="D1006" t="s">
        <v>15</v>
      </c>
      <c r="E1006" s="46">
        <v>1335</v>
      </c>
      <c r="F1006" s="46">
        <v>1164.76</v>
      </c>
      <c r="G1006" s="46">
        <v>170.24</v>
      </c>
      <c r="H1006" s="46">
        <v>14.62</v>
      </c>
      <c r="I1006" t="s">
        <v>81</v>
      </c>
    </row>
    <row r="1007" spans="1:9" x14ac:dyDescent="0.25">
      <c r="A1007" t="s">
        <v>1063</v>
      </c>
      <c r="B1007" t="s">
        <v>328</v>
      </c>
      <c r="C1007" t="s">
        <v>1102</v>
      </c>
      <c r="D1007" t="s">
        <v>15</v>
      </c>
      <c r="E1007" s="46">
        <v>1335</v>
      </c>
      <c r="F1007" s="46">
        <v>1164.76</v>
      </c>
      <c r="G1007" s="46">
        <v>170.24</v>
      </c>
      <c r="H1007" s="46">
        <v>14.62</v>
      </c>
      <c r="I1007" t="s">
        <v>81</v>
      </c>
    </row>
    <row r="1008" spans="1:9" x14ac:dyDescent="0.25">
      <c r="A1008" t="s">
        <v>1063</v>
      </c>
      <c r="B1008" t="s">
        <v>328</v>
      </c>
      <c r="C1008" t="s">
        <v>1103</v>
      </c>
      <c r="D1008" t="s">
        <v>15</v>
      </c>
      <c r="E1008" s="46">
        <v>1335</v>
      </c>
      <c r="F1008" s="46">
        <v>1164.76</v>
      </c>
      <c r="G1008" s="46">
        <v>170.24</v>
      </c>
      <c r="H1008" s="46">
        <v>14.62</v>
      </c>
      <c r="I1008" t="s">
        <v>81</v>
      </c>
    </row>
    <row r="1009" spans="1:9" x14ac:dyDescent="0.25">
      <c r="A1009" t="s">
        <v>1063</v>
      </c>
      <c r="B1009" t="s">
        <v>328</v>
      </c>
      <c r="C1009" t="s">
        <v>1104</v>
      </c>
      <c r="D1009" t="s">
        <v>15</v>
      </c>
      <c r="E1009" s="46">
        <v>1335</v>
      </c>
      <c r="F1009" s="46">
        <v>1164.76</v>
      </c>
      <c r="G1009" s="46">
        <v>170.24</v>
      </c>
      <c r="H1009" s="46">
        <v>14.62</v>
      </c>
      <c r="I1009" t="s">
        <v>81</v>
      </c>
    </row>
    <row r="1010" spans="1:9" x14ac:dyDescent="0.25">
      <c r="A1010" t="s">
        <v>1063</v>
      </c>
      <c r="B1010" t="s">
        <v>328</v>
      </c>
      <c r="C1010" t="s">
        <v>1105</v>
      </c>
      <c r="D1010" t="s">
        <v>15</v>
      </c>
      <c r="E1010" s="46">
        <v>1335</v>
      </c>
      <c r="F1010" s="46">
        <v>1164.76</v>
      </c>
      <c r="G1010" s="46">
        <v>170.24</v>
      </c>
      <c r="H1010" s="46">
        <v>14.62</v>
      </c>
      <c r="I1010" t="s">
        <v>81</v>
      </c>
    </row>
    <row r="1011" spans="1:9" x14ac:dyDescent="0.25">
      <c r="A1011" t="s">
        <v>1063</v>
      </c>
      <c r="B1011" t="s">
        <v>328</v>
      </c>
      <c r="C1011" t="s">
        <v>1106</v>
      </c>
      <c r="D1011" t="s">
        <v>15</v>
      </c>
      <c r="E1011" s="46">
        <v>1335</v>
      </c>
      <c r="F1011" s="46">
        <v>1164.76</v>
      </c>
      <c r="G1011" s="46">
        <v>170.24</v>
      </c>
      <c r="H1011" s="46">
        <v>14.62</v>
      </c>
      <c r="I1011" t="s">
        <v>81</v>
      </c>
    </row>
    <row r="1012" spans="1:9" x14ac:dyDescent="0.25">
      <c r="A1012" t="s">
        <v>1063</v>
      </c>
      <c r="B1012" t="s">
        <v>328</v>
      </c>
      <c r="C1012" t="s">
        <v>1107</v>
      </c>
      <c r="D1012" t="s">
        <v>15</v>
      </c>
      <c r="E1012" s="46">
        <v>1335</v>
      </c>
      <c r="F1012" s="46">
        <v>1164.76</v>
      </c>
      <c r="G1012" s="46">
        <v>170.24</v>
      </c>
      <c r="H1012" s="46">
        <v>14.62</v>
      </c>
      <c r="I1012" t="s">
        <v>81</v>
      </c>
    </row>
    <row r="1013" spans="1:9" x14ac:dyDescent="0.25">
      <c r="A1013" t="s">
        <v>1063</v>
      </c>
      <c r="B1013" t="s">
        <v>328</v>
      </c>
      <c r="C1013" t="s">
        <v>1108</v>
      </c>
      <c r="D1013" t="s">
        <v>15</v>
      </c>
      <c r="E1013" s="46">
        <v>1335</v>
      </c>
      <c r="F1013" s="46">
        <v>1164.76</v>
      </c>
      <c r="G1013" s="46">
        <v>170.24</v>
      </c>
      <c r="H1013" s="46">
        <v>14.62</v>
      </c>
      <c r="I1013" t="s">
        <v>81</v>
      </c>
    </row>
    <row r="1014" spans="1:9" x14ac:dyDescent="0.25">
      <c r="A1014" t="s">
        <v>1063</v>
      </c>
      <c r="B1014" t="s">
        <v>328</v>
      </c>
      <c r="C1014" t="s">
        <v>1109</v>
      </c>
      <c r="D1014" t="s">
        <v>15</v>
      </c>
      <c r="E1014" s="46">
        <v>1335</v>
      </c>
      <c r="F1014" s="46">
        <v>1164.76</v>
      </c>
      <c r="G1014" s="46">
        <v>170.24</v>
      </c>
      <c r="H1014" s="46">
        <v>14.62</v>
      </c>
      <c r="I1014" t="s">
        <v>81</v>
      </c>
    </row>
    <row r="1015" spans="1:9" x14ac:dyDescent="0.25">
      <c r="A1015" t="s">
        <v>1063</v>
      </c>
      <c r="B1015" t="s">
        <v>328</v>
      </c>
      <c r="C1015" t="s">
        <v>1110</v>
      </c>
      <c r="D1015" t="s">
        <v>15</v>
      </c>
      <c r="E1015" s="46">
        <v>1335</v>
      </c>
      <c r="F1015" s="46">
        <v>1164.76</v>
      </c>
      <c r="G1015" s="46">
        <v>170.24</v>
      </c>
      <c r="H1015" s="46">
        <v>14.62</v>
      </c>
      <c r="I1015" t="s">
        <v>81</v>
      </c>
    </row>
    <row r="1016" spans="1:9" x14ac:dyDescent="0.25">
      <c r="A1016" t="s">
        <v>1063</v>
      </c>
      <c r="B1016" t="s">
        <v>328</v>
      </c>
      <c r="C1016" t="s">
        <v>1111</v>
      </c>
      <c r="D1016" t="s">
        <v>15</v>
      </c>
      <c r="E1016" s="46">
        <v>1335</v>
      </c>
      <c r="F1016" s="46">
        <v>1164.76</v>
      </c>
      <c r="G1016" s="46">
        <v>170.24</v>
      </c>
      <c r="H1016" s="46">
        <v>14.62</v>
      </c>
      <c r="I1016" t="s">
        <v>81</v>
      </c>
    </row>
    <row r="1017" spans="1:9" x14ac:dyDescent="0.25">
      <c r="A1017" t="s">
        <v>1063</v>
      </c>
      <c r="B1017" t="s">
        <v>328</v>
      </c>
      <c r="C1017" t="s">
        <v>1112</v>
      </c>
      <c r="D1017" t="s">
        <v>15</v>
      </c>
      <c r="E1017" s="46">
        <v>1335</v>
      </c>
      <c r="F1017" s="46">
        <v>1164.76</v>
      </c>
      <c r="G1017" s="46">
        <v>170.24</v>
      </c>
      <c r="H1017" s="46">
        <v>14.62</v>
      </c>
      <c r="I1017" t="s">
        <v>81</v>
      </c>
    </row>
    <row r="1018" spans="1:9" x14ac:dyDescent="0.25">
      <c r="A1018" t="s">
        <v>1063</v>
      </c>
      <c r="B1018" t="s">
        <v>328</v>
      </c>
      <c r="C1018" t="s">
        <v>1113</v>
      </c>
      <c r="D1018" t="s">
        <v>15</v>
      </c>
      <c r="E1018" s="46">
        <v>1335</v>
      </c>
      <c r="F1018" s="46">
        <v>1164.76</v>
      </c>
      <c r="G1018" s="46">
        <v>170.24</v>
      </c>
      <c r="H1018" s="46">
        <v>14.62</v>
      </c>
      <c r="I1018" t="s">
        <v>81</v>
      </c>
    </row>
    <row r="1019" spans="1:9" x14ac:dyDescent="0.25">
      <c r="A1019" t="s">
        <v>1063</v>
      </c>
      <c r="B1019" t="s">
        <v>328</v>
      </c>
      <c r="C1019" t="s">
        <v>1114</v>
      </c>
      <c r="D1019" t="s">
        <v>15</v>
      </c>
      <c r="E1019" s="46">
        <v>1335</v>
      </c>
      <c r="F1019" s="46">
        <v>1164.76</v>
      </c>
      <c r="G1019" s="46">
        <v>170.24</v>
      </c>
      <c r="H1019" s="46">
        <v>14.62</v>
      </c>
      <c r="I1019" t="s">
        <v>81</v>
      </c>
    </row>
    <row r="1020" spans="1:9" x14ac:dyDescent="0.25">
      <c r="A1020" t="s">
        <v>1063</v>
      </c>
      <c r="B1020" t="s">
        <v>328</v>
      </c>
      <c r="C1020" t="s">
        <v>1115</v>
      </c>
      <c r="D1020" t="s">
        <v>15</v>
      </c>
      <c r="E1020" s="46">
        <v>1335</v>
      </c>
      <c r="F1020" s="46">
        <v>1164.76</v>
      </c>
      <c r="G1020" s="46">
        <v>170.24</v>
      </c>
      <c r="H1020" s="46">
        <v>14.62</v>
      </c>
      <c r="I1020" t="s">
        <v>81</v>
      </c>
    </row>
    <row r="1021" spans="1:9" x14ac:dyDescent="0.25">
      <c r="A1021" t="s">
        <v>1063</v>
      </c>
      <c r="B1021" t="s">
        <v>328</v>
      </c>
      <c r="C1021" t="s">
        <v>1116</v>
      </c>
      <c r="D1021" t="s">
        <v>15</v>
      </c>
      <c r="E1021" s="46">
        <v>1335</v>
      </c>
      <c r="F1021" s="46">
        <v>1164.76</v>
      </c>
      <c r="G1021" s="46">
        <v>170.24</v>
      </c>
      <c r="H1021" s="46">
        <v>14.62</v>
      </c>
      <c r="I1021" t="s">
        <v>81</v>
      </c>
    </row>
    <row r="1022" spans="1:9" x14ac:dyDescent="0.25">
      <c r="A1022" t="s">
        <v>1063</v>
      </c>
      <c r="B1022" t="s">
        <v>328</v>
      </c>
      <c r="C1022" t="s">
        <v>1117</v>
      </c>
      <c r="D1022" t="s">
        <v>15</v>
      </c>
      <c r="E1022" s="46">
        <v>1335</v>
      </c>
      <c r="F1022" s="46">
        <v>1164.76</v>
      </c>
      <c r="G1022" s="46">
        <v>170.24</v>
      </c>
      <c r="H1022" s="46">
        <v>14.62</v>
      </c>
      <c r="I1022" t="s">
        <v>81</v>
      </c>
    </row>
    <row r="1023" spans="1:9" x14ac:dyDescent="0.25">
      <c r="A1023" t="s">
        <v>1063</v>
      </c>
      <c r="B1023" t="s">
        <v>328</v>
      </c>
      <c r="C1023" t="s">
        <v>1118</v>
      </c>
      <c r="D1023" t="s">
        <v>15</v>
      </c>
      <c r="E1023" s="46">
        <v>1335</v>
      </c>
      <c r="F1023" s="46">
        <v>1164.76</v>
      </c>
      <c r="G1023" s="46">
        <v>170.24</v>
      </c>
      <c r="H1023" s="46">
        <v>14.62</v>
      </c>
      <c r="I1023" t="s">
        <v>81</v>
      </c>
    </row>
    <row r="1024" spans="1:9" x14ac:dyDescent="0.25">
      <c r="A1024" t="s">
        <v>1063</v>
      </c>
      <c r="B1024" t="s">
        <v>328</v>
      </c>
      <c r="C1024" t="s">
        <v>1119</v>
      </c>
      <c r="D1024" t="s">
        <v>15</v>
      </c>
      <c r="E1024" s="46">
        <v>1335</v>
      </c>
      <c r="F1024" s="46">
        <v>1164.76</v>
      </c>
      <c r="G1024" s="46">
        <v>170.24</v>
      </c>
      <c r="H1024" s="46">
        <v>14.62</v>
      </c>
      <c r="I1024" t="s">
        <v>81</v>
      </c>
    </row>
    <row r="1025" spans="1:9" x14ac:dyDescent="0.25">
      <c r="A1025" t="s">
        <v>1063</v>
      </c>
      <c r="B1025" t="s">
        <v>328</v>
      </c>
      <c r="C1025" t="s">
        <v>1120</v>
      </c>
      <c r="D1025" t="s">
        <v>15</v>
      </c>
      <c r="E1025" s="46">
        <v>1335</v>
      </c>
      <c r="F1025" s="46">
        <v>1164.76</v>
      </c>
      <c r="G1025" s="46">
        <v>170.24</v>
      </c>
      <c r="H1025" s="46">
        <v>14.62</v>
      </c>
      <c r="I1025" t="s">
        <v>81</v>
      </c>
    </row>
    <row r="1026" spans="1:9" x14ac:dyDescent="0.25">
      <c r="A1026" t="s">
        <v>1063</v>
      </c>
      <c r="B1026" t="s">
        <v>328</v>
      </c>
      <c r="C1026" t="s">
        <v>1121</v>
      </c>
      <c r="D1026" t="s">
        <v>15</v>
      </c>
      <c r="E1026" s="46">
        <v>1335</v>
      </c>
      <c r="F1026" s="46">
        <v>1164.76</v>
      </c>
      <c r="G1026" s="46">
        <v>170.24</v>
      </c>
      <c r="H1026" s="46">
        <v>14.62</v>
      </c>
      <c r="I1026" t="s">
        <v>81</v>
      </c>
    </row>
    <row r="1027" spans="1:9" x14ac:dyDescent="0.25">
      <c r="A1027" t="s">
        <v>1063</v>
      </c>
      <c r="B1027" t="s">
        <v>328</v>
      </c>
      <c r="C1027" t="s">
        <v>1122</v>
      </c>
      <c r="D1027" t="s">
        <v>15</v>
      </c>
      <c r="E1027" s="46">
        <v>1335</v>
      </c>
      <c r="F1027" s="46">
        <v>1164.76</v>
      </c>
      <c r="G1027" s="46">
        <v>170.24</v>
      </c>
      <c r="H1027" s="46">
        <v>14.62</v>
      </c>
      <c r="I1027" t="s">
        <v>81</v>
      </c>
    </row>
    <row r="1028" spans="1:9" x14ac:dyDescent="0.25">
      <c r="A1028" t="s">
        <v>1063</v>
      </c>
      <c r="B1028" t="s">
        <v>328</v>
      </c>
      <c r="C1028" t="s">
        <v>1123</v>
      </c>
      <c r="D1028" t="s">
        <v>15</v>
      </c>
      <c r="E1028" s="46">
        <v>1335</v>
      </c>
      <c r="F1028" s="46">
        <v>1164.76</v>
      </c>
      <c r="G1028" s="46">
        <v>170.24</v>
      </c>
      <c r="H1028" s="46">
        <v>14.62</v>
      </c>
      <c r="I1028" t="s">
        <v>81</v>
      </c>
    </row>
    <row r="1029" spans="1:9" x14ac:dyDescent="0.25">
      <c r="A1029" t="s">
        <v>1063</v>
      </c>
      <c r="B1029" t="s">
        <v>328</v>
      </c>
      <c r="C1029" t="s">
        <v>1124</v>
      </c>
      <c r="D1029" t="s">
        <v>15</v>
      </c>
      <c r="E1029" s="46">
        <v>1335</v>
      </c>
      <c r="F1029" s="46">
        <v>1164.76</v>
      </c>
      <c r="G1029" s="46">
        <v>170.24</v>
      </c>
      <c r="H1029" s="46">
        <v>14.62</v>
      </c>
      <c r="I1029" t="s">
        <v>81</v>
      </c>
    </row>
    <row r="1030" spans="1:9" x14ac:dyDescent="0.25">
      <c r="A1030" t="s">
        <v>1063</v>
      </c>
      <c r="B1030" t="s">
        <v>328</v>
      </c>
      <c r="C1030" t="s">
        <v>1125</v>
      </c>
      <c r="D1030" t="s">
        <v>15</v>
      </c>
      <c r="E1030" s="46">
        <v>1335</v>
      </c>
      <c r="F1030" s="46">
        <v>1164.76</v>
      </c>
      <c r="G1030" s="46">
        <v>170.24</v>
      </c>
      <c r="H1030" s="46">
        <v>14.62</v>
      </c>
      <c r="I1030" t="s">
        <v>81</v>
      </c>
    </row>
    <row r="1031" spans="1:9" x14ac:dyDescent="0.25">
      <c r="A1031" t="s">
        <v>1063</v>
      </c>
      <c r="B1031" t="s">
        <v>328</v>
      </c>
      <c r="C1031" t="s">
        <v>1126</v>
      </c>
      <c r="D1031" t="s">
        <v>15</v>
      </c>
      <c r="E1031" s="46">
        <v>1335</v>
      </c>
      <c r="F1031" s="46">
        <v>1164.76</v>
      </c>
      <c r="G1031" s="46">
        <v>170.24</v>
      </c>
      <c r="H1031" s="46">
        <v>14.62</v>
      </c>
      <c r="I1031" t="s">
        <v>81</v>
      </c>
    </row>
    <row r="1032" spans="1:9" x14ac:dyDescent="0.25">
      <c r="A1032" t="s">
        <v>1063</v>
      </c>
      <c r="B1032" t="s">
        <v>328</v>
      </c>
      <c r="C1032" t="s">
        <v>1127</v>
      </c>
      <c r="D1032" t="s">
        <v>15</v>
      </c>
      <c r="E1032" s="46">
        <v>1335</v>
      </c>
      <c r="F1032" s="46">
        <v>1164.76</v>
      </c>
      <c r="G1032" s="46">
        <v>170.24</v>
      </c>
      <c r="H1032" s="46">
        <v>14.62</v>
      </c>
      <c r="I1032" t="s">
        <v>81</v>
      </c>
    </row>
    <row r="1033" spans="1:9" x14ac:dyDescent="0.25">
      <c r="A1033" t="s">
        <v>1063</v>
      </c>
      <c r="B1033" t="s">
        <v>328</v>
      </c>
      <c r="C1033" t="s">
        <v>1128</v>
      </c>
      <c r="D1033" t="s">
        <v>15</v>
      </c>
      <c r="E1033" s="46">
        <v>1335</v>
      </c>
      <c r="F1033" s="46">
        <v>1164.76</v>
      </c>
      <c r="G1033" s="46">
        <v>170.24</v>
      </c>
      <c r="H1033" s="46">
        <v>14.62</v>
      </c>
      <c r="I1033" t="s">
        <v>81</v>
      </c>
    </row>
    <row r="1034" spans="1:9" x14ac:dyDescent="0.25">
      <c r="A1034" t="s">
        <v>1063</v>
      </c>
      <c r="B1034" t="s">
        <v>328</v>
      </c>
      <c r="C1034" t="s">
        <v>1129</v>
      </c>
      <c r="D1034" t="s">
        <v>15</v>
      </c>
      <c r="E1034" s="46">
        <v>1335</v>
      </c>
      <c r="F1034" s="46">
        <v>1164.76</v>
      </c>
      <c r="G1034" s="46">
        <v>170.24</v>
      </c>
      <c r="H1034" s="46">
        <v>14.62</v>
      </c>
      <c r="I1034" t="s">
        <v>81</v>
      </c>
    </row>
    <row r="1035" spans="1:9" x14ac:dyDescent="0.25">
      <c r="A1035" t="s">
        <v>1063</v>
      </c>
      <c r="B1035" t="s">
        <v>328</v>
      </c>
      <c r="C1035" t="s">
        <v>1130</v>
      </c>
      <c r="D1035" t="s">
        <v>15</v>
      </c>
      <c r="E1035" s="46">
        <v>1335</v>
      </c>
      <c r="F1035" s="46">
        <v>1164.76</v>
      </c>
      <c r="G1035" s="46">
        <v>170.24</v>
      </c>
      <c r="H1035" s="46">
        <v>14.62</v>
      </c>
      <c r="I1035" t="s">
        <v>81</v>
      </c>
    </row>
    <row r="1036" spans="1:9" x14ac:dyDescent="0.25">
      <c r="A1036" t="s">
        <v>1063</v>
      </c>
      <c r="B1036" t="s">
        <v>328</v>
      </c>
      <c r="C1036" t="s">
        <v>1131</v>
      </c>
      <c r="D1036" t="s">
        <v>15</v>
      </c>
      <c r="E1036" s="46">
        <v>1330</v>
      </c>
      <c r="F1036" s="46">
        <v>1164.76</v>
      </c>
      <c r="G1036" s="46">
        <v>165.24</v>
      </c>
      <c r="H1036" s="46">
        <v>14.19</v>
      </c>
      <c r="I1036" t="s">
        <v>81</v>
      </c>
    </row>
    <row r="1037" spans="1:9" x14ac:dyDescent="0.25">
      <c r="A1037" t="s">
        <v>1063</v>
      </c>
      <c r="B1037" t="s">
        <v>328</v>
      </c>
      <c r="C1037" t="s">
        <v>1132</v>
      </c>
      <c r="D1037" t="s">
        <v>15</v>
      </c>
      <c r="E1037" s="46">
        <v>1330</v>
      </c>
      <c r="F1037" s="46">
        <v>1164.76</v>
      </c>
      <c r="G1037" s="46">
        <v>165.24</v>
      </c>
      <c r="H1037" s="46">
        <v>14.19</v>
      </c>
      <c r="I1037" t="s">
        <v>81</v>
      </c>
    </row>
    <row r="1038" spans="1:9" x14ac:dyDescent="0.25">
      <c r="A1038" t="s">
        <v>1063</v>
      </c>
      <c r="B1038" t="s">
        <v>328</v>
      </c>
      <c r="C1038" t="s">
        <v>1133</v>
      </c>
      <c r="D1038" t="s">
        <v>15</v>
      </c>
      <c r="E1038" s="46">
        <v>1330</v>
      </c>
      <c r="F1038" s="46">
        <v>1164.76</v>
      </c>
      <c r="G1038" s="46">
        <v>165.24</v>
      </c>
      <c r="H1038" s="46">
        <v>14.19</v>
      </c>
      <c r="I1038" t="s">
        <v>81</v>
      </c>
    </row>
    <row r="1039" spans="1:9" x14ac:dyDescent="0.25">
      <c r="A1039" t="s">
        <v>1063</v>
      </c>
      <c r="B1039" t="s">
        <v>328</v>
      </c>
      <c r="C1039" t="s">
        <v>1134</v>
      </c>
      <c r="D1039" t="s">
        <v>15</v>
      </c>
      <c r="E1039" s="46">
        <v>1330</v>
      </c>
      <c r="F1039" s="46">
        <v>1164.76</v>
      </c>
      <c r="G1039" s="46">
        <v>165.24</v>
      </c>
      <c r="H1039" s="46">
        <v>14.19</v>
      </c>
      <c r="I1039" t="s">
        <v>81</v>
      </c>
    </row>
    <row r="1040" spans="1:9" x14ac:dyDescent="0.25">
      <c r="A1040" t="s">
        <v>1063</v>
      </c>
      <c r="B1040" t="s">
        <v>328</v>
      </c>
      <c r="C1040" t="s">
        <v>1135</v>
      </c>
      <c r="D1040" t="s">
        <v>15</v>
      </c>
      <c r="E1040" s="46">
        <v>1330</v>
      </c>
      <c r="F1040" s="46">
        <v>1164.76</v>
      </c>
      <c r="G1040" s="46">
        <v>165.24</v>
      </c>
      <c r="H1040" s="46">
        <v>14.19</v>
      </c>
      <c r="I1040" t="s">
        <v>81</v>
      </c>
    </row>
    <row r="1041" spans="1:9" x14ac:dyDescent="0.25">
      <c r="A1041" t="s">
        <v>1063</v>
      </c>
      <c r="B1041" t="s">
        <v>328</v>
      </c>
      <c r="C1041" t="s">
        <v>1136</v>
      </c>
      <c r="D1041" t="s">
        <v>15</v>
      </c>
      <c r="E1041" s="46">
        <v>1330</v>
      </c>
      <c r="F1041" s="46">
        <v>1164.76</v>
      </c>
      <c r="G1041" s="46">
        <v>165.24</v>
      </c>
      <c r="H1041" s="46">
        <v>14.19</v>
      </c>
      <c r="I1041" t="s">
        <v>81</v>
      </c>
    </row>
    <row r="1042" spans="1:9" x14ac:dyDescent="0.25">
      <c r="A1042" t="s">
        <v>1063</v>
      </c>
      <c r="B1042" t="s">
        <v>328</v>
      </c>
      <c r="C1042" t="s">
        <v>1137</v>
      </c>
      <c r="D1042" t="s">
        <v>15</v>
      </c>
      <c r="E1042" s="46">
        <v>1330</v>
      </c>
      <c r="F1042" s="46">
        <v>1164.76</v>
      </c>
      <c r="G1042" s="46">
        <v>165.24</v>
      </c>
      <c r="H1042" s="46">
        <v>14.19</v>
      </c>
      <c r="I1042" t="s">
        <v>81</v>
      </c>
    </row>
    <row r="1043" spans="1:9" x14ac:dyDescent="0.25">
      <c r="A1043" t="s">
        <v>1063</v>
      </c>
      <c r="B1043" t="s">
        <v>328</v>
      </c>
      <c r="C1043" t="s">
        <v>1138</v>
      </c>
      <c r="D1043" t="s">
        <v>15</v>
      </c>
      <c r="E1043" s="46">
        <v>1330</v>
      </c>
      <c r="F1043" s="46">
        <v>1164.76</v>
      </c>
      <c r="G1043" s="46">
        <v>165.24</v>
      </c>
      <c r="H1043" s="46">
        <v>14.19</v>
      </c>
      <c r="I1043" t="s">
        <v>81</v>
      </c>
    </row>
    <row r="1044" spans="1:9" x14ac:dyDescent="0.25">
      <c r="A1044" t="s">
        <v>1063</v>
      </c>
      <c r="B1044" t="s">
        <v>328</v>
      </c>
      <c r="C1044" t="s">
        <v>1139</v>
      </c>
      <c r="D1044" t="s">
        <v>15</v>
      </c>
      <c r="E1044" s="46">
        <v>1330</v>
      </c>
      <c r="F1044" s="46">
        <v>1164.76</v>
      </c>
      <c r="G1044" s="46">
        <v>165.24</v>
      </c>
      <c r="H1044" s="46">
        <v>14.19</v>
      </c>
      <c r="I1044" t="s">
        <v>81</v>
      </c>
    </row>
    <row r="1045" spans="1:9" x14ac:dyDescent="0.25">
      <c r="A1045" t="s">
        <v>1063</v>
      </c>
      <c r="B1045" t="s">
        <v>328</v>
      </c>
      <c r="C1045" t="s">
        <v>1140</v>
      </c>
      <c r="D1045" t="s">
        <v>15</v>
      </c>
      <c r="E1045" s="46">
        <v>1330</v>
      </c>
      <c r="F1045" s="46">
        <v>1164.76</v>
      </c>
      <c r="G1045" s="46">
        <v>165.24</v>
      </c>
      <c r="H1045" s="46">
        <v>14.19</v>
      </c>
      <c r="I1045" t="s">
        <v>81</v>
      </c>
    </row>
    <row r="1046" spans="1:9" x14ac:dyDescent="0.25">
      <c r="A1046" t="s">
        <v>1063</v>
      </c>
      <c r="B1046" t="s">
        <v>328</v>
      </c>
      <c r="C1046" t="s">
        <v>1141</v>
      </c>
      <c r="D1046" t="s">
        <v>15</v>
      </c>
      <c r="E1046" s="46">
        <v>1330</v>
      </c>
      <c r="F1046" s="46">
        <v>1164.76</v>
      </c>
      <c r="G1046" s="46">
        <v>165.24</v>
      </c>
      <c r="H1046" s="46">
        <v>14.19</v>
      </c>
      <c r="I1046" t="s">
        <v>81</v>
      </c>
    </row>
    <row r="1047" spans="1:9" x14ac:dyDescent="0.25">
      <c r="A1047" t="s">
        <v>1063</v>
      </c>
      <c r="B1047" t="s">
        <v>328</v>
      </c>
      <c r="C1047" t="s">
        <v>1142</v>
      </c>
      <c r="D1047" t="s">
        <v>15</v>
      </c>
      <c r="E1047" s="46">
        <v>1330</v>
      </c>
      <c r="F1047" s="46">
        <v>1164.76</v>
      </c>
      <c r="G1047" s="46">
        <v>165.24</v>
      </c>
      <c r="H1047" s="46">
        <v>14.19</v>
      </c>
      <c r="I1047" t="s">
        <v>81</v>
      </c>
    </row>
    <row r="1048" spans="1:9" x14ac:dyDescent="0.25">
      <c r="A1048" t="s">
        <v>1063</v>
      </c>
      <c r="B1048" t="s">
        <v>328</v>
      </c>
      <c r="C1048" t="s">
        <v>1143</v>
      </c>
      <c r="D1048" t="s">
        <v>15</v>
      </c>
      <c r="E1048" s="46">
        <v>1330</v>
      </c>
      <c r="F1048" s="46">
        <v>1164.76</v>
      </c>
      <c r="G1048" s="46">
        <v>165.24</v>
      </c>
      <c r="H1048" s="46">
        <v>14.19</v>
      </c>
      <c r="I1048" t="s">
        <v>81</v>
      </c>
    </row>
    <row r="1049" spans="1:9" x14ac:dyDescent="0.25">
      <c r="A1049" t="s">
        <v>1063</v>
      </c>
      <c r="B1049" t="s">
        <v>328</v>
      </c>
      <c r="C1049" t="s">
        <v>1144</v>
      </c>
      <c r="D1049" t="s">
        <v>15</v>
      </c>
      <c r="E1049" s="46">
        <v>1330</v>
      </c>
      <c r="F1049" s="46">
        <v>1164.76</v>
      </c>
      <c r="G1049" s="46">
        <v>165.24</v>
      </c>
      <c r="H1049" s="46">
        <v>14.19</v>
      </c>
      <c r="I1049" t="s">
        <v>81</v>
      </c>
    </row>
    <row r="1050" spans="1:9" x14ac:dyDescent="0.25">
      <c r="A1050" t="s">
        <v>1063</v>
      </c>
      <c r="B1050" t="s">
        <v>328</v>
      </c>
      <c r="C1050" t="s">
        <v>1145</v>
      </c>
      <c r="D1050" t="s">
        <v>15</v>
      </c>
      <c r="E1050" s="46">
        <v>1330</v>
      </c>
      <c r="F1050" s="46">
        <v>1164.76</v>
      </c>
      <c r="G1050" s="46">
        <v>165.24</v>
      </c>
      <c r="H1050" s="46">
        <v>14.19</v>
      </c>
      <c r="I1050" t="s">
        <v>81</v>
      </c>
    </row>
    <row r="1051" spans="1:9" x14ac:dyDescent="0.25">
      <c r="A1051" t="s">
        <v>1146</v>
      </c>
      <c r="B1051" t="s">
        <v>1147</v>
      </c>
      <c r="C1051" t="s">
        <v>1148</v>
      </c>
      <c r="D1051" t="s">
        <v>1149</v>
      </c>
      <c r="E1051" s="46">
        <v>830</v>
      </c>
      <c r="F1051" s="46">
        <v>800</v>
      </c>
      <c r="G1051" s="46">
        <v>30</v>
      </c>
      <c r="H1051" s="46">
        <v>3.75</v>
      </c>
      <c r="I1051" t="s">
        <v>29</v>
      </c>
    </row>
    <row r="1052" spans="1:9" x14ac:dyDescent="0.25">
      <c r="A1052" t="s">
        <v>1146</v>
      </c>
      <c r="B1052" t="s">
        <v>43</v>
      </c>
      <c r="C1052" t="s">
        <v>1150</v>
      </c>
      <c r="D1052" t="s">
        <v>1151</v>
      </c>
      <c r="E1052" s="46">
        <v>2500</v>
      </c>
      <c r="F1052" s="46">
        <v>2380</v>
      </c>
      <c r="G1052" s="46">
        <v>120</v>
      </c>
      <c r="H1052" s="46">
        <v>5.04</v>
      </c>
      <c r="I1052" t="s">
        <v>29</v>
      </c>
    </row>
    <row r="1053" spans="1:9" x14ac:dyDescent="0.25">
      <c r="A1053" t="s">
        <v>1146</v>
      </c>
      <c r="B1053" t="s">
        <v>43</v>
      </c>
      <c r="C1053" t="s">
        <v>1152</v>
      </c>
      <c r="D1053" t="s">
        <v>1153</v>
      </c>
      <c r="E1053" s="46">
        <v>2500</v>
      </c>
      <c r="F1053" s="46">
        <v>2380</v>
      </c>
      <c r="G1053" s="46">
        <v>120</v>
      </c>
      <c r="H1053" s="46">
        <v>5.04</v>
      </c>
      <c r="I1053" t="s">
        <v>29</v>
      </c>
    </row>
    <row r="1054" spans="1:9" x14ac:dyDescent="0.25">
      <c r="A1054" t="s">
        <v>1146</v>
      </c>
      <c r="B1054" t="s">
        <v>43</v>
      </c>
      <c r="C1054" t="s">
        <v>1154</v>
      </c>
      <c r="D1054" t="s">
        <v>1153</v>
      </c>
      <c r="E1054" s="46">
        <v>2500</v>
      </c>
      <c r="F1054" s="46">
        <v>2380</v>
      </c>
      <c r="G1054" s="46">
        <v>120</v>
      </c>
      <c r="H1054" s="46">
        <v>5.04</v>
      </c>
      <c r="I1054" t="s">
        <v>29</v>
      </c>
    </row>
    <row r="1055" spans="1:9" x14ac:dyDescent="0.25">
      <c r="A1055" t="s">
        <v>1146</v>
      </c>
      <c r="B1055" t="s">
        <v>43</v>
      </c>
      <c r="C1055" t="s">
        <v>1155</v>
      </c>
      <c r="D1055" t="s">
        <v>1153</v>
      </c>
      <c r="E1055" s="46">
        <v>2500</v>
      </c>
      <c r="F1055" s="46">
        <v>2380</v>
      </c>
      <c r="G1055" s="46">
        <v>120</v>
      </c>
      <c r="H1055" s="46">
        <v>5.04</v>
      </c>
      <c r="I1055" t="s">
        <v>29</v>
      </c>
    </row>
    <row r="1056" spans="1:9" x14ac:dyDescent="0.25">
      <c r="A1056" t="s">
        <v>1146</v>
      </c>
      <c r="B1056" t="s">
        <v>43</v>
      </c>
      <c r="C1056" t="s">
        <v>1156</v>
      </c>
      <c r="D1056" t="s">
        <v>1157</v>
      </c>
      <c r="E1056" s="46">
        <v>2500</v>
      </c>
      <c r="F1056" s="46">
        <v>2380</v>
      </c>
      <c r="G1056" s="46">
        <v>120</v>
      </c>
      <c r="H1056" s="46">
        <v>5.04</v>
      </c>
      <c r="I1056" t="s">
        <v>29</v>
      </c>
    </row>
    <row r="1057" spans="1:9" x14ac:dyDescent="0.25">
      <c r="A1057" t="s">
        <v>1146</v>
      </c>
      <c r="B1057" t="s">
        <v>43</v>
      </c>
      <c r="C1057" t="s">
        <v>1158</v>
      </c>
      <c r="D1057" t="s">
        <v>1151</v>
      </c>
      <c r="E1057" s="46">
        <v>2500</v>
      </c>
      <c r="F1057" s="46">
        <v>2380</v>
      </c>
      <c r="G1057" s="46">
        <v>120</v>
      </c>
      <c r="H1057" s="46">
        <v>5.04</v>
      </c>
      <c r="I1057" t="s">
        <v>29</v>
      </c>
    </row>
    <row r="1058" spans="1:9" x14ac:dyDescent="0.25">
      <c r="A1058" t="s">
        <v>1146</v>
      </c>
      <c r="B1058" t="s">
        <v>43</v>
      </c>
      <c r="C1058" t="s">
        <v>1159</v>
      </c>
      <c r="D1058" t="s">
        <v>1151</v>
      </c>
      <c r="E1058" s="46">
        <v>2500</v>
      </c>
      <c r="F1058" s="46">
        <v>2380</v>
      </c>
      <c r="G1058" s="46">
        <v>120</v>
      </c>
      <c r="H1058" s="46">
        <v>5.04</v>
      </c>
      <c r="I1058" t="s">
        <v>29</v>
      </c>
    </row>
    <row r="1059" spans="1:9" x14ac:dyDescent="0.25">
      <c r="A1059" t="s">
        <v>1146</v>
      </c>
      <c r="B1059" t="s">
        <v>43</v>
      </c>
      <c r="C1059" t="s">
        <v>1160</v>
      </c>
      <c r="D1059" t="s">
        <v>1161</v>
      </c>
      <c r="E1059" s="46">
        <v>2510</v>
      </c>
      <c r="F1059" s="46">
        <v>2380</v>
      </c>
      <c r="G1059" s="46">
        <v>130</v>
      </c>
      <c r="H1059" s="46">
        <v>5.46</v>
      </c>
      <c r="I1059" t="s">
        <v>29</v>
      </c>
    </row>
    <row r="1060" spans="1:9" x14ac:dyDescent="0.25">
      <c r="A1060" t="s">
        <v>1146</v>
      </c>
      <c r="B1060" t="s">
        <v>43</v>
      </c>
      <c r="C1060" t="s">
        <v>1162</v>
      </c>
      <c r="D1060" t="s">
        <v>1161</v>
      </c>
      <c r="E1060" s="46">
        <v>2510</v>
      </c>
      <c r="F1060" s="46">
        <v>2380</v>
      </c>
      <c r="G1060" s="46">
        <v>130</v>
      </c>
      <c r="H1060" s="46">
        <v>5.46</v>
      </c>
      <c r="I1060" t="s">
        <v>29</v>
      </c>
    </row>
    <row r="1061" spans="1:9" x14ac:dyDescent="0.25">
      <c r="A1061" t="s">
        <v>1146</v>
      </c>
      <c r="B1061" t="s">
        <v>43</v>
      </c>
      <c r="C1061" t="s">
        <v>1163</v>
      </c>
      <c r="D1061" t="s">
        <v>1161</v>
      </c>
      <c r="E1061" s="46">
        <v>2510</v>
      </c>
      <c r="F1061" s="46">
        <v>2380</v>
      </c>
      <c r="G1061" s="46">
        <v>130</v>
      </c>
      <c r="H1061" s="46">
        <v>5.46</v>
      </c>
      <c r="I1061" t="s">
        <v>29</v>
      </c>
    </row>
    <row r="1062" spans="1:9" x14ac:dyDescent="0.25">
      <c r="A1062" t="s">
        <v>1146</v>
      </c>
      <c r="B1062" t="s">
        <v>43</v>
      </c>
      <c r="C1062" t="s">
        <v>1164</v>
      </c>
      <c r="D1062" t="s">
        <v>1153</v>
      </c>
      <c r="E1062" s="46">
        <v>2500</v>
      </c>
      <c r="F1062" s="46">
        <v>2380</v>
      </c>
      <c r="G1062" s="46">
        <v>120</v>
      </c>
      <c r="H1062" s="46">
        <v>5.04</v>
      </c>
      <c r="I1062" t="s">
        <v>29</v>
      </c>
    </row>
    <row r="1063" spans="1:9" x14ac:dyDescent="0.25">
      <c r="A1063" s="2" t="s">
        <v>1146</v>
      </c>
      <c r="B1063" s="2" t="s">
        <v>1000</v>
      </c>
      <c r="C1063" s="2" t="s">
        <v>1165</v>
      </c>
      <c r="D1063" s="2" t="s">
        <v>15</v>
      </c>
      <c r="E1063" s="59">
        <v>1150</v>
      </c>
      <c r="F1063" s="59">
        <v>1314.3</v>
      </c>
      <c r="G1063" s="59">
        <v>-164.3</v>
      </c>
      <c r="H1063" s="59">
        <v>-12.5</v>
      </c>
      <c r="I1063" s="2" t="s">
        <v>16</v>
      </c>
    </row>
    <row r="1064" spans="1:9" x14ac:dyDescent="0.25">
      <c r="A1064" s="2" t="s">
        <v>1146</v>
      </c>
      <c r="B1064" s="2" t="s">
        <v>206</v>
      </c>
      <c r="C1064" s="2" t="s">
        <v>1166</v>
      </c>
      <c r="D1064" s="2" t="s">
        <v>646</v>
      </c>
      <c r="E1064" s="59">
        <v>2550</v>
      </c>
      <c r="F1064" s="59">
        <v>2856</v>
      </c>
      <c r="G1064" s="59">
        <v>-306</v>
      </c>
      <c r="H1064" s="59">
        <v>-10.71</v>
      </c>
      <c r="I1064" s="2" t="s">
        <v>23</v>
      </c>
    </row>
    <row r="1065" spans="1:9" x14ac:dyDescent="0.25">
      <c r="A1065" t="s">
        <v>1146</v>
      </c>
      <c r="B1065" t="s">
        <v>33</v>
      </c>
      <c r="C1065" t="s">
        <v>1167</v>
      </c>
      <c r="D1065" t="s">
        <v>644</v>
      </c>
      <c r="E1065" s="46">
        <v>4440</v>
      </c>
      <c r="F1065" s="46">
        <v>4212.6000000000004</v>
      </c>
      <c r="G1065" s="46">
        <v>227.4</v>
      </c>
      <c r="H1065" s="46">
        <v>5.4</v>
      </c>
      <c r="I1065" t="s">
        <v>23</v>
      </c>
    </row>
    <row r="1066" spans="1:9" x14ac:dyDescent="0.25">
      <c r="A1066" t="s">
        <v>1146</v>
      </c>
      <c r="B1066" t="s">
        <v>33</v>
      </c>
      <c r="C1066" t="s">
        <v>1168</v>
      </c>
      <c r="D1066" t="s">
        <v>644</v>
      </c>
      <c r="E1066" s="46">
        <v>4440</v>
      </c>
      <c r="F1066" s="46">
        <v>4212.6000000000004</v>
      </c>
      <c r="G1066" s="46">
        <v>227.4</v>
      </c>
      <c r="H1066" s="46">
        <v>5.4</v>
      </c>
      <c r="I1066" t="s">
        <v>23</v>
      </c>
    </row>
    <row r="1067" spans="1:9" x14ac:dyDescent="0.25">
      <c r="A1067" t="s">
        <v>1146</v>
      </c>
      <c r="B1067" t="s">
        <v>33</v>
      </c>
      <c r="C1067" t="s">
        <v>1169</v>
      </c>
      <c r="D1067" t="s">
        <v>644</v>
      </c>
      <c r="E1067" s="46">
        <v>5050</v>
      </c>
      <c r="F1067" s="46">
        <v>4881.29</v>
      </c>
      <c r="G1067" s="46">
        <v>168.71</v>
      </c>
      <c r="H1067" s="46">
        <v>3.46</v>
      </c>
      <c r="I1067" t="s">
        <v>81</v>
      </c>
    </row>
    <row r="1068" spans="1:9" x14ac:dyDescent="0.25">
      <c r="A1068" t="s">
        <v>1146</v>
      </c>
      <c r="B1068" t="s">
        <v>33</v>
      </c>
      <c r="C1068" t="s">
        <v>1170</v>
      </c>
      <c r="D1068" t="s">
        <v>644</v>
      </c>
      <c r="E1068" s="46">
        <v>5050</v>
      </c>
      <c r="F1068" s="46">
        <v>4881.29</v>
      </c>
      <c r="G1068" s="46">
        <v>168.71</v>
      </c>
      <c r="H1068" s="46">
        <v>3.46</v>
      </c>
      <c r="I1068" t="s">
        <v>81</v>
      </c>
    </row>
    <row r="1069" spans="1:9" x14ac:dyDescent="0.25">
      <c r="A1069" t="s">
        <v>1146</v>
      </c>
      <c r="B1069" t="s">
        <v>33</v>
      </c>
      <c r="C1069" t="s">
        <v>1171</v>
      </c>
      <c r="D1069" t="s">
        <v>644</v>
      </c>
      <c r="E1069" s="46">
        <v>5050</v>
      </c>
      <c r="F1069" s="46">
        <v>4803.87</v>
      </c>
      <c r="G1069" s="46">
        <v>246.13</v>
      </c>
      <c r="H1069" s="46">
        <v>5.12</v>
      </c>
      <c r="I1069" t="s">
        <v>81</v>
      </c>
    </row>
    <row r="1070" spans="1:9" x14ac:dyDescent="0.25">
      <c r="A1070" t="s">
        <v>1146</v>
      </c>
      <c r="B1070" t="s">
        <v>33</v>
      </c>
      <c r="C1070" t="s">
        <v>1172</v>
      </c>
      <c r="D1070" t="s">
        <v>644</v>
      </c>
      <c r="E1070" s="46">
        <v>5050</v>
      </c>
      <c r="F1070" s="46">
        <v>4881.29</v>
      </c>
      <c r="G1070" s="46">
        <v>168.71</v>
      </c>
      <c r="H1070" s="46">
        <v>3.46</v>
      </c>
      <c r="I1070" t="s">
        <v>81</v>
      </c>
    </row>
    <row r="1071" spans="1:9" x14ac:dyDescent="0.25">
      <c r="A1071" t="s">
        <v>1146</v>
      </c>
      <c r="B1071" t="s">
        <v>33</v>
      </c>
      <c r="C1071" t="s">
        <v>1173</v>
      </c>
      <c r="D1071" t="s">
        <v>644</v>
      </c>
      <c r="E1071" s="46">
        <v>5050</v>
      </c>
      <c r="F1071" s="46">
        <v>4881.29</v>
      </c>
      <c r="G1071" s="46">
        <v>168.71</v>
      </c>
      <c r="H1071" s="46">
        <v>3.46</v>
      </c>
      <c r="I1071" t="s">
        <v>81</v>
      </c>
    </row>
    <row r="1072" spans="1:9" x14ac:dyDescent="0.25">
      <c r="A1072" t="s">
        <v>1146</v>
      </c>
      <c r="B1072" t="s">
        <v>33</v>
      </c>
      <c r="C1072" t="s">
        <v>1174</v>
      </c>
      <c r="D1072" t="s">
        <v>644</v>
      </c>
      <c r="E1072" s="46">
        <v>5050</v>
      </c>
      <c r="F1072" s="46">
        <v>4881.29</v>
      </c>
      <c r="G1072" s="46">
        <v>168.71</v>
      </c>
      <c r="H1072" s="46">
        <v>3.46</v>
      </c>
      <c r="I1072" t="s">
        <v>81</v>
      </c>
    </row>
    <row r="1073" spans="1:9" x14ac:dyDescent="0.25">
      <c r="A1073" t="s">
        <v>1146</v>
      </c>
      <c r="B1073" t="s">
        <v>33</v>
      </c>
      <c r="C1073" t="s">
        <v>1175</v>
      </c>
      <c r="D1073" t="s">
        <v>644</v>
      </c>
      <c r="E1073" s="46">
        <v>5050</v>
      </c>
      <c r="F1073" s="46">
        <v>4881.29</v>
      </c>
      <c r="G1073" s="46">
        <v>168.71</v>
      </c>
      <c r="H1073" s="46">
        <v>3.46</v>
      </c>
      <c r="I1073" t="s">
        <v>81</v>
      </c>
    </row>
    <row r="1074" spans="1:9" x14ac:dyDescent="0.25">
      <c r="A1074" t="s">
        <v>1146</v>
      </c>
      <c r="B1074" t="s">
        <v>33</v>
      </c>
      <c r="C1074" t="s">
        <v>1176</v>
      </c>
      <c r="D1074" t="s">
        <v>644</v>
      </c>
      <c r="E1074" s="46">
        <v>5050</v>
      </c>
      <c r="F1074" s="46">
        <v>4803.87</v>
      </c>
      <c r="G1074" s="46">
        <v>246.13</v>
      </c>
      <c r="H1074" s="46">
        <v>5.12</v>
      </c>
      <c r="I1074" t="s">
        <v>81</v>
      </c>
    </row>
    <row r="1075" spans="1:9" x14ac:dyDescent="0.25">
      <c r="A1075" t="s">
        <v>1146</v>
      </c>
      <c r="B1075" t="s">
        <v>33</v>
      </c>
      <c r="C1075" t="s">
        <v>1177</v>
      </c>
      <c r="D1075" t="s">
        <v>644</v>
      </c>
      <c r="E1075" s="46">
        <v>5050</v>
      </c>
      <c r="F1075" s="46">
        <v>4881.29</v>
      </c>
      <c r="G1075" s="46">
        <v>168.71</v>
      </c>
      <c r="H1075" s="46">
        <v>3.46</v>
      </c>
      <c r="I1075" t="s">
        <v>81</v>
      </c>
    </row>
    <row r="1076" spans="1:9" x14ac:dyDescent="0.25">
      <c r="A1076" t="s">
        <v>1146</v>
      </c>
      <c r="B1076" t="s">
        <v>33</v>
      </c>
      <c r="C1076" t="s">
        <v>1178</v>
      </c>
      <c r="D1076" t="s">
        <v>644</v>
      </c>
      <c r="E1076" s="46">
        <v>5050</v>
      </c>
      <c r="F1076" s="46">
        <v>4881.29</v>
      </c>
      <c r="G1076" s="46">
        <v>168.71</v>
      </c>
      <c r="H1076" s="46">
        <v>3.46</v>
      </c>
      <c r="I1076" t="s">
        <v>81</v>
      </c>
    </row>
    <row r="1077" spans="1:9" x14ac:dyDescent="0.25">
      <c r="A1077" t="s">
        <v>1146</v>
      </c>
      <c r="B1077" t="s">
        <v>33</v>
      </c>
      <c r="C1077" t="s">
        <v>1179</v>
      </c>
      <c r="D1077" t="s">
        <v>644</v>
      </c>
      <c r="E1077" s="46">
        <v>5050</v>
      </c>
      <c r="F1077" s="46">
        <v>4881.29</v>
      </c>
      <c r="G1077" s="46">
        <v>168.71</v>
      </c>
      <c r="H1077" s="46">
        <v>3.46</v>
      </c>
      <c r="I1077" t="s">
        <v>81</v>
      </c>
    </row>
    <row r="1078" spans="1:9" x14ac:dyDescent="0.25">
      <c r="A1078" t="s">
        <v>1146</v>
      </c>
      <c r="B1078" t="s">
        <v>33</v>
      </c>
      <c r="C1078" t="s">
        <v>1180</v>
      </c>
      <c r="D1078" t="s">
        <v>644</v>
      </c>
      <c r="E1078" s="46">
        <v>5025</v>
      </c>
      <c r="F1078" s="46">
        <v>4881.29</v>
      </c>
      <c r="G1078" s="46">
        <v>143.71</v>
      </c>
      <c r="H1078" s="46">
        <v>2.94</v>
      </c>
      <c r="I1078" t="s">
        <v>81</v>
      </c>
    </row>
    <row r="1079" spans="1:9" x14ac:dyDescent="0.25">
      <c r="A1079" t="s">
        <v>1146</v>
      </c>
      <c r="B1079" t="s">
        <v>33</v>
      </c>
      <c r="C1079" t="s">
        <v>1181</v>
      </c>
      <c r="D1079" t="s">
        <v>644</v>
      </c>
      <c r="E1079" s="46">
        <v>4440</v>
      </c>
      <c r="F1079" s="46">
        <v>4212.6000000000004</v>
      </c>
      <c r="G1079" s="46">
        <v>227.4</v>
      </c>
      <c r="H1079" s="46">
        <v>5.4</v>
      </c>
      <c r="I1079" t="s">
        <v>23</v>
      </c>
    </row>
    <row r="1080" spans="1:9" x14ac:dyDescent="0.25">
      <c r="A1080" t="s">
        <v>1146</v>
      </c>
      <c r="B1080" t="s">
        <v>33</v>
      </c>
      <c r="C1080" t="s">
        <v>1182</v>
      </c>
      <c r="D1080" t="s">
        <v>644</v>
      </c>
      <c r="E1080" s="46">
        <v>4440</v>
      </c>
      <c r="F1080" s="46">
        <v>4212.6000000000004</v>
      </c>
      <c r="G1080" s="46">
        <v>227.4</v>
      </c>
      <c r="H1080" s="46">
        <v>5.4</v>
      </c>
      <c r="I1080" t="s">
        <v>23</v>
      </c>
    </row>
    <row r="1081" spans="1:9" x14ac:dyDescent="0.25">
      <c r="A1081" t="s">
        <v>1146</v>
      </c>
      <c r="B1081" t="s">
        <v>33</v>
      </c>
      <c r="C1081" t="s">
        <v>1183</v>
      </c>
      <c r="D1081" t="s">
        <v>644</v>
      </c>
      <c r="E1081" s="46">
        <v>4440</v>
      </c>
      <c r="F1081" s="46">
        <v>4212.6000000000004</v>
      </c>
      <c r="G1081" s="46">
        <v>227.4</v>
      </c>
      <c r="H1081" s="46">
        <v>5.4</v>
      </c>
      <c r="I1081" t="s">
        <v>23</v>
      </c>
    </row>
    <row r="1082" spans="1:9" x14ac:dyDescent="0.25">
      <c r="A1082" t="s">
        <v>1146</v>
      </c>
      <c r="B1082" t="s">
        <v>33</v>
      </c>
      <c r="C1082" t="s">
        <v>1184</v>
      </c>
      <c r="D1082" t="s">
        <v>644</v>
      </c>
      <c r="E1082" s="46">
        <v>4440</v>
      </c>
      <c r="F1082" s="46">
        <v>4212.6000000000004</v>
      </c>
      <c r="G1082" s="46">
        <v>227.4</v>
      </c>
      <c r="H1082" s="46">
        <v>5.4</v>
      </c>
      <c r="I1082" t="s">
        <v>23</v>
      </c>
    </row>
    <row r="1083" spans="1:9" x14ac:dyDescent="0.25">
      <c r="A1083" t="s">
        <v>1146</v>
      </c>
      <c r="B1083" t="s">
        <v>33</v>
      </c>
      <c r="C1083" t="s">
        <v>1185</v>
      </c>
      <c r="D1083" t="s">
        <v>644</v>
      </c>
      <c r="E1083" s="46">
        <v>4440</v>
      </c>
      <c r="F1083" s="46">
        <v>4212.6000000000004</v>
      </c>
      <c r="G1083" s="46">
        <v>227.4</v>
      </c>
      <c r="H1083" s="46">
        <v>5.4</v>
      </c>
      <c r="I1083" t="s">
        <v>23</v>
      </c>
    </row>
    <row r="1084" spans="1:9" x14ac:dyDescent="0.25">
      <c r="A1084" t="s">
        <v>1146</v>
      </c>
      <c r="B1084" t="s">
        <v>33</v>
      </c>
      <c r="C1084" t="s">
        <v>1186</v>
      </c>
      <c r="D1084" t="s">
        <v>644</v>
      </c>
      <c r="E1084" s="46">
        <v>5025</v>
      </c>
      <c r="F1084" s="46">
        <v>4980.42</v>
      </c>
      <c r="G1084" s="46">
        <v>44.58</v>
      </c>
      <c r="H1084" s="46">
        <v>0.9</v>
      </c>
      <c r="I1084" t="s">
        <v>81</v>
      </c>
    </row>
    <row r="1085" spans="1:9" x14ac:dyDescent="0.25">
      <c r="A1085" t="s">
        <v>1146</v>
      </c>
      <c r="B1085" t="s">
        <v>33</v>
      </c>
      <c r="C1085" t="s">
        <v>1187</v>
      </c>
      <c r="D1085" t="s">
        <v>644</v>
      </c>
      <c r="E1085" s="46">
        <v>5025</v>
      </c>
      <c r="F1085" s="46">
        <v>4803.87</v>
      </c>
      <c r="G1085" s="46">
        <v>221.13</v>
      </c>
      <c r="H1085" s="46">
        <v>4.5999999999999996</v>
      </c>
      <c r="I1085" t="s">
        <v>81</v>
      </c>
    </row>
    <row r="1086" spans="1:9" x14ac:dyDescent="0.25">
      <c r="A1086" t="s">
        <v>1146</v>
      </c>
      <c r="B1086" t="s">
        <v>33</v>
      </c>
      <c r="C1086" t="s">
        <v>1188</v>
      </c>
      <c r="D1086" t="s">
        <v>644</v>
      </c>
      <c r="E1086" s="46">
        <v>5025</v>
      </c>
      <c r="F1086" s="46">
        <v>4881.29</v>
      </c>
      <c r="G1086" s="46">
        <v>143.71</v>
      </c>
      <c r="H1086" s="46">
        <v>2.94</v>
      </c>
      <c r="I1086" t="s">
        <v>81</v>
      </c>
    </row>
    <row r="1087" spans="1:9" x14ac:dyDescent="0.25">
      <c r="A1087" t="s">
        <v>1146</v>
      </c>
      <c r="B1087" t="s">
        <v>33</v>
      </c>
      <c r="C1087" t="s">
        <v>1189</v>
      </c>
      <c r="D1087" t="s">
        <v>644</v>
      </c>
      <c r="E1087" s="46">
        <v>5025</v>
      </c>
      <c r="F1087" s="46">
        <v>4881.29</v>
      </c>
      <c r="G1087" s="46">
        <v>143.71</v>
      </c>
      <c r="H1087" s="46">
        <v>2.94</v>
      </c>
      <c r="I1087" t="s">
        <v>81</v>
      </c>
    </row>
    <row r="1088" spans="1:9" x14ac:dyDescent="0.25">
      <c r="A1088" t="s">
        <v>1146</v>
      </c>
      <c r="B1088" t="s">
        <v>33</v>
      </c>
      <c r="C1088" t="s">
        <v>1190</v>
      </c>
      <c r="D1088" t="s">
        <v>644</v>
      </c>
      <c r="E1088" s="46">
        <v>5025</v>
      </c>
      <c r="F1088" s="46">
        <v>4803.87</v>
      </c>
      <c r="G1088" s="46">
        <v>221.13</v>
      </c>
      <c r="H1088" s="46">
        <v>4.5999999999999996</v>
      </c>
      <c r="I1088" t="s">
        <v>81</v>
      </c>
    </row>
    <row r="1089" spans="1:9" x14ac:dyDescent="0.25">
      <c r="A1089" t="s">
        <v>1146</v>
      </c>
      <c r="B1089" t="s">
        <v>33</v>
      </c>
      <c r="C1089" t="s">
        <v>1191</v>
      </c>
      <c r="D1089" t="s">
        <v>644</v>
      </c>
      <c r="E1089" s="46">
        <v>5025</v>
      </c>
      <c r="F1089" s="46">
        <v>4881.29</v>
      </c>
      <c r="G1089" s="46">
        <v>143.71</v>
      </c>
      <c r="H1089" s="46">
        <v>2.94</v>
      </c>
      <c r="I1089" t="s">
        <v>81</v>
      </c>
    </row>
    <row r="1090" spans="1:9" x14ac:dyDescent="0.25">
      <c r="A1090" t="s">
        <v>1146</v>
      </c>
      <c r="B1090" t="s">
        <v>33</v>
      </c>
      <c r="C1090" t="s">
        <v>1192</v>
      </c>
      <c r="D1090" t="s">
        <v>644</v>
      </c>
      <c r="E1090" s="46">
        <v>5050</v>
      </c>
      <c r="F1090" s="46">
        <v>4803.87</v>
      </c>
      <c r="G1090" s="46">
        <v>246.13</v>
      </c>
      <c r="H1090" s="46">
        <v>5.12</v>
      </c>
      <c r="I1090" t="s">
        <v>81</v>
      </c>
    </row>
    <row r="1091" spans="1:9" x14ac:dyDescent="0.25">
      <c r="A1091" t="s">
        <v>1146</v>
      </c>
      <c r="B1091" t="s">
        <v>33</v>
      </c>
      <c r="C1091" t="s">
        <v>1193</v>
      </c>
      <c r="D1091" t="s">
        <v>644</v>
      </c>
      <c r="E1091" s="46">
        <v>5050</v>
      </c>
      <c r="F1091" s="46">
        <v>4803.87</v>
      </c>
      <c r="G1091" s="46">
        <v>246.13</v>
      </c>
      <c r="H1091" s="46">
        <v>5.12</v>
      </c>
      <c r="I1091" t="s">
        <v>81</v>
      </c>
    </row>
    <row r="1092" spans="1:9" x14ac:dyDescent="0.25">
      <c r="A1092" t="s">
        <v>1146</v>
      </c>
      <c r="B1092" t="s">
        <v>33</v>
      </c>
      <c r="C1092" t="s">
        <v>1194</v>
      </c>
      <c r="D1092" t="s">
        <v>644</v>
      </c>
      <c r="E1092" s="46">
        <v>5050</v>
      </c>
      <c r="F1092" s="46">
        <v>4803.87</v>
      </c>
      <c r="G1092" s="46">
        <v>246.13</v>
      </c>
      <c r="H1092" s="46">
        <v>5.12</v>
      </c>
      <c r="I1092" t="s">
        <v>81</v>
      </c>
    </row>
    <row r="1093" spans="1:9" x14ac:dyDescent="0.25">
      <c r="A1093" t="s">
        <v>1146</v>
      </c>
      <c r="B1093" t="s">
        <v>33</v>
      </c>
      <c r="C1093" t="s">
        <v>1195</v>
      </c>
      <c r="D1093" t="s">
        <v>644</v>
      </c>
      <c r="E1093" s="46">
        <v>5050</v>
      </c>
      <c r="F1093" s="46">
        <v>4803.87</v>
      </c>
      <c r="G1093" s="46">
        <v>246.13</v>
      </c>
      <c r="H1093" s="46">
        <v>5.12</v>
      </c>
      <c r="I1093" t="s">
        <v>81</v>
      </c>
    </row>
    <row r="1094" spans="1:9" x14ac:dyDescent="0.25">
      <c r="A1094" t="s">
        <v>1146</v>
      </c>
      <c r="B1094" t="s">
        <v>33</v>
      </c>
      <c r="C1094" t="s">
        <v>1196</v>
      </c>
      <c r="D1094" t="s">
        <v>644</v>
      </c>
      <c r="E1094" s="46">
        <v>5050</v>
      </c>
      <c r="F1094" s="46">
        <v>4881.29</v>
      </c>
      <c r="G1094" s="46">
        <v>168.71</v>
      </c>
      <c r="H1094" s="46">
        <v>3.46</v>
      </c>
      <c r="I1094" t="s">
        <v>81</v>
      </c>
    </row>
    <row r="1095" spans="1:9" x14ac:dyDescent="0.25">
      <c r="A1095" t="s">
        <v>1146</v>
      </c>
      <c r="B1095" t="s">
        <v>33</v>
      </c>
      <c r="C1095" t="s">
        <v>1197</v>
      </c>
      <c r="D1095" t="s">
        <v>644</v>
      </c>
      <c r="E1095" s="46">
        <v>5050</v>
      </c>
      <c r="F1095" s="46">
        <v>4881.29</v>
      </c>
      <c r="G1095" s="46">
        <v>168.71</v>
      </c>
      <c r="H1095" s="46">
        <v>3.46</v>
      </c>
      <c r="I1095" t="s">
        <v>81</v>
      </c>
    </row>
    <row r="1096" spans="1:9" x14ac:dyDescent="0.25">
      <c r="A1096" t="s">
        <v>1146</v>
      </c>
      <c r="B1096" t="s">
        <v>33</v>
      </c>
      <c r="C1096" t="s">
        <v>1198</v>
      </c>
      <c r="D1096" t="s">
        <v>644</v>
      </c>
      <c r="E1096" s="46">
        <v>5050</v>
      </c>
      <c r="F1096" s="46">
        <v>4803.87</v>
      </c>
      <c r="G1096" s="46">
        <v>246.13</v>
      </c>
      <c r="H1096" s="46">
        <v>5.12</v>
      </c>
      <c r="I1096" t="s">
        <v>81</v>
      </c>
    </row>
    <row r="1097" spans="1:9" x14ac:dyDescent="0.25">
      <c r="A1097" t="s">
        <v>1146</v>
      </c>
      <c r="B1097" t="s">
        <v>33</v>
      </c>
      <c r="C1097" t="s">
        <v>1199</v>
      </c>
      <c r="D1097" t="s">
        <v>644</v>
      </c>
      <c r="E1097" s="46">
        <v>5050</v>
      </c>
      <c r="F1097" s="46">
        <v>4881.29</v>
      </c>
      <c r="G1097" s="46">
        <v>168.71</v>
      </c>
      <c r="H1097" s="46">
        <v>3.46</v>
      </c>
      <c r="I1097" t="s">
        <v>81</v>
      </c>
    </row>
    <row r="1098" spans="1:9" x14ac:dyDescent="0.25">
      <c r="A1098" t="s">
        <v>1146</v>
      </c>
      <c r="B1098" t="s">
        <v>33</v>
      </c>
      <c r="C1098" t="s">
        <v>1200</v>
      </c>
      <c r="D1098" t="s">
        <v>644</v>
      </c>
      <c r="E1098" s="46">
        <v>5050</v>
      </c>
      <c r="F1098" s="46">
        <v>4881.29</v>
      </c>
      <c r="G1098" s="46">
        <v>168.71</v>
      </c>
      <c r="H1098" s="46">
        <v>3.46</v>
      </c>
      <c r="I1098" t="s">
        <v>81</v>
      </c>
    </row>
    <row r="1099" spans="1:9" x14ac:dyDescent="0.25">
      <c r="A1099" t="s">
        <v>1146</v>
      </c>
      <c r="B1099" t="s">
        <v>33</v>
      </c>
      <c r="C1099" t="s">
        <v>1201</v>
      </c>
      <c r="D1099" t="s">
        <v>644</v>
      </c>
      <c r="E1099" s="46">
        <v>5050</v>
      </c>
      <c r="F1099" s="46">
        <v>4803.87</v>
      </c>
      <c r="G1099" s="46">
        <v>246.13</v>
      </c>
      <c r="H1099" s="46">
        <v>5.12</v>
      </c>
      <c r="I1099" t="s">
        <v>81</v>
      </c>
    </row>
    <row r="1100" spans="1:9" x14ac:dyDescent="0.25">
      <c r="A1100" t="s">
        <v>1146</v>
      </c>
      <c r="B1100" t="s">
        <v>33</v>
      </c>
      <c r="C1100" t="s">
        <v>1202</v>
      </c>
      <c r="D1100" t="s">
        <v>644</v>
      </c>
      <c r="E1100" s="46">
        <v>5050</v>
      </c>
      <c r="F1100" s="46">
        <v>4881.29</v>
      </c>
      <c r="G1100" s="46">
        <v>168.71</v>
      </c>
      <c r="H1100" s="46">
        <v>3.46</v>
      </c>
      <c r="I1100" t="s">
        <v>81</v>
      </c>
    </row>
    <row r="1101" spans="1:9" x14ac:dyDescent="0.25">
      <c r="A1101" t="s">
        <v>1146</v>
      </c>
      <c r="B1101" t="s">
        <v>33</v>
      </c>
      <c r="C1101" t="s">
        <v>1203</v>
      </c>
      <c r="D1101" t="s">
        <v>644</v>
      </c>
      <c r="E1101" s="46">
        <v>5050</v>
      </c>
      <c r="F1101" s="46">
        <v>4803.87</v>
      </c>
      <c r="G1101" s="46">
        <v>246.13</v>
      </c>
      <c r="H1101" s="46">
        <v>5.12</v>
      </c>
      <c r="I1101" t="s">
        <v>81</v>
      </c>
    </row>
    <row r="1102" spans="1:9" x14ac:dyDescent="0.25">
      <c r="A1102" t="s">
        <v>1146</v>
      </c>
      <c r="B1102" t="s">
        <v>33</v>
      </c>
      <c r="C1102" t="s">
        <v>1204</v>
      </c>
      <c r="D1102" t="s">
        <v>644</v>
      </c>
      <c r="E1102" s="46">
        <v>5050</v>
      </c>
      <c r="F1102" s="46">
        <v>4803.87</v>
      </c>
      <c r="G1102" s="46">
        <v>246.13</v>
      </c>
      <c r="H1102" s="46">
        <v>5.12</v>
      </c>
      <c r="I1102" t="s">
        <v>81</v>
      </c>
    </row>
    <row r="1103" spans="1:9" x14ac:dyDescent="0.25">
      <c r="A1103" t="s">
        <v>1146</v>
      </c>
      <c r="B1103" t="s">
        <v>33</v>
      </c>
      <c r="C1103" t="s">
        <v>1205</v>
      </c>
      <c r="D1103" t="s">
        <v>644</v>
      </c>
      <c r="E1103" s="46">
        <v>5050</v>
      </c>
      <c r="F1103" s="46">
        <v>4803.87</v>
      </c>
      <c r="G1103" s="46">
        <v>246.13</v>
      </c>
      <c r="H1103" s="46">
        <v>5.12</v>
      </c>
      <c r="I1103" t="s">
        <v>81</v>
      </c>
    </row>
    <row r="1104" spans="1:9" x14ac:dyDescent="0.25">
      <c r="A1104" t="s">
        <v>1146</v>
      </c>
      <c r="B1104" t="s">
        <v>33</v>
      </c>
      <c r="C1104" t="s">
        <v>1206</v>
      </c>
      <c r="D1104" t="s">
        <v>644</v>
      </c>
      <c r="E1104" s="46">
        <v>5050</v>
      </c>
      <c r="F1104" s="46">
        <v>4803.87</v>
      </c>
      <c r="G1104" s="46">
        <v>246.13</v>
      </c>
      <c r="H1104" s="46">
        <v>5.12</v>
      </c>
      <c r="I1104" t="s">
        <v>81</v>
      </c>
    </row>
    <row r="1105" spans="1:9" x14ac:dyDescent="0.25">
      <c r="A1105" t="s">
        <v>1146</v>
      </c>
      <c r="B1105" t="s">
        <v>33</v>
      </c>
      <c r="C1105" t="s">
        <v>1207</v>
      </c>
      <c r="D1105" t="s">
        <v>644</v>
      </c>
      <c r="E1105" s="46">
        <v>5025</v>
      </c>
      <c r="F1105" s="46">
        <v>4980.42</v>
      </c>
      <c r="G1105" s="46">
        <v>44.58</v>
      </c>
      <c r="H1105" s="46">
        <v>0.9</v>
      </c>
      <c r="I1105" t="s">
        <v>81</v>
      </c>
    </row>
    <row r="1106" spans="1:9" x14ac:dyDescent="0.25">
      <c r="A1106" t="s">
        <v>1146</v>
      </c>
      <c r="B1106" t="s">
        <v>33</v>
      </c>
      <c r="C1106" t="s">
        <v>1208</v>
      </c>
      <c r="D1106" t="s">
        <v>644</v>
      </c>
      <c r="E1106" s="46">
        <v>4440</v>
      </c>
      <c r="F1106" s="46">
        <v>4212.6000000000004</v>
      </c>
      <c r="G1106" s="46">
        <v>227.4</v>
      </c>
      <c r="H1106" s="46">
        <v>5.4</v>
      </c>
      <c r="I1106" t="s">
        <v>23</v>
      </c>
    </row>
    <row r="1107" spans="1:9" x14ac:dyDescent="0.25">
      <c r="A1107" t="s">
        <v>1146</v>
      </c>
      <c r="B1107" t="s">
        <v>33</v>
      </c>
      <c r="C1107" t="s">
        <v>1209</v>
      </c>
      <c r="D1107" t="s">
        <v>644</v>
      </c>
      <c r="E1107" s="46">
        <v>5050</v>
      </c>
      <c r="F1107" s="46">
        <v>4881.29</v>
      </c>
      <c r="G1107" s="46">
        <v>168.71</v>
      </c>
      <c r="H1107" s="46">
        <v>3.46</v>
      </c>
      <c r="I1107" t="s">
        <v>81</v>
      </c>
    </row>
    <row r="1108" spans="1:9" x14ac:dyDescent="0.25">
      <c r="A1108" t="s">
        <v>1146</v>
      </c>
      <c r="B1108" t="s">
        <v>33</v>
      </c>
      <c r="C1108" t="s">
        <v>1210</v>
      </c>
      <c r="D1108" t="s">
        <v>644</v>
      </c>
      <c r="E1108" s="46">
        <v>5050</v>
      </c>
      <c r="F1108" s="46">
        <v>4881.29</v>
      </c>
      <c r="G1108" s="46">
        <v>168.71</v>
      </c>
      <c r="H1108" s="46">
        <v>3.46</v>
      </c>
      <c r="I1108" t="s">
        <v>81</v>
      </c>
    </row>
    <row r="1109" spans="1:9" x14ac:dyDescent="0.25">
      <c r="A1109" t="s">
        <v>1146</v>
      </c>
      <c r="B1109" t="s">
        <v>33</v>
      </c>
      <c r="C1109" t="s">
        <v>1211</v>
      </c>
      <c r="D1109" t="s">
        <v>644</v>
      </c>
      <c r="E1109" s="46">
        <v>5050</v>
      </c>
      <c r="F1109" s="46">
        <v>4803.87</v>
      </c>
      <c r="G1109" s="46">
        <v>246.13</v>
      </c>
      <c r="H1109" s="46">
        <v>5.12</v>
      </c>
      <c r="I1109" t="s">
        <v>81</v>
      </c>
    </row>
    <row r="1110" spans="1:9" x14ac:dyDescent="0.25">
      <c r="A1110" t="s">
        <v>1146</v>
      </c>
      <c r="B1110" t="s">
        <v>33</v>
      </c>
      <c r="C1110" t="s">
        <v>1212</v>
      </c>
      <c r="D1110" t="s">
        <v>644</v>
      </c>
      <c r="E1110" s="46">
        <v>5050</v>
      </c>
      <c r="F1110" s="46">
        <v>4803.87</v>
      </c>
      <c r="G1110" s="46">
        <v>246.13</v>
      </c>
      <c r="H1110" s="46">
        <v>5.12</v>
      </c>
      <c r="I1110" t="s">
        <v>81</v>
      </c>
    </row>
    <row r="1111" spans="1:9" x14ac:dyDescent="0.25">
      <c r="A1111" t="s">
        <v>1146</v>
      </c>
      <c r="B1111" t="s">
        <v>33</v>
      </c>
      <c r="C1111" t="s">
        <v>1213</v>
      </c>
      <c r="D1111" t="s">
        <v>644</v>
      </c>
      <c r="E1111" s="46">
        <v>5050</v>
      </c>
      <c r="F1111" s="46">
        <v>4881.29</v>
      </c>
      <c r="G1111" s="46">
        <v>168.71</v>
      </c>
      <c r="H1111" s="46">
        <v>3.46</v>
      </c>
      <c r="I1111" t="s">
        <v>81</v>
      </c>
    </row>
    <row r="1112" spans="1:9" x14ac:dyDescent="0.25">
      <c r="A1112" t="s">
        <v>1146</v>
      </c>
      <c r="B1112" t="s">
        <v>33</v>
      </c>
      <c r="C1112" t="s">
        <v>1214</v>
      </c>
      <c r="D1112" t="s">
        <v>646</v>
      </c>
      <c r="E1112" s="46">
        <v>4000</v>
      </c>
      <c r="F1112" s="46">
        <v>3623.55</v>
      </c>
      <c r="G1112" s="46">
        <v>376.45</v>
      </c>
      <c r="H1112" s="46">
        <v>10.39</v>
      </c>
      <c r="I1112" t="s">
        <v>23</v>
      </c>
    </row>
    <row r="1113" spans="1:9" x14ac:dyDescent="0.25">
      <c r="A1113" t="s">
        <v>1146</v>
      </c>
      <c r="B1113" t="s">
        <v>33</v>
      </c>
      <c r="C1113" t="s">
        <v>1215</v>
      </c>
      <c r="D1113" t="s">
        <v>646</v>
      </c>
      <c r="E1113" s="46">
        <v>4000</v>
      </c>
      <c r="F1113" s="46">
        <v>3623.55</v>
      </c>
      <c r="G1113" s="46">
        <v>376.45</v>
      </c>
      <c r="H1113" s="46">
        <v>10.39</v>
      </c>
      <c r="I1113" t="s">
        <v>23</v>
      </c>
    </row>
    <row r="1114" spans="1:9" x14ac:dyDescent="0.25">
      <c r="A1114" t="s">
        <v>1146</v>
      </c>
      <c r="B1114" t="s">
        <v>33</v>
      </c>
      <c r="C1114" t="s">
        <v>1216</v>
      </c>
      <c r="D1114" t="s">
        <v>646</v>
      </c>
      <c r="E1114" s="46">
        <v>4000</v>
      </c>
      <c r="F1114" s="46">
        <v>3623.55</v>
      </c>
      <c r="G1114" s="46">
        <v>376.45</v>
      </c>
      <c r="H1114" s="46">
        <v>10.39</v>
      </c>
      <c r="I1114" t="s">
        <v>23</v>
      </c>
    </row>
    <row r="1115" spans="1:9" x14ac:dyDescent="0.25">
      <c r="A1115" t="s">
        <v>1146</v>
      </c>
      <c r="B1115" t="s">
        <v>33</v>
      </c>
      <c r="C1115" t="s">
        <v>1217</v>
      </c>
      <c r="D1115" t="s">
        <v>646</v>
      </c>
      <c r="E1115" s="46">
        <v>4000</v>
      </c>
      <c r="F1115" s="46">
        <v>3623.55</v>
      </c>
      <c r="G1115" s="46">
        <v>376.45</v>
      </c>
      <c r="H1115" s="46">
        <v>10.39</v>
      </c>
      <c r="I1115" t="s">
        <v>23</v>
      </c>
    </row>
    <row r="1116" spans="1:9" x14ac:dyDescent="0.25">
      <c r="A1116" t="s">
        <v>1146</v>
      </c>
      <c r="B1116" t="s">
        <v>33</v>
      </c>
      <c r="C1116" t="s">
        <v>1218</v>
      </c>
      <c r="D1116" t="s">
        <v>646</v>
      </c>
      <c r="E1116" s="46">
        <v>4000</v>
      </c>
      <c r="F1116" s="46">
        <v>3623.55</v>
      </c>
      <c r="G1116" s="46">
        <v>376.45</v>
      </c>
      <c r="H1116" s="46">
        <v>10.39</v>
      </c>
      <c r="I1116" t="s">
        <v>23</v>
      </c>
    </row>
    <row r="1117" spans="1:9" x14ac:dyDescent="0.25">
      <c r="A1117" t="s">
        <v>1146</v>
      </c>
      <c r="B1117" t="s">
        <v>33</v>
      </c>
      <c r="C1117" t="s">
        <v>1219</v>
      </c>
      <c r="D1117" t="s">
        <v>646</v>
      </c>
      <c r="E1117" s="46">
        <v>4000</v>
      </c>
      <c r="F1117" s="46">
        <v>3623.55</v>
      </c>
      <c r="G1117" s="46">
        <v>376.45</v>
      </c>
      <c r="H1117" s="46">
        <v>10.39</v>
      </c>
      <c r="I1117" t="s">
        <v>23</v>
      </c>
    </row>
    <row r="1118" spans="1:9" x14ac:dyDescent="0.25">
      <c r="A1118" t="s">
        <v>1146</v>
      </c>
      <c r="B1118" t="s">
        <v>33</v>
      </c>
      <c r="C1118" t="s">
        <v>1220</v>
      </c>
      <c r="D1118" t="s">
        <v>644</v>
      </c>
      <c r="E1118" s="46">
        <v>4570</v>
      </c>
      <c r="F1118" s="46">
        <v>4212.6000000000004</v>
      </c>
      <c r="G1118" s="46">
        <v>357.4</v>
      </c>
      <c r="H1118" s="46">
        <v>8.48</v>
      </c>
      <c r="I1118" t="s">
        <v>23</v>
      </c>
    </row>
    <row r="1119" spans="1:9" x14ac:dyDescent="0.25">
      <c r="A1119" t="s">
        <v>1146</v>
      </c>
      <c r="B1119" t="s">
        <v>33</v>
      </c>
      <c r="C1119" t="s">
        <v>1221</v>
      </c>
      <c r="D1119" t="s">
        <v>644</v>
      </c>
      <c r="E1119" s="46">
        <v>4570</v>
      </c>
      <c r="F1119" s="46">
        <v>4212.6000000000004</v>
      </c>
      <c r="G1119" s="46">
        <v>357.4</v>
      </c>
      <c r="H1119" s="46">
        <v>8.48</v>
      </c>
      <c r="I1119" t="s">
        <v>23</v>
      </c>
    </row>
    <row r="1120" spans="1:9" x14ac:dyDescent="0.25">
      <c r="A1120" t="s">
        <v>1146</v>
      </c>
      <c r="B1120" t="s">
        <v>33</v>
      </c>
      <c r="C1120" t="s">
        <v>1222</v>
      </c>
      <c r="D1120" t="s">
        <v>644</v>
      </c>
      <c r="E1120" s="46">
        <v>4570</v>
      </c>
      <c r="F1120" s="46">
        <v>4212.6000000000004</v>
      </c>
      <c r="G1120" s="46">
        <v>357.4</v>
      </c>
      <c r="H1120" s="46">
        <v>8.48</v>
      </c>
      <c r="I1120" t="s">
        <v>23</v>
      </c>
    </row>
    <row r="1121" spans="1:9" x14ac:dyDescent="0.25">
      <c r="A1121" t="s">
        <v>1146</v>
      </c>
      <c r="B1121" t="s">
        <v>33</v>
      </c>
      <c r="C1121" t="s">
        <v>1223</v>
      </c>
      <c r="D1121" t="s">
        <v>644</v>
      </c>
      <c r="E1121" s="46">
        <v>4440</v>
      </c>
      <c r="F1121" s="46">
        <v>4212.6000000000004</v>
      </c>
      <c r="G1121" s="46">
        <v>227.4</v>
      </c>
      <c r="H1121" s="46">
        <v>5.4</v>
      </c>
      <c r="I1121" t="s">
        <v>23</v>
      </c>
    </row>
    <row r="1122" spans="1:9" x14ac:dyDescent="0.25">
      <c r="A1122" t="s">
        <v>1146</v>
      </c>
      <c r="B1122" t="s">
        <v>33</v>
      </c>
      <c r="C1122" t="s">
        <v>1224</v>
      </c>
      <c r="D1122" t="s">
        <v>644</v>
      </c>
      <c r="E1122" s="46">
        <v>4440</v>
      </c>
      <c r="F1122" s="46">
        <v>4212.6000000000004</v>
      </c>
      <c r="G1122" s="46">
        <v>227.4</v>
      </c>
      <c r="H1122" s="46">
        <v>5.4</v>
      </c>
      <c r="I1122" t="s">
        <v>23</v>
      </c>
    </row>
    <row r="1123" spans="1:9" x14ac:dyDescent="0.25">
      <c r="A1123" t="s">
        <v>1146</v>
      </c>
      <c r="B1123" t="s">
        <v>328</v>
      </c>
      <c r="C1123" t="s">
        <v>1225</v>
      </c>
      <c r="D1123" t="s">
        <v>15</v>
      </c>
      <c r="E1123" s="46">
        <v>1330</v>
      </c>
      <c r="F1123" s="46">
        <v>1164.76</v>
      </c>
      <c r="G1123" s="46">
        <v>165.24</v>
      </c>
      <c r="H1123" s="46">
        <v>14.19</v>
      </c>
      <c r="I1123" t="s">
        <v>81</v>
      </c>
    </row>
    <row r="1124" spans="1:9" x14ac:dyDescent="0.25">
      <c r="A1124" t="s">
        <v>1146</v>
      </c>
      <c r="B1124" t="s">
        <v>328</v>
      </c>
      <c r="C1124" t="s">
        <v>1226</v>
      </c>
      <c r="D1124" t="s">
        <v>15</v>
      </c>
      <c r="E1124" s="46">
        <v>1330</v>
      </c>
      <c r="F1124" s="46">
        <v>1164.76</v>
      </c>
      <c r="G1124" s="46">
        <v>165.24</v>
      </c>
      <c r="H1124" s="46">
        <v>14.19</v>
      </c>
      <c r="I1124" t="s">
        <v>81</v>
      </c>
    </row>
    <row r="1125" spans="1:9" x14ac:dyDescent="0.25">
      <c r="A1125" t="s">
        <v>1146</v>
      </c>
      <c r="B1125" t="s">
        <v>328</v>
      </c>
      <c r="C1125" t="s">
        <v>1227</v>
      </c>
      <c r="D1125" t="s">
        <v>15</v>
      </c>
      <c r="E1125" s="46">
        <v>1330</v>
      </c>
      <c r="F1125" s="46">
        <v>1164.76</v>
      </c>
      <c r="G1125" s="46">
        <v>165.24</v>
      </c>
      <c r="H1125" s="46">
        <v>14.19</v>
      </c>
      <c r="I1125" t="s">
        <v>81</v>
      </c>
    </row>
    <row r="1126" spans="1:9" x14ac:dyDescent="0.25">
      <c r="A1126" t="s">
        <v>1146</v>
      </c>
      <c r="B1126" t="s">
        <v>328</v>
      </c>
      <c r="C1126" t="s">
        <v>1228</v>
      </c>
      <c r="D1126" t="s">
        <v>15</v>
      </c>
      <c r="E1126" s="46">
        <v>1330</v>
      </c>
      <c r="F1126" s="46">
        <v>1164.76</v>
      </c>
      <c r="G1126" s="46">
        <v>165.24</v>
      </c>
      <c r="H1126" s="46">
        <v>14.19</v>
      </c>
      <c r="I1126" t="s">
        <v>81</v>
      </c>
    </row>
    <row r="1127" spans="1:9" x14ac:dyDescent="0.25">
      <c r="A1127" t="s">
        <v>1146</v>
      </c>
      <c r="B1127" t="s">
        <v>328</v>
      </c>
      <c r="C1127" t="s">
        <v>1229</v>
      </c>
      <c r="D1127" t="s">
        <v>15</v>
      </c>
      <c r="E1127" s="46">
        <v>1330</v>
      </c>
      <c r="F1127" s="46">
        <v>1164.76</v>
      </c>
      <c r="G1127" s="46">
        <v>165.24</v>
      </c>
      <c r="H1127" s="46">
        <v>14.19</v>
      </c>
      <c r="I1127" t="s">
        <v>81</v>
      </c>
    </row>
    <row r="1128" spans="1:9" x14ac:dyDescent="0.25">
      <c r="A1128" t="s">
        <v>1146</v>
      </c>
      <c r="B1128" t="s">
        <v>328</v>
      </c>
      <c r="C1128" t="s">
        <v>1230</v>
      </c>
      <c r="D1128" t="s">
        <v>15</v>
      </c>
      <c r="E1128" s="46">
        <v>1330</v>
      </c>
      <c r="F1128" s="46">
        <v>1164.76</v>
      </c>
      <c r="G1128" s="46">
        <v>165.24</v>
      </c>
      <c r="H1128" s="46">
        <v>14.19</v>
      </c>
      <c r="I1128" t="s">
        <v>81</v>
      </c>
    </row>
    <row r="1129" spans="1:9" x14ac:dyDescent="0.25">
      <c r="A1129" t="s">
        <v>1146</v>
      </c>
      <c r="B1129" t="s">
        <v>328</v>
      </c>
      <c r="C1129" t="s">
        <v>1231</v>
      </c>
      <c r="D1129" t="s">
        <v>15</v>
      </c>
      <c r="E1129" s="46">
        <v>1330</v>
      </c>
      <c r="F1129" s="46">
        <v>1164.76</v>
      </c>
      <c r="G1129" s="46">
        <v>165.24</v>
      </c>
      <c r="H1129" s="46">
        <v>14.19</v>
      </c>
      <c r="I1129" t="s">
        <v>81</v>
      </c>
    </row>
    <row r="1130" spans="1:9" x14ac:dyDescent="0.25">
      <c r="A1130" t="s">
        <v>1146</v>
      </c>
      <c r="B1130" t="s">
        <v>328</v>
      </c>
      <c r="C1130" t="s">
        <v>1232</v>
      </c>
      <c r="D1130" t="s">
        <v>15</v>
      </c>
      <c r="E1130" s="46">
        <v>1330</v>
      </c>
      <c r="F1130" s="46">
        <v>1164.76</v>
      </c>
      <c r="G1130" s="46">
        <v>165.24</v>
      </c>
      <c r="H1130" s="46">
        <v>14.19</v>
      </c>
      <c r="I1130" t="s">
        <v>81</v>
      </c>
    </row>
    <row r="1131" spans="1:9" x14ac:dyDescent="0.25">
      <c r="A1131" t="s">
        <v>1146</v>
      </c>
      <c r="B1131" t="s">
        <v>328</v>
      </c>
      <c r="C1131" t="s">
        <v>1233</v>
      </c>
      <c r="D1131" t="s">
        <v>15</v>
      </c>
      <c r="E1131" s="46">
        <v>1330</v>
      </c>
      <c r="F1131" s="46">
        <v>1164.76</v>
      </c>
      <c r="G1131" s="46">
        <v>165.24</v>
      </c>
      <c r="H1131" s="46">
        <v>14.19</v>
      </c>
      <c r="I1131" t="s">
        <v>81</v>
      </c>
    </row>
    <row r="1132" spans="1:9" x14ac:dyDescent="0.25">
      <c r="A1132" t="s">
        <v>1146</v>
      </c>
      <c r="B1132" t="s">
        <v>328</v>
      </c>
      <c r="C1132" t="s">
        <v>1234</v>
      </c>
      <c r="D1132" t="s">
        <v>15</v>
      </c>
      <c r="E1132" s="46">
        <v>1330</v>
      </c>
      <c r="F1132" s="46">
        <v>1164.76</v>
      </c>
      <c r="G1132" s="46">
        <v>165.24</v>
      </c>
      <c r="H1132" s="46">
        <v>14.19</v>
      </c>
      <c r="I1132" t="s">
        <v>81</v>
      </c>
    </row>
    <row r="1133" spans="1:9" x14ac:dyDescent="0.25">
      <c r="A1133" t="s">
        <v>1146</v>
      </c>
      <c r="B1133" t="s">
        <v>328</v>
      </c>
      <c r="C1133" t="s">
        <v>1235</v>
      </c>
      <c r="D1133" t="s">
        <v>15</v>
      </c>
      <c r="E1133" s="46">
        <v>1330</v>
      </c>
      <c r="F1133" s="46">
        <v>1164.76</v>
      </c>
      <c r="G1133" s="46">
        <v>165.24</v>
      </c>
      <c r="H1133" s="46">
        <v>14.19</v>
      </c>
      <c r="I1133" t="s">
        <v>81</v>
      </c>
    </row>
    <row r="1134" spans="1:9" x14ac:dyDescent="0.25">
      <c r="A1134" t="s">
        <v>1146</v>
      </c>
      <c r="B1134" t="s">
        <v>328</v>
      </c>
      <c r="C1134" t="s">
        <v>1236</v>
      </c>
      <c r="D1134" t="s">
        <v>15</v>
      </c>
      <c r="E1134" s="46">
        <v>1330</v>
      </c>
      <c r="F1134" s="46">
        <v>1164.76</v>
      </c>
      <c r="G1134" s="46">
        <v>165.24</v>
      </c>
      <c r="H1134" s="46">
        <v>14.19</v>
      </c>
      <c r="I1134" t="s">
        <v>81</v>
      </c>
    </row>
    <row r="1135" spans="1:9" x14ac:dyDescent="0.25">
      <c r="A1135" t="s">
        <v>1146</v>
      </c>
      <c r="B1135" t="s">
        <v>328</v>
      </c>
      <c r="C1135" t="s">
        <v>1237</v>
      </c>
      <c r="D1135" t="s">
        <v>15</v>
      </c>
      <c r="E1135" s="46">
        <v>1330</v>
      </c>
      <c r="F1135" s="46">
        <v>1164.76</v>
      </c>
      <c r="G1135" s="46">
        <v>165.24</v>
      </c>
      <c r="H1135" s="46">
        <v>14.19</v>
      </c>
      <c r="I1135" t="s">
        <v>81</v>
      </c>
    </row>
    <row r="1136" spans="1:9" x14ac:dyDescent="0.25">
      <c r="A1136" t="s">
        <v>1146</v>
      </c>
      <c r="B1136" t="s">
        <v>328</v>
      </c>
      <c r="C1136" t="s">
        <v>1238</v>
      </c>
      <c r="D1136" t="s">
        <v>15</v>
      </c>
      <c r="E1136" s="46">
        <v>1330</v>
      </c>
      <c r="F1136" s="46">
        <v>1164.76</v>
      </c>
      <c r="G1136" s="46">
        <v>165.24</v>
      </c>
      <c r="H1136" s="46">
        <v>14.19</v>
      </c>
      <c r="I1136" t="s">
        <v>81</v>
      </c>
    </row>
    <row r="1137" spans="1:9" x14ac:dyDescent="0.25">
      <c r="A1137" t="s">
        <v>1146</v>
      </c>
      <c r="B1137" t="s">
        <v>328</v>
      </c>
      <c r="C1137" t="s">
        <v>1239</v>
      </c>
      <c r="D1137" t="s">
        <v>15</v>
      </c>
      <c r="E1137" s="46">
        <v>1330</v>
      </c>
      <c r="F1137" s="46">
        <v>1164.76</v>
      </c>
      <c r="G1137" s="46">
        <v>165.24</v>
      </c>
      <c r="H1137" s="46">
        <v>14.19</v>
      </c>
      <c r="I1137" t="s">
        <v>81</v>
      </c>
    </row>
    <row r="1138" spans="1:9" x14ac:dyDescent="0.25">
      <c r="A1138" t="s">
        <v>1146</v>
      </c>
      <c r="B1138" t="s">
        <v>328</v>
      </c>
      <c r="C1138" t="s">
        <v>1240</v>
      </c>
      <c r="D1138" t="s">
        <v>15</v>
      </c>
      <c r="E1138" s="46">
        <v>1330</v>
      </c>
      <c r="F1138" s="46">
        <v>1164.76</v>
      </c>
      <c r="G1138" s="46">
        <v>165.24</v>
      </c>
      <c r="H1138" s="46">
        <v>14.19</v>
      </c>
      <c r="I1138" t="s">
        <v>81</v>
      </c>
    </row>
    <row r="1139" spans="1:9" x14ac:dyDescent="0.25">
      <c r="A1139" t="s">
        <v>1146</v>
      </c>
      <c r="B1139" t="s">
        <v>328</v>
      </c>
      <c r="C1139" t="s">
        <v>1241</v>
      </c>
      <c r="D1139" t="s">
        <v>15</v>
      </c>
      <c r="E1139" s="46">
        <v>1330</v>
      </c>
      <c r="F1139" s="46">
        <v>1164.76</v>
      </c>
      <c r="G1139" s="46">
        <v>165.24</v>
      </c>
      <c r="H1139" s="46">
        <v>14.19</v>
      </c>
      <c r="I1139" t="s">
        <v>81</v>
      </c>
    </row>
    <row r="1140" spans="1:9" x14ac:dyDescent="0.25">
      <c r="A1140" t="s">
        <v>1146</v>
      </c>
      <c r="B1140" t="s">
        <v>328</v>
      </c>
      <c r="C1140" t="s">
        <v>1242</v>
      </c>
      <c r="D1140" t="s">
        <v>15</v>
      </c>
      <c r="E1140" s="46">
        <v>1330</v>
      </c>
      <c r="F1140" s="46">
        <v>1164.76</v>
      </c>
      <c r="G1140" s="46">
        <v>165.24</v>
      </c>
      <c r="H1140" s="46">
        <v>14.19</v>
      </c>
      <c r="I1140" t="s">
        <v>81</v>
      </c>
    </row>
    <row r="1141" spans="1:9" x14ac:dyDescent="0.25">
      <c r="A1141" t="s">
        <v>1146</v>
      </c>
      <c r="B1141" t="s">
        <v>328</v>
      </c>
      <c r="C1141" t="s">
        <v>1243</v>
      </c>
      <c r="D1141" t="s">
        <v>15</v>
      </c>
      <c r="E1141" s="46">
        <v>1330</v>
      </c>
      <c r="F1141" s="46">
        <v>1164.76</v>
      </c>
      <c r="G1141" s="46">
        <v>165.24</v>
      </c>
      <c r="H1141" s="46">
        <v>14.19</v>
      </c>
      <c r="I1141" t="s">
        <v>81</v>
      </c>
    </row>
    <row r="1142" spans="1:9" x14ac:dyDescent="0.25">
      <c r="A1142" t="s">
        <v>1146</v>
      </c>
      <c r="B1142" t="s">
        <v>328</v>
      </c>
      <c r="C1142" t="s">
        <v>1244</v>
      </c>
      <c r="D1142" t="s">
        <v>15</v>
      </c>
      <c r="E1142" s="46">
        <v>1330</v>
      </c>
      <c r="F1142" s="46">
        <v>1164.76</v>
      </c>
      <c r="G1142" s="46">
        <v>165.24</v>
      </c>
      <c r="H1142" s="46">
        <v>14.19</v>
      </c>
      <c r="I1142" t="s">
        <v>81</v>
      </c>
    </row>
    <row r="1143" spans="1:9" x14ac:dyDescent="0.25">
      <c r="A1143" t="s">
        <v>1146</v>
      </c>
      <c r="B1143" t="s">
        <v>328</v>
      </c>
      <c r="C1143" t="s">
        <v>1245</v>
      </c>
      <c r="D1143" t="s">
        <v>15</v>
      </c>
      <c r="E1143" s="46">
        <v>1330</v>
      </c>
      <c r="F1143" s="46">
        <v>1164.76</v>
      </c>
      <c r="G1143" s="46">
        <v>165.24</v>
      </c>
      <c r="H1143" s="46">
        <v>14.19</v>
      </c>
      <c r="I1143" t="s">
        <v>81</v>
      </c>
    </row>
    <row r="1144" spans="1:9" x14ac:dyDescent="0.25">
      <c r="A1144" t="s">
        <v>1146</v>
      </c>
      <c r="B1144" t="s">
        <v>328</v>
      </c>
      <c r="C1144" t="s">
        <v>1246</v>
      </c>
      <c r="D1144" t="s">
        <v>15</v>
      </c>
      <c r="E1144" s="46">
        <v>1330</v>
      </c>
      <c r="F1144" s="46">
        <v>1164.76</v>
      </c>
      <c r="G1144" s="46">
        <v>165.24</v>
      </c>
      <c r="H1144" s="46">
        <v>14.19</v>
      </c>
      <c r="I1144" t="s">
        <v>81</v>
      </c>
    </row>
    <row r="1145" spans="1:9" x14ac:dyDescent="0.25">
      <c r="A1145" t="s">
        <v>1146</v>
      </c>
      <c r="B1145" t="s">
        <v>328</v>
      </c>
      <c r="C1145" t="s">
        <v>1247</v>
      </c>
      <c r="D1145" t="s">
        <v>15</v>
      </c>
      <c r="E1145" s="46">
        <v>1330</v>
      </c>
      <c r="F1145" s="46">
        <v>1164.76</v>
      </c>
      <c r="G1145" s="46">
        <v>165.24</v>
      </c>
      <c r="H1145" s="46">
        <v>14.19</v>
      </c>
      <c r="I1145" t="s">
        <v>81</v>
      </c>
    </row>
    <row r="1146" spans="1:9" x14ac:dyDescent="0.25">
      <c r="A1146" t="s">
        <v>1146</v>
      </c>
      <c r="B1146" t="s">
        <v>328</v>
      </c>
      <c r="C1146" t="s">
        <v>1248</v>
      </c>
      <c r="D1146" t="s">
        <v>15</v>
      </c>
      <c r="E1146" s="46">
        <v>1330</v>
      </c>
      <c r="F1146" s="46">
        <v>1126.99</v>
      </c>
      <c r="G1146" s="46">
        <v>203.01</v>
      </c>
      <c r="H1146" s="46">
        <v>18.010000000000002</v>
      </c>
      <c r="I1146" t="s">
        <v>81</v>
      </c>
    </row>
    <row r="1147" spans="1:9" x14ac:dyDescent="0.25">
      <c r="A1147" t="s">
        <v>1146</v>
      </c>
      <c r="B1147" t="s">
        <v>328</v>
      </c>
      <c r="C1147" t="s">
        <v>1249</v>
      </c>
      <c r="D1147" t="s">
        <v>15</v>
      </c>
      <c r="E1147" s="46">
        <v>1330</v>
      </c>
      <c r="F1147" s="46">
        <v>1126.99</v>
      </c>
      <c r="G1147" s="46">
        <v>203.01</v>
      </c>
      <c r="H1147" s="46">
        <v>18.010000000000002</v>
      </c>
      <c r="I1147" t="s">
        <v>81</v>
      </c>
    </row>
    <row r="1148" spans="1:9" x14ac:dyDescent="0.25">
      <c r="A1148" t="s">
        <v>1146</v>
      </c>
      <c r="B1148" t="s">
        <v>328</v>
      </c>
      <c r="C1148" t="s">
        <v>1250</v>
      </c>
      <c r="D1148" t="s">
        <v>15</v>
      </c>
      <c r="E1148" s="46">
        <v>1330</v>
      </c>
      <c r="F1148" s="46">
        <v>1126.99</v>
      </c>
      <c r="G1148" s="46">
        <v>203.01</v>
      </c>
      <c r="H1148" s="46">
        <v>18.010000000000002</v>
      </c>
      <c r="I1148" t="s">
        <v>81</v>
      </c>
    </row>
    <row r="1149" spans="1:9" x14ac:dyDescent="0.25">
      <c r="A1149" t="s">
        <v>1146</v>
      </c>
      <c r="B1149" t="s">
        <v>328</v>
      </c>
      <c r="C1149" t="s">
        <v>1251</v>
      </c>
      <c r="D1149" t="s">
        <v>15</v>
      </c>
      <c r="E1149" s="46">
        <v>1330</v>
      </c>
      <c r="F1149" s="46">
        <v>1126.99</v>
      </c>
      <c r="G1149" s="46">
        <v>203.01</v>
      </c>
      <c r="H1149" s="46">
        <v>18.010000000000002</v>
      </c>
      <c r="I1149" t="s">
        <v>81</v>
      </c>
    </row>
    <row r="1150" spans="1:9" x14ac:dyDescent="0.25">
      <c r="A1150" t="s">
        <v>1146</v>
      </c>
      <c r="B1150" t="s">
        <v>328</v>
      </c>
      <c r="C1150" t="s">
        <v>1252</v>
      </c>
      <c r="D1150" t="s">
        <v>15</v>
      </c>
      <c r="E1150" s="46">
        <v>1330</v>
      </c>
      <c r="F1150" s="46">
        <v>1126.99</v>
      </c>
      <c r="G1150" s="46">
        <v>203.01</v>
      </c>
      <c r="H1150" s="46">
        <v>18.010000000000002</v>
      </c>
      <c r="I1150" t="s">
        <v>81</v>
      </c>
    </row>
    <row r="1151" spans="1:9" x14ac:dyDescent="0.25">
      <c r="A1151" t="s">
        <v>1146</v>
      </c>
      <c r="B1151" t="s">
        <v>328</v>
      </c>
      <c r="C1151" t="s">
        <v>1253</v>
      </c>
      <c r="D1151" t="s">
        <v>15</v>
      </c>
      <c r="E1151" s="46">
        <v>1330</v>
      </c>
      <c r="F1151" s="46">
        <v>1126.99</v>
      </c>
      <c r="G1151" s="46">
        <v>203.01</v>
      </c>
      <c r="H1151" s="46">
        <v>18.010000000000002</v>
      </c>
      <c r="I1151" t="s">
        <v>81</v>
      </c>
    </row>
    <row r="1152" spans="1:9" x14ac:dyDescent="0.25">
      <c r="A1152" t="s">
        <v>1146</v>
      </c>
      <c r="B1152" t="s">
        <v>328</v>
      </c>
      <c r="C1152" t="s">
        <v>1254</v>
      </c>
      <c r="D1152" t="s">
        <v>15</v>
      </c>
      <c r="E1152" s="46">
        <v>1330</v>
      </c>
      <c r="F1152" s="46">
        <v>1126.99</v>
      </c>
      <c r="G1152" s="46">
        <v>203.01</v>
      </c>
      <c r="H1152" s="46">
        <v>18.010000000000002</v>
      </c>
      <c r="I1152" t="s">
        <v>81</v>
      </c>
    </row>
    <row r="1153" spans="1:9" x14ac:dyDescent="0.25">
      <c r="A1153" t="s">
        <v>1146</v>
      </c>
      <c r="B1153" t="s">
        <v>328</v>
      </c>
      <c r="C1153" t="s">
        <v>1255</v>
      </c>
      <c r="D1153" t="s">
        <v>15</v>
      </c>
      <c r="E1153" s="46">
        <v>1330</v>
      </c>
      <c r="F1153" s="46">
        <v>1126.99</v>
      </c>
      <c r="G1153" s="46">
        <v>203.01</v>
      </c>
      <c r="H1153" s="46">
        <v>18.010000000000002</v>
      </c>
      <c r="I1153" t="s">
        <v>81</v>
      </c>
    </row>
    <row r="1154" spans="1:9" x14ac:dyDescent="0.25">
      <c r="A1154" t="s">
        <v>1146</v>
      </c>
      <c r="B1154" t="s">
        <v>328</v>
      </c>
      <c r="C1154" t="s">
        <v>1256</v>
      </c>
      <c r="D1154" t="s">
        <v>15</v>
      </c>
      <c r="E1154" s="46">
        <v>1330</v>
      </c>
      <c r="F1154" s="46">
        <v>1077.53</v>
      </c>
      <c r="G1154" s="46">
        <v>252.47</v>
      </c>
      <c r="H1154" s="46">
        <v>23.43</v>
      </c>
      <c r="I1154" t="s">
        <v>81</v>
      </c>
    </row>
    <row r="1155" spans="1:9" x14ac:dyDescent="0.25">
      <c r="A1155" t="s">
        <v>1146</v>
      </c>
      <c r="B1155" t="s">
        <v>328</v>
      </c>
      <c r="C1155" t="s">
        <v>1257</v>
      </c>
      <c r="D1155" t="s">
        <v>15</v>
      </c>
      <c r="E1155" s="46">
        <v>1330</v>
      </c>
      <c r="F1155" s="46">
        <v>1077.53</v>
      </c>
      <c r="G1155" s="46">
        <v>252.47</v>
      </c>
      <c r="H1155" s="46">
        <v>23.43</v>
      </c>
      <c r="I1155" t="s">
        <v>81</v>
      </c>
    </row>
    <row r="1156" spans="1:9" x14ac:dyDescent="0.25">
      <c r="A1156" t="s">
        <v>1146</v>
      </c>
      <c r="B1156" t="s">
        <v>328</v>
      </c>
      <c r="C1156" t="s">
        <v>1258</v>
      </c>
      <c r="D1156" t="s">
        <v>15</v>
      </c>
      <c r="E1156" s="46">
        <v>1330</v>
      </c>
      <c r="F1156" s="46">
        <v>1077.53</v>
      </c>
      <c r="G1156" s="46">
        <v>252.47</v>
      </c>
      <c r="H1156" s="46">
        <v>23.43</v>
      </c>
      <c r="I1156" t="s">
        <v>81</v>
      </c>
    </row>
    <row r="1157" spans="1:9" x14ac:dyDescent="0.25">
      <c r="A1157" t="s">
        <v>1146</v>
      </c>
      <c r="B1157" t="s">
        <v>328</v>
      </c>
      <c r="C1157" t="s">
        <v>1259</v>
      </c>
      <c r="D1157" t="s">
        <v>15</v>
      </c>
      <c r="E1157" s="46">
        <v>1330</v>
      </c>
      <c r="F1157" s="46">
        <v>1077.53</v>
      </c>
      <c r="G1157" s="46">
        <v>252.47</v>
      </c>
      <c r="H1157" s="46">
        <v>23.43</v>
      </c>
      <c r="I1157" t="s">
        <v>81</v>
      </c>
    </row>
    <row r="1158" spans="1:9" x14ac:dyDescent="0.25">
      <c r="A1158" t="s">
        <v>1146</v>
      </c>
      <c r="B1158" t="s">
        <v>328</v>
      </c>
      <c r="C1158" t="s">
        <v>1260</v>
      </c>
      <c r="D1158" t="s">
        <v>15</v>
      </c>
      <c r="E1158" s="46">
        <v>1330</v>
      </c>
      <c r="F1158" s="46">
        <v>1077.53</v>
      </c>
      <c r="G1158" s="46">
        <v>252.47</v>
      </c>
      <c r="H1158" s="46">
        <v>23.43</v>
      </c>
      <c r="I1158" t="s">
        <v>81</v>
      </c>
    </row>
    <row r="1159" spans="1:9" x14ac:dyDescent="0.25">
      <c r="A1159" t="s">
        <v>1146</v>
      </c>
      <c r="B1159" t="s">
        <v>328</v>
      </c>
      <c r="C1159" t="s">
        <v>1261</v>
      </c>
      <c r="D1159" t="s">
        <v>15</v>
      </c>
      <c r="E1159" s="46">
        <v>1330</v>
      </c>
      <c r="F1159" s="46">
        <v>1077.53</v>
      </c>
      <c r="G1159" s="46">
        <v>252.47</v>
      </c>
      <c r="H1159" s="46">
        <v>23.43</v>
      </c>
      <c r="I1159" t="s">
        <v>81</v>
      </c>
    </row>
    <row r="1160" spans="1:9" x14ac:dyDescent="0.25">
      <c r="A1160" t="s">
        <v>1146</v>
      </c>
      <c r="B1160" t="s">
        <v>328</v>
      </c>
      <c r="C1160" t="s">
        <v>1262</v>
      </c>
      <c r="D1160" t="s">
        <v>15</v>
      </c>
      <c r="E1160" s="46">
        <v>1330</v>
      </c>
      <c r="F1160" s="46">
        <v>1077.53</v>
      </c>
      <c r="G1160" s="46">
        <v>252.47</v>
      </c>
      <c r="H1160" s="46">
        <v>23.43</v>
      </c>
      <c r="I1160" t="s">
        <v>81</v>
      </c>
    </row>
    <row r="1161" spans="1:9" x14ac:dyDescent="0.25">
      <c r="A1161" t="s">
        <v>1146</v>
      </c>
      <c r="B1161" t="s">
        <v>328</v>
      </c>
      <c r="C1161" t="s">
        <v>1263</v>
      </c>
      <c r="D1161" t="s">
        <v>15</v>
      </c>
      <c r="E1161" s="46">
        <v>1330</v>
      </c>
      <c r="F1161" s="46">
        <v>1077.53</v>
      </c>
      <c r="G1161" s="46">
        <v>252.47</v>
      </c>
      <c r="H1161" s="46">
        <v>23.43</v>
      </c>
      <c r="I1161" t="s">
        <v>81</v>
      </c>
    </row>
    <row r="1162" spans="1:9" x14ac:dyDescent="0.25">
      <c r="A1162" t="s">
        <v>1146</v>
      </c>
      <c r="B1162" t="s">
        <v>328</v>
      </c>
      <c r="C1162" t="s">
        <v>1264</v>
      </c>
      <c r="D1162" t="s">
        <v>15</v>
      </c>
      <c r="E1162" s="46">
        <v>1330</v>
      </c>
      <c r="F1162" s="46">
        <v>1100.02</v>
      </c>
      <c r="G1162" s="46">
        <v>229.98</v>
      </c>
      <c r="H1162" s="46">
        <v>20.91</v>
      </c>
      <c r="I1162" t="s">
        <v>81</v>
      </c>
    </row>
    <row r="1163" spans="1:9" x14ac:dyDescent="0.25">
      <c r="A1163" t="s">
        <v>1146</v>
      </c>
      <c r="B1163" t="s">
        <v>328</v>
      </c>
      <c r="C1163" t="s">
        <v>1265</v>
      </c>
      <c r="D1163" t="s">
        <v>15</v>
      </c>
      <c r="E1163" s="46">
        <v>1330</v>
      </c>
      <c r="F1163" s="46">
        <v>1100.02</v>
      </c>
      <c r="G1163" s="46">
        <v>229.98</v>
      </c>
      <c r="H1163" s="46">
        <v>20.91</v>
      </c>
      <c r="I1163" t="s">
        <v>81</v>
      </c>
    </row>
    <row r="1164" spans="1:9" x14ac:dyDescent="0.25">
      <c r="A1164" t="s">
        <v>1146</v>
      </c>
      <c r="B1164" t="s">
        <v>328</v>
      </c>
      <c r="C1164" t="s">
        <v>1266</v>
      </c>
      <c r="D1164" t="s">
        <v>15</v>
      </c>
      <c r="E1164" s="46">
        <v>1330</v>
      </c>
      <c r="F1164" s="46">
        <v>1100.02</v>
      </c>
      <c r="G1164" s="46">
        <v>229.98</v>
      </c>
      <c r="H1164" s="46">
        <v>20.91</v>
      </c>
      <c r="I1164" t="s">
        <v>81</v>
      </c>
    </row>
    <row r="1165" spans="1:9" x14ac:dyDescent="0.25">
      <c r="A1165" t="s">
        <v>1146</v>
      </c>
      <c r="B1165" t="s">
        <v>328</v>
      </c>
      <c r="C1165" t="s">
        <v>1267</v>
      </c>
      <c r="D1165" t="s">
        <v>15</v>
      </c>
      <c r="E1165" s="46">
        <v>1330</v>
      </c>
      <c r="F1165" s="46">
        <v>1100.02</v>
      </c>
      <c r="G1165" s="46">
        <v>229.98</v>
      </c>
      <c r="H1165" s="46">
        <v>20.91</v>
      </c>
      <c r="I1165" t="s">
        <v>81</v>
      </c>
    </row>
    <row r="1166" spans="1:9" x14ac:dyDescent="0.25">
      <c r="A1166" t="s">
        <v>1146</v>
      </c>
      <c r="B1166" t="s">
        <v>328</v>
      </c>
      <c r="C1166" t="s">
        <v>1268</v>
      </c>
      <c r="D1166" t="s">
        <v>15</v>
      </c>
      <c r="E1166" s="46">
        <v>1330</v>
      </c>
      <c r="F1166" s="46">
        <v>1100.02</v>
      </c>
      <c r="G1166" s="46">
        <v>229.98</v>
      </c>
      <c r="H1166" s="46">
        <v>20.91</v>
      </c>
      <c r="I1166" t="s">
        <v>81</v>
      </c>
    </row>
    <row r="1167" spans="1:9" x14ac:dyDescent="0.25">
      <c r="A1167" t="s">
        <v>1146</v>
      </c>
      <c r="B1167" t="s">
        <v>328</v>
      </c>
      <c r="C1167" t="s">
        <v>1269</v>
      </c>
      <c r="D1167" t="s">
        <v>15</v>
      </c>
      <c r="E1167" s="46">
        <v>1330</v>
      </c>
      <c r="F1167" s="46">
        <v>1100.02</v>
      </c>
      <c r="G1167" s="46">
        <v>229.98</v>
      </c>
      <c r="H1167" s="46">
        <v>20.91</v>
      </c>
      <c r="I1167" t="s">
        <v>81</v>
      </c>
    </row>
    <row r="1168" spans="1:9" x14ac:dyDescent="0.25">
      <c r="A1168" t="s">
        <v>1146</v>
      </c>
      <c r="B1168" t="s">
        <v>328</v>
      </c>
      <c r="C1168" t="s">
        <v>1270</v>
      </c>
      <c r="D1168" t="s">
        <v>15</v>
      </c>
      <c r="E1168" s="46">
        <v>1330</v>
      </c>
      <c r="F1168" s="46">
        <v>1100.02</v>
      </c>
      <c r="G1168" s="46">
        <v>229.98</v>
      </c>
      <c r="H1168" s="46">
        <v>20.91</v>
      </c>
      <c r="I1168" t="s">
        <v>81</v>
      </c>
    </row>
    <row r="1169" spans="1:9" x14ac:dyDescent="0.25">
      <c r="A1169" t="s">
        <v>1146</v>
      </c>
      <c r="B1169" t="s">
        <v>328</v>
      </c>
      <c r="C1169" t="s">
        <v>1271</v>
      </c>
      <c r="D1169" t="s">
        <v>15</v>
      </c>
      <c r="E1169" s="46">
        <v>1330</v>
      </c>
      <c r="F1169" s="46">
        <v>1100.02</v>
      </c>
      <c r="G1169" s="46">
        <v>229.98</v>
      </c>
      <c r="H1169" s="46">
        <v>20.91</v>
      </c>
      <c r="I1169" t="s">
        <v>81</v>
      </c>
    </row>
    <row r="1170" spans="1:9" x14ac:dyDescent="0.25">
      <c r="A1170" t="s">
        <v>1146</v>
      </c>
      <c r="B1170" t="s">
        <v>328</v>
      </c>
      <c r="C1170" t="s">
        <v>1272</v>
      </c>
      <c r="D1170" t="s">
        <v>15</v>
      </c>
      <c r="E1170" s="46">
        <v>1330</v>
      </c>
      <c r="F1170" s="46">
        <v>1100.02</v>
      </c>
      <c r="G1170" s="46">
        <v>229.98</v>
      </c>
      <c r="H1170" s="46">
        <v>20.91</v>
      </c>
      <c r="I1170" t="s">
        <v>81</v>
      </c>
    </row>
    <row r="1171" spans="1:9" x14ac:dyDescent="0.25">
      <c r="A1171" t="s">
        <v>1146</v>
      </c>
      <c r="B1171" t="s">
        <v>328</v>
      </c>
      <c r="C1171" t="s">
        <v>1273</v>
      </c>
      <c r="D1171" t="s">
        <v>15</v>
      </c>
      <c r="E1171" s="46">
        <v>1330</v>
      </c>
      <c r="F1171" s="46">
        <v>1100.02</v>
      </c>
      <c r="G1171" s="46">
        <v>229.98</v>
      </c>
      <c r="H1171" s="46">
        <v>20.91</v>
      </c>
      <c r="I1171" t="s">
        <v>81</v>
      </c>
    </row>
    <row r="1172" spans="1:9" x14ac:dyDescent="0.25">
      <c r="A1172" t="s">
        <v>1146</v>
      </c>
      <c r="B1172" t="s">
        <v>328</v>
      </c>
      <c r="C1172" t="s">
        <v>1274</v>
      </c>
      <c r="D1172" t="s">
        <v>15</v>
      </c>
      <c r="E1172" s="46">
        <v>1330</v>
      </c>
      <c r="F1172" s="46">
        <v>1135.99</v>
      </c>
      <c r="G1172" s="46">
        <v>194.01</v>
      </c>
      <c r="H1172" s="46">
        <v>17.079999999999998</v>
      </c>
      <c r="I1172" t="s">
        <v>81</v>
      </c>
    </row>
    <row r="1173" spans="1:9" x14ac:dyDescent="0.25">
      <c r="A1173" t="s">
        <v>1146</v>
      </c>
      <c r="B1173" t="s">
        <v>328</v>
      </c>
      <c r="C1173" t="s">
        <v>1275</v>
      </c>
      <c r="D1173" t="s">
        <v>15</v>
      </c>
      <c r="E1173" s="46">
        <v>1330</v>
      </c>
      <c r="F1173" s="46">
        <v>1135.99</v>
      </c>
      <c r="G1173" s="46">
        <v>194.01</v>
      </c>
      <c r="H1173" s="46">
        <v>17.079999999999998</v>
      </c>
      <c r="I1173" t="s">
        <v>81</v>
      </c>
    </row>
    <row r="1174" spans="1:9" x14ac:dyDescent="0.25">
      <c r="A1174" t="s">
        <v>1146</v>
      </c>
      <c r="B1174" t="s">
        <v>328</v>
      </c>
      <c r="C1174" t="s">
        <v>1276</v>
      </c>
      <c r="D1174" t="s">
        <v>15</v>
      </c>
      <c r="E1174" s="46">
        <v>1330</v>
      </c>
      <c r="F1174" s="46">
        <v>1135.99</v>
      </c>
      <c r="G1174" s="46">
        <v>194.01</v>
      </c>
      <c r="H1174" s="46">
        <v>17.079999999999998</v>
      </c>
      <c r="I1174" t="s">
        <v>81</v>
      </c>
    </row>
    <row r="1175" spans="1:9" x14ac:dyDescent="0.25">
      <c r="A1175" t="s">
        <v>1146</v>
      </c>
      <c r="B1175" t="s">
        <v>328</v>
      </c>
      <c r="C1175" t="s">
        <v>1277</v>
      </c>
      <c r="D1175" t="s">
        <v>15</v>
      </c>
      <c r="E1175" s="46">
        <v>1330</v>
      </c>
      <c r="F1175" s="46">
        <v>1135.99</v>
      </c>
      <c r="G1175" s="46">
        <v>194.01</v>
      </c>
      <c r="H1175" s="46">
        <v>17.079999999999998</v>
      </c>
      <c r="I1175" t="s">
        <v>81</v>
      </c>
    </row>
    <row r="1176" spans="1:9" x14ac:dyDescent="0.25">
      <c r="A1176" t="s">
        <v>1146</v>
      </c>
      <c r="B1176" t="s">
        <v>328</v>
      </c>
      <c r="C1176" t="s">
        <v>1278</v>
      </c>
      <c r="D1176" t="s">
        <v>15</v>
      </c>
      <c r="E1176" s="46">
        <v>1330</v>
      </c>
      <c r="F1176" s="46">
        <v>1135.99</v>
      </c>
      <c r="G1176" s="46">
        <v>194.01</v>
      </c>
      <c r="H1176" s="46">
        <v>17.079999999999998</v>
      </c>
      <c r="I1176" t="s">
        <v>81</v>
      </c>
    </row>
    <row r="1177" spans="1:9" x14ac:dyDescent="0.25">
      <c r="A1177" t="s">
        <v>1146</v>
      </c>
      <c r="B1177" t="s">
        <v>328</v>
      </c>
      <c r="C1177" t="s">
        <v>1279</v>
      </c>
      <c r="D1177" t="s">
        <v>15</v>
      </c>
      <c r="E1177" s="46">
        <v>1330</v>
      </c>
      <c r="F1177" s="46">
        <v>1135.99</v>
      </c>
      <c r="G1177" s="46">
        <v>194.01</v>
      </c>
      <c r="H1177" s="46">
        <v>17.079999999999998</v>
      </c>
      <c r="I1177" t="s">
        <v>81</v>
      </c>
    </row>
    <row r="1178" spans="1:9" x14ac:dyDescent="0.25">
      <c r="A1178" t="s">
        <v>1146</v>
      </c>
      <c r="B1178" t="s">
        <v>328</v>
      </c>
      <c r="C1178" t="s">
        <v>1280</v>
      </c>
      <c r="D1178" t="s">
        <v>15</v>
      </c>
      <c r="E1178" s="46">
        <v>1330</v>
      </c>
      <c r="F1178" s="46">
        <v>1135.99</v>
      </c>
      <c r="G1178" s="46">
        <v>194.01</v>
      </c>
      <c r="H1178" s="46">
        <v>17.079999999999998</v>
      </c>
      <c r="I1178" t="s">
        <v>81</v>
      </c>
    </row>
    <row r="1179" spans="1:9" x14ac:dyDescent="0.25">
      <c r="A1179" t="s">
        <v>1146</v>
      </c>
      <c r="B1179" t="s">
        <v>328</v>
      </c>
      <c r="C1179" t="s">
        <v>1281</v>
      </c>
      <c r="D1179" t="s">
        <v>15</v>
      </c>
      <c r="E1179" s="46">
        <v>1330</v>
      </c>
      <c r="F1179" s="46">
        <v>1135.99</v>
      </c>
      <c r="G1179" s="46">
        <v>194.01</v>
      </c>
      <c r="H1179" s="46">
        <v>17.079999999999998</v>
      </c>
      <c r="I1179" t="s">
        <v>81</v>
      </c>
    </row>
    <row r="1180" spans="1:9" x14ac:dyDescent="0.25">
      <c r="A1180" t="s">
        <v>1146</v>
      </c>
      <c r="B1180" t="s">
        <v>328</v>
      </c>
      <c r="C1180" t="s">
        <v>1282</v>
      </c>
      <c r="D1180" t="s">
        <v>15</v>
      </c>
      <c r="E1180" s="46">
        <v>1330</v>
      </c>
      <c r="F1180" s="46">
        <v>1135.99</v>
      </c>
      <c r="G1180" s="46">
        <v>194.01</v>
      </c>
      <c r="H1180" s="46">
        <v>17.079999999999998</v>
      </c>
      <c r="I1180" t="s">
        <v>81</v>
      </c>
    </row>
    <row r="1181" spans="1:9" x14ac:dyDescent="0.25">
      <c r="A1181" t="s">
        <v>1146</v>
      </c>
      <c r="B1181" t="s">
        <v>328</v>
      </c>
      <c r="C1181" t="s">
        <v>1283</v>
      </c>
      <c r="D1181" t="s">
        <v>15</v>
      </c>
      <c r="E1181" s="46">
        <v>1330</v>
      </c>
      <c r="F1181" s="46">
        <v>1135.99</v>
      </c>
      <c r="G1181" s="46">
        <v>194.01</v>
      </c>
      <c r="H1181" s="46">
        <v>17.079999999999998</v>
      </c>
      <c r="I1181" t="s">
        <v>81</v>
      </c>
    </row>
    <row r="1182" spans="1:9" x14ac:dyDescent="0.25">
      <c r="A1182" t="s">
        <v>1146</v>
      </c>
      <c r="B1182" t="s">
        <v>328</v>
      </c>
      <c r="C1182" t="s">
        <v>1284</v>
      </c>
      <c r="D1182" t="s">
        <v>15</v>
      </c>
      <c r="E1182" s="46">
        <v>1330</v>
      </c>
      <c r="F1182" s="46">
        <v>1058.4100000000001</v>
      </c>
      <c r="G1182" s="46">
        <v>271.58999999999997</v>
      </c>
      <c r="H1182" s="46">
        <v>25.66</v>
      </c>
      <c r="I1182" t="s">
        <v>81</v>
      </c>
    </row>
    <row r="1183" spans="1:9" x14ac:dyDescent="0.25">
      <c r="A1183" t="s">
        <v>1146</v>
      </c>
      <c r="B1183" t="s">
        <v>328</v>
      </c>
      <c r="C1183" t="s">
        <v>1285</v>
      </c>
      <c r="D1183" t="s">
        <v>15</v>
      </c>
      <c r="E1183" s="46">
        <v>1330</v>
      </c>
      <c r="F1183" s="46">
        <v>1058.4100000000001</v>
      </c>
      <c r="G1183" s="46">
        <v>271.58999999999997</v>
      </c>
      <c r="H1183" s="46">
        <v>25.66</v>
      </c>
      <c r="I1183" t="s">
        <v>81</v>
      </c>
    </row>
    <row r="1184" spans="1:9" x14ac:dyDescent="0.25">
      <c r="A1184" t="s">
        <v>1146</v>
      </c>
      <c r="B1184" t="s">
        <v>328</v>
      </c>
      <c r="C1184" t="s">
        <v>1286</v>
      </c>
      <c r="D1184" t="s">
        <v>15</v>
      </c>
      <c r="E1184" s="46">
        <v>1330</v>
      </c>
      <c r="F1184" s="46">
        <v>1058.4100000000001</v>
      </c>
      <c r="G1184" s="46">
        <v>271.58999999999997</v>
      </c>
      <c r="H1184" s="46">
        <v>25.66</v>
      </c>
      <c r="I1184" t="s">
        <v>81</v>
      </c>
    </row>
    <row r="1185" spans="1:9" x14ac:dyDescent="0.25">
      <c r="A1185" t="s">
        <v>1146</v>
      </c>
      <c r="B1185" t="s">
        <v>328</v>
      </c>
      <c r="C1185" t="s">
        <v>1287</v>
      </c>
      <c r="D1185" t="s">
        <v>15</v>
      </c>
      <c r="E1185" s="46">
        <v>1330</v>
      </c>
      <c r="F1185" s="46">
        <v>1058.4100000000001</v>
      </c>
      <c r="G1185" s="46">
        <v>271.58999999999997</v>
      </c>
      <c r="H1185" s="46">
        <v>25.66</v>
      </c>
      <c r="I1185" t="s">
        <v>81</v>
      </c>
    </row>
    <row r="1186" spans="1:9" x14ac:dyDescent="0.25">
      <c r="A1186" t="s">
        <v>1146</v>
      </c>
      <c r="B1186" t="s">
        <v>328</v>
      </c>
      <c r="C1186" t="s">
        <v>1288</v>
      </c>
      <c r="D1186" t="s">
        <v>15</v>
      </c>
      <c r="E1186" s="46">
        <v>1330</v>
      </c>
      <c r="F1186" s="46">
        <v>1058.4100000000001</v>
      </c>
      <c r="G1186" s="46">
        <v>271.58999999999997</v>
      </c>
      <c r="H1186" s="46">
        <v>25.66</v>
      </c>
      <c r="I1186" t="s">
        <v>81</v>
      </c>
    </row>
    <row r="1187" spans="1:9" x14ac:dyDescent="0.25">
      <c r="A1187" t="s">
        <v>1146</v>
      </c>
      <c r="B1187" t="s">
        <v>328</v>
      </c>
      <c r="C1187" t="s">
        <v>1289</v>
      </c>
      <c r="D1187" t="s">
        <v>15</v>
      </c>
      <c r="E1187" s="46">
        <v>1330</v>
      </c>
      <c r="F1187" s="46">
        <v>1058.4100000000001</v>
      </c>
      <c r="G1187" s="46">
        <v>271.58999999999997</v>
      </c>
      <c r="H1187" s="46">
        <v>25.66</v>
      </c>
      <c r="I1187" t="s">
        <v>81</v>
      </c>
    </row>
    <row r="1188" spans="1:9" x14ac:dyDescent="0.25">
      <c r="A1188" t="s">
        <v>1146</v>
      </c>
      <c r="B1188" t="s">
        <v>328</v>
      </c>
      <c r="C1188" t="s">
        <v>1290</v>
      </c>
      <c r="D1188" t="s">
        <v>15</v>
      </c>
      <c r="E1188" s="46">
        <v>1330</v>
      </c>
      <c r="F1188" s="46">
        <v>1058.4100000000001</v>
      </c>
      <c r="G1188" s="46">
        <v>271.58999999999997</v>
      </c>
      <c r="H1188" s="46">
        <v>25.66</v>
      </c>
      <c r="I1188" t="s">
        <v>81</v>
      </c>
    </row>
    <row r="1189" spans="1:9" x14ac:dyDescent="0.25">
      <c r="A1189" t="s">
        <v>1146</v>
      </c>
      <c r="B1189" t="s">
        <v>328</v>
      </c>
      <c r="C1189" t="s">
        <v>1291</v>
      </c>
      <c r="D1189" t="s">
        <v>15</v>
      </c>
      <c r="E1189" s="46">
        <v>1330</v>
      </c>
      <c r="F1189" s="46">
        <v>1058.4100000000001</v>
      </c>
      <c r="G1189" s="46">
        <v>271.58999999999997</v>
      </c>
      <c r="H1189" s="46">
        <v>25.66</v>
      </c>
      <c r="I1189" t="s">
        <v>81</v>
      </c>
    </row>
    <row r="1190" spans="1:9" x14ac:dyDescent="0.25">
      <c r="A1190" t="s">
        <v>1146</v>
      </c>
      <c r="B1190" t="s">
        <v>328</v>
      </c>
      <c r="C1190" t="s">
        <v>1292</v>
      </c>
      <c r="D1190" t="s">
        <v>15</v>
      </c>
      <c r="E1190" s="46">
        <v>1330</v>
      </c>
      <c r="F1190" s="46">
        <v>1058.4100000000001</v>
      </c>
      <c r="G1190" s="46">
        <v>271.58999999999997</v>
      </c>
      <c r="H1190" s="46">
        <v>25.66</v>
      </c>
      <c r="I1190" t="s">
        <v>81</v>
      </c>
    </row>
    <row r="1191" spans="1:9" x14ac:dyDescent="0.25">
      <c r="A1191" t="s">
        <v>1146</v>
      </c>
      <c r="B1191" t="s">
        <v>328</v>
      </c>
      <c r="C1191" t="s">
        <v>1293</v>
      </c>
      <c r="D1191" t="s">
        <v>15</v>
      </c>
      <c r="E1191" s="46">
        <v>1330</v>
      </c>
      <c r="F1191" s="46">
        <v>1058.4100000000001</v>
      </c>
      <c r="G1191" s="46">
        <v>271.58999999999997</v>
      </c>
      <c r="H1191" s="46">
        <v>25.66</v>
      </c>
      <c r="I1191" t="s">
        <v>81</v>
      </c>
    </row>
    <row r="1192" spans="1:9" x14ac:dyDescent="0.25">
      <c r="A1192" t="s">
        <v>1146</v>
      </c>
      <c r="B1192" t="s">
        <v>328</v>
      </c>
      <c r="C1192" t="s">
        <v>1294</v>
      </c>
      <c r="D1192" t="s">
        <v>15</v>
      </c>
      <c r="E1192" s="46">
        <v>1330</v>
      </c>
      <c r="F1192" s="46">
        <v>1058.4100000000001</v>
      </c>
      <c r="G1192" s="46">
        <v>271.58999999999997</v>
      </c>
      <c r="H1192" s="46">
        <v>25.66</v>
      </c>
      <c r="I1192" t="s">
        <v>81</v>
      </c>
    </row>
    <row r="1193" spans="1:9" x14ac:dyDescent="0.25">
      <c r="A1193" t="s">
        <v>1146</v>
      </c>
      <c r="B1193" t="s">
        <v>328</v>
      </c>
      <c r="C1193" t="s">
        <v>1295</v>
      </c>
      <c r="D1193" t="s">
        <v>15</v>
      </c>
      <c r="E1193" s="46">
        <v>1330</v>
      </c>
      <c r="F1193" s="46">
        <v>1077.53</v>
      </c>
      <c r="G1193" s="46">
        <v>252.47</v>
      </c>
      <c r="H1193" s="46">
        <v>23.43</v>
      </c>
      <c r="I1193" t="s">
        <v>81</v>
      </c>
    </row>
    <row r="1194" spans="1:9" x14ac:dyDescent="0.25">
      <c r="A1194" t="s">
        <v>1146</v>
      </c>
      <c r="B1194" t="s">
        <v>328</v>
      </c>
      <c r="C1194" t="s">
        <v>1296</v>
      </c>
      <c r="D1194" t="s">
        <v>15</v>
      </c>
      <c r="E1194" s="46">
        <v>1330</v>
      </c>
      <c r="F1194" s="46">
        <v>1077.53</v>
      </c>
      <c r="G1194" s="46">
        <v>252.47</v>
      </c>
      <c r="H1194" s="46">
        <v>23.43</v>
      </c>
      <c r="I1194" t="s">
        <v>81</v>
      </c>
    </row>
    <row r="1195" spans="1:9" x14ac:dyDescent="0.25">
      <c r="A1195" t="s">
        <v>1146</v>
      </c>
      <c r="B1195" t="s">
        <v>328</v>
      </c>
      <c r="C1195" t="s">
        <v>1297</v>
      </c>
      <c r="D1195" t="s">
        <v>15</v>
      </c>
      <c r="E1195" s="46">
        <v>1330</v>
      </c>
      <c r="F1195" s="46">
        <v>1077.53</v>
      </c>
      <c r="G1195" s="46">
        <v>252.47</v>
      </c>
      <c r="H1195" s="46">
        <v>23.43</v>
      </c>
      <c r="I1195" t="s">
        <v>81</v>
      </c>
    </row>
    <row r="1196" spans="1:9" x14ac:dyDescent="0.25">
      <c r="A1196" t="s">
        <v>1146</v>
      </c>
      <c r="B1196" t="s">
        <v>328</v>
      </c>
      <c r="C1196" t="s">
        <v>1298</v>
      </c>
      <c r="D1196" t="s">
        <v>15</v>
      </c>
      <c r="E1196" s="46">
        <v>1330</v>
      </c>
      <c r="F1196" s="46">
        <v>1077.53</v>
      </c>
      <c r="G1196" s="46">
        <v>252.47</v>
      </c>
      <c r="H1196" s="46">
        <v>23.43</v>
      </c>
      <c r="I1196" t="s">
        <v>81</v>
      </c>
    </row>
    <row r="1197" spans="1:9" x14ac:dyDescent="0.25">
      <c r="A1197" t="s">
        <v>1146</v>
      </c>
      <c r="B1197" t="s">
        <v>328</v>
      </c>
      <c r="C1197" t="s">
        <v>1299</v>
      </c>
      <c r="D1197" t="s">
        <v>15</v>
      </c>
      <c r="E1197" s="46">
        <v>1330</v>
      </c>
      <c r="F1197" s="46">
        <v>1077.53</v>
      </c>
      <c r="G1197" s="46">
        <v>252.47</v>
      </c>
      <c r="H1197" s="46">
        <v>23.43</v>
      </c>
      <c r="I1197" t="s">
        <v>81</v>
      </c>
    </row>
    <row r="1198" spans="1:9" x14ac:dyDescent="0.25">
      <c r="A1198" t="s">
        <v>1146</v>
      </c>
      <c r="B1198" t="s">
        <v>328</v>
      </c>
      <c r="C1198" t="s">
        <v>1300</v>
      </c>
      <c r="D1198" t="s">
        <v>15</v>
      </c>
      <c r="E1198" s="46">
        <v>1330</v>
      </c>
      <c r="F1198" s="46">
        <v>1077.53</v>
      </c>
      <c r="G1198" s="46">
        <v>252.47</v>
      </c>
      <c r="H1198" s="46">
        <v>23.43</v>
      </c>
      <c r="I1198" t="s">
        <v>81</v>
      </c>
    </row>
    <row r="1199" spans="1:9" x14ac:dyDescent="0.25">
      <c r="A1199" t="s">
        <v>1146</v>
      </c>
      <c r="B1199" t="s">
        <v>328</v>
      </c>
      <c r="C1199" t="s">
        <v>1301</v>
      </c>
      <c r="D1199" t="s">
        <v>15</v>
      </c>
      <c r="E1199" s="46">
        <v>1330</v>
      </c>
      <c r="F1199" s="46">
        <v>1077.53</v>
      </c>
      <c r="G1199" s="46">
        <v>252.47</v>
      </c>
      <c r="H1199" s="46">
        <v>23.43</v>
      </c>
      <c r="I1199" t="s">
        <v>81</v>
      </c>
    </row>
    <row r="1200" spans="1:9" x14ac:dyDescent="0.25">
      <c r="A1200" t="s">
        <v>1146</v>
      </c>
      <c r="B1200" t="s">
        <v>328</v>
      </c>
      <c r="C1200" t="s">
        <v>1302</v>
      </c>
      <c r="D1200" t="s">
        <v>15</v>
      </c>
      <c r="E1200" s="46">
        <v>1330</v>
      </c>
      <c r="F1200" s="46">
        <v>1077.53</v>
      </c>
      <c r="G1200" s="46">
        <v>252.47</v>
      </c>
      <c r="H1200" s="46">
        <v>23.43</v>
      </c>
      <c r="I1200" t="s">
        <v>81</v>
      </c>
    </row>
    <row r="1201" spans="1:9" x14ac:dyDescent="0.25">
      <c r="A1201" t="s">
        <v>1146</v>
      </c>
      <c r="B1201" t="s">
        <v>328</v>
      </c>
      <c r="C1201" t="s">
        <v>1303</v>
      </c>
      <c r="D1201" t="s">
        <v>15</v>
      </c>
      <c r="E1201" s="46">
        <v>1330</v>
      </c>
      <c r="F1201" s="46">
        <v>1077.53</v>
      </c>
      <c r="G1201" s="46">
        <v>252.47</v>
      </c>
      <c r="H1201" s="46">
        <v>23.43</v>
      </c>
      <c r="I1201" t="s">
        <v>81</v>
      </c>
    </row>
    <row r="1202" spans="1:9" x14ac:dyDescent="0.25">
      <c r="A1202" t="s">
        <v>1146</v>
      </c>
      <c r="B1202" t="s">
        <v>328</v>
      </c>
      <c r="C1202" t="s">
        <v>1304</v>
      </c>
      <c r="D1202" t="s">
        <v>15</v>
      </c>
      <c r="E1202" s="46">
        <v>1330</v>
      </c>
      <c r="F1202" s="46">
        <v>1077.53</v>
      </c>
      <c r="G1202" s="46">
        <v>252.47</v>
      </c>
      <c r="H1202" s="46">
        <v>23.43</v>
      </c>
      <c r="I1202" t="s">
        <v>81</v>
      </c>
    </row>
    <row r="1203" spans="1:9" x14ac:dyDescent="0.25">
      <c r="A1203" t="s">
        <v>1146</v>
      </c>
      <c r="B1203" t="s">
        <v>328</v>
      </c>
      <c r="C1203" t="s">
        <v>1305</v>
      </c>
      <c r="D1203" t="s">
        <v>15</v>
      </c>
      <c r="E1203" s="46">
        <v>1330</v>
      </c>
      <c r="F1203" s="46">
        <v>1077.53</v>
      </c>
      <c r="G1203" s="46">
        <v>252.47</v>
      </c>
      <c r="H1203" s="46">
        <v>23.43</v>
      </c>
      <c r="I1203" t="s">
        <v>81</v>
      </c>
    </row>
    <row r="1204" spans="1:9" x14ac:dyDescent="0.25">
      <c r="A1204" t="s">
        <v>1146</v>
      </c>
      <c r="B1204" t="s">
        <v>328</v>
      </c>
      <c r="C1204" t="s">
        <v>1306</v>
      </c>
      <c r="D1204" t="s">
        <v>15</v>
      </c>
      <c r="E1204" s="46">
        <v>1330</v>
      </c>
      <c r="F1204" s="46">
        <v>1077.53</v>
      </c>
      <c r="G1204" s="46">
        <v>252.47</v>
      </c>
      <c r="H1204" s="46">
        <v>23.43</v>
      </c>
      <c r="I1204" t="s">
        <v>81</v>
      </c>
    </row>
    <row r="1205" spans="1:9" x14ac:dyDescent="0.25">
      <c r="A1205" t="s">
        <v>1146</v>
      </c>
      <c r="B1205" t="s">
        <v>328</v>
      </c>
      <c r="C1205" t="s">
        <v>1307</v>
      </c>
      <c r="D1205" t="s">
        <v>15</v>
      </c>
      <c r="E1205" s="46">
        <v>1330</v>
      </c>
      <c r="F1205" s="46">
        <v>1077.53</v>
      </c>
      <c r="G1205" s="46">
        <v>252.47</v>
      </c>
      <c r="H1205" s="46">
        <v>23.43</v>
      </c>
      <c r="I1205" t="s">
        <v>81</v>
      </c>
    </row>
    <row r="1206" spans="1:9" x14ac:dyDescent="0.25">
      <c r="A1206" t="s">
        <v>1146</v>
      </c>
      <c r="B1206" t="s">
        <v>328</v>
      </c>
      <c r="C1206" t="s">
        <v>1308</v>
      </c>
      <c r="D1206" t="s">
        <v>15</v>
      </c>
      <c r="E1206" s="46">
        <v>1330</v>
      </c>
      <c r="F1206" s="46">
        <v>1077.53</v>
      </c>
      <c r="G1206" s="46">
        <v>252.47</v>
      </c>
      <c r="H1206" s="46">
        <v>23.43</v>
      </c>
      <c r="I1206" t="s">
        <v>81</v>
      </c>
    </row>
    <row r="1207" spans="1:9" x14ac:dyDescent="0.25">
      <c r="A1207" t="s">
        <v>1146</v>
      </c>
      <c r="B1207" t="s">
        <v>328</v>
      </c>
      <c r="C1207" t="s">
        <v>1309</v>
      </c>
      <c r="D1207" t="s">
        <v>15</v>
      </c>
      <c r="E1207" s="46">
        <v>1330</v>
      </c>
      <c r="F1207" s="46">
        <v>1077.53</v>
      </c>
      <c r="G1207" s="46">
        <v>252.47</v>
      </c>
      <c r="H1207" s="46">
        <v>23.43</v>
      </c>
      <c r="I1207" t="s">
        <v>81</v>
      </c>
    </row>
    <row r="1208" spans="1:9" x14ac:dyDescent="0.25">
      <c r="A1208" t="s">
        <v>1146</v>
      </c>
      <c r="B1208" t="s">
        <v>328</v>
      </c>
      <c r="C1208" t="s">
        <v>1310</v>
      </c>
      <c r="D1208" t="s">
        <v>15</v>
      </c>
      <c r="E1208" s="46">
        <v>1330</v>
      </c>
      <c r="F1208" s="46">
        <v>1077.53</v>
      </c>
      <c r="G1208" s="46">
        <v>252.47</v>
      </c>
      <c r="H1208" s="46">
        <v>23.43</v>
      </c>
      <c r="I1208" t="s">
        <v>81</v>
      </c>
    </row>
    <row r="1209" spans="1:9" x14ac:dyDescent="0.25">
      <c r="A1209" t="s">
        <v>1146</v>
      </c>
      <c r="B1209" t="s">
        <v>328</v>
      </c>
      <c r="C1209" t="s">
        <v>1311</v>
      </c>
      <c r="D1209" t="s">
        <v>15</v>
      </c>
      <c r="E1209" s="46">
        <v>1330</v>
      </c>
      <c r="F1209" s="46">
        <v>1077.53</v>
      </c>
      <c r="G1209" s="46">
        <v>252.47</v>
      </c>
      <c r="H1209" s="46">
        <v>23.43</v>
      </c>
      <c r="I1209" t="s">
        <v>81</v>
      </c>
    </row>
    <row r="1210" spans="1:9" x14ac:dyDescent="0.25">
      <c r="A1210" t="s">
        <v>1146</v>
      </c>
      <c r="B1210" t="s">
        <v>328</v>
      </c>
      <c r="C1210" t="s">
        <v>1312</v>
      </c>
      <c r="D1210" t="s">
        <v>15</v>
      </c>
      <c r="E1210" s="46">
        <v>1330</v>
      </c>
      <c r="F1210" s="46">
        <v>1077.53</v>
      </c>
      <c r="G1210" s="46">
        <v>252.47</v>
      </c>
      <c r="H1210" s="46">
        <v>23.43</v>
      </c>
      <c r="I1210" t="s">
        <v>81</v>
      </c>
    </row>
    <row r="1211" spans="1:9" x14ac:dyDescent="0.25">
      <c r="A1211" t="s">
        <v>1146</v>
      </c>
      <c r="B1211" t="s">
        <v>328</v>
      </c>
      <c r="C1211" t="s">
        <v>1313</v>
      </c>
      <c r="D1211" t="s">
        <v>15</v>
      </c>
      <c r="E1211" s="46">
        <v>1330</v>
      </c>
      <c r="F1211" s="46">
        <v>1077.53</v>
      </c>
      <c r="G1211" s="46">
        <v>252.47</v>
      </c>
      <c r="H1211" s="46">
        <v>23.43</v>
      </c>
      <c r="I1211" t="s">
        <v>81</v>
      </c>
    </row>
    <row r="1212" spans="1:9" x14ac:dyDescent="0.25">
      <c r="A1212" t="s">
        <v>1146</v>
      </c>
      <c r="B1212" t="s">
        <v>328</v>
      </c>
      <c r="C1212" t="s">
        <v>1314</v>
      </c>
      <c r="D1212" t="s">
        <v>15</v>
      </c>
      <c r="E1212" s="46">
        <v>1330</v>
      </c>
      <c r="F1212" s="46">
        <v>1077.53</v>
      </c>
      <c r="G1212" s="46">
        <v>252.47</v>
      </c>
      <c r="H1212" s="46">
        <v>23.43</v>
      </c>
      <c r="I1212" t="s">
        <v>81</v>
      </c>
    </row>
    <row r="1213" spans="1:9" x14ac:dyDescent="0.25">
      <c r="A1213" t="s">
        <v>1146</v>
      </c>
      <c r="B1213" t="s">
        <v>328</v>
      </c>
      <c r="C1213" t="s">
        <v>1315</v>
      </c>
      <c r="D1213" t="s">
        <v>15</v>
      </c>
      <c r="E1213" s="46">
        <v>1330</v>
      </c>
      <c r="F1213" s="46">
        <v>1077.53</v>
      </c>
      <c r="G1213" s="46">
        <v>252.47</v>
      </c>
      <c r="H1213" s="46">
        <v>23.43</v>
      </c>
      <c r="I1213" t="s">
        <v>81</v>
      </c>
    </row>
    <row r="1214" spans="1:9" x14ac:dyDescent="0.25">
      <c r="A1214" t="s">
        <v>1146</v>
      </c>
      <c r="B1214" t="s">
        <v>328</v>
      </c>
      <c r="C1214" t="s">
        <v>1316</v>
      </c>
      <c r="D1214" t="s">
        <v>15</v>
      </c>
      <c r="E1214" s="46">
        <v>1330</v>
      </c>
      <c r="F1214" s="46">
        <v>1077.53</v>
      </c>
      <c r="G1214" s="46">
        <v>252.47</v>
      </c>
      <c r="H1214" s="46">
        <v>23.43</v>
      </c>
      <c r="I1214" t="s">
        <v>81</v>
      </c>
    </row>
    <row r="1215" spans="1:9" x14ac:dyDescent="0.25">
      <c r="A1215" t="s">
        <v>1146</v>
      </c>
      <c r="B1215" t="s">
        <v>328</v>
      </c>
      <c r="C1215" t="s">
        <v>1317</v>
      </c>
      <c r="D1215" t="s">
        <v>15</v>
      </c>
      <c r="E1215" s="46">
        <v>1330</v>
      </c>
      <c r="F1215" s="46">
        <v>1077.53</v>
      </c>
      <c r="G1215" s="46">
        <v>252.47</v>
      </c>
      <c r="H1215" s="46">
        <v>23.43</v>
      </c>
      <c r="I1215" t="s">
        <v>81</v>
      </c>
    </row>
    <row r="1216" spans="1:9" x14ac:dyDescent="0.25">
      <c r="A1216" t="s">
        <v>1146</v>
      </c>
      <c r="B1216" t="s">
        <v>328</v>
      </c>
      <c r="C1216" t="s">
        <v>1318</v>
      </c>
      <c r="D1216" t="s">
        <v>15</v>
      </c>
      <c r="E1216" s="46">
        <v>1330</v>
      </c>
      <c r="F1216" s="46">
        <v>1126.99</v>
      </c>
      <c r="G1216" s="46">
        <v>203.01</v>
      </c>
      <c r="H1216" s="46">
        <v>18.010000000000002</v>
      </c>
      <c r="I1216" t="s">
        <v>81</v>
      </c>
    </row>
    <row r="1217" spans="1:9" x14ac:dyDescent="0.25">
      <c r="A1217" t="s">
        <v>1146</v>
      </c>
      <c r="B1217" t="s">
        <v>328</v>
      </c>
      <c r="C1217" t="s">
        <v>1319</v>
      </c>
      <c r="D1217" t="s">
        <v>15</v>
      </c>
      <c r="E1217" s="46">
        <v>1330</v>
      </c>
      <c r="F1217" s="46">
        <v>1126.99</v>
      </c>
      <c r="G1217" s="46">
        <v>203.01</v>
      </c>
      <c r="H1217" s="46">
        <v>18.010000000000002</v>
      </c>
      <c r="I1217" t="s">
        <v>81</v>
      </c>
    </row>
    <row r="1218" spans="1:9" x14ac:dyDescent="0.25">
      <c r="A1218" t="s">
        <v>1146</v>
      </c>
      <c r="B1218" t="s">
        <v>328</v>
      </c>
      <c r="C1218" t="s">
        <v>1320</v>
      </c>
      <c r="D1218" t="s">
        <v>15</v>
      </c>
      <c r="E1218" s="46">
        <v>1330</v>
      </c>
      <c r="F1218" s="46">
        <v>1126.99</v>
      </c>
      <c r="G1218" s="46">
        <v>203.01</v>
      </c>
      <c r="H1218" s="46">
        <v>18.010000000000002</v>
      </c>
      <c r="I1218" t="s">
        <v>81</v>
      </c>
    </row>
    <row r="1219" spans="1:9" x14ac:dyDescent="0.25">
      <c r="A1219" t="s">
        <v>1146</v>
      </c>
      <c r="B1219" t="s">
        <v>328</v>
      </c>
      <c r="C1219" t="s">
        <v>1321</v>
      </c>
      <c r="D1219" t="s">
        <v>15</v>
      </c>
      <c r="E1219" s="46">
        <v>1330</v>
      </c>
      <c r="F1219" s="46">
        <v>1126.99</v>
      </c>
      <c r="G1219" s="46">
        <v>203.01</v>
      </c>
      <c r="H1219" s="46">
        <v>18.010000000000002</v>
      </c>
      <c r="I1219" t="s">
        <v>81</v>
      </c>
    </row>
    <row r="1220" spans="1:9" x14ac:dyDescent="0.25">
      <c r="A1220" t="s">
        <v>1146</v>
      </c>
      <c r="B1220" t="s">
        <v>328</v>
      </c>
      <c r="C1220" t="s">
        <v>1322</v>
      </c>
      <c r="D1220" t="s">
        <v>15</v>
      </c>
      <c r="E1220" s="46">
        <v>1330</v>
      </c>
      <c r="F1220" s="46">
        <v>1126.99</v>
      </c>
      <c r="G1220" s="46">
        <v>203.01</v>
      </c>
      <c r="H1220" s="46">
        <v>18.010000000000002</v>
      </c>
      <c r="I1220" t="s">
        <v>81</v>
      </c>
    </row>
    <row r="1221" spans="1:9" x14ac:dyDescent="0.25">
      <c r="A1221" t="s">
        <v>1146</v>
      </c>
      <c r="B1221" t="s">
        <v>328</v>
      </c>
      <c r="C1221" t="s">
        <v>1323</v>
      </c>
      <c r="D1221" t="s">
        <v>15</v>
      </c>
      <c r="E1221" s="46">
        <v>1330</v>
      </c>
      <c r="F1221" s="46">
        <v>1077.53</v>
      </c>
      <c r="G1221" s="46">
        <v>252.47</v>
      </c>
      <c r="H1221" s="46">
        <v>23.43</v>
      </c>
      <c r="I1221" t="s">
        <v>81</v>
      </c>
    </row>
    <row r="1222" spans="1:9" x14ac:dyDescent="0.25">
      <c r="A1222" t="s">
        <v>1146</v>
      </c>
      <c r="B1222" t="s">
        <v>328</v>
      </c>
      <c r="C1222" t="s">
        <v>1324</v>
      </c>
      <c r="D1222" t="s">
        <v>15</v>
      </c>
      <c r="E1222" s="46">
        <v>1330</v>
      </c>
      <c r="F1222" s="46">
        <v>1077.53</v>
      </c>
      <c r="G1222" s="46">
        <v>252.47</v>
      </c>
      <c r="H1222" s="46">
        <v>23.43</v>
      </c>
      <c r="I1222" t="s">
        <v>81</v>
      </c>
    </row>
    <row r="1223" spans="1:9" x14ac:dyDescent="0.25">
      <c r="A1223" t="s">
        <v>1146</v>
      </c>
      <c r="B1223" t="s">
        <v>328</v>
      </c>
      <c r="C1223" t="s">
        <v>1325</v>
      </c>
      <c r="D1223" t="s">
        <v>15</v>
      </c>
      <c r="E1223" s="46">
        <v>1330</v>
      </c>
      <c r="F1223" s="46">
        <v>1077.53</v>
      </c>
      <c r="G1223" s="46">
        <v>252.47</v>
      </c>
      <c r="H1223" s="46">
        <v>23.43</v>
      </c>
      <c r="I1223" t="s">
        <v>81</v>
      </c>
    </row>
    <row r="1224" spans="1:9" x14ac:dyDescent="0.25">
      <c r="A1224" t="s">
        <v>1146</v>
      </c>
      <c r="B1224" t="s">
        <v>328</v>
      </c>
      <c r="C1224" t="s">
        <v>1326</v>
      </c>
      <c r="D1224" t="s">
        <v>15</v>
      </c>
      <c r="E1224" s="46">
        <v>1330</v>
      </c>
      <c r="F1224" s="46">
        <v>1077.53</v>
      </c>
      <c r="G1224" s="46">
        <v>252.47</v>
      </c>
      <c r="H1224" s="46">
        <v>23.43</v>
      </c>
      <c r="I1224" t="s">
        <v>81</v>
      </c>
    </row>
    <row r="1225" spans="1:9" x14ac:dyDescent="0.25">
      <c r="A1225" t="s">
        <v>1146</v>
      </c>
      <c r="B1225" t="s">
        <v>328</v>
      </c>
      <c r="C1225" t="s">
        <v>1327</v>
      </c>
      <c r="D1225" t="s">
        <v>15</v>
      </c>
      <c r="E1225" s="46">
        <v>1330</v>
      </c>
      <c r="F1225" s="46">
        <v>1077.53</v>
      </c>
      <c r="G1225" s="46">
        <v>252.47</v>
      </c>
      <c r="H1225" s="46">
        <v>23.43</v>
      </c>
      <c r="I1225" t="s">
        <v>81</v>
      </c>
    </row>
    <row r="1226" spans="1:9" x14ac:dyDescent="0.25">
      <c r="A1226" t="s">
        <v>1146</v>
      </c>
      <c r="B1226" t="s">
        <v>328</v>
      </c>
      <c r="C1226" t="s">
        <v>1328</v>
      </c>
      <c r="D1226" t="s">
        <v>15</v>
      </c>
      <c r="E1226" s="46">
        <v>1330</v>
      </c>
      <c r="F1226" s="46">
        <v>1077.53</v>
      </c>
      <c r="G1226" s="46">
        <v>252.47</v>
      </c>
      <c r="H1226" s="46">
        <v>23.43</v>
      </c>
      <c r="I1226" t="s">
        <v>81</v>
      </c>
    </row>
    <row r="1227" spans="1:9" x14ac:dyDescent="0.25">
      <c r="A1227" t="s">
        <v>1146</v>
      </c>
      <c r="B1227" t="s">
        <v>328</v>
      </c>
      <c r="C1227" t="s">
        <v>1329</v>
      </c>
      <c r="D1227" t="s">
        <v>15</v>
      </c>
      <c r="E1227" s="46">
        <v>1330</v>
      </c>
      <c r="F1227" s="46">
        <v>1077.53</v>
      </c>
      <c r="G1227" s="46">
        <v>252.47</v>
      </c>
      <c r="H1227" s="46">
        <v>23.43</v>
      </c>
      <c r="I1227" t="s">
        <v>81</v>
      </c>
    </row>
    <row r="1228" spans="1:9" x14ac:dyDescent="0.25">
      <c r="A1228" t="s">
        <v>1146</v>
      </c>
      <c r="B1228" t="s">
        <v>328</v>
      </c>
      <c r="C1228" t="s">
        <v>1330</v>
      </c>
      <c r="D1228" t="s">
        <v>15</v>
      </c>
      <c r="E1228" s="46">
        <v>1330</v>
      </c>
      <c r="F1228" s="46">
        <v>1077.53</v>
      </c>
      <c r="G1228" s="46">
        <v>252.47</v>
      </c>
      <c r="H1228" s="46">
        <v>23.43</v>
      </c>
      <c r="I1228" t="s">
        <v>81</v>
      </c>
    </row>
    <row r="1229" spans="1:9" x14ac:dyDescent="0.25">
      <c r="A1229" t="s">
        <v>1146</v>
      </c>
      <c r="B1229" t="s">
        <v>328</v>
      </c>
      <c r="C1229" t="s">
        <v>1331</v>
      </c>
      <c r="D1229" t="s">
        <v>15</v>
      </c>
      <c r="E1229" s="46">
        <v>1330</v>
      </c>
      <c r="F1229" s="46">
        <v>1077.53</v>
      </c>
      <c r="G1229" s="46">
        <v>252.47</v>
      </c>
      <c r="H1229" s="46">
        <v>23.43</v>
      </c>
      <c r="I1229" t="s">
        <v>81</v>
      </c>
    </row>
    <row r="1230" spans="1:9" x14ac:dyDescent="0.25">
      <c r="A1230" t="s">
        <v>1146</v>
      </c>
      <c r="B1230" t="s">
        <v>328</v>
      </c>
      <c r="C1230" t="s">
        <v>1332</v>
      </c>
      <c r="D1230" t="s">
        <v>15</v>
      </c>
      <c r="E1230" s="46">
        <v>1330</v>
      </c>
      <c r="F1230" s="46">
        <v>1077.53</v>
      </c>
      <c r="G1230" s="46">
        <v>252.47</v>
      </c>
      <c r="H1230" s="46">
        <v>23.43</v>
      </c>
      <c r="I1230" t="s">
        <v>81</v>
      </c>
    </row>
    <row r="1231" spans="1:9" x14ac:dyDescent="0.25">
      <c r="A1231" t="s">
        <v>1146</v>
      </c>
      <c r="B1231" t="s">
        <v>328</v>
      </c>
      <c r="C1231" t="s">
        <v>1333</v>
      </c>
      <c r="D1231" t="s">
        <v>15</v>
      </c>
      <c r="E1231" s="46">
        <v>1330</v>
      </c>
      <c r="F1231" s="46">
        <v>1077.53</v>
      </c>
      <c r="G1231" s="46">
        <v>252.47</v>
      </c>
      <c r="H1231" s="46">
        <v>23.43</v>
      </c>
      <c r="I1231" t="s">
        <v>81</v>
      </c>
    </row>
    <row r="1232" spans="1:9" x14ac:dyDescent="0.25">
      <c r="A1232" t="s">
        <v>1146</v>
      </c>
      <c r="B1232" t="s">
        <v>328</v>
      </c>
      <c r="C1232" t="s">
        <v>1334</v>
      </c>
      <c r="D1232" t="s">
        <v>15</v>
      </c>
      <c r="E1232" s="46">
        <v>1330</v>
      </c>
      <c r="F1232" s="46">
        <v>1077.53</v>
      </c>
      <c r="G1232" s="46">
        <v>252.47</v>
      </c>
      <c r="H1232" s="46">
        <v>23.43</v>
      </c>
      <c r="I1232" t="s">
        <v>81</v>
      </c>
    </row>
    <row r="1233" spans="1:9" x14ac:dyDescent="0.25">
      <c r="A1233" s="2" t="s">
        <v>1335</v>
      </c>
      <c r="B1233" s="2" t="s">
        <v>1000</v>
      </c>
      <c r="C1233" s="2" t="s">
        <v>1336</v>
      </c>
      <c r="D1233" s="2" t="s">
        <v>15</v>
      </c>
      <c r="E1233" s="59">
        <v>1150</v>
      </c>
      <c r="F1233" s="59">
        <v>1314.3</v>
      </c>
      <c r="G1233" s="59">
        <v>-164.3</v>
      </c>
      <c r="H1233" s="59">
        <v>-12.5</v>
      </c>
      <c r="I1233" s="2" t="s">
        <v>16</v>
      </c>
    </row>
    <row r="1234" spans="1:9" x14ac:dyDescent="0.25">
      <c r="A1234" t="s">
        <v>1335</v>
      </c>
      <c r="B1234" t="s">
        <v>1337</v>
      </c>
      <c r="C1234" t="s">
        <v>1338</v>
      </c>
      <c r="D1234" t="s">
        <v>15</v>
      </c>
      <c r="E1234" s="46">
        <v>2550</v>
      </c>
      <c r="F1234" s="46">
        <v>2492.75</v>
      </c>
      <c r="G1234" s="46">
        <v>57.25</v>
      </c>
      <c r="H1234" s="46">
        <v>2.2999999999999998</v>
      </c>
      <c r="I1234" t="s">
        <v>16</v>
      </c>
    </row>
    <row r="1235" spans="1:9" x14ac:dyDescent="0.25">
      <c r="A1235" t="s">
        <v>1335</v>
      </c>
      <c r="B1235" t="s">
        <v>215</v>
      </c>
      <c r="C1235" t="s">
        <v>1340</v>
      </c>
      <c r="D1235" t="s">
        <v>644</v>
      </c>
      <c r="E1235" s="46">
        <v>4120</v>
      </c>
      <c r="F1235" s="46">
        <v>3909.15</v>
      </c>
      <c r="G1235" s="46">
        <v>210.85</v>
      </c>
      <c r="H1235" s="46">
        <v>5.39</v>
      </c>
      <c r="I1235" t="s">
        <v>23</v>
      </c>
    </row>
    <row r="1236" spans="1:9" x14ac:dyDescent="0.25">
      <c r="A1236" t="s">
        <v>1335</v>
      </c>
      <c r="B1236" t="s">
        <v>215</v>
      </c>
      <c r="C1236" t="s">
        <v>1341</v>
      </c>
      <c r="D1236" t="s">
        <v>15</v>
      </c>
      <c r="E1236" s="46">
        <v>3040</v>
      </c>
      <c r="F1236" s="46">
        <v>2945.25</v>
      </c>
      <c r="G1236" s="46">
        <v>94.75</v>
      </c>
      <c r="H1236" s="46">
        <v>3.22</v>
      </c>
      <c r="I1236" t="s">
        <v>23</v>
      </c>
    </row>
    <row r="1237" spans="1:9" x14ac:dyDescent="0.25">
      <c r="A1237" t="s">
        <v>1335</v>
      </c>
      <c r="B1237" t="s">
        <v>215</v>
      </c>
      <c r="C1237" t="s">
        <v>1342</v>
      </c>
      <c r="D1237" t="s">
        <v>490</v>
      </c>
      <c r="E1237" s="46">
        <v>2950</v>
      </c>
      <c r="F1237" s="46">
        <v>2856</v>
      </c>
      <c r="G1237" s="46">
        <v>94</v>
      </c>
      <c r="H1237" s="46">
        <v>3.29</v>
      </c>
      <c r="I1237" t="s">
        <v>23</v>
      </c>
    </row>
    <row r="1238" spans="1:9" x14ac:dyDescent="0.25">
      <c r="A1238" t="s">
        <v>1335</v>
      </c>
      <c r="B1238" t="s">
        <v>215</v>
      </c>
      <c r="C1238" t="s">
        <v>1343</v>
      </c>
      <c r="D1238" t="s">
        <v>15</v>
      </c>
      <c r="E1238" s="46">
        <v>2950</v>
      </c>
      <c r="F1238" s="46">
        <v>2650</v>
      </c>
      <c r="G1238" s="46">
        <v>300</v>
      </c>
      <c r="H1238" s="46">
        <v>11.32</v>
      </c>
      <c r="I1238" t="s">
        <v>29</v>
      </c>
    </row>
    <row r="1239" spans="1:9" x14ac:dyDescent="0.25">
      <c r="A1239" t="s">
        <v>1335</v>
      </c>
      <c r="B1239" t="s">
        <v>1344</v>
      </c>
      <c r="C1239" t="s">
        <v>1345</v>
      </c>
      <c r="D1239" t="s">
        <v>15</v>
      </c>
      <c r="E1239" s="46">
        <v>3860.75</v>
      </c>
      <c r="F1239" s="46">
        <v>3.59</v>
      </c>
      <c r="G1239" s="46">
        <v>3857.16</v>
      </c>
      <c r="H1239" s="46">
        <v>107441.78</v>
      </c>
      <c r="I1239" t="s">
        <v>23</v>
      </c>
    </row>
    <row r="1240" spans="1:9" x14ac:dyDescent="0.25">
      <c r="A1240" t="s">
        <v>1335</v>
      </c>
      <c r="B1240" t="s">
        <v>33</v>
      </c>
      <c r="C1240" t="s">
        <v>1346</v>
      </c>
      <c r="D1240" t="s">
        <v>490</v>
      </c>
      <c r="E1240" s="46">
        <v>3460</v>
      </c>
      <c r="F1240" s="46">
        <v>3337.95</v>
      </c>
      <c r="G1240" s="46">
        <v>122.05</v>
      </c>
      <c r="H1240" s="46">
        <v>3.66</v>
      </c>
      <c r="I1240" t="s">
        <v>23</v>
      </c>
    </row>
    <row r="1241" spans="1:9" x14ac:dyDescent="0.25">
      <c r="A1241" t="s">
        <v>1335</v>
      </c>
      <c r="B1241" t="s">
        <v>33</v>
      </c>
      <c r="C1241" t="s">
        <v>1347</v>
      </c>
      <c r="D1241" t="s">
        <v>15</v>
      </c>
      <c r="E1241" s="46">
        <v>4250</v>
      </c>
      <c r="F1241" s="46">
        <v>4062</v>
      </c>
      <c r="G1241" s="46">
        <v>188</v>
      </c>
      <c r="H1241" s="46">
        <v>4.63</v>
      </c>
      <c r="I1241" t="s">
        <v>23</v>
      </c>
    </row>
    <row r="1242" spans="1:9" x14ac:dyDescent="0.25">
      <c r="A1242" t="s">
        <v>1335</v>
      </c>
      <c r="B1242" t="s">
        <v>33</v>
      </c>
      <c r="C1242" t="s">
        <v>1351</v>
      </c>
      <c r="D1242" t="s">
        <v>15</v>
      </c>
      <c r="E1242" s="46">
        <v>3530</v>
      </c>
      <c r="F1242" s="46">
        <v>3337.95</v>
      </c>
      <c r="G1242" s="46">
        <v>192.05</v>
      </c>
      <c r="H1242" s="46">
        <v>5.75</v>
      </c>
      <c r="I1242" t="s">
        <v>23</v>
      </c>
    </row>
    <row r="1243" spans="1:9" x14ac:dyDescent="0.25">
      <c r="A1243" t="s">
        <v>1335</v>
      </c>
      <c r="B1243" t="s">
        <v>33</v>
      </c>
      <c r="C1243" t="s">
        <v>1352</v>
      </c>
      <c r="D1243" t="s">
        <v>15</v>
      </c>
      <c r="E1243" s="46">
        <v>3530</v>
      </c>
      <c r="F1243" s="46">
        <v>3337.95</v>
      </c>
      <c r="G1243" s="46">
        <v>192.05</v>
      </c>
      <c r="H1243" s="46">
        <v>5.75</v>
      </c>
      <c r="I1243" t="s">
        <v>23</v>
      </c>
    </row>
    <row r="1244" spans="1:9" x14ac:dyDescent="0.25">
      <c r="A1244" t="s">
        <v>1335</v>
      </c>
      <c r="B1244" t="s">
        <v>33</v>
      </c>
      <c r="C1244" t="s">
        <v>1353</v>
      </c>
      <c r="D1244" t="s">
        <v>490</v>
      </c>
      <c r="E1244" s="46">
        <v>3660</v>
      </c>
      <c r="F1244" s="46">
        <v>3409.35</v>
      </c>
      <c r="G1244" s="46">
        <v>250.65</v>
      </c>
      <c r="H1244" s="46">
        <v>7.35</v>
      </c>
      <c r="I1244" t="s">
        <v>23</v>
      </c>
    </row>
    <row r="1245" spans="1:9" x14ac:dyDescent="0.25">
      <c r="A1245" t="s">
        <v>1335</v>
      </c>
      <c r="B1245" t="s">
        <v>33</v>
      </c>
      <c r="C1245" t="s">
        <v>1354</v>
      </c>
      <c r="D1245" t="s">
        <v>15</v>
      </c>
      <c r="E1245" s="46">
        <v>3300</v>
      </c>
      <c r="F1245" s="46">
        <v>3200</v>
      </c>
      <c r="G1245" s="46">
        <v>100</v>
      </c>
      <c r="H1245" s="46">
        <v>3.13</v>
      </c>
      <c r="I1245" t="s">
        <v>29</v>
      </c>
    </row>
    <row r="1246" spans="1:9" x14ac:dyDescent="0.25">
      <c r="A1246" t="s">
        <v>1335</v>
      </c>
      <c r="B1246" t="s">
        <v>33</v>
      </c>
      <c r="C1246" t="s">
        <v>1355</v>
      </c>
      <c r="D1246" t="s">
        <v>15</v>
      </c>
      <c r="E1246" s="46">
        <v>3530</v>
      </c>
      <c r="F1246" s="46">
        <v>3337.95</v>
      </c>
      <c r="G1246" s="46">
        <v>192.05</v>
      </c>
      <c r="H1246" s="46">
        <v>5.75</v>
      </c>
      <c r="I1246" t="s">
        <v>23</v>
      </c>
    </row>
    <row r="1247" spans="1:9" x14ac:dyDescent="0.25">
      <c r="A1247" t="s">
        <v>1335</v>
      </c>
      <c r="B1247" t="s">
        <v>33</v>
      </c>
      <c r="C1247" t="s">
        <v>1356</v>
      </c>
      <c r="D1247" t="s">
        <v>490</v>
      </c>
      <c r="E1247" s="46">
        <v>3660</v>
      </c>
      <c r="F1247" s="46">
        <v>3409.35</v>
      </c>
      <c r="G1247" s="46">
        <v>250.65</v>
      </c>
      <c r="H1247" s="46">
        <v>7.35</v>
      </c>
      <c r="I1247" t="s">
        <v>23</v>
      </c>
    </row>
    <row r="1248" spans="1:9" x14ac:dyDescent="0.25">
      <c r="A1248" t="s">
        <v>1335</v>
      </c>
      <c r="B1248" t="s">
        <v>33</v>
      </c>
      <c r="C1248" t="s">
        <v>1357</v>
      </c>
      <c r="D1248" t="s">
        <v>15</v>
      </c>
      <c r="E1248" s="46">
        <v>3710</v>
      </c>
      <c r="F1248" s="46">
        <v>3409.35</v>
      </c>
      <c r="G1248" s="46">
        <v>300.64999999999998</v>
      </c>
      <c r="H1248" s="46">
        <v>8.82</v>
      </c>
      <c r="I1248" t="s">
        <v>23</v>
      </c>
    </row>
    <row r="1249" spans="1:9" x14ac:dyDescent="0.25">
      <c r="A1249" t="s">
        <v>1335</v>
      </c>
      <c r="B1249" t="s">
        <v>33</v>
      </c>
      <c r="C1249" t="s">
        <v>1358</v>
      </c>
      <c r="D1249" t="s">
        <v>490</v>
      </c>
      <c r="E1249" s="46">
        <v>3660</v>
      </c>
      <c r="F1249" s="46">
        <v>3409.35</v>
      </c>
      <c r="G1249" s="46">
        <v>250.65</v>
      </c>
      <c r="H1249" s="46">
        <v>7.35</v>
      </c>
      <c r="I1249" t="s">
        <v>23</v>
      </c>
    </row>
    <row r="1250" spans="1:9" x14ac:dyDescent="0.25">
      <c r="A1250" t="s">
        <v>1335</v>
      </c>
      <c r="B1250" t="s">
        <v>33</v>
      </c>
      <c r="C1250" t="s">
        <v>1359</v>
      </c>
      <c r="D1250" t="s">
        <v>490</v>
      </c>
      <c r="E1250" s="46">
        <v>3660</v>
      </c>
      <c r="F1250" s="46">
        <v>3409.35</v>
      </c>
      <c r="G1250" s="46">
        <v>250.65</v>
      </c>
      <c r="H1250" s="46">
        <v>7.35</v>
      </c>
      <c r="I1250" t="s">
        <v>23</v>
      </c>
    </row>
    <row r="1251" spans="1:9" x14ac:dyDescent="0.25">
      <c r="A1251" t="s">
        <v>1335</v>
      </c>
      <c r="B1251" t="s">
        <v>33</v>
      </c>
      <c r="C1251" t="s">
        <v>1360</v>
      </c>
      <c r="D1251" t="s">
        <v>490</v>
      </c>
      <c r="E1251" s="46">
        <v>3660</v>
      </c>
      <c r="F1251" s="46">
        <v>3409.35</v>
      </c>
      <c r="G1251" s="46">
        <v>250.65</v>
      </c>
      <c r="H1251" s="46">
        <v>7.35</v>
      </c>
      <c r="I1251" t="s">
        <v>23</v>
      </c>
    </row>
    <row r="1252" spans="1:9" x14ac:dyDescent="0.25">
      <c r="A1252" t="s">
        <v>1335</v>
      </c>
      <c r="B1252" t="s">
        <v>33</v>
      </c>
      <c r="C1252" t="s">
        <v>1361</v>
      </c>
      <c r="D1252" t="s">
        <v>15</v>
      </c>
      <c r="E1252" s="46">
        <v>3530</v>
      </c>
      <c r="F1252" s="46">
        <v>3337.95</v>
      </c>
      <c r="G1252" s="46">
        <v>192.05</v>
      </c>
      <c r="H1252" s="46">
        <v>5.75</v>
      </c>
      <c r="I1252" t="s">
        <v>23</v>
      </c>
    </row>
    <row r="1253" spans="1:9" x14ac:dyDescent="0.25">
      <c r="A1253" t="s">
        <v>1335</v>
      </c>
      <c r="B1253" t="s">
        <v>33</v>
      </c>
      <c r="C1253" t="s">
        <v>1362</v>
      </c>
      <c r="D1253" t="s">
        <v>15</v>
      </c>
      <c r="E1253" s="46">
        <v>3300</v>
      </c>
      <c r="F1253" s="46">
        <v>3200</v>
      </c>
      <c r="G1253" s="46">
        <v>100</v>
      </c>
      <c r="H1253" s="46">
        <v>3.13</v>
      </c>
      <c r="I1253" t="s">
        <v>29</v>
      </c>
    </row>
    <row r="1254" spans="1:9" x14ac:dyDescent="0.25">
      <c r="A1254" t="s">
        <v>1335</v>
      </c>
      <c r="B1254" t="s">
        <v>33</v>
      </c>
      <c r="C1254" t="s">
        <v>1363</v>
      </c>
      <c r="D1254" t="s">
        <v>15</v>
      </c>
      <c r="E1254" s="46">
        <v>3530</v>
      </c>
      <c r="F1254" s="46">
        <v>3409.35</v>
      </c>
      <c r="G1254" s="46">
        <v>120.65</v>
      </c>
      <c r="H1254" s="46">
        <v>3.54</v>
      </c>
      <c r="I1254" t="s">
        <v>23</v>
      </c>
    </row>
    <row r="1255" spans="1:9" x14ac:dyDescent="0.25">
      <c r="A1255" t="s">
        <v>1335</v>
      </c>
      <c r="B1255" t="s">
        <v>33</v>
      </c>
      <c r="C1255" t="s">
        <v>1364</v>
      </c>
      <c r="D1255" t="s">
        <v>490</v>
      </c>
      <c r="E1255" s="46">
        <v>3660</v>
      </c>
      <c r="F1255" s="46">
        <v>3409.35</v>
      </c>
      <c r="G1255" s="46">
        <v>250.65</v>
      </c>
      <c r="H1255" s="46">
        <v>7.35</v>
      </c>
      <c r="I1255" t="s">
        <v>23</v>
      </c>
    </row>
    <row r="1256" spans="1:9" x14ac:dyDescent="0.25">
      <c r="A1256" t="s">
        <v>1335</v>
      </c>
      <c r="B1256" t="s">
        <v>33</v>
      </c>
      <c r="C1256" t="s">
        <v>1365</v>
      </c>
      <c r="D1256" t="s">
        <v>490</v>
      </c>
      <c r="E1256" s="46">
        <v>3660</v>
      </c>
      <c r="F1256" s="46">
        <v>3409.35</v>
      </c>
      <c r="G1256" s="46">
        <v>250.65</v>
      </c>
      <c r="H1256" s="46">
        <v>7.35</v>
      </c>
      <c r="I1256" t="s">
        <v>23</v>
      </c>
    </row>
    <row r="1257" spans="1:9" x14ac:dyDescent="0.25">
      <c r="A1257" t="s">
        <v>1335</v>
      </c>
      <c r="B1257" t="s">
        <v>33</v>
      </c>
      <c r="C1257" t="s">
        <v>1366</v>
      </c>
      <c r="D1257" t="s">
        <v>15</v>
      </c>
      <c r="E1257" s="46">
        <v>3710</v>
      </c>
      <c r="F1257" s="46">
        <v>3409.35</v>
      </c>
      <c r="G1257" s="46">
        <v>300.64999999999998</v>
      </c>
      <c r="H1257" s="46">
        <v>8.82</v>
      </c>
      <c r="I1257" t="s">
        <v>23</v>
      </c>
    </row>
    <row r="1258" spans="1:9" x14ac:dyDescent="0.25">
      <c r="A1258" t="s">
        <v>1335</v>
      </c>
      <c r="B1258" t="s">
        <v>33</v>
      </c>
      <c r="C1258" t="s">
        <v>1367</v>
      </c>
      <c r="D1258" t="s">
        <v>15</v>
      </c>
      <c r="E1258" s="46">
        <v>3530</v>
      </c>
      <c r="F1258" s="46">
        <v>3337.95</v>
      </c>
      <c r="G1258" s="46">
        <v>192.05</v>
      </c>
      <c r="H1258" s="46">
        <v>5.75</v>
      </c>
      <c r="I1258" t="s">
        <v>23</v>
      </c>
    </row>
    <row r="1259" spans="1:9" x14ac:dyDescent="0.25">
      <c r="A1259" t="s">
        <v>1335</v>
      </c>
      <c r="B1259" t="s">
        <v>33</v>
      </c>
      <c r="C1259" t="s">
        <v>1368</v>
      </c>
      <c r="D1259" t="s">
        <v>15</v>
      </c>
      <c r="E1259" s="46">
        <v>3530</v>
      </c>
      <c r="F1259" s="46">
        <v>3337.95</v>
      </c>
      <c r="G1259" s="46">
        <v>192.05</v>
      </c>
      <c r="H1259" s="46">
        <v>5.75</v>
      </c>
      <c r="I1259" t="s">
        <v>23</v>
      </c>
    </row>
    <row r="1260" spans="1:9" x14ac:dyDescent="0.25">
      <c r="A1260" t="s">
        <v>1335</v>
      </c>
      <c r="B1260" t="s">
        <v>33</v>
      </c>
      <c r="C1260" t="s">
        <v>1369</v>
      </c>
      <c r="D1260" t="s">
        <v>490</v>
      </c>
      <c r="E1260" s="46">
        <v>3460</v>
      </c>
      <c r="F1260" s="46">
        <v>3337.95</v>
      </c>
      <c r="G1260" s="46">
        <v>122.05</v>
      </c>
      <c r="H1260" s="46">
        <v>3.66</v>
      </c>
      <c r="I1260" t="s">
        <v>23</v>
      </c>
    </row>
    <row r="1261" spans="1:9" x14ac:dyDescent="0.25">
      <c r="A1261" t="s">
        <v>1335</v>
      </c>
      <c r="B1261" t="s">
        <v>33</v>
      </c>
      <c r="C1261" t="s">
        <v>1370</v>
      </c>
      <c r="D1261" t="s">
        <v>15</v>
      </c>
      <c r="E1261" s="46">
        <v>3530</v>
      </c>
      <c r="F1261" s="46">
        <v>3337.95</v>
      </c>
      <c r="G1261" s="46">
        <v>192.05</v>
      </c>
      <c r="H1261" s="46">
        <v>5.75</v>
      </c>
      <c r="I1261" t="s">
        <v>23</v>
      </c>
    </row>
    <row r="1262" spans="1:9" x14ac:dyDescent="0.25">
      <c r="A1262" t="s">
        <v>1335</v>
      </c>
      <c r="B1262" t="s">
        <v>33</v>
      </c>
      <c r="C1262" t="s">
        <v>1371</v>
      </c>
      <c r="D1262" t="s">
        <v>15</v>
      </c>
      <c r="E1262" s="46">
        <v>3530</v>
      </c>
      <c r="F1262" s="46">
        <v>3337.95</v>
      </c>
      <c r="G1262" s="46">
        <v>192.05</v>
      </c>
      <c r="H1262" s="46">
        <v>5.75</v>
      </c>
      <c r="I1262" t="s">
        <v>23</v>
      </c>
    </row>
    <row r="1263" spans="1:9" x14ac:dyDescent="0.25">
      <c r="A1263" t="s">
        <v>1335</v>
      </c>
      <c r="B1263" t="s">
        <v>33</v>
      </c>
      <c r="C1263" t="s">
        <v>1372</v>
      </c>
      <c r="D1263" t="s">
        <v>15</v>
      </c>
      <c r="E1263" s="46">
        <v>3530</v>
      </c>
      <c r="F1263" s="46">
        <v>3337.95</v>
      </c>
      <c r="G1263" s="46">
        <v>192.05</v>
      </c>
      <c r="H1263" s="46">
        <v>5.75</v>
      </c>
      <c r="I1263" t="s">
        <v>23</v>
      </c>
    </row>
    <row r="1264" spans="1:9" x14ac:dyDescent="0.25">
      <c r="A1264" t="s">
        <v>1335</v>
      </c>
      <c r="B1264" t="s">
        <v>33</v>
      </c>
      <c r="C1264" t="s">
        <v>1373</v>
      </c>
      <c r="D1264" t="s">
        <v>15</v>
      </c>
      <c r="E1264" s="46">
        <v>3710</v>
      </c>
      <c r="F1264" s="46">
        <v>3409.35</v>
      </c>
      <c r="G1264" s="46">
        <v>300.64999999999998</v>
      </c>
      <c r="H1264" s="46">
        <v>8.82</v>
      </c>
      <c r="I1264" t="s">
        <v>23</v>
      </c>
    </row>
    <row r="1265" spans="1:9" x14ac:dyDescent="0.25">
      <c r="A1265" t="s">
        <v>1335</v>
      </c>
      <c r="B1265" t="s">
        <v>33</v>
      </c>
      <c r="C1265" t="s">
        <v>1374</v>
      </c>
      <c r="D1265" t="s">
        <v>15</v>
      </c>
      <c r="E1265" s="46">
        <v>3710</v>
      </c>
      <c r="F1265" s="46">
        <v>3409.35</v>
      </c>
      <c r="G1265" s="46">
        <v>300.64999999999998</v>
      </c>
      <c r="H1265" s="46">
        <v>8.82</v>
      </c>
      <c r="I1265" t="s">
        <v>23</v>
      </c>
    </row>
    <row r="1266" spans="1:9" x14ac:dyDescent="0.25">
      <c r="A1266" t="s">
        <v>1335</v>
      </c>
      <c r="B1266" t="s">
        <v>33</v>
      </c>
      <c r="C1266" t="s">
        <v>1375</v>
      </c>
      <c r="D1266" t="s">
        <v>15</v>
      </c>
      <c r="E1266" s="46">
        <v>3530</v>
      </c>
      <c r="F1266" s="46">
        <v>3337.95</v>
      </c>
      <c r="G1266" s="46">
        <v>192.05</v>
      </c>
      <c r="H1266" s="46">
        <v>5.75</v>
      </c>
      <c r="I1266" t="s">
        <v>23</v>
      </c>
    </row>
    <row r="1267" spans="1:9" x14ac:dyDescent="0.25">
      <c r="A1267" t="s">
        <v>1335</v>
      </c>
      <c r="B1267" t="s">
        <v>33</v>
      </c>
      <c r="C1267" t="s">
        <v>1376</v>
      </c>
      <c r="D1267" t="s">
        <v>15</v>
      </c>
      <c r="E1267" s="46">
        <v>3300</v>
      </c>
      <c r="F1267" s="46">
        <v>3200</v>
      </c>
      <c r="G1267" s="46">
        <v>100</v>
      </c>
      <c r="H1267" s="46">
        <v>3.13</v>
      </c>
      <c r="I1267" t="s">
        <v>29</v>
      </c>
    </row>
    <row r="1268" spans="1:9" x14ac:dyDescent="0.25">
      <c r="A1268" t="s">
        <v>1335</v>
      </c>
      <c r="B1268" t="s">
        <v>33</v>
      </c>
      <c r="C1268" t="s">
        <v>1377</v>
      </c>
      <c r="D1268" t="s">
        <v>490</v>
      </c>
      <c r="E1268" s="46">
        <v>3660</v>
      </c>
      <c r="F1268" s="46">
        <v>3409.35</v>
      </c>
      <c r="G1268" s="46">
        <v>250.65</v>
      </c>
      <c r="H1268" s="46">
        <v>7.35</v>
      </c>
      <c r="I1268" t="s">
        <v>23</v>
      </c>
    </row>
    <row r="1269" spans="1:9" x14ac:dyDescent="0.25">
      <c r="A1269" t="s">
        <v>1335</v>
      </c>
      <c r="B1269" t="s">
        <v>33</v>
      </c>
      <c r="C1269" t="s">
        <v>1378</v>
      </c>
      <c r="D1269" t="s">
        <v>15</v>
      </c>
      <c r="E1269" s="46">
        <v>3710</v>
      </c>
      <c r="F1269" s="46">
        <v>3409.35</v>
      </c>
      <c r="G1269" s="46">
        <v>300.64999999999998</v>
      </c>
      <c r="H1269" s="46">
        <v>8.82</v>
      </c>
      <c r="I1269" t="s">
        <v>23</v>
      </c>
    </row>
    <row r="1270" spans="1:9" x14ac:dyDescent="0.25">
      <c r="A1270" t="s">
        <v>1335</v>
      </c>
      <c r="B1270" t="s">
        <v>33</v>
      </c>
      <c r="C1270" t="s">
        <v>1379</v>
      </c>
      <c r="D1270" t="s">
        <v>15</v>
      </c>
      <c r="E1270" s="46">
        <v>3530</v>
      </c>
      <c r="F1270" s="46">
        <v>3337.95</v>
      </c>
      <c r="G1270" s="46">
        <v>192.05</v>
      </c>
      <c r="H1270" s="46">
        <v>5.75</v>
      </c>
      <c r="I1270" t="s">
        <v>23</v>
      </c>
    </row>
    <row r="1271" spans="1:9" x14ac:dyDescent="0.25">
      <c r="A1271" t="s">
        <v>1335</v>
      </c>
      <c r="B1271" t="s">
        <v>33</v>
      </c>
      <c r="C1271" t="s">
        <v>1380</v>
      </c>
      <c r="D1271" t="s">
        <v>15</v>
      </c>
      <c r="E1271" s="46">
        <v>3530</v>
      </c>
      <c r="F1271" s="46">
        <v>3337.95</v>
      </c>
      <c r="G1271" s="46">
        <v>192.05</v>
      </c>
      <c r="H1271" s="46">
        <v>5.75</v>
      </c>
      <c r="I1271" t="s">
        <v>23</v>
      </c>
    </row>
    <row r="1272" spans="1:9" x14ac:dyDescent="0.25">
      <c r="A1272" t="s">
        <v>1335</v>
      </c>
      <c r="B1272" t="s">
        <v>33</v>
      </c>
      <c r="C1272" t="s">
        <v>1381</v>
      </c>
      <c r="D1272" t="s">
        <v>15</v>
      </c>
      <c r="E1272" s="46">
        <v>3530</v>
      </c>
      <c r="F1272" s="46">
        <v>3337.95</v>
      </c>
      <c r="G1272" s="46">
        <v>192.05</v>
      </c>
      <c r="H1272" s="46">
        <v>5.75</v>
      </c>
      <c r="I1272" t="s">
        <v>23</v>
      </c>
    </row>
    <row r="1273" spans="1:9" x14ac:dyDescent="0.25">
      <c r="A1273" t="s">
        <v>1335</v>
      </c>
      <c r="B1273" t="s">
        <v>33</v>
      </c>
      <c r="C1273" t="s">
        <v>1382</v>
      </c>
      <c r="D1273" t="s">
        <v>15</v>
      </c>
      <c r="E1273" s="46">
        <v>3530</v>
      </c>
      <c r="F1273" s="46">
        <v>3337.95</v>
      </c>
      <c r="G1273" s="46">
        <v>192.05</v>
      </c>
      <c r="H1273" s="46">
        <v>5.75</v>
      </c>
      <c r="I1273" t="s">
        <v>23</v>
      </c>
    </row>
    <row r="1274" spans="1:9" x14ac:dyDescent="0.25">
      <c r="A1274" t="s">
        <v>1335</v>
      </c>
      <c r="B1274" t="s">
        <v>33</v>
      </c>
      <c r="C1274" t="s">
        <v>1383</v>
      </c>
      <c r="D1274" t="s">
        <v>490</v>
      </c>
      <c r="E1274" s="46">
        <v>3650</v>
      </c>
      <c r="F1274" s="46">
        <v>3409.35</v>
      </c>
      <c r="G1274" s="46">
        <v>240.65</v>
      </c>
      <c r="H1274" s="46">
        <v>7.06</v>
      </c>
      <c r="I1274" t="s">
        <v>23</v>
      </c>
    </row>
    <row r="1275" spans="1:9" x14ac:dyDescent="0.25">
      <c r="A1275" t="s">
        <v>1335</v>
      </c>
      <c r="B1275" t="s">
        <v>33</v>
      </c>
      <c r="C1275" t="s">
        <v>1384</v>
      </c>
      <c r="D1275" t="s">
        <v>15</v>
      </c>
      <c r="E1275" s="46">
        <v>3530</v>
      </c>
      <c r="F1275" s="46">
        <v>3337.95</v>
      </c>
      <c r="G1275" s="46">
        <v>192.05</v>
      </c>
      <c r="H1275" s="46">
        <v>5.75</v>
      </c>
      <c r="I1275" t="s">
        <v>23</v>
      </c>
    </row>
    <row r="1276" spans="1:9" x14ac:dyDescent="0.25">
      <c r="A1276" t="s">
        <v>1335</v>
      </c>
      <c r="B1276" t="s">
        <v>33</v>
      </c>
      <c r="C1276" t="s">
        <v>1385</v>
      </c>
      <c r="D1276" t="s">
        <v>15</v>
      </c>
      <c r="E1276" s="46">
        <v>3710</v>
      </c>
      <c r="F1276" s="46">
        <v>3409.35</v>
      </c>
      <c r="G1276" s="46">
        <v>300.64999999999998</v>
      </c>
      <c r="H1276" s="46">
        <v>8.82</v>
      </c>
      <c r="I1276" t="s">
        <v>23</v>
      </c>
    </row>
    <row r="1277" spans="1:9" x14ac:dyDescent="0.25">
      <c r="A1277" t="s">
        <v>1335</v>
      </c>
      <c r="B1277" t="s">
        <v>1387</v>
      </c>
      <c r="C1277" t="s">
        <v>1388</v>
      </c>
      <c r="D1277" t="s">
        <v>15</v>
      </c>
      <c r="E1277" s="46">
        <v>1620</v>
      </c>
      <c r="F1277" s="46">
        <v>1513.37</v>
      </c>
      <c r="G1277" s="46">
        <v>106.63</v>
      </c>
      <c r="H1277" s="46">
        <v>7.05</v>
      </c>
      <c r="I1277" t="s">
        <v>16</v>
      </c>
    </row>
    <row r="1278" spans="1:9" x14ac:dyDescent="0.25">
      <c r="A1278" t="s">
        <v>1335</v>
      </c>
      <c r="B1278" t="s">
        <v>1387</v>
      </c>
      <c r="C1278" t="s">
        <v>1389</v>
      </c>
      <c r="D1278" t="s">
        <v>15</v>
      </c>
      <c r="E1278" s="46">
        <v>1620</v>
      </c>
      <c r="F1278" s="46">
        <v>1513.37</v>
      </c>
      <c r="G1278" s="46">
        <v>106.63</v>
      </c>
      <c r="H1278" s="46">
        <v>7.05</v>
      </c>
      <c r="I1278" t="s">
        <v>16</v>
      </c>
    </row>
    <row r="1279" spans="1:9" x14ac:dyDescent="0.25">
      <c r="A1279" t="s">
        <v>1335</v>
      </c>
      <c r="B1279" t="s">
        <v>1387</v>
      </c>
      <c r="C1279" t="s">
        <v>1390</v>
      </c>
      <c r="D1279" t="s">
        <v>15</v>
      </c>
      <c r="E1279" s="46">
        <v>1620</v>
      </c>
      <c r="F1279" s="46">
        <v>1513.37</v>
      </c>
      <c r="G1279" s="46">
        <v>106.63</v>
      </c>
      <c r="H1279" s="46">
        <v>7.05</v>
      </c>
      <c r="I1279" t="s">
        <v>16</v>
      </c>
    </row>
    <row r="1280" spans="1:9" x14ac:dyDescent="0.25">
      <c r="A1280" t="s">
        <v>1335</v>
      </c>
      <c r="B1280" t="s">
        <v>1387</v>
      </c>
      <c r="C1280" t="s">
        <v>1391</v>
      </c>
      <c r="D1280" t="s">
        <v>15</v>
      </c>
      <c r="E1280" s="46">
        <v>1620</v>
      </c>
      <c r="F1280" s="46">
        <v>1513.37</v>
      </c>
      <c r="G1280" s="46">
        <v>106.63</v>
      </c>
      <c r="H1280" s="46">
        <v>7.05</v>
      </c>
      <c r="I1280" t="s">
        <v>16</v>
      </c>
    </row>
    <row r="1281" spans="1:9" x14ac:dyDescent="0.25">
      <c r="A1281" t="s">
        <v>1335</v>
      </c>
      <c r="B1281" t="s">
        <v>1387</v>
      </c>
      <c r="C1281" t="s">
        <v>1392</v>
      </c>
      <c r="D1281" t="s">
        <v>15</v>
      </c>
      <c r="E1281" s="46">
        <v>1620</v>
      </c>
      <c r="F1281" s="46">
        <v>1513.37</v>
      </c>
      <c r="G1281" s="46">
        <v>106.63</v>
      </c>
      <c r="H1281" s="46">
        <v>7.05</v>
      </c>
      <c r="I1281" t="s">
        <v>16</v>
      </c>
    </row>
    <row r="1282" spans="1:9" x14ac:dyDescent="0.25">
      <c r="A1282" t="s">
        <v>1335</v>
      </c>
      <c r="B1282" t="s">
        <v>1387</v>
      </c>
      <c r="C1282" t="s">
        <v>1393</v>
      </c>
      <c r="D1282" t="s">
        <v>15</v>
      </c>
      <c r="E1282" s="46">
        <v>1620</v>
      </c>
      <c r="F1282" s="46">
        <v>1513.37</v>
      </c>
      <c r="G1282" s="46">
        <v>106.63</v>
      </c>
      <c r="H1282" s="46">
        <v>7.05</v>
      </c>
      <c r="I1282" t="s">
        <v>16</v>
      </c>
    </row>
    <row r="1283" spans="1:9" x14ac:dyDescent="0.25">
      <c r="A1283" t="s">
        <v>1335</v>
      </c>
      <c r="B1283" t="s">
        <v>1387</v>
      </c>
      <c r="C1283" t="s">
        <v>1394</v>
      </c>
      <c r="D1283" t="s">
        <v>15</v>
      </c>
      <c r="E1283" s="46">
        <v>1620</v>
      </c>
      <c r="F1283" s="46">
        <v>1513.33</v>
      </c>
      <c r="G1283" s="46">
        <v>106.67</v>
      </c>
      <c r="H1283" s="46">
        <v>7.05</v>
      </c>
      <c r="I1283" t="s">
        <v>16</v>
      </c>
    </row>
    <row r="1284" spans="1:9" x14ac:dyDescent="0.25">
      <c r="A1284" t="s">
        <v>1335</v>
      </c>
      <c r="B1284" t="s">
        <v>1387</v>
      </c>
      <c r="C1284" t="s">
        <v>1395</v>
      </c>
      <c r="D1284" t="s">
        <v>15</v>
      </c>
      <c r="E1284" s="46">
        <v>1620</v>
      </c>
      <c r="F1284" s="46">
        <v>1495.18</v>
      </c>
      <c r="G1284" s="46">
        <v>124.82</v>
      </c>
      <c r="H1284" s="46">
        <v>8.35</v>
      </c>
      <c r="I1284" t="s">
        <v>16</v>
      </c>
    </row>
    <row r="1285" spans="1:9" x14ac:dyDescent="0.25">
      <c r="A1285" t="s">
        <v>1335</v>
      </c>
      <c r="B1285" t="s">
        <v>1387</v>
      </c>
      <c r="C1285" t="s">
        <v>1396</v>
      </c>
      <c r="D1285" t="s">
        <v>15</v>
      </c>
      <c r="E1285" s="46">
        <v>1620</v>
      </c>
      <c r="F1285" s="46">
        <v>1513.37</v>
      </c>
      <c r="G1285" s="46">
        <v>106.63</v>
      </c>
      <c r="H1285" s="46">
        <v>7.05</v>
      </c>
      <c r="I1285" t="s">
        <v>16</v>
      </c>
    </row>
    <row r="1286" spans="1:9" x14ac:dyDescent="0.25">
      <c r="A1286" t="s">
        <v>1335</v>
      </c>
      <c r="B1286" t="s">
        <v>1387</v>
      </c>
      <c r="C1286" t="s">
        <v>1397</v>
      </c>
      <c r="D1286" t="s">
        <v>15</v>
      </c>
      <c r="E1286" s="46">
        <v>1620</v>
      </c>
      <c r="F1286" s="46">
        <v>1527.53</v>
      </c>
      <c r="G1286" s="46">
        <v>92.47</v>
      </c>
      <c r="H1286" s="46">
        <v>6.05</v>
      </c>
      <c r="I1286" t="s">
        <v>81</v>
      </c>
    </row>
    <row r="1287" spans="1:9" x14ac:dyDescent="0.25">
      <c r="A1287" t="s">
        <v>1335</v>
      </c>
      <c r="B1287" t="s">
        <v>1387</v>
      </c>
      <c r="C1287" t="s">
        <v>1398</v>
      </c>
      <c r="D1287" t="s">
        <v>15</v>
      </c>
      <c r="E1287" s="46">
        <v>1620</v>
      </c>
      <c r="F1287" s="46">
        <v>1527.53</v>
      </c>
      <c r="G1287" s="46">
        <v>92.47</v>
      </c>
      <c r="H1287" s="46">
        <v>6.05</v>
      </c>
      <c r="I1287" t="s">
        <v>81</v>
      </c>
    </row>
    <row r="1288" spans="1:9" x14ac:dyDescent="0.25">
      <c r="A1288" t="s">
        <v>1335</v>
      </c>
      <c r="B1288" t="s">
        <v>1387</v>
      </c>
      <c r="C1288" t="s">
        <v>1399</v>
      </c>
      <c r="D1288" t="s">
        <v>15</v>
      </c>
      <c r="E1288" s="46">
        <v>1620</v>
      </c>
      <c r="F1288" s="46">
        <v>1527.53</v>
      </c>
      <c r="G1288" s="46">
        <v>92.47</v>
      </c>
      <c r="H1288" s="46">
        <v>6.05</v>
      </c>
      <c r="I1288" t="s">
        <v>81</v>
      </c>
    </row>
    <row r="1289" spans="1:9" x14ac:dyDescent="0.25">
      <c r="A1289" s="2" t="s">
        <v>1335</v>
      </c>
      <c r="B1289" s="2" t="s">
        <v>500</v>
      </c>
      <c r="C1289" s="2" t="s">
        <v>1400</v>
      </c>
      <c r="D1289" s="2" t="s">
        <v>15</v>
      </c>
      <c r="E1289" s="59">
        <v>955</v>
      </c>
      <c r="F1289" s="59">
        <v>1002.48</v>
      </c>
      <c r="G1289" s="59">
        <v>-47.48</v>
      </c>
      <c r="H1289" s="59">
        <v>-4.74</v>
      </c>
      <c r="I1289" s="2" t="s">
        <v>81</v>
      </c>
    </row>
    <row r="1290" spans="1:9" x14ac:dyDescent="0.25">
      <c r="A1290" s="2" t="s">
        <v>1335</v>
      </c>
      <c r="B1290" s="2" t="s">
        <v>500</v>
      </c>
      <c r="C1290" s="2" t="s">
        <v>1401</v>
      </c>
      <c r="D1290" s="2" t="s">
        <v>15</v>
      </c>
      <c r="E1290" s="59">
        <v>955</v>
      </c>
      <c r="F1290" s="59">
        <v>1002.48</v>
      </c>
      <c r="G1290" s="59">
        <v>-47.48</v>
      </c>
      <c r="H1290" s="59">
        <v>-4.74</v>
      </c>
      <c r="I1290" s="2" t="s">
        <v>81</v>
      </c>
    </row>
    <row r="1291" spans="1:9" x14ac:dyDescent="0.25">
      <c r="A1291" s="2" t="s">
        <v>1335</v>
      </c>
      <c r="B1291" s="2" t="s">
        <v>500</v>
      </c>
      <c r="C1291" s="2" t="s">
        <v>1402</v>
      </c>
      <c r="D1291" s="2" t="s">
        <v>15</v>
      </c>
      <c r="E1291" s="59">
        <v>955</v>
      </c>
      <c r="F1291" s="59">
        <v>1002.48</v>
      </c>
      <c r="G1291" s="59">
        <v>-47.48</v>
      </c>
      <c r="H1291" s="59">
        <v>-4.74</v>
      </c>
      <c r="I1291" s="2" t="s">
        <v>81</v>
      </c>
    </row>
    <row r="1292" spans="1:9" x14ac:dyDescent="0.25">
      <c r="A1292" s="2" t="s">
        <v>1335</v>
      </c>
      <c r="B1292" s="2" t="s">
        <v>500</v>
      </c>
      <c r="C1292" s="2" t="s">
        <v>1403</v>
      </c>
      <c r="D1292" s="2" t="s">
        <v>15</v>
      </c>
      <c r="E1292" s="59">
        <v>955</v>
      </c>
      <c r="F1292" s="59">
        <v>1002.48</v>
      </c>
      <c r="G1292" s="59">
        <v>-47.48</v>
      </c>
      <c r="H1292" s="59">
        <v>-4.74</v>
      </c>
      <c r="I1292" s="2" t="s">
        <v>81</v>
      </c>
    </row>
    <row r="1293" spans="1:9" x14ac:dyDescent="0.25">
      <c r="A1293" s="2" t="s">
        <v>1335</v>
      </c>
      <c r="B1293" s="2" t="s">
        <v>500</v>
      </c>
      <c r="C1293" s="2" t="s">
        <v>1404</v>
      </c>
      <c r="D1293" s="2" t="s">
        <v>15</v>
      </c>
      <c r="E1293" s="59">
        <v>955</v>
      </c>
      <c r="F1293" s="59">
        <v>1002.48</v>
      </c>
      <c r="G1293" s="59">
        <v>-47.48</v>
      </c>
      <c r="H1293" s="59">
        <v>-4.74</v>
      </c>
      <c r="I1293" s="2" t="s">
        <v>81</v>
      </c>
    </row>
    <row r="1294" spans="1:9" x14ac:dyDescent="0.25">
      <c r="A1294" s="2" t="s">
        <v>1335</v>
      </c>
      <c r="B1294" s="2" t="s">
        <v>500</v>
      </c>
      <c r="C1294" s="2" t="s">
        <v>1405</v>
      </c>
      <c r="D1294" s="2" t="s">
        <v>15</v>
      </c>
      <c r="E1294" s="59">
        <v>955</v>
      </c>
      <c r="F1294" s="59">
        <v>1002.48</v>
      </c>
      <c r="G1294" s="59">
        <v>-47.48</v>
      </c>
      <c r="H1294" s="59">
        <v>-4.74</v>
      </c>
      <c r="I1294" s="2" t="s">
        <v>81</v>
      </c>
    </row>
    <row r="1295" spans="1:9" x14ac:dyDescent="0.25">
      <c r="A1295" s="2" t="s">
        <v>1335</v>
      </c>
      <c r="B1295" s="2" t="s">
        <v>500</v>
      </c>
      <c r="C1295" s="2" t="s">
        <v>1406</v>
      </c>
      <c r="D1295" s="2" t="s">
        <v>15</v>
      </c>
      <c r="E1295" s="59">
        <v>955</v>
      </c>
      <c r="F1295" s="59">
        <v>1002.48</v>
      </c>
      <c r="G1295" s="59">
        <v>-47.48</v>
      </c>
      <c r="H1295" s="59">
        <v>-4.74</v>
      </c>
      <c r="I1295" s="2" t="s">
        <v>81</v>
      </c>
    </row>
    <row r="1296" spans="1:9" x14ac:dyDescent="0.25">
      <c r="A1296" s="2" t="s">
        <v>1335</v>
      </c>
      <c r="B1296" s="2" t="s">
        <v>500</v>
      </c>
      <c r="C1296" s="2" t="s">
        <v>1407</v>
      </c>
      <c r="D1296" s="2" t="s">
        <v>15</v>
      </c>
      <c r="E1296" s="59">
        <v>955</v>
      </c>
      <c r="F1296" s="59">
        <v>1002.48</v>
      </c>
      <c r="G1296" s="59">
        <v>-47.48</v>
      </c>
      <c r="H1296" s="59">
        <v>-4.74</v>
      </c>
      <c r="I1296" s="2" t="s">
        <v>81</v>
      </c>
    </row>
    <row r="1297" spans="1:9" x14ac:dyDescent="0.25">
      <c r="A1297" t="s">
        <v>1335</v>
      </c>
      <c r="B1297" t="s">
        <v>500</v>
      </c>
      <c r="C1297" t="s">
        <v>1408</v>
      </c>
      <c r="D1297" t="s">
        <v>15</v>
      </c>
      <c r="E1297" s="46">
        <v>955</v>
      </c>
      <c r="F1297" s="46">
        <v>743.37</v>
      </c>
      <c r="G1297" s="46">
        <v>211.63</v>
      </c>
      <c r="H1297" s="46">
        <v>28.47</v>
      </c>
      <c r="I1297" t="s">
        <v>81</v>
      </c>
    </row>
    <row r="1298" spans="1:9" x14ac:dyDescent="0.25">
      <c r="A1298" t="s">
        <v>1335</v>
      </c>
      <c r="B1298" t="s">
        <v>500</v>
      </c>
      <c r="C1298" t="s">
        <v>1409</v>
      </c>
      <c r="D1298" t="s">
        <v>15</v>
      </c>
      <c r="E1298" s="46">
        <v>955</v>
      </c>
      <c r="F1298" s="46">
        <v>743.37</v>
      </c>
      <c r="G1298" s="46">
        <v>211.63</v>
      </c>
      <c r="H1298" s="46">
        <v>28.47</v>
      </c>
      <c r="I1298" t="s">
        <v>81</v>
      </c>
    </row>
    <row r="1299" spans="1:9" x14ac:dyDescent="0.25">
      <c r="A1299" t="s">
        <v>1335</v>
      </c>
      <c r="B1299" t="s">
        <v>328</v>
      </c>
      <c r="C1299" t="s">
        <v>1410</v>
      </c>
      <c r="D1299" t="s">
        <v>15</v>
      </c>
      <c r="E1299" s="46">
        <v>1325</v>
      </c>
      <c r="F1299" s="46">
        <v>1077.53</v>
      </c>
      <c r="G1299" s="46">
        <v>247.47</v>
      </c>
      <c r="H1299" s="46">
        <v>22.97</v>
      </c>
      <c r="I1299" t="s">
        <v>81</v>
      </c>
    </row>
    <row r="1300" spans="1:9" x14ac:dyDescent="0.25">
      <c r="A1300" t="s">
        <v>1335</v>
      </c>
      <c r="B1300" t="s">
        <v>328</v>
      </c>
      <c r="C1300" t="s">
        <v>1411</v>
      </c>
      <c r="D1300" t="s">
        <v>15</v>
      </c>
      <c r="E1300" s="46">
        <v>1325</v>
      </c>
      <c r="F1300" s="46">
        <v>1077.53</v>
      </c>
      <c r="G1300" s="46">
        <v>247.47</v>
      </c>
      <c r="H1300" s="46">
        <v>22.97</v>
      </c>
      <c r="I1300" t="s">
        <v>81</v>
      </c>
    </row>
    <row r="1301" spans="1:9" x14ac:dyDescent="0.25">
      <c r="A1301" t="s">
        <v>1335</v>
      </c>
      <c r="B1301" t="s">
        <v>328</v>
      </c>
      <c r="C1301" t="s">
        <v>1412</v>
      </c>
      <c r="D1301" t="s">
        <v>15</v>
      </c>
      <c r="E1301" s="46">
        <v>1325</v>
      </c>
      <c r="F1301" s="46">
        <v>1077.53</v>
      </c>
      <c r="G1301" s="46">
        <v>247.47</v>
      </c>
      <c r="H1301" s="46">
        <v>22.97</v>
      </c>
      <c r="I1301" t="s">
        <v>81</v>
      </c>
    </row>
    <row r="1302" spans="1:9" x14ac:dyDescent="0.25">
      <c r="A1302" t="s">
        <v>1335</v>
      </c>
      <c r="B1302" t="s">
        <v>328</v>
      </c>
      <c r="C1302" t="s">
        <v>1413</v>
      </c>
      <c r="D1302" t="s">
        <v>15</v>
      </c>
      <c r="E1302" s="46">
        <v>1325</v>
      </c>
      <c r="F1302" s="46">
        <v>1077.53</v>
      </c>
      <c r="G1302" s="46">
        <v>247.47</v>
      </c>
      <c r="H1302" s="46">
        <v>22.97</v>
      </c>
      <c r="I1302" t="s">
        <v>81</v>
      </c>
    </row>
    <row r="1303" spans="1:9" x14ac:dyDescent="0.25">
      <c r="A1303" t="s">
        <v>1335</v>
      </c>
      <c r="B1303" t="s">
        <v>328</v>
      </c>
      <c r="C1303" t="s">
        <v>1414</v>
      </c>
      <c r="D1303" t="s">
        <v>15</v>
      </c>
      <c r="E1303" s="46">
        <v>1325</v>
      </c>
      <c r="F1303" s="46">
        <v>1077.53</v>
      </c>
      <c r="G1303" s="46">
        <v>247.47</v>
      </c>
      <c r="H1303" s="46">
        <v>22.97</v>
      </c>
      <c r="I1303" t="s">
        <v>81</v>
      </c>
    </row>
    <row r="1304" spans="1:9" x14ac:dyDescent="0.25">
      <c r="A1304" t="s">
        <v>1335</v>
      </c>
      <c r="B1304" t="s">
        <v>328</v>
      </c>
      <c r="C1304" t="s">
        <v>1415</v>
      </c>
      <c r="D1304" t="s">
        <v>15</v>
      </c>
      <c r="E1304" s="46">
        <v>1325</v>
      </c>
      <c r="F1304" s="46">
        <v>1077.53</v>
      </c>
      <c r="G1304" s="46">
        <v>247.47</v>
      </c>
      <c r="H1304" s="46">
        <v>22.97</v>
      </c>
      <c r="I1304" t="s">
        <v>81</v>
      </c>
    </row>
    <row r="1305" spans="1:9" x14ac:dyDescent="0.25">
      <c r="A1305" t="s">
        <v>1335</v>
      </c>
      <c r="B1305" t="s">
        <v>328</v>
      </c>
      <c r="C1305" t="s">
        <v>1416</v>
      </c>
      <c r="D1305" t="s">
        <v>15</v>
      </c>
      <c r="E1305" s="46">
        <v>1325</v>
      </c>
      <c r="F1305" s="46">
        <v>1077.53</v>
      </c>
      <c r="G1305" s="46">
        <v>247.47</v>
      </c>
      <c r="H1305" s="46">
        <v>22.97</v>
      </c>
      <c r="I1305" t="s">
        <v>81</v>
      </c>
    </row>
    <row r="1306" spans="1:9" x14ac:dyDescent="0.25">
      <c r="A1306" t="s">
        <v>1335</v>
      </c>
      <c r="B1306" t="s">
        <v>328</v>
      </c>
      <c r="C1306" t="s">
        <v>1417</v>
      </c>
      <c r="D1306" t="s">
        <v>15</v>
      </c>
      <c r="E1306" s="46">
        <v>1325</v>
      </c>
      <c r="F1306" s="46">
        <v>1077.53</v>
      </c>
      <c r="G1306" s="46">
        <v>247.47</v>
      </c>
      <c r="H1306" s="46">
        <v>22.97</v>
      </c>
      <c r="I1306" t="s">
        <v>81</v>
      </c>
    </row>
    <row r="1307" spans="1:9" x14ac:dyDescent="0.25">
      <c r="A1307" t="s">
        <v>1335</v>
      </c>
      <c r="B1307" t="s">
        <v>328</v>
      </c>
      <c r="C1307" t="s">
        <v>1418</v>
      </c>
      <c r="D1307" t="s">
        <v>15</v>
      </c>
      <c r="E1307" s="46">
        <v>1325</v>
      </c>
      <c r="F1307" s="46">
        <v>1077.53</v>
      </c>
      <c r="G1307" s="46">
        <v>247.47</v>
      </c>
      <c r="H1307" s="46">
        <v>22.97</v>
      </c>
      <c r="I1307" t="s">
        <v>81</v>
      </c>
    </row>
    <row r="1308" spans="1:9" x14ac:dyDescent="0.25">
      <c r="A1308" t="s">
        <v>1335</v>
      </c>
      <c r="B1308" t="s">
        <v>328</v>
      </c>
      <c r="C1308" t="s">
        <v>1419</v>
      </c>
      <c r="D1308" t="s">
        <v>15</v>
      </c>
      <c r="E1308" s="46">
        <v>1325</v>
      </c>
      <c r="F1308" s="46">
        <v>1077.53</v>
      </c>
      <c r="G1308" s="46">
        <v>247.47</v>
      </c>
      <c r="H1308" s="46">
        <v>22.97</v>
      </c>
      <c r="I1308" t="s">
        <v>81</v>
      </c>
    </row>
    <row r="1309" spans="1:9" x14ac:dyDescent="0.25">
      <c r="A1309" t="s">
        <v>1335</v>
      </c>
      <c r="B1309" t="s">
        <v>328</v>
      </c>
      <c r="C1309" t="s">
        <v>1420</v>
      </c>
      <c r="D1309" t="s">
        <v>15</v>
      </c>
      <c r="E1309" s="46">
        <v>1325</v>
      </c>
      <c r="F1309" s="46">
        <v>1077.53</v>
      </c>
      <c r="G1309" s="46">
        <v>247.47</v>
      </c>
      <c r="H1309" s="46">
        <v>22.97</v>
      </c>
      <c r="I1309" t="s">
        <v>81</v>
      </c>
    </row>
    <row r="1310" spans="1:9" x14ac:dyDescent="0.25">
      <c r="A1310" t="s">
        <v>1335</v>
      </c>
      <c r="B1310" t="s">
        <v>328</v>
      </c>
      <c r="C1310" t="s">
        <v>1421</v>
      </c>
      <c r="D1310" t="s">
        <v>15</v>
      </c>
      <c r="E1310" s="46">
        <v>1325</v>
      </c>
      <c r="F1310" s="46">
        <v>1077.53</v>
      </c>
      <c r="G1310" s="46">
        <v>247.47</v>
      </c>
      <c r="H1310" s="46">
        <v>22.97</v>
      </c>
      <c r="I1310" t="s">
        <v>81</v>
      </c>
    </row>
    <row r="1311" spans="1:9" x14ac:dyDescent="0.25">
      <c r="A1311" t="s">
        <v>1335</v>
      </c>
      <c r="B1311" t="s">
        <v>328</v>
      </c>
      <c r="C1311" t="s">
        <v>1422</v>
      </c>
      <c r="D1311" t="s">
        <v>15</v>
      </c>
      <c r="E1311" s="46">
        <v>1325</v>
      </c>
      <c r="F1311" s="46">
        <v>1077.53</v>
      </c>
      <c r="G1311" s="46">
        <v>247.47</v>
      </c>
      <c r="H1311" s="46">
        <v>22.97</v>
      </c>
      <c r="I1311" t="s">
        <v>81</v>
      </c>
    </row>
    <row r="1312" spans="1:9" x14ac:dyDescent="0.25">
      <c r="A1312" t="s">
        <v>1335</v>
      </c>
      <c r="B1312" t="s">
        <v>328</v>
      </c>
      <c r="C1312" t="s">
        <v>1423</v>
      </c>
      <c r="D1312" t="s">
        <v>15</v>
      </c>
      <c r="E1312" s="46">
        <v>1325</v>
      </c>
      <c r="F1312" s="46">
        <v>1077.53</v>
      </c>
      <c r="G1312" s="46">
        <v>247.47</v>
      </c>
      <c r="H1312" s="46">
        <v>22.97</v>
      </c>
      <c r="I1312" t="s">
        <v>81</v>
      </c>
    </row>
    <row r="1313" spans="1:9" x14ac:dyDescent="0.25">
      <c r="A1313" t="s">
        <v>1335</v>
      </c>
      <c r="B1313" t="s">
        <v>328</v>
      </c>
      <c r="C1313" t="s">
        <v>1424</v>
      </c>
      <c r="D1313" t="s">
        <v>15</v>
      </c>
      <c r="E1313" s="46">
        <v>1325</v>
      </c>
      <c r="F1313" s="46">
        <v>1077.53</v>
      </c>
      <c r="G1313" s="46">
        <v>247.47</v>
      </c>
      <c r="H1313" s="46">
        <v>22.97</v>
      </c>
      <c r="I1313" t="s">
        <v>81</v>
      </c>
    </row>
    <row r="1314" spans="1:9" x14ac:dyDescent="0.25">
      <c r="A1314" t="s">
        <v>1335</v>
      </c>
      <c r="B1314" t="s">
        <v>328</v>
      </c>
      <c r="C1314" t="s">
        <v>1425</v>
      </c>
      <c r="D1314" t="s">
        <v>15</v>
      </c>
      <c r="E1314" s="46">
        <v>1325</v>
      </c>
      <c r="F1314" s="46">
        <v>1077.53</v>
      </c>
      <c r="G1314" s="46">
        <v>247.47</v>
      </c>
      <c r="H1314" s="46">
        <v>22.97</v>
      </c>
      <c r="I1314" t="s">
        <v>81</v>
      </c>
    </row>
    <row r="1315" spans="1:9" x14ac:dyDescent="0.25">
      <c r="A1315" t="s">
        <v>1335</v>
      </c>
      <c r="B1315" t="s">
        <v>328</v>
      </c>
      <c r="C1315" t="s">
        <v>1426</v>
      </c>
      <c r="D1315" t="s">
        <v>15</v>
      </c>
      <c r="E1315" s="46">
        <v>1325</v>
      </c>
      <c r="F1315" s="46">
        <v>1077.53</v>
      </c>
      <c r="G1315" s="46">
        <v>247.47</v>
      </c>
      <c r="H1315" s="46">
        <v>22.97</v>
      </c>
      <c r="I1315" t="s">
        <v>81</v>
      </c>
    </row>
    <row r="1316" spans="1:9" x14ac:dyDescent="0.25">
      <c r="A1316" t="s">
        <v>1335</v>
      </c>
      <c r="B1316" t="s">
        <v>328</v>
      </c>
      <c r="C1316" t="s">
        <v>1427</v>
      </c>
      <c r="D1316" t="s">
        <v>15</v>
      </c>
      <c r="E1316" s="46">
        <v>1325</v>
      </c>
      <c r="F1316" s="46">
        <v>1077.53</v>
      </c>
      <c r="G1316" s="46">
        <v>247.47</v>
      </c>
      <c r="H1316" s="46">
        <v>22.97</v>
      </c>
      <c r="I1316" t="s">
        <v>81</v>
      </c>
    </row>
    <row r="1317" spans="1:9" x14ac:dyDescent="0.25">
      <c r="A1317" t="s">
        <v>1335</v>
      </c>
      <c r="B1317" t="s">
        <v>328</v>
      </c>
      <c r="C1317" t="s">
        <v>1428</v>
      </c>
      <c r="D1317" t="s">
        <v>15</v>
      </c>
      <c r="E1317" s="46">
        <v>1325</v>
      </c>
      <c r="F1317" s="46">
        <v>1077.53</v>
      </c>
      <c r="G1317" s="46">
        <v>247.47</v>
      </c>
      <c r="H1317" s="46">
        <v>22.97</v>
      </c>
      <c r="I1317" t="s">
        <v>81</v>
      </c>
    </row>
    <row r="1318" spans="1:9" x14ac:dyDescent="0.25">
      <c r="A1318" t="s">
        <v>1335</v>
      </c>
      <c r="B1318" t="s">
        <v>328</v>
      </c>
      <c r="C1318" t="s">
        <v>1429</v>
      </c>
      <c r="D1318" t="s">
        <v>15</v>
      </c>
      <c r="E1318" s="46">
        <v>1325</v>
      </c>
      <c r="F1318" s="46">
        <v>1077.53</v>
      </c>
      <c r="G1318" s="46">
        <v>247.47</v>
      </c>
      <c r="H1318" s="46">
        <v>22.97</v>
      </c>
      <c r="I1318" t="s">
        <v>81</v>
      </c>
    </row>
    <row r="1319" spans="1:9" x14ac:dyDescent="0.25">
      <c r="A1319" t="s">
        <v>1335</v>
      </c>
      <c r="B1319" t="s">
        <v>328</v>
      </c>
      <c r="C1319" t="s">
        <v>1430</v>
      </c>
      <c r="D1319" t="s">
        <v>15</v>
      </c>
      <c r="E1319" s="46">
        <v>1325</v>
      </c>
      <c r="F1319" s="46">
        <v>1077.53</v>
      </c>
      <c r="G1319" s="46">
        <v>247.47</v>
      </c>
      <c r="H1319" s="46">
        <v>22.97</v>
      </c>
      <c r="I1319" t="s">
        <v>81</v>
      </c>
    </row>
    <row r="1320" spans="1:9" x14ac:dyDescent="0.25">
      <c r="A1320" t="s">
        <v>1335</v>
      </c>
      <c r="B1320" t="s">
        <v>328</v>
      </c>
      <c r="C1320" t="s">
        <v>1431</v>
      </c>
      <c r="D1320" t="s">
        <v>15</v>
      </c>
      <c r="E1320" s="46">
        <v>1325</v>
      </c>
      <c r="F1320" s="46">
        <v>1077.53</v>
      </c>
      <c r="G1320" s="46">
        <v>247.47</v>
      </c>
      <c r="H1320" s="46">
        <v>22.97</v>
      </c>
      <c r="I1320" t="s">
        <v>81</v>
      </c>
    </row>
    <row r="1321" spans="1:9" x14ac:dyDescent="0.25">
      <c r="A1321" t="s">
        <v>1335</v>
      </c>
      <c r="B1321" t="s">
        <v>328</v>
      </c>
      <c r="C1321" t="s">
        <v>1432</v>
      </c>
      <c r="D1321" t="s">
        <v>15</v>
      </c>
      <c r="E1321" s="46">
        <v>1325</v>
      </c>
      <c r="F1321" s="46">
        <v>1077.53</v>
      </c>
      <c r="G1321" s="46">
        <v>247.47</v>
      </c>
      <c r="H1321" s="46">
        <v>22.97</v>
      </c>
      <c r="I1321" t="s">
        <v>81</v>
      </c>
    </row>
    <row r="1322" spans="1:9" x14ac:dyDescent="0.25">
      <c r="A1322" t="s">
        <v>1335</v>
      </c>
      <c r="B1322" t="s">
        <v>328</v>
      </c>
      <c r="C1322" t="s">
        <v>1433</v>
      </c>
      <c r="D1322" t="s">
        <v>15</v>
      </c>
      <c r="E1322" s="46">
        <v>1325</v>
      </c>
      <c r="F1322" s="46">
        <v>1077.53</v>
      </c>
      <c r="G1322" s="46">
        <v>247.47</v>
      </c>
      <c r="H1322" s="46">
        <v>22.97</v>
      </c>
      <c r="I1322" t="s">
        <v>81</v>
      </c>
    </row>
    <row r="1323" spans="1:9" x14ac:dyDescent="0.25">
      <c r="A1323" t="s">
        <v>1335</v>
      </c>
      <c r="B1323" t="s">
        <v>328</v>
      </c>
      <c r="C1323" t="s">
        <v>1434</v>
      </c>
      <c r="D1323" t="s">
        <v>15</v>
      </c>
      <c r="E1323" s="46">
        <v>1325</v>
      </c>
      <c r="F1323" s="46">
        <v>1077.53</v>
      </c>
      <c r="G1323" s="46">
        <v>247.47</v>
      </c>
      <c r="H1323" s="46">
        <v>22.97</v>
      </c>
      <c r="I1323" t="s">
        <v>81</v>
      </c>
    </row>
    <row r="1324" spans="1:9" x14ac:dyDescent="0.25">
      <c r="A1324" t="s">
        <v>1335</v>
      </c>
      <c r="B1324" t="s">
        <v>328</v>
      </c>
      <c r="C1324" t="s">
        <v>1435</v>
      </c>
      <c r="D1324" t="s">
        <v>15</v>
      </c>
      <c r="E1324" s="46">
        <v>1330</v>
      </c>
      <c r="F1324" s="46">
        <v>1077.53</v>
      </c>
      <c r="G1324" s="46">
        <v>252.47</v>
      </c>
      <c r="H1324" s="46">
        <v>23.43</v>
      </c>
      <c r="I1324" t="s">
        <v>81</v>
      </c>
    </row>
    <row r="1325" spans="1:9" x14ac:dyDescent="0.25">
      <c r="A1325" t="s">
        <v>1335</v>
      </c>
      <c r="B1325" t="s">
        <v>328</v>
      </c>
      <c r="C1325" t="s">
        <v>1436</v>
      </c>
      <c r="D1325" t="s">
        <v>15</v>
      </c>
      <c r="E1325" s="46">
        <v>1330</v>
      </c>
      <c r="F1325" s="46">
        <v>1126.99</v>
      </c>
      <c r="G1325" s="46">
        <v>203.01</v>
      </c>
      <c r="H1325" s="46">
        <v>18.010000000000002</v>
      </c>
      <c r="I1325" t="s">
        <v>81</v>
      </c>
    </row>
    <row r="1326" spans="1:9" x14ac:dyDescent="0.25">
      <c r="A1326" t="s">
        <v>1335</v>
      </c>
      <c r="B1326" t="s">
        <v>328</v>
      </c>
      <c r="C1326" t="s">
        <v>1437</v>
      </c>
      <c r="D1326" t="s">
        <v>15</v>
      </c>
      <c r="E1326" s="46">
        <v>1330</v>
      </c>
      <c r="F1326" s="46">
        <v>1126.99</v>
      </c>
      <c r="G1326" s="46">
        <v>203.01</v>
      </c>
      <c r="H1326" s="46">
        <v>18.010000000000002</v>
      </c>
      <c r="I1326" t="s">
        <v>81</v>
      </c>
    </row>
    <row r="1327" spans="1:9" x14ac:dyDescent="0.25">
      <c r="A1327" t="s">
        <v>1335</v>
      </c>
      <c r="B1327" t="s">
        <v>328</v>
      </c>
      <c r="C1327" t="s">
        <v>1438</v>
      </c>
      <c r="D1327" t="s">
        <v>15</v>
      </c>
      <c r="E1327" s="46">
        <v>1330</v>
      </c>
      <c r="F1327" s="46">
        <v>1002.48</v>
      </c>
      <c r="G1327" s="46">
        <v>327.52</v>
      </c>
      <c r="H1327" s="46">
        <v>32.67</v>
      </c>
      <c r="I1327" t="s">
        <v>81</v>
      </c>
    </row>
    <row r="1328" spans="1:9" x14ac:dyDescent="0.25">
      <c r="A1328" t="s">
        <v>1335</v>
      </c>
      <c r="B1328" t="s">
        <v>328</v>
      </c>
      <c r="C1328" t="s">
        <v>1439</v>
      </c>
      <c r="D1328" t="s">
        <v>15</v>
      </c>
      <c r="E1328" s="46">
        <v>1330</v>
      </c>
      <c r="F1328" s="46">
        <v>1002.48</v>
      </c>
      <c r="G1328" s="46">
        <v>327.52</v>
      </c>
      <c r="H1328" s="46">
        <v>32.67</v>
      </c>
      <c r="I1328" t="s">
        <v>81</v>
      </c>
    </row>
    <row r="1329" spans="1:9" x14ac:dyDescent="0.25">
      <c r="A1329" t="s">
        <v>1335</v>
      </c>
      <c r="B1329" t="s">
        <v>328</v>
      </c>
      <c r="C1329" t="s">
        <v>1440</v>
      </c>
      <c r="D1329" t="s">
        <v>15</v>
      </c>
      <c r="E1329" s="46">
        <v>1330</v>
      </c>
      <c r="F1329" s="46">
        <v>1002.48</v>
      </c>
      <c r="G1329" s="46">
        <v>327.52</v>
      </c>
      <c r="H1329" s="46">
        <v>32.67</v>
      </c>
      <c r="I1329" t="s">
        <v>81</v>
      </c>
    </row>
    <row r="1330" spans="1:9" x14ac:dyDescent="0.25">
      <c r="A1330" t="s">
        <v>1335</v>
      </c>
      <c r="B1330" t="s">
        <v>328</v>
      </c>
      <c r="C1330" t="s">
        <v>1441</v>
      </c>
      <c r="D1330" t="s">
        <v>15</v>
      </c>
      <c r="E1330" s="46">
        <v>1330</v>
      </c>
      <c r="F1330" s="46">
        <v>1002.48</v>
      </c>
      <c r="G1330" s="46">
        <v>327.52</v>
      </c>
      <c r="H1330" s="46">
        <v>32.67</v>
      </c>
      <c r="I1330" t="s">
        <v>81</v>
      </c>
    </row>
    <row r="1331" spans="1:9" x14ac:dyDescent="0.25">
      <c r="A1331" t="s">
        <v>1335</v>
      </c>
      <c r="B1331" t="s">
        <v>328</v>
      </c>
      <c r="C1331" t="s">
        <v>1442</v>
      </c>
      <c r="D1331" t="s">
        <v>15</v>
      </c>
      <c r="E1331" s="46">
        <v>1330</v>
      </c>
      <c r="F1331" s="46">
        <v>1002.48</v>
      </c>
      <c r="G1331" s="46">
        <v>327.52</v>
      </c>
      <c r="H1331" s="46">
        <v>32.67</v>
      </c>
      <c r="I1331" t="s">
        <v>81</v>
      </c>
    </row>
    <row r="1332" spans="1:9" x14ac:dyDescent="0.25">
      <c r="A1332" t="s">
        <v>1335</v>
      </c>
      <c r="B1332" t="s">
        <v>328</v>
      </c>
      <c r="C1332" t="s">
        <v>1443</v>
      </c>
      <c r="D1332" t="s">
        <v>15</v>
      </c>
      <c r="E1332" s="46">
        <v>1330</v>
      </c>
      <c r="F1332" s="46">
        <v>1002.48</v>
      </c>
      <c r="G1332" s="46">
        <v>327.52</v>
      </c>
      <c r="H1332" s="46">
        <v>32.67</v>
      </c>
      <c r="I1332" t="s">
        <v>81</v>
      </c>
    </row>
    <row r="1333" spans="1:9" x14ac:dyDescent="0.25">
      <c r="A1333" t="s">
        <v>1335</v>
      </c>
      <c r="B1333" t="s">
        <v>328</v>
      </c>
      <c r="C1333" t="s">
        <v>1444</v>
      </c>
      <c r="D1333" t="s">
        <v>15</v>
      </c>
      <c r="E1333" s="46">
        <v>1330</v>
      </c>
      <c r="F1333" s="46">
        <v>1002.48</v>
      </c>
      <c r="G1333" s="46">
        <v>327.52</v>
      </c>
      <c r="H1333" s="46">
        <v>32.67</v>
      </c>
      <c r="I1333" t="s">
        <v>81</v>
      </c>
    </row>
    <row r="1334" spans="1:9" x14ac:dyDescent="0.25">
      <c r="A1334" t="s">
        <v>1335</v>
      </c>
      <c r="B1334" t="s">
        <v>328</v>
      </c>
      <c r="C1334" t="s">
        <v>1445</v>
      </c>
      <c r="D1334" t="s">
        <v>15</v>
      </c>
      <c r="E1334" s="46">
        <v>1330</v>
      </c>
      <c r="F1334" s="46">
        <v>1002.48</v>
      </c>
      <c r="G1334" s="46">
        <v>327.52</v>
      </c>
      <c r="H1334" s="46">
        <v>32.67</v>
      </c>
      <c r="I1334" t="s">
        <v>81</v>
      </c>
    </row>
    <row r="1335" spans="1:9" x14ac:dyDescent="0.25">
      <c r="A1335" t="s">
        <v>1335</v>
      </c>
      <c r="B1335" t="s">
        <v>328</v>
      </c>
      <c r="C1335" t="s">
        <v>1446</v>
      </c>
      <c r="D1335" t="s">
        <v>15</v>
      </c>
      <c r="E1335" s="46">
        <v>1330</v>
      </c>
      <c r="F1335" s="46">
        <v>1002.48</v>
      </c>
      <c r="G1335" s="46">
        <v>327.52</v>
      </c>
      <c r="H1335" s="46">
        <v>32.67</v>
      </c>
      <c r="I1335" t="s">
        <v>81</v>
      </c>
    </row>
    <row r="1336" spans="1:9" x14ac:dyDescent="0.25">
      <c r="A1336" t="s">
        <v>1335</v>
      </c>
      <c r="B1336" t="s">
        <v>328</v>
      </c>
      <c r="C1336" t="s">
        <v>1447</v>
      </c>
      <c r="D1336" t="s">
        <v>15</v>
      </c>
      <c r="E1336" s="46">
        <v>1330</v>
      </c>
      <c r="F1336" s="46">
        <v>1002.48</v>
      </c>
      <c r="G1336" s="46">
        <v>327.52</v>
      </c>
      <c r="H1336" s="46">
        <v>32.67</v>
      </c>
      <c r="I1336" t="s">
        <v>81</v>
      </c>
    </row>
    <row r="1337" spans="1:9" x14ac:dyDescent="0.25">
      <c r="A1337" t="s">
        <v>1335</v>
      </c>
      <c r="B1337" t="s">
        <v>328</v>
      </c>
      <c r="C1337" t="s">
        <v>1448</v>
      </c>
      <c r="D1337" t="s">
        <v>15</v>
      </c>
      <c r="E1337" s="46">
        <v>1330</v>
      </c>
      <c r="F1337" s="46">
        <v>1002.48</v>
      </c>
      <c r="G1337" s="46">
        <v>327.52</v>
      </c>
      <c r="H1337" s="46">
        <v>32.67</v>
      </c>
      <c r="I1337" t="s">
        <v>81</v>
      </c>
    </row>
    <row r="1338" spans="1:9" x14ac:dyDescent="0.25">
      <c r="A1338" t="s">
        <v>1335</v>
      </c>
      <c r="B1338" t="s">
        <v>328</v>
      </c>
      <c r="C1338" t="s">
        <v>1449</v>
      </c>
      <c r="D1338" t="s">
        <v>15</v>
      </c>
      <c r="E1338" s="46">
        <v>1330</v>
      </c>
      <c r="F1338" s="46">
        <v>1085.5999999999999</v>
      </c>
      <c r="G1338" s="46">
        <v>244.4</v>
      </c>
      <c r="H1338" s="46">
        <v>22.51</v>
      </c>
      <c r="I1338" t="s">
        <v>81</v>
      </c>
    </row>
    <row r="1339" spans="1:9" x14ac:dyDescent="0.25">
      <c r="A1339" t="s">
        <v>1450</v>
      </c>
      <c r="B1339" t="s">
        <v>100</v>
      </c>
      <c r="C1339" t="s">
        <v>1451</v>
      </c>
      <c r="D1339" t="s">
        <v>15</v>
      </c>
      <c r="E1339" s="46">
        <v>2000</v>
      </c>
      <c r="F1339" s="46">
        <v>1880</v>
      </c>
      <c r="G1339" s="46">
        <v>120</v>
      </c>
      <c r="H1339" s="46">
        <v>6.38</v>
      </c>
      <c r="I1339" t="s">
        <v>29</v>
      </c>
    </row>
    <row r="1340" spans="1:9" x14ac:dyDescent="0.25">
      <c r="A1340" t="s">
        <v>1450</v>
      </c>
      <c r="B1340" t="s">
        <v>100</v>
      </c>
      <c r="C1340" t="s">
        <v>1452</v>
      </c>
      <c r="D1340" t="s">
        <v>15</v>
      </c>
      <c r="E1340" s="46">
        <v>2000</v>
      </c>
      <c r="F1340" s="46">
        <v>1880</v>
      </c>
      <c r="G1340" s="46">
        <v>120</v>
      </c>
      <c r="H1340" s="46">
        <v>6.38</v>
      </c>
      <c r="I1340" t="s">
        <v>29</v>
      </c>
    </row>
    <row r="1341" spans="1:9" x14ac:dyDescent="0.25">
      <c r="A1341" t="s">
        <v>1450</v>
      </c>
      <c r="B1341" t="s">
        <v>100</v>
      </c>
      <c r="C1341" t="s">
        <v>1453</v>
      </c>
      <c r="D1341" t="s">
        <v>15</v>
      </c>
      <c r="E1341" s="46">
        <v>2000</v>
      </c>
      <c r="F1341" s="46">
        <v>1880</v>
      </c>
      <c r="G1341" s="46">
        <v>120</v>
      </c>
      <c r="H1341" s="46">
        <v>6.38</v>
      </c>
      <c r="I1341" t="s">
        <v>29</v>
      </c>
    </row>
    <row r="1342" spans="1:9" x14ac:dyDescent="0.25">
      <c r="A1342" t="s">
        <v>1450</v>
      </c>
      <c r="B1342" t="s">
        <v>100</v>
      </c>
      <c r="C1342" t="s">
        <v>1454</v>
      </c>
      <c r="D1342" t="s">
        <v>15</v>
      </c>
      <c r="E1342" s="46">
        <v>2000</v>
      </c>
      <c r="F1342" s="46">
        <v>1880</v>
      </c>
      <c r="G1342" s="46">
        <v>120</v>
      </c>
      <c r="H1342" s="46">
        <v>6.38</v>
      </c>
      <c r="I1342" t="s">
        <v>29</v>
      </c>
    </row>
    <row r="1343" spans="1:9" x14ac:dyDescent="0.25">
      <c r="A1343" t="s">
        <v>1450</v>
      </c>
      <c r="B1343" t="s">
        <v>100</v>
      </c>
      <c r="C1343" t="s">
        <v>1455</v>
      </c>
      <c r="D1343" t="s">
        <v>15</v>
      </c>
      <c r="E1343" s="46">
        <v>2000</v>
      </c>
      <c r="F1343" s="46">
        <v>1880</v>
      </c>
      <c r="G1343" s="46">
        <v>120</v>
      </c>
      <c r="H1343" s="46">
        <v>6.38</v>
      </c>
      <c r="I1343" t="s">
        <v>29</v>
      </c>
    </row>
    <row r="1344" spans="1:9" x14ac:dyDescent="0.25">
      <c r="A1344" t="s">
        <v>1450</v>
      </c>
      <c r="B1344" t="s">
        <v>100</v>
      </c>
      <c r="C1344" t="s">
        <v>1456</v>
      </c>
      <c r="D1344" t="s">
        <v>15</v>
      </c>
      <c r="E1344" s="46">
        <v>2000</v>
      </c>
      <c r="F1344" s="46">
        <v>1880</v>
      </c>
      <c r="G1344" s="46">
        <v>120</v>
      </c>
      <c r="H1344" s="46">
        <v>6.38</v>
      </c>
      <c r="I1344" t="s">
        <v>29</v>
      </c>
    </row>
    <row r="1345" spans="1:9" x14ac:dyDescent="0.25">
      <c r="A1345" t="s">
        <v>1450</v>
      </c>
      <c r="B1345" t="s">
        <v>100</v>
      </c>
      <c r="C1345" t="s">
        <v>1457</v>
      </c>
      <c r="D1345" t="s">
        <v>15</v>
      </c>
      <c r="E1345" s="46">
        <v>2000</v>
      </c>
      <c r="F1345" s="46">
        <v>1880</v>
      </c>
      <c r="G1345" s="46">
        <v>120</v>
      </c>
      <c r="H1345" s="46">
        <v>6.38</v>
      </c>
      <c r="I1345" t="s">
        <v>29</v>
      </c>
    </row>
    <row r="1346" spans="1:9" x14ac:dyDescent="0.25">
      <c r="A1346" s="2" t="s">
        <v>1450</v>
      </c>
      <c r="B1346" s="2" t="s">
        <v>1458</v>
      </c>
      <c r="C1346" s="2" t="s">
        <v>1459</v>
      </c>
      <c r="D1346" s="2" t="s">
        <v>15</v>
      </c>
      <c r="E1346" s="59">
        <v>3050</v>
      </c>
      <c r="F1346" s="59">
        <v>3250</v>
      </c>
      <c r="G1346" s="59">
        <v>-200</v>
      </c>
      <c r="H1346" s="59">
        <v>-6.15</v>
      </c>
      <c r="I1346" s="2" t="s">
        <v>29</v>
      </c>
    </row>
    <row r="1347" spans="1:9" x14ac:dyDescent="0.25">
      <c r="A1347" t="s">
        <v>1450</v>
      </c>
      <c r="B1347" t="s">
        <v>1460</v>
      </c>
      <c r="C1347" t="s">
        <v>1461</v>
      </c>
      <c r="D1347" t="s">
        <v>15</v>
      </c>
      <c r="E1347" s="46">
        <v>2100</v>
      </c>
      <c r="F1347" s="46">
        <v>1941.3</v>
      </c>
      <c r="G1347" s="46">
        <v>158.69999999999999</v>
      </c>
      <c r="H1347" s="46">
        <v>8.17</v>
      </c>
      <c r="I1347" t="s">
        <v>23</v>
      </c>
    </row>
    <row r="1348" spans="1:9" x14ac:dyDescent="0.25">
      <c r="A1348" t="s">
        <v>1450</v>
      </c>
      <c r="B1348" t="s">
        <v>1462</v>
      </c>
      <c r="C1348" t="s">
        <v>1463</v>
      </c>
      <c r="D1348" t="s">
        <v>15</v>
      </c>
      <c r="E1348" s="46">
        <v>2350</v>
      </c>
      <c r="F1348" s="46">
        <v>4</v>
      </c>
      <c r="G1348" s="46">
        <v>2346</v>
      </c>
      <c r="H1348" s="46">
        <v>58650</v>
      </c>
      <c r="I1348" t="s">
        <v>23</v>
      </c>
    </row>
    <row r="1349" spans="1:9" x14ac:dyDescent="0.25">
      <c r="A1349" t="s">
        <v>1450</v>
      </c>
      <c r="B1349" t="s">
        <v>1462</v>
      </c>
      <c r="C1349" t="s">
        <v>1464</v>
      </c>
      <c r="D1349" t="s">
        <v>15</v>
      </c>
      <c r="E1349" s="46">
        <v>2350</v>
      </c>
      <c r="F1349" s="46">
        <v>4</v>
      </c>
      <c r="G1349" s="46">
        <v>2346</v>
      </c>
      <c r="H1349" s="46">
        <v>58650</v>
      </c>
      <c r="I1349" t="s">
        <v>23</v>
      </c>
    </row>
    <row r="1350" spans="1:9" x14ac:dyDescent="0.25">
      <c r="A1350" t="s">
        <v>1450</v>
      </c>
      <c r="B1350" t="s">
        <v>1462</v>
      </c>
      <c r="C1350" t="s">
        <v>1465</v>
      </c>
      <c r="D1350" t="s">
        <v>15</v>
      </c>
      <c r="E1350" s="46">
        <v>2350</v>
      </c>
      <c r="F1350" s="46">
        <v>2232</v>
      </c>
      <c r="G1350" s="46">
        <v>118</v>
      </c>
      <c r="H1350" s="46">
        <v>5.29</v>
      </c>
      <c r="I1350" t="s">
        <v>23</v>
      </c>
    </row>
    <row r="1351" spans="1:9" x14ac:dyDescent="0.25">
      <c r="A1351" t="s">
        <v>1450</v>
      </c>
      <c r="B1351" t="s">
        <v>500</v>
      </c>
      <c r="C1351" t="s">
        <v>1466</v>
      </c>
      <c r="D1351" t="s">
        <v>15</v>
      </c>
      <c r="E1351" s="46">
        <v>970</v>
      </c>
      <c r="F1351" s="46">
        <v>743.37</v>
      </c>
      <c r="G1351" s="46">
        <v>226.63</v>
      </c>
      <c r="H1351" s="46">
        <v>30.49</v>
      </c>
      <c r="I1351" t="s">
        <v>81</v>
      </c>
    </row>
    <row r="1352" spans="1:9" x14ac:dyDescent="0.25">
      <c r="A1352" t="s">
        <v>1450</v>
      </c>
      <c r="B1352" t="s">
        <v>328</v>
      </c>
      <c r="C1352" t="s">
        <v>1467</v>
      </c>
      <c r="D1352" t="s">
        <v>15</v>
      </c>
      <c r="E1352" s="46">
        <v>1325</v>
      </c>
      <c r="F1352" s="46">
        <v>1085.5999999999999</v>
      </c>
      <c r="G1352" s="46">
        <v>239.4</v>
      </c>
      <c r="H1352" s="46">
        <v>22.05</v>
      </c>
      <c r="I1352" t="s">
        <v>81</v>
      </c>
    </row>
    <row r="1353" spans="1:9" x14ac:dyDescent="0.25">
      <c r="A1353" t="s">
        <v>1450</v>
      </c>
      <c r="B1353" t="s">
        <v>328</v>
      </c>
      <c r="C1353" t="s">
        <v>1468</v>
      </c>
      <c r="D1353" t="s">
        <v>15</v>
      </c>
      <c r="E1353" s="46">
        <v>1325</v>
      </c>
      <c r="F1353" s="46">
        <v>1085.5999999999999</v>
      </c>
      <c r="G1353" s="46">
        <v>239.4</v>
      </c>
      <c r="H1353" s="46">
        <v>22.05</v>
      </c>
      <c r="I1353" t="s">
        <v>81</v>
      </c>
    </row>
    <row r="1354" spans="1:9" x14ac:dyDescent="0.25">
      <c r="A1354" t="s">
        <v>1450</v>
      </c>
      <c r="B1354" t="s">
        <v>328</v>
      </c>
      <c r="C1354" t="s">
        <v>1469</v>
      </c>
      <c r="D1354" t="s">
        <v>15</v>
      </c>
      <c r="E1354" s="46">
        <v>1325</v>
      </c>
      <c r="F1354" s="46">
        <v>1085.5999999999999</v>
      </c>
      <c r="G1354" s="46">
        <v>239.4</v>
      </c>
      <c r="H1354" s="46">
        <v>22.05</v>
      </c>
      <c r="I1354" t="s">
        <v>81</v>
      </c>
    </row>
    <row r="1355" spans="1:9" x14ac:dyDescent="0.25">
      <c r="A1355" t="s">
        <v>1450</v>
      </c>
      <c r="B1355" t="s">
        <v>328</v>
      </c>
      <c r="C1355" t="s">
        <v>1470</v>
      </c>
      <c r="D1355" t="s">
        <v>15</v>
      </c>
      <c r="E1355" s="46">
        <v>1325</v>
      </c>
      <c r="F1355" s="46">
        <v>1085.5999999999999</v>
      </c>
      <c r="G1355" s="46">
        <v>239.4</v>
      </c>
      <c r="H1355" s="46">
        <v>22.05</v>
      </c>
      <c r="I1355" t="s">
        <v>81</v>
      </c>
    </row>
    <row r="1356" spans="1:9" x14ac:dyDescent="0.25">
      <c r="A1356" t="s">
        <v>1450</v>
      </c>
      <c r="B1356" t="s">
        <v>328</v>
      </c>
      <c r="C1356" t="s">
        <v>1471</v>
      </c>
      <c r="D1356" t="s">
        <v>15</v>
      </c>
      <c r="E1356" s="46">
        <v>1325</v>
      </c>
      <c r="F1356" s="46">
        <v>1085.5999999999999</v>
      </c>
      <c r="G1356" s="46">
        <v>239.4</v>
      </c>
      <c r="H1356" s="46">
        <v>22.05</v>
      </c>
      <c r="I1356" t="s">
        <v>81</v>
      </c>
    </row>
    <row r="1357" spans="1:9" x14ac:dyDescent="0.25">
      <c r="A1357" t="s">
        <v>1450</v>
      </c>
      <c r="B1357" t="s">
        <v>328</v>
      </c>
      <c r="C1357" t="s">
        <v>1472</v>
      </c>
      <c r="D1357" t="s">
        <v>15</v>
      </c>
      <c r="E1357" s="46">
        <v>1325</v>
      </c>
      <c r="F1357" s="46">
        <v>1085.5999999999999</v>
      </c>
      <c r="G1357" s="46">
        <v>239.4</v>
      </c>
      <c r="H1357" s="46">
        <v>22.05</v>
      </c>
      <c r="I1357" t="s">
        <v>81</v>
      </c>
    </row>
    <row r="1358" spans="1:9" x14ac:dyDescent="0.25">
      <c r="A1358" t="s">
        <v>1450</v>
      </c>
      <c r="B1358" t="s">
        <v>328</v>
      </c>
      <c r="C1358" t="s">
        <v>1473</v>
      </c>
      <c r="D1358" t="s">
        <v>15</v>
      </c>
      <c r="E1358" s="46">
        <v>1325</v>
      </c>
      <c r="F1358" s="46">
        <v>1108.27</v>
      </c>
      <c r="G1358" s="46">
        <v>216.73</v>
      </c>
      <c r="H1358" s="46">
        <v>19.559999999999999</v>
      </c>
      <c r="I1358" t="s">
        <v>81</v>
      </c>
    </row>
    <row r="1359" spans="1:9" x14ac:dyDescent="0.25">
      <c r="A1359" t="s">
        <v>1450</v>
      </c>
      <c r="B1359" t="s">
        <v>328</v>
      </c>
      <c r="C1359" t="s">
        <v>1474</v>
      </c>
      <c r="D1359" t="s">
        <v>15</v>
      </c>
      <c r="E1359" s="46">
        <v>1325</v>
      </c>
      <c r="F1359" s="46">
        <v>1108.27</v>
      </c>
      <c r="G1359" s="46">
        <v>216.73</v>
      </c>
      <c r="H1359" s="46">
        <v>19.559999999999999</v>
      </c>
      <c r="I1359" t="s">
        <v>81</v>
      </c>
    </row>
    <row r="1360" spans="1:9" x14ac:dyDescent="0.25">
      <c r="A1360" t="s">
        <v>1450</v>
      </c>
      <c r="B1360" t="s">
        <v>328</v>
      </c>
      <c r="C1360" t="s">
        <v>1475</v>
      </c>
      <c r="D1360" t="s">
        <v>15</v>
      </c>
      <c r="E1360" s="46">
        <v>1325</v>
      </c>
      <c r="F1360" s="46">
        <v>1108.27</v>
      </c>
      <c r="G1360" s="46">
        <v>216.73</v>
      </c>
      <c r="H1360" s="46">
        <v>19.559999999999999</v>
      </c>
      <c r="I1360" t="s">
        <v>81</v>
      </c>
    </row>
    <row r="1361" spans="1:9" x14ac:dyDescent="0.25">
      <c r="A1361" t="s">
        <v>1450</v>
      </c>
      <c r="B1361" t="s">
        <v>328</v>
      </c>
      <c r="C1361" t="s">
        <v>1476</v>
      </c>
      <c r="D1361" t="s">
        <v>15</v>
      </c>
      <c r="E1361" s="46">
        <v>1325</v>
      </c>
      <c r="F1361" s="46">
        <v>1108.27</v>
      </c>
      <c r="G1361" s="46">
        <v>216.73</v>
      </c>
      <c r="H1361" s="46">
        <v>19.559999999999999</v>
      </c>
      <c r="I1361" t="s">
        <v>81</v>
      </c>
    </row>
    <row r="1362" spans="1:9" x14ac:dyDescent="0.25">
      <c r="A1362" t="s">
        <v>1450</v>
      </c>
      <c r="B1362" t="s">
        <v>328</v>
      </c>
      <c r="C1362" t="s">
        <v>1477</v>
      </c>
      <c r="D1362" t="s">
        <v>15</v>
      </c>
      <c r="E1362" s="46">
        <v>1325</v>
      </c>
      <c r="F1362" s="46">
        <v>1108.27</v>
      </c>
      <c r="G1362" s="46">
        <v>216.73</v>
      </c>
      <c r="H1362" s="46">
        <v>19.559999999999999</v>
      </c>
      <c r="I1362" t="s">
        <v>81</v>
      </c>
    </row>
    <row r="1363" spans="1:9" x14ac:dyDescent="0.25">
      <c r="A1363" t="s">
        <v>1450</v>
      </c>
      <c r="B1363" t="s">
        <v>328</v>
      </c>
      <c r="C1363" t="s">
        <v>1478</v>
      </c>
      <c r="D1363" t="s">
        <v>15</v>
      </c>
      <c r="E1363" s="46">
        <v>1325</v>
      </c>
      <c r="F1363" s="46">
        <v>1108.27</v>
      </c>
      <c r="G1363" s="46">
        <v>216.73</v>
      </c>
      <c r="H1363" s="46">
        <v>19.559999999999999</v>
      </c>
      <c r="I1363" t="s">
        <v>81</v>
      </c>
    </row>
    <row r="1364" spans="1:9" x14ac:dyDescent="0.25">
      <c r="A1364" t="s">
        <v>1450</v>
      </c>
      <c r="B1364" t="s">
        <v>328</v>
      </c>
      <c r="C1364" t="s">
        <v>1479</v>
      </c>
      <c r="D1364" t="s">
        <v>15</v>
      </c>
      <c r="E1364" s="46">
        <v>1325</v>
      </c>
      <c r="F1364" s="46">
        <v>1108.27</v>
      </c>
      <c r="G1364" s="46">
        <v>216.73</v>
      </c>
      <c r="H1364" s="46">
        <v>19.559999999999999</v>
      </c>
      <c r="I1364" t="s">
        <v>81</v>
      </c>
    </row>
    <row r="1365" spans="1:9" x14ac:dyDescent="0.25">
      <c r="A1365" t="s">
        <v>1450</v>
      </c>
      <c r="B1365" t="s">
        <v>328</v>
      </c>
      <c r="C1365" t="s">
        <v>1480</v>
      </c>
      <c r="D1365" t="s">
        <v>15</v>
      </c>
      <c r="E1365" s="46">
        <v>1325</v>
      </c>
      <c r="F1365" s="46">
        <v>1108.27</v>
      </c>
      <c r="G1365" s="46">
        <v>216.73</v>
      </c>
      <c r="H1365" s="46">
        <v>19.559999999999999</v>
      </c>
      <c r="I1365" t="s">
        <v>81</v>
      </c>
    </row>
    <row r="1366" spans="1:9" x14ac:dyDescent="0.25">
      <c r="A1366" t="s">
        <v>1450</v>
      </c>
      <c r="B1366" t="s">
        <v>328</v>
      </c>
      <c r="C1366" t="s">
        <v>1481</v>
      </c>
      <c r="D1366" t="s">
        <v>15</v>
      </c>
      <c r="E1366" s="46">
        <v>1325</v>
      </c>
      <c r="F1366" s="46">
        <v>1108.27</v>
      </c>
      <c r="G1366" s="46">
        <v>216.73</v>
      </c>
      <c r="H1366" s="46">
        <v>19.559999999999999</v>
      </c>
      <c r="I1366" t="s">
        <v>81</v>
      </c>
    </row>
    <row r="1367" spans="1:9" x14ac:dyDescent="0.25">
      <c r="A1367" t="s">
        <v>1450</v>
      </c>
      <c r="B1367" t="s">
        <v>328</v>
      </c>
      <c r="C1367" t="s">
        <v>1482</v>
      </c>
      <c r="D1367" t="s">
        <v>15</v>
      </c>
      <c r="E1367" s="46">
        <v>1325</v>
      </c>
      <c r="F1367" s="46">
        <v>1108.27</v>
      </c>
      <c r="G1367" s="46">
        <v>216.73</v>
      </c>
      <c r="H1367" s="46">
        <v>19.559999999999999</v>
      </c>
      <c r="I1367" t="s">
        <v>81</v>
      </c>
    </row>
    <row r="1368" spans="1:9" x14ac:dyDescent="0.25">
      <c r="A1368" t="s">
        <v>1450</v>
      </c>
      <c r="B1368" t="s">
        <v>328</v>
      </c>
      <c r="C1368" t="s">
        <v>1483</v>
      </c>
      <c r="D1368" t="s">
        <v>15</v>
      </c>
      <c r="E1368" s="46">
        <v>1325</v>
      </c>
      <c r="F1368" s="46">
        <v>1108.27</v>
      </c>
      <c r="G1368" s="46">
        <v>216.73</v>
      </c>
      <c r="H1368" s="46">
        <v>19.559999999999999</v>
      </c>
      <c r="I1368" t="s">
        <v>81</v>
      </c>
    </row>
    <row r="1369" spans="1:9" x14ac:dyDescent="0.25">
      <c r="A1369" t="s">
        <v>1450</v>
      </c>
      <c r="B1369" t="s">
        <v>328</v>
      </c>
      <c r="C1369" t="s">
        <v>1484</v>
      </c>
      <c r="D1369" t="s">
        <v>15</v>
      </c>
      <c r="E1369" s="46">
        <v>1325</v>
      </c>
      <c r="F1369" s="46">
        <v>1108.27</v>
      </c>
      <c r="G1369" s="46">
        <v>216.73</v>
      </c>
      <c r="H1369" s="46">
        <v>19.559999999999999</v>
      </c>
      <c r="I1369" t="s">
        <v>81</v>
      </c>
    </row>
    <row r="1370" spans="1:9" x14ac:dyDescent="0.25">
      <c r="A1370" t="s">
        <v>1450</v>
      </c>
      <c r="B1370" t="s">
        <v>328</v>
      </c>
      <c r="C1370" t="s">
        <v>1485</v>
      </c>
      <c r="D1370" t="s">
        <v>15</v>
      </c>
      <c r="E1370" s="46">
        <v>1325</v>
      </c>
      <c r="F1370" s="46">
        <v>1108.27</v>
      </c>
      <c r="G1370" s="46">
        <v>216.73</v>
      </c>
      <c r="H1370" s="46">
        <v>19.559999999999999</v>
      </c>
      <c r="I1370" t="s">
        <v>81</v>
      </c>
    </row>
    <row r="1371" spans="1:9" x14ac:dyDescent="0.25">
      <c r="A1371" t="s">
        <v>1450</v>
      </c>
      <c r="B1371" t="s">
        <v>328</v>
      </c>
      <c r="C1371" t="s">
        <v>1486</v>
      </c>
      <c r="D1371" t="s">
        <v>15</v>
      </c>
      <c r="E1371" s="46">
        <v>1325</v>
      </c>
      <c r="F1371" s="46">
        <v>1108.27</v>
      </c>
      <c r="G1371" s="46">
        <v>216.73</v>
      </c>
      <c r="H1371" s="46">
        <v>19.559999999999999</v>
      </c>
      <c r="I1371" t="s">
        <v>81</v>
      </c>
    </row>
    <row r="1372" spans="1:9" x14ac:dyDescent="0.25">
      <c r="A1372" t="s">
        <v>1450</v>
      </c>
      <c r="B1372" t="s">
        <v>328</v>
      </c>
      <c r="C1372" t="s">
        <v>1487</v>
      </c>
      <c r="D1372" t="s">
        <v>15</v>
      </c>
      <c r="E1372" s="46">
        <v>1325</v>
      </c>
      <c r="F1372" s="46">
        <v>1108.27</v>
      </c>
      <c r="G1372" s="46">
        <v>216.73</v>
      </c>
      <c r="H1372" s="46">
        <v>19.559999999999999</v>
      </c>
      <c r="I1372" t="s">
        <v>81</v>
      </c>
    </row>
    <row r="1373" spans="1:9" x14ac:dyDescent="0.25">
      <c r="A1373" t="s">
        <v>1450</v>
      </c>
      <c r="B1373" t="s">
        <v>328</v>
      </c>
      <c r="C1373" t="s">
        <v>1488</v>
      </c>
      <c r="D1373" t="s">
        <v>15</v>
      </c>
      <c r="E1373" s="46">
        <v>1325</v>
      </c>
      <c r="F1373" s="46">
        <v>1108.27</v>
      </c>
      <c r="G1373" s="46">
        <v>216.73</v>
      </c>
      <c r="H1373" s="46">
        <v>19.559999999999999</v>
      </c>
      <c r="I1373" t="s">
        <v>81</v>
      </c>
    </row>
    <row r="1374" spans="1:9" x14ac:dyDescent="0.25">
      <c r="A1374" t="s">
        <v>1450</v>
      </c>
      <c r="B1374" t="s">
        <v>328</v>
      </c>
      <c r="C1374" t="s">
        <v>1489</v>
      </c>
      <c r="D1374" t="s">
        <v>15</v>
      </c>
      <c r="E1374" s="46">
        <v>1325</v>
      </c>
      <c r="F1374" s="46">
        <v>1108.27</v>
      </c>
      <c r="G1374" s="46">
        <v>216.73</v>
      </c>
      <c r="H1374" s="46">
        <v>19.559999999999999</v>
      </c>
      <c r="I1374" t="s">
        <v>81</v>
      </c>
    </row>
    <row r="1375" spans="1:9" x14ac:dyDescent="0.25">
      <c r="A1375" t="s">
        <v>1450</v>
      </c>
      <c r="B1375" t="s">
        <v>328</v>
      </c>
      <c r="C1375" t="s">
        <v>1490</v>
      </c>
      <c r="D1375" t="s">
        <v>15</v>
      </c>
      <c r="E1375" s="46">
        <v>1325</v>
      </c>
      <c r="F1375" s="46">
        <v>1108.27</v>
      </c>
      <c r="G1375" s="46">
        <v>216.73</v>
      </c>
      <c r="H1375" s="46">
        <v>19.559999999999999</v>
      </c>
      <c r="I1375" t="s">
        <v>81</v>
      </c>
    </row>
    <row r="1376" spans="1:9" x14ac:dyDescent="0.25">
      <c r="A1376" t="s">
        <v>1450</v>
      </c>
      <c r="B1376" t="s">
        <v>328</v>
      </c>
      <c r="C1376" t="s">
        <v>1491</v>
      </c>
      <c r="D1376" t="s">
        <v>15</v>
      </c>
      <c r="E1376" s="46">
        <v>1325</v>
      </c>
      <c r="F1376" s="46">
        <v>978.2</v>
      </c>
      <c r="G1376" s="46">
        <v>346.8</v>
      </c>
      <c r="H1376" s="46">
        <v>35.450000000000003</v>
      </c>
      <c r="I1376" t="s">
        <v>81</v>
      </c>
    </row>
    <row r="1377" spans="1:9" x14ac:dyDescent="0.25">
      <c r="A1377" t="s">
        <v>1450</v>
      </c>
      <c r="B1377" t="s">
        <v>328</v>
      </c>
      <c r="C1377" t="s">
        <v>1492</v>
      </c>
      <c r="D1377" t="s">
        <v>15</v>
      </c>
      <c r="E1377" s="46">
        <v>1325</v>
      </c>
      <c r="F1377" s="46">
        <v>978.2</v>
      </c>
      <c r="G1377" s="46">
        <v>346.8</v>
      </c>
      <c r="H1377" s="46">
        <v>35.450000000000003</v>
      </c>
      <c r="I1377" t="s">
        <v>81</v>
      </c>
    </row>
    <row r="1378" spans="1:9" x14ac:dyDescent="0.25">
      <c r="A1378" t="s">
        <v>1450</v>
      </c>
      <c r="B1378" t="s">
        <v>328</v>
      </c>
      <c r="C1378" t="s">
        <v>1493</v>
      </c>
      <c r="D1378" t="s">
        <v>15</v>
      </c>
      <c r="E1378" s="46">
        <v>1325</v>
      </c>
      <c r="F1378" s="46">
        <v>978.2</v>
      </c>
      <c r="G1378" s="46">
        <v>346.8</v>
      </c>
      <c r="H1378" s="46">
        <v>35.450000000000003</v>
      </c>
      <c r="I1378" t="s">
        <v>81</v>
      </c>
    </row>
    <row r="1379" spans="1:9" x14ac:dyDescent="0.25">
      <c r="A1379" t="s">
        <v>1450</v>
      </c>
      <c r="B1379" t="s">
        <v>328</v>
      </c>
      <c r="C1379" t="s">
        <v>1494</v>
      </c>
      <c r="D1379" t="s">
        <v>15</v>
      </c>
      <c r="E1379" s="46">
        <v>1325</v>
      </c>
      <c r="F1379" s="46">
        <v>978.2</v>
      </c>
      <c r="G1379" s="46">
        <v>346.8</v>
      </c>
      <c r="H1379" s="46">
        <v>35.450000000000003</v>
      </c>
      <c r="I1379" t="s">
        <v>81</v>
      </c>
    </row>
    <row r="1380" spans="1:9" x14ac:dyDescent="0.25">
      <c r="A1380" t="s">
        <v>1450</v>
      </c>
      <c r="B1380" t="s">
        <v>328</v>
      </c>
      <c r="C1380" t="s">
        <v>1495</v>
      </c>
      <c r="D1380" t="s">
        <v>15</v>
      </c>
      <c r="E1380" s="46">
        <v>1325</v>
      </c>
      <c r="F1380" s="46">
        <v>978.2</v>
      </c>
      <c r="G1380" s="46">
        <v>346.8</v>
      </c>
      <c r="H1380" s="46">
        <v>35.450000000000003</v>
      </c>
      <c r="I1380" t="s">
        <v>81</v>
      </c>
    </row>
    <row r="1381" spans="1:9" x14ac:dyDescent="0.25">
      <c r="A1381" t="s">
        <v>1450</v>
      </c>
      <c r="B1381" t="s">
        <v>328</v>
      </c>
      <c r="C1381" t="s">
        <v>1496</v>
      </c>
      <c r="D1381" t="s">
        <v>15</v>
      </c>
      <c r="E1381" s="46">
        <v>1325</v>
      </c>
      <c r="F1381" s="46">
        <v>978.2</v>
      </c>
      <c r="G1381" s="46">
        <v>346.8</v>
      </c>
      <c r="H1381" s="46">
        <v>35.450000000000003</v>
      </c>
      <c r="I1381" t="s">
        <v>81</v>
      </c>
    </row>
    <row r="1382" spans="1:9" x14ac:dyDescent="0.25">
      <c r="A1382" t="s">
        <v>1450</v>
      </c>
      <c r="B1382" t="s">
        <v>328</v>
      </c>
      <c r="C1382" t="s">
        <v>1497</v>
      </c>
      <c r="D1382" t="s">
        <v>15</v>
      </c>
      <c r="E1382" s="46">
        <v>1325</v>
      </c>
      <c r="F1382" s="46">
        <v>978.2</v>
      </c>
      <c r="G1382" s="46">
        <v>346.8</v>
      </c>
      <c r="H1382" s="46">
        <v>35.450000000000003</v>
      </c>
      <c r="I1382" t="s">
        <v>81</v>
      </c>
    </row>
    <row r="1383" spans="1:9" x14ac:dyDescent="0.25">
      <c r="A1383" t="s">
        <v>1450</v>
      </c>
      <c r="B1383" t="s">
        <v>328</v>
      </c>
      <c r="C1383" t="s">
        <v>1498</v>
      </c>
      <c r="D1383" t="s">
        <v>15</v>
      </c>
      <c r="E1383" s="46">
        <v>1325</v>
      </c>
      <c r="F1383" s="46">
        <v>978.2</v>
      </c>
      <c r="G1383" s="46">
        <v>346.8</v>
      </c>
      <c r="H1383" s="46">
        <v>35.450000000000003</v>
      </c>
      <c r="I1383" t="s">
        <v>81</v>
      </c>
    </row>
    <row r="1384" spans="1:9" x14ac:dyDescent="0.25">
      <c r="A1384" t="s">
        <v>1450</v>
      </c>
      <c r="B1384" t="s">
        <v>328</v>
      </c>
      <c r="C1384" t="s">
        <v>1499</v>
      </c>
      <c r="D1384" t="s">
        <v>15</v>
      </c>
      <c r="E1384" s="46">
        <v>1325</v>
      </c>
      <c r="F1384" s="46">
        <v>978.2</v>
      </c>
      <c r="G1384" s="46">
        <v>346.8</v>
      </c>
      <c r="H1384" s="46">
        <v>35.450000000000003</v>
      </c>
      <c r="I1384" t="s">
        <v>81</v>
      </c>
    </row>
    <row r="1385" spans="1:9" x14ac:dyDescent="0.25">
      <c r="A1385" t="s">
        <v>1450</v>
      </c>
      <c r="B1385" t="s">
        <v>328</v>
      </c>
      <c r="C1385" t="s">
        <v>1500</v>
      </c>
      <c r="D1385" t="s">
        <v>15</v>
      </c>
      <c r="E1385" s="46">
        <v>1325</v>
      </c>
      <c r="F1385" s="46">
        <v>978.2</v>
      </c>
      <c r="G1385" s="46">
        <v>346.8</v>
      </c>
      <c r="H1385" s="46">
        <v>35.450000000000003</v>
      </c>
      <c r="I1385" t="s">
        <v>81</v>
      </c>
    </row>
    <row r="1386" spans="1:9" x14ac:dyDescent="0.25">
      <c r="A1386" t="s">
        <v>1450</v>
      </c>
      <c r="B1386" t="s">
        <v>328</v>
      </c>
      <c r="C1386" t="s">
        <v>1501</v>
      </c>
      <c r="D1386" t="s">
        <v>15</v>
      </c>
      <c r="E1386" s="46">
        <v>1325</v>
      </c>
      <c r="F1386" s="46">
        <v>978.2</v>
      </c>
      <c r="G1386" s="46">
        <v>346.8</v>
      </c>
      <c r="H1386" s="46">
        <v>35.450000000000003</v>
      </c>
      <c r="I1386" t="s">
        <v>81</v>
      </c>
    </row>
    <row r="1387" spans="1:9" x14ac:dyDescent="0.25">
      <c r="A1387" t="s">
        <v>1450</v>
      </c>
      <c r="B1387" t="s">
        <v>328</v>
      </c>
      <c r="C1387" t="s">
        <v>1502</v>
      </c>
      <c r="D1387" t="s">
        <v>15</v>
      </c>
      <c r="E1387" s="46">
        <v>1325</v>
      </c>
      <c r="F1387" s="46">
        <v>978.2</v>
      </c>
      <c r="G1387" s="46">
        <v>346.8</v>
      </c>
      <c r="H1387" s="46">
        <v>35.450000000000003</v>
      </c>
      <c r="I1387" t="s">
        <v>81</v>
      </c>
    </row>
    <row r="1388" spans="1:9" x14ac:dyDescent="0.25">
      <c r="A1388" t="s">
        <v>1450</v>
      </c>
      <c r="B1388" t="s">
        <v>328</v>
      </c>
      <c r="C1388" t="s">
        <v>1503</v>
      </c>
      <c r="D1388" t="s">
        <v>15</v>
      </c>
      <c r="E1388" s="46">
        <v>1325</v>
      </c>
      <c r="F1388" s="46">
        <v>978.2</v>
      </c>
      <c r="G1388" s="46">
        <v>346.8</v>
      </c>
      <c r="H1388" s="46">
        <v>35.450000000000003</v>
      </c>
      <c r="I1388" t="s">
        <v>81</v>
      </c>
    </row>
    <row r="1389" spans="1:9" x14ac:dyDescent="0.25">
      <c r="A1389" t="s">
        <v>1450</v>
      </c>
      <c r="B1389" t="s">
        <v>328</v>
      </c>
      <c r="C1389" t="s">
        <v>1504</v>
      </c>
      <c r="D1389" t="s">
        <v>15</v>
      </c>
      <c r="E1389" s="46">
        <v>1325</v>
      </c>
      <c r="F1389" s="46">
        <v>978.2</v>
      </c>
      <c r="G1389" s="46">
        <v>346.8</v>
      </c>
      <c r="H1389" s="46">
        <v>35.450000000000003</v>
      </c>
      <c r="I1389" t="s">
        <v>81</v>
      </c>
    </row>
    <row r="1390" spans="1:9" x14ac:dyDescent="0.25">
      <c r="A1390" t="s">
        <v>1450</v>
      </c>
      <c r="B1390" t="s">
        <v>328</v>
      </c>
      <c r="C1390" t="s">
        <v>1505</v>
      </c>
      <c r="D1390" t="s">
        <v>15</v>
      </c>
      <c r="E1390" s="46">
        <v>1325</v>
      </c>
      <c r="F1390" s="46">
        <v>978.2</v>
      </c>
      <c r="G1390" s="46">
        <v>346.8</v>
      </c>
      <c r="H1390" s="46">
        <v>35.450000000000003</v>
      </c>
      <c r="I1390" t="s">
        <v>81</v>
      </c>
    </row>
    <row r="1391" spans="1:9" x14ac:dyDescent="0.25">
      <c r="A1391" t="s">
        <v>1450</v>
      </c>
      <c r="B1391" t="s">
        <v>328</v>
      </c>
      <c r="C1391" t="s">
        <v>1506</v>
      </c>
      <c r="D1391" t="s">
        <v>15</v>
      </c>
      <c r="E1391" s="46">
        <v>1325</v>
      </c>
      <c r="F1391" s="46">
        <v>978.2</v>
      </c>
      <c r="G1391" s="46">
        <v>346.8</v>
      </c>
      <c r="H1391" s="46">
        <v>35.450000000000003</v>
      </c>
      <c r="I1391" t="s">
        <v>81</v>
      </c>
    </row>
    <row r="1392" spans="1:9" x14ac:dyDescent="0.25">
      <c r="A1392" t="s">
        <v>1450</v>
      </c>
      <c r="B1392" t="s">
        <v>328</v>
      </c>
      <c r="C1392" t="s">
        <v>1507</v>
      </c>
      <c r="D1392" t="s">
        <v>15</v>
      </c>
      <c r="E1392" s="46">
        <v>1325</v>
      </c>
      <c r="F1392" s="46">
        <v>978.2</v>
      </c>
      <c r="G1392" s="46">
        <v>346.8</v>
      </c>
      <c r="H1392" s="46">
        <v>35.450000000000003</v>
      </c>
      <c r="I1392" t="s">
        <v>81</v>
      </c>
    </row>
    <row r="1393" spans="1:9" x14ac:dyDescent="0.25">
      <c r="A1393" t="s">
        <v>1450</v>
      </c>
      <c r="B1393" t="s">
        <v>328</v>
      </c>
      <c r="C1393" t="s">
        <v>1508</v>
      </c>
      <c r="D1393" t="s">
        <v>15</v>
      </c>
      <c r="E1393" s="46">
        <v>1325</v>
      </c>
      <c r="F1393" s="46">
        <v>978.2</v>
      </c>
      <c r="G1393" s="46">
        <v>346.8</v>
      </c>
      <c r="H1393" s="46">
        <v>35.450000000000003</v>
      </c>
      <c r="I1393" t="s">
        <v>81</v>
      </c>
    </row>
    <row r="1394" spans="1:9" x14ac:dyDescent="0.25">
      <c r="A1394" t="s">
        <v>1450</v>
      </c>
      <c r="B1394" t="s">
        <v>328</v>
      </c>
      <c r="C1394" t="s">
        <v>1509</v>
      </c>
      <c r="D1394" t="s">
        <v>15</v>
      </c>
      <c r="E1394" s="46">
        <v>1325</v>
      </c>
      <c r="F1394" s="46">
        <v>978.2</v>
      </c>
      <c r="G1394" s="46">
        <v>346.8</v>
      </c>
      <c r="H1394" s="46">
        <v>35.450000000000003</v>
      </c>
      <c r="I1394" t="s">
        <v>81</v>
      </c>
    </row>
    <row r="1395" spans="1:9" x14ac:dyDescent="0.25">
      <c r="A1395" t="s">
        <v>1450</v>
      </c>
      <c r="B1395" t="s">
        <v>328</v>
      </c>
      <c r="C1395" t="s">
        <v>1510</v>
      </c>
      <c r="D1395" t="s">
        <v>15</v>
      </c>
      <c r="E1395" s="46">
        <v>1325</v>
      </c>
      <c r="F1395" s="46">
        <v>978.2</v>
      </c>
      <c r="G1395" s="46">
        <v>346.8</v>
      </c>
      <c r="H1395" s="46">
        <v>35.450000000000003</v>
      </c>
      <c r="I1395" t="s">
        <v>81</v>
      </c>
    </row>
    <row r="1396" spans="1:9" x14ac:dyDescent="0.25">
      <c r="A1396" t="s">
        <v>1450</v>
      </c>
      <c r="B1396" t="s">
        <v>328</v>
      </c>
      <c r="C1396" t="s">
        <v>1511</v>
      </c>
      <c r="D1396" t="s">
        <v>15</v>
      </c>
      <c r="E1396" s="46">
        <v>1325</v>
      </c>
      <c r="F1396" s="46">
        <v>978.2</v>
      </c>
      <c r="G1396" s="46">
        <v>346.8</v>
      </c>
      <c r="H1396" s="46">
        <v>35.450000000000003</v>
      </c>
      <c r="I1396" t="s">
        <v>81</v>
      </c>
    </row>
    <row r="1397" spans="1:9" x14ac:dyDescent="0.25">
      <c r="A1397" t="s">
        <v>1450</v>
      </c>
      <c r="B1397" t="s">
        <v>328</v>
      </c>
      <c r="C1397" t="s">
        <v>1512</v>
      </c>
      <c r="D1397" t="s">
        <v>15</v>
      </c>
      <c r="E1397" s="46">
        <v>1325</v>
      </c>
      <c r="F1397" s="46">
        <v>978.2</v>
      </c>
      <c r="G1397" s="46">
        <v>346.8</v>
      </c>
      <c r="H1397" s="46">
        <v>35.450000000000003</v>
      </c>
      <c r="I1397" t="s">
        <v>81</v>
      </c>
    </row>
    <row r="1398" spans="1:9" x14ac:dyDescent="0.25">
      <c r="A1398" t="s">
        <v>1450</v>
      </c>
      <c r="B1398" t="s">
        <v>328</v>
      </c>
      <c r="C1398" t="s">
        <v>1513</v>
      </c>
      <c r="D1398" t="s">
        <v>15</v>
      </c>
      <c r="E1398" s="46">
        <v>1325</v>
      </c>
      <c r="F1398" s="46">
        <v>978.2</v>
      </c>
      <c r="G1398" s="46">
        <v>346.8</v>
      </c>
      <c r="H1398" s="46">
        <v>35.450000000000003</v>
      </c>
      <c r="I1398" t="s">
        <v>81</v>
      </c>
    </row>
    <row r="1399" spans="1:9" x14ac:dyDescent="0.25">
      <c r="A1399" t="s">
        <v>1450</v>
      </c>
      <c r="B1399" t="s">
        <v>328</v>
      </c>
      <c r="C1399" t="s">
        <v>1514</v>
      </c>
      <c r="D1399" t="s">
        <v>15</v>
      </c>
      <c r="E1399" s="46">
        <v>1325</v>
      </c>
      <c r="F1399" s="46">
        <v>978.2</v>
      </c>
      <c r="G1399" s="46">
        <v>346.8</v>
      </c>
      <c r="H1399" s="46">
        <v>35.450000000000003</v>
      </c>
      <c r="I1399" t="s">
        <v>81</v>
      </c>
    </row>
    <row r="1400" spans="1:9" x14ac:dyDescent="0.25">
      <c r="A1400" t="s">
        <v>1450</v>
      </c>
      <c r="B1400" t="s">
        <v>328</v>
      </c>
      <c r="C1400" t="s">
        <v>1515</v>
      </c>
      <c r="D1400" t="s">
        <v>15</v>
      </c>
      <c r="E1400" s="46">
        <v>1325</v>
      </c>
      <c r="F1400" s="46">
        <v>966.07</v>
      </c>
      <c r="G1400" s="46">
        <v>358.93</v>
      </c>
      <c r="H1400" s="46">
        <v>37.15</v>
      </c>
      <c r="I1400" t="s">
        <v>81</v>
      </c>
    </row>
    <row r="1401" spans="1:9" x14ac:dyDescent="0.25">
      <c r="A1401" t="s">
        <v>1450</v>
      </c>
      <c r="B1401" t="s">
        <v>328</v>
      </c>
      <c r="C1401" t="s">
        <v>1516</v>
      </c>
      <c r="D1401" t="s">
        <v>15</v>
      </c>
      <c r="E1401" s="46">
        <v>1325</v>
      </c>
      <c r="F1401" s="46">
        <v>966.07</v>
      </c>
      <c r="G1401" s="46">
        <v>358.93</v>
      </c>
      <c r="H1401" s="46">
        <v>37.15</v>
      </c>
      <c r="I1401" t="s">
        <v>81</v>
      </c>
    </row>
    <row r="1402" spans="1:9" x14ac:dyDescent="0.25">
      <c r="A1402" t="s">
        <v>1450</v>
      </c>
      <c r="B1402" t="s">
        <v>328</v>
      </c>
      <c r="C1402" t="s">
        <v>1517</v>
      </c>
      <c r="D1402" t="s">
        <v>15</v>
      </c>
      <c r="E1402" s="46">
        <v>1325</v>
      </c>
      <c r="F1402" s="46">
        <v>966.07</v>
      </c>
      <c r="G1402" s="46">
        <v>358.93</v>
      </c>
      <c r="H1402" s="46">
        <v>37.15</v>
      </c>
      <c r="I1402" t="s">
        <v>81</v>
      </c>
    </row>
    <row r="1403" spans="1:9" x14ac:dyDescent="0.25">
      <c r="A1403" t="s">
        <v>1450</v>
      </c>
      <c r="B1403" t="s">
        <v>328</v>
      </c>
      <c r="C1403" t="s">
        <v>1518</v>
      </c>
      <c r="D1403" t="s">
        <v>15</v>
      </c>
      <c r="E1403" s="46">
        <v>1325</v>
      </c>
      <c r="F1403" s="46">
        <v>966.07</v>
      </c>
      <c r="G1403" s="46">
        <v>358.93</v>
      </c>
      <c r="H1403" s="46">
        <v>37.15</v>
      </c>
      <c r="I1403" t="s">
        <v>81</v>
      </c>
    </row>
    <row r="1404" spans="1:9" x14ac:dyDescent="0.25">
      <c r="A1404" t="s">
        <v>1450</v>
      </c>
      <c r="B1404" t="s">
        <v>328</v>
      </c>
      <c r="C1404" t="s">
        <v>1519</v>
      </c>
      <c r="D1404" t="s">
        <v>15</v>
      </c>
      <c r="E1404" s="46">
        <v>1325</v>
      </c>
      <c r="F1404" s="46">
        <v>966.07</v>
      </c>
      <c r="G1404" s="46">
        <v>358.93</v>
      </c>
      <c r="H1404" s="46">
        <v>37.15</v>
      </c>
      <c r="I1404" t="s">
        <v>81</v>
      </c>
    </row>
    <row r="1405" spans="1:9" x14ac:dyDescent="0.25">
      <c r="A1405" t="s">
        <v>1450</v>
      </c>
      <c r="B1405" t="s">
        <v>328</v>
      </c>
      <c r="C1405" t="s">
        <v>1520</v>
      </c>
      <c r="D1405" t="s">
        <v>15</v>
      </c>
      <c r="E1405" s="46">
        <v>1325</v>
      </c>
      <c r="F1405" s="46">
        <v>966.07</v>
      </c>
      <c r="G1405" s="46">
        <v>358.93</v>
      </c>
      <c r="H1405" s="46">
        <v>37.15</v>
      </c>
      <c r="I1405" t="s">
        <v>81</v>
      </c>
    </row>
    <row r="1406" spans="1:9" x14ac:dyDescent="0.25">
      <c r="A1406" t="s">
        <v>1450</v>
      </c>
      <c r="B1406" t="s">
        <v>328</v>
      </c>
      <c r="C1406" t="s">
        <v>1521</v>
      </c>
      <c r="D1406" t="s">
        <v>15</v>
      </c>
      <c r="E1406" s="46">
        <v>1325</v>
      </c>
      <c r="F1406" s="46">
        <v>966.07</v>
      </c>
      <c r="G1406" s="46">
        <v>358.93</v>
      </c>
      <c r="H1406" s="46">
        <v>37.15</v>
      </c>
      <c r="I1406" t="s">
        <v>81</v>
      </c>
    </row>
    <row r="1407" spans="1:9" x14ac:dyDescent="0.25">
      <c r="A1407" t="s">
        <v>1450</v>
      </c>
      <c r="B1407" t="s">
        <v>328</v>
      </c>
      <c r="C1407" t="s">
        <v>1522</v>
      </c>
      <c r="D1407" t="s">
        <v>15</v>
      </c>
      <c r="E1407" s="46">
        <v>1325</v>
      </c>
      <c r="F1407" s="46">
        <v>966.07</v>
      </c>
      <c r="G1407" s="46">
        <v>358.93</v>
      </c>
      <c r="H1407" s="46">
        <v>37.15</v>
      </c>
      <c r="I1407" t="s">
        <v>81</v>
      </c>
    </row>
    <row r="1408" spans="1:9" x14ac:dyDescent="0.25">
      <c r="A1408" t="s">
        <v>1450</v>
      </c>
      <c r="B1408" t="s">
        <v>328</v>
      </c>
      <c r="C1408" t="s">
        <v>1523</v>
      </c>
      <c r="D1408" t="s">
        <v>15</v>
      </c>
      <c r="E1408" s="46">
        <v>1325</v>
      </c>
      <c r="F1408" s="46">
        <v>966.07</v>
      </c>
      <c r="G1408" s="46">
        <v>358.93</v>
      </c>
      <c r="H1408" s="46">
        <v>37.15</v>
      </c>
      <c r="I1408" t="s">
        <v>81</v>
      </c>
    </row>
    <row r="1409" spans="1:9" x14ac:dyDescent="0.25">
      <c r="A1409" t="s">
        <v>1450</v>
      </c>
      <c r="B1409" t="s">
        <v>328</v>
      </c>
      <c r="C1409" t="s">
        <v>1524</v>
      </c>
      <c r="D1409" t="s">
        <v>15</v>
      </c>
      <c r="E1409" s="46">
        <v>1325</v>
      </c>
      <c r="F1409" s="46">
        <v>966.07</v>
      </c>
      <c r="G1409" s="46">
        <v>358.93</v>
      </c>
      <c r="H1409" s="46">
        <v>37.15</v>
      </c>
      <c r="I1409" t="s">
        <v>81</v>
      </c>
    </row>
    <row r="1410" spans="1:9" x14ac:dyDescent="0.25">
      <c r="A1410" t="s">
        <v>1450</v>
      </c>
      <c r="B1410" t="s">
        <v>328</v>
      </c>
      <c r="C1410" t="s">
        <v>1525</v>
      </c>
      <c r="D1410" t="s">
        <v>15</v>
      </c>
      <c r="E1410" s="46">
        <v>1325</v>
      </c>
      <c r="F1410" s="46">
        <v>966.07</v>
      </c>
      <c r="G1410" s="46">
        <v>358.93</v>
      </c>
      <c r="H1410" s="46">
        <v>37.15</v>
      </c>
      <c r="I1410" t="s">
        <v>81</v>
      </c>
    </row>
    <row r="1411" spans="1:9" x14ac:dyDescent="0.25">
      <c r="A1411" t="s">
        <v>1450</v>
      </c>
      <c r="B1411" t="s">
        <v>328</v>
      </c>
      <c r="C1411" t="s">
        <v>1526</v>
      </c>
      <c r="D1411" t="s">
        <v>15</v>
      </c>
      <c r="E1411" s="46">
        <v>1325</v>
      </c>
      <c r="F1411" s="46">
        <v>966.07</v>
      </c>
      <c r="G1411" s="46">
        <v>358.93</v>
      </c>
      <c r="H1411" s="46">
        <v>37.15</v>
      </c>
      <c r="I1411" t="s">
        <v>81</v>
      </c>
    </row>
    <row r="1412" spans="1:9" x14ac:dyDescent="0.25">
      <c r="A1412" t="s">
        <v>1450</v>
      </c>
      <c r="B1412" t="s">
        <v>328</v>
      </c>
      <c r="C1412" t="s">
        <v>1527</v>
      </c>
      <c r="D1412" t="s">
        <v>15</v>
      </c>
      <c r="E1412" s="46">
        <v>1325</v>
      </c>
      <c r="F1412" s="46">
        <v>966.07</v>
      </c>
      <c r="G1412" s="46">
        <v>358.93</v>
      </c>
      <c r="H1412" s="46">
        <v>37.15</v>
      </c>
      <c r="I1412" t="s">
        <v>81</v>
      </c>
    </row>
    <row r="1413" spans="1:9" x14ac:dyDescent="0.25">
      <c r="A1413" t="s">
        <v>1450</v>
      </c>
      <c r="B1413" t="s">
        <v>328</v>
      </c>
      <c r="C1413" t="s">
        <v>1528</v>
      </c>
      <c r="D1413" t="s">
        <v>15</v>
      </c>
      <c r="E1413" s="46">
        <v>1325</v>
      </c>
      <c r="F1413" s="46">
        <v>966.07</v>
      </c>
      <c r="G1413" s="46">
        <v>358.93</v>
      </c>
      <c r="H1413" s="46">
        <v>37.15</v>
      </c>
      <c r="I1413" t="s">
        <v>81</v>
      </c>
    </row>
    <row r="1414" spans="1:9" x14ac:dyDescent="0.25">
      <c r="A1414" t="s">
        <v>1450</v>
      </c>
      <c r="B1414" t="s">
        <v>328</v>
      </c>
      <c r="C1414" t="s">
        <v>1529</v>
      </c>
      <c r="D1414" t="s">
        <v>15</v>
      </c>
      <c r="E1414" s="46">
        <v>1325</v>
      </c>
      <c r="F1414" s="46">
        <v>966.07</v>
      </c>
      <c r="G1414" s="46">
        <v>358.93</v>
      </c>
      <c r="H1414" s="46">
        <v>37.15</v>
      </c>
      <c r="I1414" t="s">
        <v>81</v>
      </c>
    </row>
    <row r="1415" spans="1:9" x14ac:dyDescent="0.25">
      <c r="A1415" t="s">
        <v>1450</v>
      </c>
      <c r="B1415" t="s">
        <v>328</v>
      </c>
      <c r="C1415" t="s">
        <v>1530</v>
      </c>
      <c r="D1415" t="s">
        <v>15</v>
      </c>
      <c r="E1415" s="46">
        <v>1325</v>
      </c>
      <c r="F1415" s="46">
        <v>966.07</v>
      </c>
      <c r="G1415" s="46">
        <v>358.93</v>
      </c>
      <c r="H1415" s="46">
        <v>37.15</v>
      </c>
      <c r="I1415" t="s">
        <v>81</v>
      </c>
    </row>
    <row r="1416" spans="1:9" x14ac:dyDescent="0.25">
      <c r="A1416" t="s">
        <v>1450</v>
      </c>
      <c r="B1416" t="s">
        <v>328</v>
      </c>
      <c r="C1416" t="s">
        <v>1531</v>
      </c>
      <c r="D1416" t="s">
        <v>15</v>
      </c>
      <c r="E1416" s="46">
        <v>1325</v>
      </c>
      <c r="F1416" s="46">
        <v>966.07</v>
      </c>
      <c r="G1416" s="46">
        <v>358.93</v>
      </c>
      <c r="H1416" s="46">
        <v>37.15</v>
      </c>
      <c r="I1416" t="s">
        <v>81</v>
      </c>
    </row>
    <row r="1417" spans="1:9" x14ac:dyDescent="0.25">
      <c r="A1417" t="s">
        <v>1450</v>
      </c>
      <c r="B1417" t="s">
        <v>328</v>
      </c>
      <c r="C1417" t="s">
        <v>1532</v>
      </c>
      <c r="D1417" t="s">
        <v>15</v>
      </c>
      <c r="E1417" s="46">
        <v>1325</v>
      </c>
      <c r="F1417" s="46">
        <v>966.07</v>
      </c>
      <c r="G1417" s="46">
        <v>358.93</v>
      </c>
      <c r="H1417" s="46">
        <v>37.15</v>
      </c>
      <c r="I1417" t="s">
        <v>81</v>
      </c>
    </row>
    <row r="1418" spans="1:9" x14ac:dyDescent="0.25">
      <c r="A1418" t="s">
        <v>1450</v>
      </c>
      <c r="B1418" t="s">
        <v>328</v>
      </c>
      <c r="C1418" t="s">
        <v>1533</v>
      </c>
      <c r="D1418" t="s">
        <v>15</v>
      </c>
      <c r="E1418" s="46">
        <v>1325</v>
      </c>
      <c r="F1418" s="46">
        <v>966.07</v>
      </c>
      <c r="G1418" s="46">
        <v>358.93</v>
      </c>
      <c r="H1418" s="46">
        <v>37.15</v>
      </c>
      <c r="I1418" t="s">
        <v>81</v>
      </c>
    </row>
    <row r="1419" spans="1:9" x14ac:dyDescent="0.25">
      <c r="A1419" t="s">
        <v>1450</v>
      </c>
      <c r="B1419" t="s">
        <v>328</v>
      </c>
      <c r="C1419" t="s">
        <v>1534</v>
      </c>
      <c r="D1419" t="s">
        <v>15</v>
      </c>
      <c r="E1419" s="46">
        <v>1325</v>
      </c>
      <c r="F1419" s="46">
        <v>966.07</v>
      </c>
      <c r="G1419" s="46">
        <v>358.93</v>
      </c>
      <c r="H1419" s="46">
        <v>37.15</v>
      </c>
      <c r="I1419" t="s">
        <v>81</v>
      </c>
    </row>
    <row r="1420" spans="1:9" x14ac:dyDescent="0.25">
      <c r="A1420" t="s">
        <v>1450</v>
      </c>
      <c r="B1420" t="s">
        <v>328</v>
      </c>
      <c r="C1420" t="s">
        <v>1535</v>
      </c>
      <c r="D1420" t="s">
        <v>15</v>
      </c>
      <c r="E1420" s="46">
        <v>1325</v>
      </c>
      <c r="F1420" s="46">
        <v>966.07</v>
      </c>
      <c r="G1420" s="46">
        <v>358.93</v>
      </c>
      <c r="H1420" s="46">
        <v>37.15</v>
      </c>
      <c r="I1420" t="s">
        <v>81</v>
      </c>
    </row>
    <row r="1421" spans="1:9" x14ac:dyDescent="0.25">
      <c r="A1421" t="s">
        <v>1450</v>
      </c>
      <c r="B1421" t="s">
        <v>328</v>
      </c>
      <c r="C1421" t="s">
        <v>1536</v>
      </c>
      <c r="D1421" t="s">
        <v>15</v>
      </c>
      <c r="E1421" s="46">
        <v>1325</v>
      </c>
      <c r="F1421" s="46">
        <v>966.07</v>
      </c>
      <c r="G1421" s="46">
        <v>358.93</v>
      </c>
      <c r="H1421" s="46">
        <v>37.15</v>
      </c>
      <c r="I1421" t="s">
        <v>81</v>
      </c>
    </row>
    <row r="1422" spans="1:9" x14ac:dyDescent="0.25">
      <c r="A1422" t="s">
        <v>1450</v>
      </c>
      <c r="B1422" t="s">
        <v>328</v>
      </c>
      <c r="C1422" t="s">
        <v>1537</v>
      </c>
      <c r="D1422" t="s">
        <v>15</v>
      </c>
      <c r="E1422" s="46">
        <v>1325</v>
      </c>
      <c r="F1422" s="46">
        <v>966.07</v>
      </c>
      <c r="G1422" s="46">
        <v>358.93</v>
      </c>
      <c r="H1422" s="46">
        <v>37.15</v>
      </c>
      <c r="I1422" t="s">
        <v>81</v>
      </c>
    </row>
    <row r="1423" spans="1:9" x14ac:dyDescent="0.25">
      <c r="A1423" t="s">
        <v>1450</v>
      </c>
      <c r="B1423" t="s">
        <v>328</v>
      </c>
      <c r="C1423" t="s">
        <v>1538</v>
      </c>
      <c r="D1423" t="s">
        <v>15</v>
      </c>
      <c r="E1423" s="46">
        <v>1325</v>
      </c>
      <c r="F1423" s="46">
        <v>966.07</v>
      </c>
      <c r="G1423" s="46">
        <v>358.93</v>
      </c>
      <c r="H1423" s="46">
        <v>37.15</v>
      </c>
      <c r="I1423" t="s">
        <v>81</v>
      </c>
    </row>
    <row r="1424" spans="1:9" x14ac:dyDescent="0.25">
      <c r="A1424" t="s">
        <v>1450</v>
      </c>
      <c r="B1424" t="s">
        <v>328</v>
      </c>
      <c r="C1424" t="s">
        <v>1539</v>
      </c>
      <c r="D1424" t="s">
        <v>15</v>
      </c>
      <c r="E1424" s="46">
        <v>1325</v>
      </c>
      <c r="F1424" s="46">
        <v>966.07</v>
      </c>
      <c r="G1424" s="46">
        <v>358.93</v>
      </c>
      <c r="H1424" s="46">
        <v>37.15</v>
      </c>
      <c r="I1424" t="s">
        <v>81</v>
      </c>
    </row>
    <row r="1425" spans="1:9" x14ac:dyDescent="0.25">
      <c r="A1425" t="s">
        <v>1450</v>
      </c>
      <c r="B1425" t="s">
        <v>328</v>
      </c>
      <c r="C1425" t="s">
        <v>1540</v>
      </c>
      <c r="D1425" t="s">
        <v>15</v>
      </c>
      <c r="E1425" s="46">
        <v>1325</v>
      </c>
      <c r="F1425" s="46">
        <v>966.07</v>
      </c>
      <c r="G1425" s="46">
        <v>358.93</v>
      </c>
      <c r="H1425" s="46">
        <v>37.15</v>
      </c>
      <c r="I1425" t="s">
        <v>81</v>
      </c>
    </row>
    <row r="1426" spans="1:9" x14ac:dyDescent="0.25">
      <c r="A1426" t="s">
        <v>1450</v>
      </c>
      <c r="B1426" t="s">
        <v>328</v>
      </c>
      <c r="C1426" t="s">
        <v>1541</v>
      </c>
      <c r="D1426" t="s">
        <v>15</v>
      </c>
      <c r="E1426" s="46">
        <v>1325</v>
      </c>
      <c r="F1426" s="46">
        <v>966.07</v>
      </c>
      <c r="G1426" s="46">
        <v>358.93</v>
      </c>
      <c r="H1426" s="46">
        <v>37.15</v>
      </c>
      <c r="I1426" t="s">
        <v>81</v>
      </c>
    </row>
    <row r="1427" spans="1:9" x14ac:dyDescent="0.25">
      <c r="A1427" t="s">
        <v>1450</v>
      </c>
      <c r="B1427" t="s">
        <v>328</v>
      </c>
      <c r="C1427" t="s">
        <v>1542</v>
      </c>
      <c r="D1427" t="s">
        <v>15</v>
      </c>
      <c r="E1427" s="46">
        <v>1325</v>
      </c>
      <c r="F1427" s="46">
        <v>966.07</v>
      </c>
      <c r="G1427" s="46">
        <v>358.93</v>
      </c>
      <c r="H1427" s="46">
        <v>37.15</v>
      </c>
      <c r="I1427" t="s">
        <v>81</v>
      </c>
    </row>
    <row r="1428" spans="1:9" x14ac:dyDescent="0.25">
      <c r="A1428" t="s">
        <v>1450</v>
      </c>
      <c r="B1428" t="s">
        <v>328</v>
      </c>
      <c r="C1428" t="s">
        <v>1543</v>
      </c>
      <c r="D1428" t="s">
        <v>15</v>
      </c>
      <c r="E1428" s="46">
        <v>1325</v>
      </c>
      <c r="F1428" s="46">
        <v>966.07</v>
      </c>
      <c r="G1428" s="46">
        <v>358.93</v>
      </c>
      <c r="H1428" s="46">
        <v>37.15</v>
      </c>
      <c r="I1428" t="s">
        <v>81</v>
      </c>
    </row>
    <row r="1429" spans="1:9" x14ac:dyDescent="0.25">
      <c r="A1429" t="s">
        <v>1450</v>
      </c>
      <c r="B1429" t="s">
        <v>328</v>
      </c>
      <c r="C1429" t="s">
        <v>1544</v>
      </c>
      <c r="D1429" t="s">
        <v>15</v>
      </c>
      <c r="E1429" s="46">
        <v>1325</v>
      </c>
      <c r="F1429" s="46">
        <v>966.07</v>
      </c>
      <c r="G1429" s="46">
        <v>358.93</v>
      </c>
      <c r="H1429" s="46">
        <v>37.15</v>
      </c>
      <c r="I1429" t="s">
        <v>81</v>
      </c>
    </row>
    <row r="1430" spans="1:9" x14ac:dyDescent="0.25">
      <c r="A1430" t="s">
        <v>1450</v>
      </c>
      <c r="B1430" t="s">
        <v>328</v>
      </c>
      <c r="C1430" t="s">
        <v>1545</v>
      </c>
      <c r="D1430" t="s">
        <v>15</v>
      </c>
      <c r="E1430" s="46">
        <v>1325</v>
      </c>
      <c r="F1430" s="46">
        <v>966.07</v>
      </c>
      <c r="G1430" s="46">
        <v>358.93</v>
      </c>
      <c r="H1430" s="46">
        <v>37.15</v>
      </c>
      <c r="I1430" t="s">
        <v>81</v>
      </c>
    </row>
    <row r="1431" spans="1:9" x14ac:dyDescent="0.25">
      <c r="A1431" t="s">
        <v>1450</v>
      </c>
      <c r="B1431" t="s">
        <v>328</v>
      </c>
      <c r="C1431" t="s">
        <v>1546</v>
      </c>
      <c r="D1431" t="s">
        <v>15</v>
      </c>
      <c r="E1431" s="46">
        <v>1325</v>
      </c>
      <c r="F1431" s="46">
        <v>966.07</v>
      </c>
      <c r="G1431" s="46">
        <v>358.93</v>
      </c>
      <c r="H1431" s="46">
        <v>37.15</v>
      </c>
      <c r="I1431" t="s">
        <v>81</v>
      </c>
    </row>
    <row r="1432" spans="1:9" x14ac:dyDescent="0.25">
      <c r="A1432" t="s">
        <v>1450</v>
      </c>
      <c r="B1432" t="s">
        <v>328</v>
      </c>
      <c r="C1432" t="s">
        <v>1547</v>
      </c>
      <c r="D1432" t="s">
        <v>15</v>
      </c>
      <c r="E1432" s="46">
        <v>1325</v>
      </c>
      <c r="F1432" s="46">
        <v>966.07</v>
      </c>
      <c r="G1432" s="46">
        <v>358.93</v>
      </c>
      <c r="H1432" s="46">
        <v>37.15</v>
      </c>
      <c r="I1432" t="s">
        <v>81</v>
      </c>
    </row>
    <row r="1433" spans="1:9" x14ac:dyDescent="0.25">
      <c r="A1433" t="s">
        <v>1450</v>
      </c>
      <c r="B1433" t="s">
        <v>328</v>
      </c>
      <c r="C1433" t="s">
        <v>1548</v>
      </c>
      <c r="D1433" t="s">
        <v>15</v>
      </c>
      <c r="E1433" s="46">
        <v>1325</v>
      </c>
      <c r="F1433" s="46">
        <v>966.07</v>
      </c>
      <c r="G1433" s="46">
        <v>358.93</v>
      </c>
      <c r="H1433" s="46">
        <v>37.15</v>
      </c>
      <c r="I1433" t="s">
        <v>81</v>
      </c>
    </row>
    <row r="1434" spans="1:9" x14ac:dyDescent="0.25">
      <c r="A1434" t="s">
        <v>1450</v>
      </c>
      <c r="B1434" t="s">
        <v>328</v>
      </c>
      <c r="C1434" t="s">
        <v>1549</v>
      </c>
      <c r="D1434" t="s">
        <v>15</v>
      </c>
      <c r="E1434" s="46">
        <v>1325</v>
      </c>
      <c r="F1434" s="46">
        <v>966.07</v>
      </c>
      <c r="G1434" s="46">
        <v>358.93</v>
      </c>
      <c r="H1434" s="46">
        <v>37.15</v>
      </c>
      <c r="I1434" t="s">
        <v>81</v>
      </c>
    </row>
    <row r="1435" spans="1:9" x14ac:dyDescent="0.25">
      <c r="A1435" t="s">
        <v>1450</v>
      </c>
      <c r="B1435" t="s">
        <v>328</v>
      </c>
      <c r="C1435" t="s">
        <v>1550</v>
      </c>
      <c r="D1435" t="s">
        <v>15</v>
      </c>
      <c r="E1435" s="46">
        <v>1325</v>
      </c>
      <c r="F1435" s="46">
        <v>966.07</v>
      </c>
      <c r="G1435" s="46">
        <v>358.93</v>
      </c>
      <c r="H1435" s="46">
        <v>37.15</v>
      </c>
      <c r="I1435" t="s">
        <v>81</v>
      </c>
    </row>
    <row r="1436" spans="1:9" x14ac:dyDescent="0.25">
      <c r="A1436" t="s">
        <v>1450</v>
      </c>
      <c r="B1436" t="s">
        <v>328</v>
      </c>
      <c r="C1436" t="s">
        <v>1551</v>
      </c>
      <c r="D1436" t="s">
        <v>15</v>
      </c>
      <c r="E1436" s="46">
        <v>1325</v>
      </c>
      <c r="F1436" s="46">
        <v>966.07</v>
      </c>
      <c r="G1436" s="46">
        <v>358.93</v>
      </c>
      <c r="H1436" s="46">
        <v>37.15</v>
      </c>
      <c r="I1436" t="s">
        <v>81</v>
      </c>
    </row>
    <row r="1437" spans="1:9" x14ac:dyDescent="0.25">
      <c r="A1437" t="s">
        <v>1450</v>
      </c>
      <c r="B1437" t="s">
        <v>328</v>
      </c>
      <c r="C1437" t="s">
        <v>1552</v>
      </c>
      <c r="D1437" t="s">
        <v>15</v>
      </c>
      <c r="E1437" s="46">
        <v>1325</v>
      </c>
      <c r="F1437" s="46">
        <v>966.07</v>
      </c>
      <c r="G1437" s="46">
        <v>358.93</v>
      </c>
      <c r="H1437" s="46">
        <v>37.15</v>
      </c>
      <c r="I1437" t="s">
        <v>81</v>
      </c>
    </row>
    <row r="1438" spans="1:9" x14ac:dyDescent="0.25">
      <c r="A1438" t="s">
        <v>1450</v>
      </c>
      <c r="B1438" t="s">
        <v>328</v>
      </c>
      <c r="C1438" t="s">
        <v>1553</v>
      </c>
      <c r="D1438" t="s">
        <v>15</v>
      </c>
      <c r="E1438" s="46">
        <v>1325</v>
      </c>
      <c r="F1438" s="46">
        <v>966.07</v>
      </c>
      <c r="G1438" s="46">
        <v>358.93</v>
      </c>
      <c r="H1438" s="46">
        <v>37.15</v>
      </c>
      <c r="I1438" t="s">
        <v>81</v>
      </c>
    </row>
    <row r="1439" spans="1:9" x14ac:dyDescent="0.25">
      <c r="A1439" t="s">
        <v>1450</v>
      </c>
      <c r="B1439" t="s">
        <v>328</v>
      </c>
      <c r="C1439" t="s">
        <v>1554</v>
      </c>
      <c r="D1439" t="s">
        <v>15</v>
      </c>
      <c r="E1439" s="46">
        <v>1325</v>
      </c>
      <c r="F1439" s="46">
        <v>966.07</v>
      </c>
      <c r="G1439" s="46">
        <v>358.93</v>
      </c>
      <c r="H1439" s="46">
        <v>37.15</v>
      </c>
      <c r="I1439" t="s">
        <v>81</v>
      </c>
    </row>
    <row r="1440" spans="1:9" x14ac:dyDescent="0.25">
      <c r="A1440" s="3" t="s">
        <v>1450</v>
      </c>
      <c r="B1440" s="3" t="s">
        <v>328</v>
      </c>
      <c r="C1440" s="3" t="s">
        <v>1555</v>
      </c>
      <c r="D1440" s="3" t="s">
        <v>15</v>
      </c>
      <c r="E1440" s="70">
        <v>1325</v>
      </c>
      <c r="F1440" s="70">
        <v>1</v>
      </c>
      <c r="G1440" s="70">
        <v>1324</v>
      </c>
      <c r="H1440" s="70">
        <v>132400</v>
      </c>
      <c r="I1440" s="3" t="s">
        <v>81</v>
      </c>
    </row>
    <row r="1441" spans="1:9" x14ac:dyDescent="0.25">
      <c r="A1441" s="3" t="s">
        <v>1450</v>
      </c>
      <c r="B1441" s="3" t="s">
        <v>328</v>
      </c>
      <c r="C1441" s="3" t="s">
        <v>1556</v>
      </c>
      <c r="D1441" s="3" t="s">
        <v>15</v>
      </c>
      <c r="E1441" s="70">
        <v>1325</v>
      </c>
      <c r="F1441" s="70">
        <v>1</v>
      </c>
      <c r="G1441" s="70">
        <v>1324</v>
      </c>
      <c r="H1441" s="70">
        <v>132400</v>
      </c>
      <c r="I1441" s="3" t="s">
        <v>81</v>
      </c>
    </row>
    <row r="1442" spans="1:9" x14ac:dyDescent="0.25">
      <c r="A1442" s="3" t="s">
        <v>1450</v>
      </c>
      <c r="B1442" s="3" t="s">
        <v>328</v>
      </c>
      <c r="C1442" s="3" t="s">
        <v>1557</v>
      </c>
      <c r="D1442" s="3" t="s">
        <v>15</v>
      </c>
      <c r="E1442" s="70">
        <v>1325</v>
      </c>
      <c r="F1442" s="70">
        <v>1</v>
      </c>
      <c r="G1442" s="70">
        <v>1324</v>
      </c>
      <c r="H1442" s="70">
        <v>132400</v>
      </c>
      <c r="I1442" s="3" t="s">
        <v>81</v>
      </c>
    </row>
    <row r="1443" spans="1:9" x14ac:dyDescent="0.25">
      <c r="A1443" s="3" t="s">
        <v>1450</v>
      </c>
      <c r="B1443" s="3" t="s">
        <v>328</v>
      </c>
      <c r="C1443" s="3" t="s">
        <v>1558</v>
      </c>
      <c r="D1443" s="3" t="s">
        <v>15</v>
      </c>
      <c r="E1443" s="70">
        <v>1325</v>
      </c>
      <c r="F1443" s="70">
        <v>1</v>
      </c>
      <c r="G1443" s="70">
        <v>1324</v>
      </c>
      <c r="H1443" s="70">
        <v>132400</v>
      </c>
      <c r="I1443" s="3" t="s">
        <v>81</v>
      </c>
    </row>
    <row r="1444" spans="1:9" x14ac:dyDescent="0.25">
      <c r="A1444" s="3" t="s">
        <v>1450</v>
      </c>
      <c r="B1444" s="3" t="s">
        <v>328</v>
      </c>
      <c r="C1444" s="3" t="s">
        <v>1559</v>
      </c>
      <c r="D1444" s="3" t="s">
        <v>15</v>
      </c>
      <c r="E1444" s="70">
        <v>1325</v>
      </c>
      <c r="F1444" s="70">
        <v>1</v>
      </c>
      <c r="G1444" s="70">
        <v>1324</v>
      </c>
      <c r="H1444" s="70">
        <v>132400</v>
      </c>
      <c r="I1444" s="3" t="s">
        <v>81</v>
      </c>
    </row>
    <row r="1445" spans="1:9" x14ac:dyDescent="0.25">
      <c r="A1445" s="3" t="s">
        <v>1450</v>
      </c>
      <c r="B1445" s="3" t="s">
        <v>328</v>
      </c>
      <c r="C1445" s="3" t="s">
        <v>1560</v>
      </c>
      <c r="D1445" s="3" t="s">
        <v>15</v>
      </c>
      <c r="E1445" s="70">
        <v>1325</v>
      </c>
      <c r="F1445" s="70">
        <v>1</v>
      </c>
      <c r="G1445" s="70">
        <v>1324</v>
      </c>
      <c r="H1445" s="70">
        <v>132400</v>
      </c>
      <c r="I1445" s="3" t="s">
        <v>81</v>
      </c>
    </row>
    <row r="1446" spans="1:9" x14ac:dyDescent="0.25">
      <c r="A1446" s="3" t="s">
        <v>1450</v>
      </c>
      <c r="B1446" s="3" t="s">
        <v>328</v>
      </c>
      <c r="C1446" s="3" t="s">
        <v>1561</v>
      </c>
      <c r="D1446" s="3" t="s">
        <v>15</v>
      </c>
      <c r="E1446" s="70">
        <v>1325</v>
      </c>
      <c r="F1446" s="70">
        <v>1</v>
      </c>
      <c r="G1446" s="70">
        <v>1324</v>
      </c>
      <c r="H1446" s="70">
        <v>132400</v>
      </c>
      <c r="I1446" s="3" t="s">
        <v>81</v>
      </c>
    </row>
    <row r="1447" spans="1:9" x14ac:dyDescent="0.25">
      <c r="A1447" s="3" t="s">
        <v>1450</v>
      </c>
      <c r="B1447" s="3" t="s">
        <v>328</v>
      </c>
      <c r="C1447" s="3" t="s">
        <v>1562</v>
      </c>
      <c r="D1447" s="3" t="s">
        <v>15</v>
      </c>
      <c r="E1447" s="70">
        <v>1325</v>
      </c>
      <c r="F1447" s="70">
        <v>1</v>
      </c>
      <c r="G1447" s="70">
        <v>1324</v>
      </c>
      <c r="H1447" s="70">
        <v>132400</v>
      </c>
      <c r="I1447" s="3" t="s">
        <v>81</v>
      </c>
    </row>
    <row r="1448" spans="1:9" x14ac:dyDescent="0.25">
      <c r="A1448" s="3" t="s">
        <v>1450</v>
      </c>
      <c r="B1448" s="3" t="s">
        <v>328</v>
      </c>
      <c r="C1448" s="3" t="s">
        <v>1563</v>
      </c>
      <c r="D1448" s="3" t="s">
        <v>15</v>
      </c>
      <c r="E1448" s="70">
        <v>1325</v>
      </c>
      <c r="F1448" s="70">
        <v>1</v>
      </c>
      <c r="G1448" s="70">
        <v>1324</v>
      </c>
      <c r="H1448" s="70">
        <v>132400</v>
      </c>
      <c r="I1448" s="3" t="s">
        <v>81</v>
      </c>
    </row>
    <row r="1449" spans="1:9" x14ac:dyDescent="0.25">
      <c r="A1449" s="3" t="s">
        <v>1450</v>
      </c>
      <c r="B1449" s="3" t="s">
        <v>328</v>
      </c>
      <c r="C1449" s="3" t="s">
        <v>1564</v>
      </c>
      <c r="D1449" s="3" t="s">
        <v>15</v>
      </c>
      <c r="E1449" s="70">
        <v>1325</v>
      </c>
      <c r="F1449" s="70">
        <v>1</v>
      </c>
      <c r="G1449" s="70">
        <v>1324</v>
      </c>
      <c r="H1449" s="70">
        <v>132400</v>
      </c>
      <c r="I1449" s="3" t="s">
        <v>81</v>
      </c>
    </row>
    <row r="1450" spans="1:9" x14ac:dyDescent="0.25">
      <c r="A1450" s="3" t="s">
        <v>1450</v>
      </c>
      <c r="B1450" s="3" t="s">
        <v>328</v>
      </c>
      <c r="C1450" s="3" t="s">
        <v>1565</v>
      </c>
      <c r="D1450" s="3" t="s">
        <v>15</v>
      </c>
      <c r="E1450" s="70">
        <v>1325</v>
      </c>
      <c r="F1450" s="70">
        <v>1</v>
      </c>
      <c r="G1450" s="70">
        <v>1324</v>
      </c>
      <c r="H1450" s="70">
        <v>132400</v>
      </c>
      <c r="I1450" s="3" t="s">
        <v>81</v>
      </c>
    </row>
    <row r="1451" spans="1:9" x14ac:dyDescent="0.25">
      <c r="A1451" s="3" t="s">
        <v>1450</v>
      </c>
      <c r="B1451" s="3" t="s">
        <v>328</v>
      </c>
      <c r="C1451" s="3" t="s">
        <v>1566</v>
      </c>
      <c r="D1451" s="3" t="s">
        <v>15</v>
      </c>
      <c r="E1451" s="70">
        <v>1325</v>
      </c>
      <c r="F1451" s="70">
        <v>1</v>
      </c>
      <c r="G1451" s="70">
        <v>1324</v>
      </c>
      <c r="H1451" s="70">
        <v>132400</v>
      </c>
      <c r="I1451" s="3" t="s">
        <v>81</v>
      </c>
    </row>
    <row r="1452" spans="1:9" x14ac:dyDescent="0.25">
      <c r="A1452" s="3" t="s">
        <v>1450</v>
      </c>
      <c r="B1452" s="3" t="s">
        <v>328</v>
      </c>
      <c r="C1452" s="3" t="s">
        <v>1567</v>
      </c>
      <c r="D1452" s="3" t="s">
        <v>15</v>
      </c>
      <c r="E1452" s="70">
        <v>1325</v>
      </c>
      <c r="F1452" s="70">
        <v>1</v>
      </c>
      <c r="G1452" s="70">
        <v>1324</v>
      </c>
      <c r="H1452" s="70">
        <v>132400</v>
      </c>
      <c r="I1452" s="3" t="s">
        <v>81</v>
      </c>
    </row>
    <row r="1453" spans="1:9" x14ac:dyDescent="0.25">
      <c r="A1453" s="3" t="s">
        <v>1450</v>
      </c>
      <c r="B1453" s="3" t="s">
        <v>328</v>
      </c>
      <c r="C1453" s="3" t="s">
        <v>1568</v>
      </c>
      <c r="D1453" s="3" t="s">
        <v>15</v>
      </c>
      <c r="E1453" s="70">
        <v>1325</v>
      </c>
      <c r="F1453" s="70">
        <v>1</v>
      </c>
      <c r="G1453" s="70">
        <v>1324</v>
      </c>
      <c r="H1453" s="70">
        <v>132400</v>
      </c>
      <c r="I1453" s="3" t="s">
        <v>81</v>
      </c>
    </row>
    <row r="1454" spans="1:9" x14ac:dyDescent="0.25">
      <c r="A1454" s="3" t="s">
        <v>1450</v>
      </c>
      <c r="B1454" s="3" t="s">
        <v>328</v>
      </c>
      <c r="C1454" s="3" t="s">
        <v>1569</v>
      </c>
      <c r="D1454" s="3" t="s">
        <v>15</v>
      </c>
      <c r="E1454" s="70">
        <v>1325</v>
      </c>
      <c r="F1454" s="70">
        <v>1</v>
      </c>
      <c r="G1454" s="70">
        <v>1324</v>
      </c>
      <c r="H1454" s="70">
        <v>132400</v>
      </c>
      <c r="I1454" s="3" t="s">
        <v>81</v>
      </c>
    </row>
    <row r="1455" spans="1:9" x14ac:dyDescent="0.25">
      <c r="A1455" s="3" t="s">
        <v>1450</v>
      </c>
      <c r="B1455" s="3" t="s">
        <v>328</v>
      </c>
      <c r="C1455" s="3" t="s">
        <v>1570</v>
      </c>
      <c r="D1455" s="3" t="s">
        <v>15</v>
      </c>
      <c r="E1455" s="70">
        <v>1325</v>
      </c>
      <c r="F1455" s="70">
        <v>1</v>
      </c>
      <c r="G1455" s="70">
        <v>1324</v>
      </c>
      <c r="H1455" s="70">
        <v>132400</v>
      </c>
      <c r="I1455" s="3" t="s">
        <v>81</v>
      </c>
    </row>
    <row r="1456" spans="1:9" x14ac:dyDescent="0.25">
      <c r="A1456" s="3" t="s">
        <v>1450</v>
      </c>
      <c r="B1456" s="3" t="s">
        <v>328</v>
      </c>
      <c r="C1456" s="3" t="s">
        <v>1571</v>
      </c>
      <c r="D1456" s="3" t="s">
        <v>15</v>
      </c>
      <c r="E1456" s="70">
        <v>1325</v>
      </c>
      <c r="F1456" s="70">
        <v>1</v>
      </c>
      <c r="G1456" s="70">
        <v>1324</v>
      </c>
      <c r="H1456" s="70">
        <v>132400</v>
      </c>
      <c r="I1456" s="3" t="s">
        <v>81</v>
      </c>
    </row>
    <row r="1457" spans="1:9" x14ac:dyDescent="0.25">
      <c r="A1457" s="3" t="s">
        <v>1450</v>
      </c>
      <c r="B1457" s="3" t="s">
        <v>328</v>
      </c>
      <c r="C1457" s="3" t="s">
        <v>1572</v>
      </c>
      <c r="D1457" s="3" t="s">
        <v>15</v>
      </c>
      <c r="E1457" s="70">
        <v>1325</v>
      </c>
      <c r="F1457" s="70">
        <v>1</v>
      </c>
      <c r="G1457" s="70">
        <v>1324</v>
      </c>
      <c r="H1457" s="70">
        <v>132400</v>
      </c>
      <c r="I1457" s="3" t="s">
        <v>81</v>
      </c>
    </row>
    <row r="1458" spans="1:9" x14ac:dyDescent="0.25">
      <c r="A1458" s="3" t="s">
        <v>1450</v>
      </c>
      <c r="B1458" s="3" t="s">
        <v>328</v>
      </c>
      <c r="C1458" s="3" t="s">
        <v>1573</v>
      </c>
      <c r="D1458" s="3" t="s">
        <v>15</v>
      </c>
      <c r="E1458" s="70">
        <v>1325</v>
      </c>
      <c r="F1458" s="70">
        <v>1</v>
      </c>
      <c r="G1458" s="70">
        <v>1324</v>
      </c>
      <c r="H1458" s="70">
        <v>132400</v>
      </c>
      <c r="I1458" s="3" t="s">
        <v>81</v>
      </c>
    </row>
    <row r="1459" spans="1:9" x14ac:dyDescent="0.25">
      <c r="A1459" s="3" t="s">
        <v>1450</v>
      </c>
      <c r="B1459" s="3" t="s">
        <v>328</v>
      </c>
      <c r="C1459" s="3" t="s">
        <v>1574</v>
      </c>
      <c r="D1459" s="3" t="s">
        <v>15</v>
      </c>
      <c r="E1459" s="70">
        <v>1325</v>
      </c>
      <c r="F1459" s="70">
        <v>1</v>
      </c>
      <c r="G1459" s="70">
        <v>1324</v>
      </c>
      <c r="H1459" s="70">
        <v>132400</v>
      </c>
      <c r="I1459" s="3" t="s">
        <v>81</v>
      </c>
    </row>
    <row r="1460" spans="1:9" x14ac:dyDescent="0.25">
      <c r="A1460" s="3" t="s">
        <v>1450</v>
      </c>
      <c r="B1460" s="3" t="s">
        <v>328</v>
      </c>
      <c r="C1460" s="3" t="s">
        <v>1575</v>
      </c>
      <c r="D1460" s="3" t="s">
        <v>15</v>
      </c>
      <c r="E1460" s="70">
        <v>1325</v>
      </c>
      <c r="F1460" s="70">
        <v>1</v>
      </c>
      <c r="G1460" s="70">
        <v>1324</v>
      </c>
      <c r="H1460" s="70">
        <v>132400</v>
      </c>
      <c r="I1460" s="3" t="s">
        <v>81</v>
      </c>
    </row>
    <row r="1461" spans="1:9" x14ac:dyDescent="0.25">
      <c r="A1461" s="3" t="s">
        <v>1450</v>
      </c>
      <c r="B1461" s="3" t="s">
        <v>328</v>
      </c>
      <c r="C1461" s="3" t="s">
        <v>1576</v>
      </c>
      <c r="D1461" s="3" t="s">
        <v>15</v>
      </c>
      <c r="E1461" s="70">
        <v>1325</v>
      </c>
      <c r="F1461" s="70">
        <v>1</v>
      </c>
      <c r="G1461" s="70">
        <v>1324</v>
      </c>
      <c r="H1461" s="70">
        <v>132400</v>
      </c>
      <c r="I1461" s="3" t="s">
        <v>81</v>
      </c>
    </row>
    <row r="1462" spans="1:9" x14ac:dyDescent="0.25">
      <c r="A1462" s="3" t="s">
        <v>1450</v>
      </c>
      <c r="B1462" s="3" t="s">
        <v>328</v>
      </c>
      <c r="C1462" s="3" t="s">
        <v>1577</v>
      </c>
      <c r="D1462" s="3" t="s">
        <v>15</v>
      </c>
      <c r="E1462" s="70">
        <v>1325</v>
      </c>
      <c r="F1462" s="70">
        <v>1</v>
      </c>
      <c r="G1462" s="70">
        <v>1324</v>
      </c>
      <c r="H1462" s="70">
        <v>132400</v>
      </c>
      <c r="I1462" s="3" t="s">
        <v>81</v>
      </c>
    </row>
    <row r="1463" spans="1:9" x14ac:dyDescent="0.25">
      <c r="A1463" s="3" t="s">
        <v>1450</v>
      </c>
      <c r="B1463" s="3" t="s">
        <v>328</v>
      </c>
      <c r="C1463" s="3" t="s">
        <v>1578</v>
      </c>
      <c r="D1463" s="3" t="s">
        <v>15</v>
      </c>
      <c r="E1463" s="70">
        <v>1325</v>
      </c>
      <c r="F1463" s="70">
        <v>1</v>
      </c>
      <c r="G1463" s="70">
        <v>1324</v>
      </c>
      <c r="H1463" s="70">
        <v>132400</v>
      </c>
      <c r="I1463" s="3" t="s">
        <v>23</v>
      </c>
    </row>
    <row r="1464" spans="1:9" x14ac:dyDescent="0.25">
      <c r="A1464" s="3" t="s">
        <v>1450</v>
      </c>
      <c r="B1464" s="3" t="s">
        <v>328</v>
      </c>
      <c r="C1464" s="3" t="s">
        <v>1579</v>
      </c>
      <c r="D1464" s="3" t="s">
        <v>15</v>
      </c>
      <c r="E1464" s="70">
        <v>1325</v>
      </c>
      <c r="F1464" s="70">
        <v>1</v>
      </c>
      <c r="G1464" s="70">
        <v>1324</v>
      </c>
      <c r="H1464" s="70">
        <v>132400</v>
      </c>
      <c r="I1464" s="3" t="s">
        <v>23</v>
      </c>
    </row>
    <row r="1465" spans="1:9" x14ac:dyDescent="0.25">
      <c r="A1465" s="3" t="s">
        <v>1450</v>
      </c>
      <c r="B1465" s="3" t="s">
        <v>328</v>
      </c>
      <c r="C1465" s="3" t="s">
        <v>1580</v>
      </c>
      <c r="D1465" s="3" t="s">
        <v>15</v>
      </c>
      <c r="E1465" s="70">
        <v>1325</v>
      </c>
      <c r="F1465" s="70">
        <v>1</v>
      </c>
      <c r="G1465" s="70">
        <v>1324</v>
      </c>
      <c r="H1465" s="70">
        <v>132400</v>
      </c>
      <c r="I1465" s="3" t="s">
        <v>23</v>
      </c>
    </row>
    <row r="1466" spans="1:9" x14ac:dyDescent="0.25">
      <c r="A1466" s="3" t="s">
        <v>1450</v>
      </c>
      <c r="B1466" s="3" t="s">
        <v>328</v>
      </c>
      <c r="C1466" s="3" t="s">
        <v>1581</v>
      </c>
      <c r="D1466" s="3" t="s">
        <v>15</v>
      </c>
      <c r="E1466" s="70">
        <v>1325</v>
      </c>
      <c r="F1466" s="70">
        <v>1</v>
      </c>
      <c r="G1466" s="70">
        <v>1324</v>
      </c>
      <c r="H1466" s="70">
        <v>132400</v>
      </c>
      <c r="I1466" s="3" t="s">
        <v>23</v>
      </c>
    </row>
    <row r="1467" spans="1:9" x14ac:dyDescent="0.25">
      <c r="A1467" s="3" t="s">
        <v>1450</v>
      </c>
      <c r="B1467" s="3" t="s">
        <v>328</v>
      </c>
      <c r="C1467" s="3" t="s">
        <v>1582</v>
      </c>
      <c r="D1467" s="3" t="s">
        <v>15</v>
      </c>
      <c r="E1467" s="70">
        <v>1325</v>
      </c>
      <c r="F1467" s="70">
        <v>1</v>
      </c>
      <c r="G1467" s="70">
        <v>1324</v>
      </c>
      <c r="H1467" s="70">
        <v>132400</v>
      </c>
      <c r="I1467" s="3" t="s">
        <v>23</v>
      </c>
    </row>
    <row r="1468" spans="1:9" x14ac:dyDescent="0.25">
      <c r="A1468" s="3" t="s">
        <v>1450</v>
      </c>
      <c r="B1468" s="3" t="s">
        <v>328</v>
      </c>
      <c r="C1468" s="3" t="s">
        <v>1583</v>
      </c>
      <c r="D1468" s="3" t="s">
        <v>15</v>
      </c>
      <c r="E1468" s="70">
        <v>1325</v>
      </c>
      <c r="F1468" s="70">
        <v>1</v>
      </c>
      <c r="G1468" s="70">
        <v>1324</v>
      </c>
      <c r="H1468" s="70">
        <v>132400</v>
      </c>
      <c r="I1468" s="3" t="s">
        <v>23</v>
      </c>
    </row>
    <row r="1469" spans="1:9" x14ac:dyDescent="0.25">
      <c r="A1469" s="3" t="s">
        <v>1450</v>
      </c>
      <c r="B1469" s="3" t="s">
        <v>328</v>
      </c>
      <c r="C1469" s="3" t="s">
        <v>1584</v>
      </c>
      <c r="D1469" s="3" t="s">
        <v>15</v>
      </c>
      <c r="E1469" s="70">
        <v>1325</v>
      </c>
      <c r="F1469" s="70">
        <v>1</v>
      </c>
      <c r="G1469" s="70">
        <v>1324</v>
      </c>
      <c r="H1469" s="70">
        <v>132400</v>
      </c>
      <c r="I1469" s="3" t="s">
        <v>23</v>
      </c>
    </row>
    <row r="1470" spans="1:9" x14ac:dyDescent="0.25">
      <c r="A1470" s="3" t="s">
        <v>1450</v>
      </c>
      <c r="B1470" s="3" t="s">
        <v>328</v>
      </c>
      <c r="C1470" s="3" t="s">
        <v>1585</v>
      </c>
      <c r="D1470" s="3" t="s">
        <v>15</v>
      </c>
      <c r="E1470" s="70">
        <v>1325</v>
      </c>
      <c r="F1470" s="70">
        <v>1</v>
      </c>
      <c r="G1470" s="70">
        <v>1324</v>
      </c>
      <c r="H1470" s="70">
        <v>132400</v>
      </c>
      <c r="I1470" s="3" t="s">
        <v>23</v>
      </c>
    </row>
    <row r="1471" spans="1:9" x14ac:dyDescent="0.25">
      <c r="A1471" s="3" t="s">
        <v>1450</v>
      </c>
      <c r="B1471" s="3" t="s">
        <v>328</v>
      </c>
      <c r="C1471" s="3" t="s">
        <v>1586</v>
      </c>
      <c r="D1471" s="3" t="s">
        <v>15</v>
      </c>
      <c r="E1471" s="70">
        <v>1325</v>
      </c>
      <c r="F1471" s="70">
        <v>1</v>
      </c>
      <c r="G1471" s="70">
        <v>1324</v>
      </c>
      <c r="H1471" s="70">
        <v>132400</v>
      </c>
      <c r="I1471" s="3" t="s">
        <v>23</v>
      </c>
    </row>
    <row r="1472" spans="1:9" x14ac:dyDescent="0.25">
      <c r="A1472" s="3" t="s">
        <v>1450</v>
      </c>
      <c r="B1472" s="3" t="s">
        <v>328</v>
      </c>
      <c r="C1472" s="3" t="s">
        <v>1587</v>
      </c>
      <c r="D1472" s="3" t="s">
        <v>15</v>
      </c>
      <c r="E1472" s="70">
        <v>1325</v>
      </c>
      <c r="F1472" s="70">
        <v>1</v>
      </c>
      <c r="G1472" s="70">
        <v>1324</v>
      </c>
      <c r="H1472" s="70">
        <v>132400</v>
      </c>
      <c r="I1472" s="3" t="s">
        <v>23</v>
      </c>
    </row>
    <row r="1473" spans="1:9" x14ac:dyDescent="0.25">
      <c r="A1473" s="3" t="s">
        <v>1450</v>
      </c>
      <c r="B1473" s="3" t="s">
        <v>328</v>
      </c>
      <c r="C1473" s="3" t="s">
        <v>1588</v>
      </c>
      <c r="D1473" s="3" t="s">
        <v>15</v>
      </c>
      <c r="E1473" s="70">
        <v>1325</v>
      </c>
      <c r="F1473" s="70">
        <v>1</v>
      </c>
      <c r="G1473" s="70">
        <v>1324</v>
      </c>
      <c r="H1473" s="70">
        <v>132400</v>
      </c>
      <c r="I1473" s="3" t="s">
        <v>23</v>
      </c>
    </row>
    <row r="1474" spans="1:9" x14ac:dyDescent="0.25">
      <c r="A1474" s="3" t="s">
        <v>1450</v>
      </c>
      <c r="B1474" s="3" t="s">
        <v>328</v>
      </c>
      <c r="C1474" s="3" t="s">
        <v>1589</v>
      </c>
      <c r="D1474" s="3" t="s">
        <v>15</v>
      </c>
      <c r="E1474" s="70">
        <v>1325</v>
      </c>
      <c r="F1474" s="70">
        <v>1</v>
      </c>
      <c r="G1474" s="70">
        <v>1324</v>
      </c>
      <c r="H1474" s="70">
        <v>132400</v>
      </c>
      <c r="I1474" s="3" t="s">
        <v>23</v>
      </c>
    </row>
    <row r="1475" spans="1:9" x14ac:dyDescent="0.25">
      <c r="A1475" s="3" t="s">
        <v>1450</v>
      </c>
      <c r="B1475" s="3" t="s">
        <v>328</v>
      </c>
      <c r="C1475" s="3" t="s">
        <v>1590</v>
      </c>
      <c r="D1475" s="3" t="s">
        <v>15</v>
      </c>
      <c r="E1475" s="70">
        <v>1325</v>
      </c>
      <c r="F1475" s="70">
        <v>1</v>
      </c>
      <c r="G1475" s="70">
        <v>1324</v>
      </c>
      <c r="H1475" s="70">
        <v>132400</v>
      </c>
      <c r="I1475" s="3" t="s">
        <v>23</v>
      </c>
    </row>
    <row r="1476" spans="1:9" x14ac:dyDescent="0.25">
      <c r="A1476" s="3" t="s">
        <v>1450</v>
      </c>
      <c r="B1476" s="3" t="s">
        <v>328</v>
      </c>
      <c r="C1476" s="3" t="s">
        <v>1591</v>
      </c>
      <c r="D1476" s="3" t="s">
        <v>15</v>
      </c>
      <c r="E1476" s="70">
        <v>1325</v>
      </c>
      <c r="F1476" s="70">
        <v>1</v>
      </c>
      <c r="G1476" s="70">
        <v>1324</v>
      </c>
      <c r="H1476" s="70">
        <v>132400</v>
      </c>
      <c r="I1476" s="3" t="s">
        <v>23</v>
      </c>
    </row>
    <row r="1477" spans="1:9" x14ac:dyDescent="0.25">
      <c r="A1477" s="3" t="s">
        <v>1450</v>
      </c>
      <c r="B1477" s="3" t="s">
        <v>328</v>
      </c>
      <c r="C1477" s="3" t="s">
        <v>1592</v>
      </c>
      <c r="D1477" s="3" t="s">
        <v>15</v>
      </c>
      <c r="E1477" s="70">
        <v>1325</v>
      </c>
      <c r="F1477" s="70">
        <v>1</v>
      </c>
      <c r="G1477" s="70">
        <v>1324</v>
      </c>
      <c r="H1477" s="70">
        <v>132400</v>
      </c>
      <c r="I1477" s="3" t="s">
        <v>23</v>
      </c>
    </row>
    <row r="1478" spans="1:9" x14ac:dyDescent="0.25">
      <c r="A1478" s="3" t="s">
        <v>1450</v>
      </c>
      <c r="B1478" s="3" t="s">
        <v>328</v>
      </c>
      <c r="C1478" s="3" t="s">
        <v>1593</v>
      </c>
      <c r="D1478" s="3" t="s">
        <v>15</v>
      </c>
      <c r="E1478" s="70">
        <v>1325</v>
      </c>
      <c r="F1478" s="70">
        <v>1</v>
      </c>
      <c r="G1478" s="70">
        <v>1324</v>
      </c>
      <c r="H1478" s="70">
        <v>132400</v>
      </c>
      <c r="I1478" s="3" t="s">
        <v>23</v>
      </c>
    </row>
    <row r="1479" spans="1:9" x14ac:dyDescent="0.25">
      <c r="A1479" s="3" t="s">
        <v>1450</v>
      </c>
      <c r="B1479" s="3" t="s">
        <v>328</v>
      </c>
      <c r="C1479" s="3" t="s">
        <v>1594</v>
      </c>
      <c r="D1479" s="3" t="s">
        <v>15</v>
      </c>
      <c r="E1479" s="70">
        <v>1325</v>
      </c>
      <c r="F1479" s="70">
        <v>1</v>
      </c>
      <c r="G1479" s="70">
        <v>1324</v>
      </c>
      <c r="H1479" s="70">
        <v>132400</v>
      </c>
      <c r="I1479" s="3" t="s">
        <v>23</v>
      </c>
    </row>
    <row r="1480" spans="1:9" x14ac:dyDescent="0.25">
      <c r="A1480" s="3" t="s">
        <v>1450</v>
      </c>
      <c r="B1480" s="3" t="s">
        <v>328</v>
      </c>
      <c r="C1480" s="3" t="s">
        <v>1595</v>
      </c>
      <c r="D1480" s="3" t="s">
        <v>15</v>
      </c>
      <c r="E1480" s="70">
        <v>1325</v>
      </c>
      <c r="F1480" s="70">
        <v>1</v>
      </c>
      <c r="G1480" s="70">
        <v>1324</v>
      </c>
      <c r="H1480" s="70">
        <v>132400</v>
      </c>
      <c r="I1480" s="3" t="s">
        <v>23</v>
      </c>
    </row>
    <row r="1481" spans="1:9" x14ac:dyDescent="0.25">
      <c r="A1481" s="3" t="s">
        <v>1450</v>
      </c>
      <c r="B1481" s="3" t="s">
        <v>328</v>
      </c>
      <c r="C1481" s="3" t="s">
        <v>1596</v>
      </c>
      <c r="D1481" s="3" t="s">
        <v>15</v>
      </c>
      <c r="E1481" s="70">
        <v>1325</v>
      </c>
      <c r="F1481" s="70">
        <v>1</v>
      </c>
      <c r="G1481" s="70">
        <v>1324</v>
      </c>
      <c r="H1481" s="70">
        <v>132400</v>
      </c>
      <c r="I1481" s="3" t="s">
        <v>23</v>
      </c>
    </row>
    <row r="1482" spans="1:9" x14ac:dyDescent="0.25">
      <c r="A1482" s="3" t="s">
        <v>1450</v>
      </c>
      <c r="B1482" s="3" t="s">
        <v>328</v>
      </c>
      <c r="C1482" s="3" t="s">
        <v>1597</v>
      </c>
      <c r="D1482" s="3" t="s">
        <v>15</v>
      </c>
      <c r="E1482" s="70">
        <v>1325</v>
      </c>
      <c r="F1482" s="70">
        <v>1</v>
      </c>
      <c r="G1482" s="70">
        <v>1324</v>
      </c>
      <c r="H1482" s="70">
        <v>132400</v>
      </c>
      <c r="I1482" s="3" t="s">
        <v>23</v>
      </c>
    </row>
    <row r="1483" spans="1:9" x14ac:dyDescent="0.25">
      <c r="A1483" s="3" t="s">
        <v>1450</v>
      </c>
      <c r="B1483" s="3" t="s">
        <v>328</v>
      </c>
      <c r="C1483" s="3" t="s">
        <v>1598</v>
      </c>
      <c r="D1483" s="3" t="s">
        <v>15</v>
      </c>
      <c r="E1483" s="70">
        <v>1325</v>
      </c>
      <c r="F1483" s="70">
        <v>1</v>
      </c>
      <c r="G1483" s="70">
        <v>1324</v>
      </c>
      <c r="H1483" s="70">
        <v>132400</v>
      </c>
      <c r="I1483" s="3" t="s">
        <v>23</v>
      </c>
    </row>
    <row r="1484" spans="1:9" x14ac:dyDescent="0.25">
      <c r="A1484" s="3" t="s">
        <v>1450</v>
      </c>
      <c r="B1484" s="3" t="s">
        <v>328</v>
      </c>
      <c r="C1484" s="3" t="s">
        <v>1599</v>
      </c>
      <c r="D1484" s="3" t="s">
        <v>15</v>
      </c>
      <c r="E1484" s="70">
        <v>1325</v>
      </c>
      <c r="F1484" s="70">
        <v>1</v>
      </c>
      <c r="G1484" s="70">
        <v>1324</v>
      </c>
      <c r="H1484" s="70">
        <v>132400</v>
      </c>
      <c r="I1484" s="3" t="s">
        <v>23</v>
      </c>
    </row>
    <row r="1485" spans="1:9" x14ac:dyDescent="0.25">
      <c r="A1485" s="3" t="s">
        <v>1450</v>
      </c>
      <c r="B1485" s="3" t="s">
        <v>328</v>
      </c>
      <c r="C1485" s="3" t="s">
        <v>1600</v>
      </c>
      <c r="D1485" s="3" t="s">
        <v>15</v>
      </c>
      <c r="E1485" s="70">
        <v>1325</v>
      </c>
      <c r="F1485" s="70">
        <v>1</v>
      </c>
      <c r="G1485" s="70">
        <v>1324</v>
      </c>
      <c r="H1485" s="70">
        <v>132400</v>
      </c>
      <c r="I1485" s="3" t="s">
        <v>23</v>
      </c>
    </row>
    <row r="1486" spans="1:9" x14ac:dyDescent="0.25">
      <c r="A1486" t="s">
        <v>1601</v>
      </c>
      <c r="B1486" t="s">
        <v>17</v>
      </c>
      <c r="C1486" t="s">
        <v>1602</v>
      </c>
      <c r="D1486" t="s">
        <v>15</v>
      </c>
      <c r="E1486" s="46">
        <v>11200</v>
      </c>
      <c r="F1486" s="46">
        <v>7900.33</v>
      </c>
      <c r="G1486" s="46">
        <v>3299.67</v>
      </c>
      <c r="H1486" s="46">
        <v>41.77</v>
      </c>
      <c r="I1486" t="s">
        <v>16</v>
      </c>
    </row>
    <row r="1487" spans="1:9" x14ac:dyDescent="0.25">
      <c r="A1487" s="2" t="s">
        <v>1601</v>
      </c>
      <c r="B1487" s="2" t="s">
        <v>105</v>
      </c>
      <c r="C1487" s="2" t="s">
        <v>1603</v>
      </c>
      <c r="D1487" s="2" t="s">
        <v>15</v>
      </c>
      <c r="E1487" s="59">
        <v>630</v>
      </c>
      <c r="F1487" s="59">
        <v>637</v>
      </c>
      <c r="G1487" s="59">
        <v>-7</v>
      </c>
      <c r="H1487" s="59">
        <v>-1.1000000000000001</v>
      </c>
      <c r="I1487" s="2" t="s">
        <v>81</v>
      </c>
    </row>
    <row r="1488" spans="1:9" x14ac:dyDescent="0.25">
      <c r="A1488" s="2" t="s">
        <v>1601</v>
      </c>
      <c r="B1488" s="2" t="s">
        <v>105</v>
      </c>
      <c r="C1488" s="2" t="s">
        <v>1604</v>
      </c>
      <c r="D1488" s="2" t="s">
        <v>15</v>
      </c>
      <c r="E1488" s="59">
        <v>630</v>
      </c>
      <c r="F1488" s="59">
        <v>637</v>
      </c>
      <c r="G1488" s="59">
        <v>-7</v>
      </c>
      <c r="H1488" s="59">
        <v>-1.1000000000000001</v>
      </c>
      <c r="I1488" s="2" t="s">
        <v>81</v>
      </c>
    </row>
    <row r="1489" spans="1:9" x14ac:dyDescent="0.25">
      <c r="A1489" s="2" t="s">
        <v>1601</v>
      </c>
      <c r="B1489" s="2" t="s">
        <v>105</v>
      </c>
      <c r="C1489" s="2" t="s">
        <v>1605</v>
      </c>
      <c r="D1489" s="2" t="s">
        <v>15</v>
      </c>
      <c r="E1489" s="59">
        <v>630</v>
      </c>
      <c r="F1489" s="59">
        <v>637</v>
      </c>
      <c r="G1489" s="59">
        <v>-7</v>
      </c>
      <c r="H1489" s="59">
        <v>-1.1000000000000001</v>
      </c>
      <c r="I1489" s="2" t="s">
        <v>81</v>
      </c>
    </row>
    <row r="1490" spans="1:9" x14ac:dyDescent="0.25">
      <c r="A1490" s="2" t="s">
        <v>1601</v>
      </c>
      <c r="B1490" s="2" t="s">
        <v>105</v>
      </c>
      <c r="C1490" s="2" t="s">
        <v>1606</v>
      </c>
      <c r="D1490" s="2" t="s">
        <v>15</v>
      </c>
      <c r="E1490" s="59">
        <v>630</v>
      </c>
      <c r="F1490" s="59">
        <v>637</v>
      </c>
      <c r="G1490" s="59">
        <v>-7</v>
      </c>
      <c r="H1490" s="59">
        <v>-1.1000000000000001</v>
      </c>
      <c r="I1490" s="2" t="s">
        <v>81</v>
      </c>
    </row>
    <row r="1491" spans="1:9" x14ac:dyDescent="0.25">
      <c r="A1491" s="2" t="s">
        <v>1601</v>
      </c>
      <c r="B1491" s="2" t="s">
        <v>105</v>
      </c>
      <c r="C1491" s="2" t="s">
        <v>1607</v>
      </c>
      <c r="D1491" s="2" t="s">
        <v>15</v>
      </c>
      <c r="E1491" s="59">
        <v>630</v>
      </c>
      <c r="F1491" s="59">
        <v>637</v>
      </c>
      <c r="G1491" s="59">
        <v>-7</v>
      </c>
      <c r="H1491" s="59">
        <v>-1.1000000000000001</v>
      </c>
      <c r="I1491" s="2" t="s">
        <v>81</v>
      </c>
    </row>
    <row r="1492" spans="1:9" x14ac:dyDescent="0.25">
      <c r="A1492" s="2" t="s">
        <v>1601</v>
      </c>
      <c r="B1492" s="2" t="s">
        <v>105</v>
      </c>
      <c r="C1492" s="2" t="s">
        <v>1608</v>
      </c>
      <c r="D1492" s="2" t="s">
        <v>15</v>
      </c>
      <c r="E1492" s="59">
        <v>630</v>
      </c>
      <c r="F1492" s="59">
        <v>637</v>
      </c>
      <c r="G1492" s="59">
        <v>-7</v>
      </c>
      <c r="H1492" s="59">
        <v>-1.1000000000000001</v>
      </c>
      <c r="I1492" s="2" t="s">
        <v>81</v>
      </c>
    </row>
    <row r="1493" spans="1:9" x14ac:dyDescent="0.25">
      <c r="A1493" s="2" t="s">
        <v>1601</v>
      </c>
      <c r="B1493" s="2" t="s">
        <v>105</v>
      </c>
      <c r="C1493" s="2" t="s">
        <v>1609</v>
      </c>
      <c r="D1493" s="2" t="s">
        <v>15</v>
      </c>
      <c r="E1493" s="59">
        <v>630</v>
      </c>
      <c r="F1493" s="59">
        <v>637</v>
      </c>
      <c r="G1493" s="59">
        <v>-7</v>
      </c>
      <c r="H1493" s="59">
        <v>-1.1000000000000001</v>
      </c>
      <c r="I1493" s="2" t="s">
        <v>81</v>
      </c>
    </row>
    <row r="1494" spans="1:9" x14ac:dyDescent="0.25">
      <c r="A1494" s="2" t="s">
        <v>1601</v>
      </c>
      <c r="B1494" s="2" t="s">
        <v>105</v>
      </c>
      <c r="C1494" s="2" t="s">
        <v>1610</v>
      </c>
      <c r="D1494" s="2" t="s">
        <v>15</v>
      </c>
      <c r="E1494" s="59">
        <v>630</v>
      </c>
      <c r="F1494" s="59">
        <v>633.88</v>
      </c>
      <c r="G1494" s="59">
        <v>-3.88</v>
      </c>
      <c r="H1494" s="59">
        <v>-0.61</v>
      </c>
      <c r="I1494" s="2" t="s">
        <v>16</v>
      </c>
    </row>
    <row r="1495" spans="1:9" x14ac:dyDescent="0.25">
      <c r="A1495" s="2" t="s">
        <v>1601</v>
      </c>
      <c r="B1495" s="2" t="s">
        <v>105</v>
      </c>
      <c r="C1495" s="2" t="s">
        <v>1611</v>
      </c>
      <c r="D1495" s="2" t="s">
        <v>15</v>
      </c>
      <c r="E1495" s="59">
        <v>630</v>
      </c>
      <c r="F1495" s="59">
        <v>633.88</v>
      </c>
      <c r="G1495" s="59">
        <v>-3.88</v>
      </c>
      <c r="H1495" s="59">
        <v>-0.61</v>
      </c>
      <c r="I1495" s="2" t="s">
        <v>16</v>
      </c>
    </row>
    <row r="1496" spans="1:9" x14ac:dyDescent="0.25">
      <c r="A1496" s="2" t="s">
        <v>1601</v>
      </c>
      <c r="B1496" s="2" t="s">
        <v>105</v>
      </c>
      <c r="C1496" s="2" t="s">
        <v>1612</v>
      </c>
      <c r="D1496" s="2" t="s">
        <v>15</v>
      </c>
      <c r="E1496" s="59">
        <v>630</v>
      </c>
      <c r="F1496" s="59">
        <v>633.88</v>
      </c>
      <c r="G1496" s="59">
        <v>-3.88</v>
      </c>
      <c r="H1496" s="59">
        <v>-0.61</v>
      </c>
      <c r="I1496" s="2" t="s">
        <v>16</v>
      </c>
    </row>
    <row r="1497" spans="1:9" x14ac:dyDescent="0.25">
      <c r="A1497" s="2" t="s">
        <v>1601</v>
      </c>
      <c r="B1497" s="2" t="s">
        <v>105</v>
      </c>
      <c r="C1497" s="2" t="s">
        <v>1613</v>
      </c>
      <c r="D1497" s="2" t="s">
        <v>15</v>
      </c>
      <c r="E1497" s="59">
        <v>630</v>
      </c>
      <c r="F1497" s="59">
        <v>633.88</v>
      </c>
      <c r="G1497" s="59">
        <v>-3.88</v>
      </c>
      <c r="H1497" s="59">
        <v>-0.61</v>
      </c>
      <c r="I1497" s="2" t="s">
        <v>16</v>
      </c>
    </row>
    <row r="1498" spans="1:9" x14ac:dyDescent="0.25">
      <c r="A1498" s="2" t="s">
        <v>1601</v>
      </c>
      <c r="B1498" s="2" t="s">
        <v>105</v>
      </c>
      <c r="C1498" s="2" t="s">
        <v>1614</v>
      </c>
      <c r="D1498" s="2" t="s">
        <v>15</v>
      </c>
      <c r="E1498" s="59">
        <v>630</v>
      </c>
      <c r="F1498" s="59">
        <v>633.88</v>
      </c>
      <c r="G1498" s="59">
        <v>-3.88</v>
      </c>
      <c r="H1498" s="59">
        <v>-0.61</v>
      </c>
      <c r="I1498" s="2" t="s">
        <v>16</v>
      </c>
    </row>
    <row r="1499" spans="1:9" x14ac:dyDescent="0.25">
      <c r="A1499" s="2" t="s">
        <v>1601</v>
      </c>
      <c r="B1499" s="2" t="s">
        <v>105</v>
      </c>
      <c r="C1499" s="2" t="s">
        <v>1615</v>
      </c>
      <c r="D1499" s="2" t="s">
        <v>15</v>
      </c>
      <c r="E1499" s="59">
        <v>630</v>
      </c>
      <c r="F1499" s="59">
        <v>633.88</v>
      </c>
      <c r="G1499" s="59">
        <v>-3.88</v>
      </c>
      <c r="H1499" s="59">
        <v>-0.61</v>
      </c>
      <c r="I1499" s="2" t="s">
        <v>16</v>
      </c>
    </row>
    <row r="1500" spans="1:9" x14ac:dyDescent="0.25">
      <c r="A1500" s="2" t="s">
        <v>1601</v>
      </c>
      <c r="B1500" s="2" t="s">
        <v>105</v>
      </c>
      <c r="C1500" s="2" t="s">
        <v>1616</v>
      </c>
      <c r="D1500" s="2" t="s">
        <v>15</v>
      </c>
      <c r="E1500" s="59">
        <v>630</v>
      </c>
      <c r="F1500" s="59">
        <v>633.88</v>
      </c>
      <c r="G1500" s="59">
        <v>-3.88</v>
      </c>
      <c r="H1500" s="59">
        <v>-0.61</v>
      </c>
      <c r="I1500" s="2" t="s">
        <v>16</v>
      </c>
    </row>
    <row r="1501" spans="1:9" x14ac:dyDescent="0.25">
      <c r="A1501" s="2" t="s">
        <v>1601</v>
      </c>
      <c r="B1501" s="2" t="s">
        <v>105</v>
      </c>
      <c r="C1501" s="2" t="s">
        <v>1617</v>
      </c>
      <c r="D1501" s="2" t="s">
        <v>15</v>
      </c>
      <c r="E1501" s="59">
        <v>630</v>
      </c>
      <c r="F1501" s="59">
        <v>633.88</v>
      </c>
      <c r="G1501" s="59">
        <v>-3.88</v>
      </c>
      <c r="H1501" s="59">
        <v>-0.61</v>
      </c>
      <c r="I1501" s="2" t="s">
        <v>16</v>
      </c>
    </row>
    <row r="1502" spans="1:9" x14ac:dyDescent="0.25">
      <c r="A1502" s="2" t="s">
        <v>1618</v>
      </c>
      <c r="B1502" s="2" t="s">
        <v>1619</v>
      </c>
      <c r="C1502" s="2" t="s">
        <v>1620</v>
      </c>
      <c r="D1502" s="2" t="s">
        <v>15</v>
      </c>
      <c r="E1502" s="59">
        <v>2650</v>
      </c>
      <c r="F1502" s="59">
        <v>2741.46</v>
      </c>
      <c r="G1502" s="59">
        <v>-91.46</v>
      </c>
      <c r="H1502" s="59">
        <v>-3.34</v>
      </c>
      <c r="I1502" s="2" t="s">
        <v>16</v>
      </c>
    </row>
    <row r="1503" spans="1:9" x14ac:dyDescent="0.25">
      <c r="A1503" s="2" t="s">
        <v>1618</v>
      </c>
      <c r="B1503" s="2" t="s">
        <v>1619</v>
      </c>
      <c r="C1503" s="2" t="s">
        <v>1621</v>
      </c>
      <c r="D1503" s="2" t="s">
        <v>15</v>
      </c>
      <c r="E1503" s="59">
        <v>2650</v>
      </c>
      <c r="F1503" s="59">
        <v>2741.46</v>
      </c>
      <c r="G1503" s="59">
        <v>-91.46</v>
      </c>
      <c r="H1503" s="59">
        <v>-3.34</v>
      </c>
      <c r="I1503" s="2" t="s">
        <v>16</v>
      </c>
    </row>
    <row r="1504" spans="1:9" x14ac:dyDescent="0.25">
      <c r="A1504" s="2" t="s">
        <v>1618</v>
      </c>
      <c r="B1504" s="2" t="s">
        <v>1619</v>
      </c>
      <c r="C1504" s="2" t="s">
        <v>1622</v>
      </c>
      <c r="D1504" s="2" t="s">
        <v>15</v>
      </c>
      <c r="E1504" s="59">
        <v>2650</v>
      </c>
      <c r="F1504" s="59">
        <v>2741.46</v>
      </c>
      <c r="G1504" s="59">
        <v>-91.46</v>
      </c>
      <c r="H1504" s="59">
        <v>-3.34</v>
      </c>
      <c r="I1504" s="2" t="s">
        <v>16</v>
      </c>
    </row>
    <row r="1505" spans="1:9" x14ac:dyDescent="0.25">
      <c r="A1505" s="2" t="s">
        <v>1618</v>
      </c>
      <c r="B1505" s="2" t="s">
        <v>215</v>
      </c>
      <c r="C1505" s="2" t="s">
        <v>1623</v>
      </c>
      <c r="D1505" s="2" t="s">
        <v>15</v>
      </c>
      <c r="E1505" s="59">
        <v>3000</v>
      </c>
      <c r="F1505" s="59">
        <v>3500</v>
      </c>
      <c r="G1505" s="59">
        <v>-500</v>
      </c>
      <c r="H1505" s="59">
        <v>-14.29</v>
      </c>
      <c r="I1505" s="2" t="s">
        <v>29</v>
      </c>
    </row>
    <row r="1506" spans="1:9" x14ac:dyDescent="0.25">
      <c r="A1506" s="2" t="s">
        <v>1618</v>
      </c>
      <c r="B1506" s="2" t="s">
        <v>215</v>
      </c>
      <c r="C1506" s="2" t="s">
        <v>1624</v>
      </c>
      <c r="D1506" s="2" t="s">
        <v>15</v>
      </c>
      <c r="E1506" s="59">
        <v>3000</v>
      </c>
      <c r="F1506" s="59">
        <v>3500</v>
      </c>
      <c r="G1506" s="59">
        <v>-500</v>
      </c>
      <c r="H1506" s="59">
        <v>-14.29</v>
      </c>
      <c r="I1506" s="2" t="s">
        <v>29</v>
      </c>
    </row>
    <row r="1507" spans="1:9" x14ac:dyDescent="0.25">
      <c r="A1507" t="s">
        <v>1618</v>
      </c>
      <c r="B1507" t="s">
        <v>215</v>
      </c>
      <c r="C1507" t="s">
        <v>1625</v>
      </c>
      <c r="D1507" t="s">
        <v>15</v>
      </c>
      <c r="E1507" s="46">
        <v>2900</v>
      </c>
      <c r="F1507" s="46">
        <v>2700</v>
      </c>
      <c r="G1507" s="46">
        <v>200</v>
      </c>
      <c r="H1507" s="46">
        <v>7.41</v>
      </c>
      <c r="I1507" t="s">
        <v>29</v>
      </c>
    </row>
    <row r="1508" spans="1:9" x14ac:dyDescent="0.25">
      <c r="A1508" t="s">
        <v>1618</v>
      </c>
      <c r="B1508" t="s">
        <v>215</v>
      </c>
      <c r="C1508" t="s">
        <v>1626</v>
      </c>
      <c r="D1508" t="s">
        <v>15</v>
      </c>
      <c r="E1508" s="46">
        <v>3100</v>
      </c>
      <c r="F1508" s="46">
        <v>3000</v>
      </c>
      <c r="G1508" s="46">
        <v>100</v>
      </c>
      <c r="H1508" s="46">
        <v>3.33</v>
      </c>
      <c r="I1508" t="s">
        <v>29</v>
      </c>
    </row>
    <row r="1509" spans="1:9" x14ac:dyDescent="0.25">
      <c r="A1509" t="s">
        <v>1618</v>
      </c>
      <c r="B1509" t="s">
        <v>215</v>
      </c>
      <c r="C1509" t="s">
        <v>1627</v>
      </c>
      <c r="D1509" t="s">
        <v>15</v>
      </c>
      <c r="E1509" s="46">
        <v>2950</v>
      </c>
      <c r="F1509" s="46">
        <v>2700</v>
      </c>
      <c r="G1509" s="46">
        <v>250</v>
      </c>
      <c r="H1509" s="46">
        <v>9.26</v>
      </c>
      <c r="I1509" t="s">
        <v>29</v>
      </c>
    </row>
    <row r="1510" spans="1:9" x14ac:dyDescent="0.25">
      <c r="A1510" t="s">
        <v>1618</v>
      </c>
      <c r="B1510" t="s">
        <v>215</v>
      </c>
      <c r="C1510" t="s">
        <v>1628</v>
      </c>
      <c r="D1510" t="s">
        <v>15</v>
      </c>
      <c r="E1510" s="46">
        <v>2900</v>
      </c>
      <c r="F1510" s="46">
        <v>2700</v>
      </c>
      <c r="G1510" s="46">
        <v>200</v>
      </c>
      <c r="H1510" s="46">
        <v>7.41</v>
      </c>
      <c r="I1510" t="s">
        <v>29</v>
      </c>
    </row>
    <row r="1511" spans="1:9" x14ac:dyDescent="0.25">
      <c r="A1511" t="s">
        <v>1618</v>
      </c>
      <c r="B1511" t="s">
        <v>215</v>
      </c>
      <c r="C1511" t="s">
        <v>1629</v>
      </c>
      <c r="D1511" t="s">
        <v>15</v>
      </c>
      <c r="E1511" s="46">
        <v>3100</v>
      </c>
      <c r="F1511" s="46">
        <v>3000</v>
      </c>
      <c r="G1511" s="46">
        <v>100</v>
      </c>
      <c r="H1511" s="46">
        <v>3.33</v>
      </c>
      <c r="I1511" t="s">
        <v>29</v>
      </c>
    </row>
    <row r="1512" spans="1:9" x14ac:dyDescent="0.25">
      <c r="A1512" t="s">
        <v>1618</v>
      </c>
      <c r="B1512" t="s">
        <v>33</v>
      </c>
      <c r="C1512" t="s">
        <v>1630</v>
      </c>
      <c r="D1512" t="s">
        <v>490</v>
      </c>
      <c r="E1512" s="46">
        <v>3873.41</v>
      </c>
      <c r="F1512" s="46">
        <v>3338.7</v>
      </c>
      <c r="G1512" s="46">
        <v>534.71</v>
      </c>
      <c r="H1512" s="46">
        <v>16.02</v>
      </c>
      <c r="I1512" t="s">
        <v>23</v>
      </c>
    </row>
    <row r="1513" spans="1:9" x14ac:dyDescent="0.25">
      <c r="A1513" t="s">
        <v>1618</v>
      </c>
      <c r="B1513" t="s">
        <v>33</v>
      </c>
      <c r="C1513" t="s">
        <v>1631</v>
      </c>
      <c r="D1513" t="s">
        <v>490</v>
      </c>
      <c r="E1513" s="46">
        <v>3873.41</v>
      </c>
      <c r="F1513" s="46">
        <v>3338.7</v>
      </c>
      <c r="G1513" s="46">
        <v>534.71</v>
      </c>
      <c r="H1513" s="46">
        <v>16.02</v>
      </c>
      <c r="I1513" t="s">
        <v>23</v>
      </c>
    </row>
    <row r="1514" spans="1:9" x14ac:dyDescent="0.25">
      <c r="A1514" s="2" t="s">
        <v>1618</v>
      </c>
      <c r="B1514" s="2" t="s">
        <v>439</v>
      </c>
      <c r="C1514" s="2" t="s">
        <v>1632</v>
      </c>
      <c r="D1514" s="2" t="s">
        <v>15</v>
      </c>
      <c r="E1514" s="59">
        <v>770</v>
      </c>
      <c r="F1514" s="59">
        <v>841.5</v>
      </c>
      <c r="G1514" s="59">
        <v>-71.5</v>
      </c>
      <c r="H1514" s="59">
        <v>-8.5</v>
      </c>
      <c r="I1514" s="2" t="s">
        <v>16</v>
      </c>
    </row>
    <row r="1515" spans="1:9" x14ac:dyDescent="0.25">
      <c r="A1515" s="2" t="s">
        <v>1618</v>
      </c>
      <c r="B1515" s="2" t="s">
        <v>439</v>
      </c>
      <c r="C1515" s="2" t="s">
        <v>1633</v>
      </c>
      <c r="D1515" s="2" t="s">
        <v>15</v>
      </c>
      <c r="E1515" s="59">
        <v>770</v>
      </c>
      <c r="F1515" s="59">
        <v>841.5</v>
      </c>
      <c r="G1515" s="59">
        <v>-71.5</v>
      </c>
      <c r="H1515" s="59">
        <v>-8.5</v>
      </c>
      <c r="I1515" s="2" t="s">
        <v>16</v>
      </c>
    </row>
    <row r="1516" spans="1:9" x14ac:dyDescent="0.25">
      <c r="A1516" s="2" t="s">
        <v>1618</v>
      </c>
      <c r="B1516" s="2" t="s">
        <v>439</v>
      </c>
      <c r="C1516" s="2" t="s">
        <v>1634</v>
      </c>
      <c r="D1516" s="2" t="s">
        <v>15</v>
      </c>
      <c r="E1516" s="59">
        <v>770</v>
      </c>
      <c r="F1516" s="59">
        <v>841.5</v>
      </c>
      <c r="G1516" s="59">
        <v>-71.5</v>
      </c>
      <c r="H1516" s="59">
        <v>-8.5</v>
      </c>
      <c r="I1516" s="2" t="s">
        <v>16</v>
      </c>
    </row>
    <row r="1517" spans="1:9" x14ac:dyDescent="0.25">
      <c r="A1517" s="3" t="s">
        <v>1618</v>
      </c>
      <c r="B1517" s="3" t="s">
        <v>38</v>
      </c>
      <c r="C1517" s="3" t="s">
        <v>1635</v>
      </c>
      <c r="D1517" s="3" t="s">
        <v>15</v>
      </c>
      <c r="E1517" s="70">
        <v>2490</v>
      </c>
      <c r="F1517" s="70">
        <v>1</v>
      </c>
      <c r="G1517" s="70">
        <v>2489</v>
      </c>
      <c r="H1517" s="70">
        <v>248900</v>
      </c>
      <c r="I1517" s="3" t="s">
        <v>23</v>
      </c>
    </row>
    <row r="1518" spans="1:9" x14ac:dyDescent="0.25">
      <c r="A1518" s="3" t="s">
        <v>1618</v>
      </c>
      <c r="B1518" s="3" t="s">
        <v>38</v>
      </c>
      <c r="C1518" s="3" t="s">
        <v>1636</v>
      </c>
      <c r="D1518" s="3" t="s">
        <v>15</v>
      </c>
      <c r="E1518" s="70">
        <v>2490</v>
      </c>
      <c r="F1518" s="70">
        <v>1</v>
      </c>
      <c r="G1518" s="70">
        <v>2489</v>
      </c>
      <c r="H1518" s="70">
        <v>248900</v>
      </c>
      <c r="I1518" s="3" t="s">
        <v>23</v>
      </c>
    </row>
    <row r="1519" spans="1:9" x14ac:dyDescent="0.25">
      <c r="A1519" s="3" t="s">
        <v>1618</v>
      </c>
      <c r="B1519" s="3" t="s">
        <v>38</v>
      </c>
      <c r="C1519" s="3" t="s">
        <v>1637</v>
      </c>
      <c r="D1519" s="3" t="s">
        <v>15</v>
      </c>
      <c r="E1519" s="70">
        <v>2490</v>
      </c>
      <c r="F1519" s="70">
        <v>1</v>
      </c>
      <c r="G1519" s="70">
        <v>2489</v>
      </c>
      <c r="H1519" s="70">
        <v>248900</v>
      </c>
      <c r="I1519" s="3" t="s">
        <v>23</v>
      </c>
    </row>
    <row r="1520" spans="1:9" x14ac:dyDescent="0.25">
      <c r="A1520" s="3" t="s">
        <v>1618</v>
      </c>
      <c r="B1520" s="3" t="s">
        <v>38</v>
      </c>
      <c r="C1520" s="3" t="s">
        <v>1638</v>
      </c>
      <c r="D1520" s="3" t="s">
        <v>15</v>
      </c>
      <c r="E1520" s="70">
        <v>2490</v>
      </c>
      <c r="F1520" s="70">
        <v>1</v>
      </c>
      <c r="G1520" s="70">
        <v>2489</v>
      </c>
      <c r="H1520" s="70">
        <v>248900</v>
      </c>
      <c r="I1520" s="3" t="s">
        <v>23</v>
      </c>
    </row>
    <row r="1521" spans="1:9" x14ac:dyDescent="0.25">
      <c r="A1521" s="3" t="s">
        <v>1618</v>
      </c>
      <c r="B1521" s="3" t="s">
        <v>38</v>
      </c>
      <c r="C1521" s="3" t="s">
        <v>1639</v>
      </c>
      <c r="D1521" s="3" t="s">
        <v>15</v>
      </c>
      <c r="E1521" s="70">
        <v>2490</v>
      </c>
      <c r="F1521" s="70">
        <v>1</v>
      </c>
      <c r="G1521" s="70">
        <v>2489</v>
      </c>
      <c r="H1521" s="70">
        <v>248900</v>
      </c>
      <c r="I1521" s="3" t="s">
        <v>23</v>
      </c>
    </row>
    <row r="1522" spans="1:9" x14ac:dyDescent="0.25">
      <c r="A1522" s="3" t="s">
        <v>1618</v>
      </c>
      <c r="B1522" s="3" t="s">
        <v>38</v>
      </c>
      <c r="C1522" s="3" t="s">
        <v>1640</v>
      </c>
      <c r="D1522" s="3" t="s">
        <v>15</v>
      </c>
      <c r="E1522" s="70">
        <v>2490</v>
      </c>
      <c r="F1522" s="70">
        <v>1</v>
      </c>
      <c r="G1522" s="70">
        <v>2489</v>
      </c>
      <c r="H1522" s="70">
        <v>248900</v>
      </c>
      <c r="I1522" s="3" t="s">
        <v>23</v>
      </c>
    </row>
    <row r="1523" spans="1:9" x14ac:dyDescent="0.25">
      <c r="A1523" s="3" t="s">
        <v>1618</v>
      </c>
      <c r="B1523" s="3" t="s">
        <v>38</v>
      </c>
      <c r="C1523" s="3" t="s">
        <v>1641</v>
      </c>
      <c r="D1523" s="3" t="s">
        <v>15</v>
      </c>
      <c r="E1523" s="70">
        <v>2490</v>
      </c>
      <c r="F1523" s="70">
        <v>1</v>
      </c>
      <c r="G1523" s="70">
        <v>2489</v>
      </c>
      <c r="H1523" s="70">
        <v>248900</v>
      </c>
      <c r="I1523" s="3" t="s">
        <v>23</v>
      </c>
    </row>
    <row r="1524" spans="1:9" x14ac:dyDescent="0.25">
      <c r="A1524" s="3" t="s">
        <v>1618</v>
      </c>
      <c r="B1524" s="3" t="s">
        <v>38</v>
      </c>
      <c r="C1524" s="3" t="s">
        <v>1642</v>
      </c>
      <c r="D1524" s="3" t="s">
        <v>15</v>
      </c>
      <c r="E1524" s="70">
        <v>2490</v>
      </c>
      <c r="F1524" s="70">
        <v>1</v>
      </c>
      <c r="G1524" s="70">
        <v>2489</v>
      </c>
      <c r="H1524" s="70">
        <v>248900</v>
      </c>
      <c r="I1524" s="3" t="s">
        <v>23</v>
      </c>
    </row>
    <row r="1525" spans="1:9" x14ac:dyDescent="0.25">
      <c r="A1525" s="3" t="s">
        <v>1618</v>
      </c>
      <c r="B1525" s="3" t="s">
        <v>38</v>
      </c>
      <c r="C1525" s="3" t="s">
        <v>1643</v>
      </c>
      <c r="D1525" s="3" t="s">
        <v>15</v>
      </c>
      <c r="E1525" s="70">
        <v>2490</v>
      </c>
      <c r="F1525" s="70">
        <v>1</v>
      </c>
      <c r="G1525" s="70">
        <v>2489</v>
      </c>
      <c r="H1525" s="70">
        <v>248900</v>
      </c>
      <c r="I1525" s="3" t="s">
        <v>23</v>
      </c>
    </row>
    <row r="1526" spans="1:9" x14ac:dyDescent="0.25">
      <c r="A1526" s="3" t="s">
        <v>1618</v>
      </c>
      <c r="B1526" s="3" t="s">
        <v>38</v>
      </c>
      <c r="C1526" s="3" t="s">
        <v>1644</v>
      </c>
      <c r="D1526" s="3" t="s">
        <v>15</v>
      </c>
      <c r="E1526" s="70">
        <v>2490</v>
      </c>
      <c r="F1526" s="70">
        <v>1</v>
      </c>
      <c r="G1526" s="70">
        <v>2489</v>
      </c>
      <c r="H1526" s="70">
        <v>248900</v>
      </c>
      <c r="I1526" s="3" t="s">
        <v>23</v>
      </c>
    </row>
    <row r="1527" spans="1:9" x14ac:dyDescent="0.25">
      <c r="A1527" s="3" t="s">
        <v>1618</v>
      </c>
      <c r="B1527" s="3" t="s">
        <v>38</v>
      </c>
      <c r="C1527" s="3" t="s">
        <v>1645</v>
      </c>
      <c r="D1527" s="3" t="s">
        <v>15</v>
      </c>
      <c r="E1527" s="70">
        <v>2490</v>
      </c>
      <c r="F1527" s="70">
        <v>1</v>
      </c>
      <c r="G1527" s="70">
        <v>2489</v>
      </c>
      <c r="H1527" s="70">
        <v>248900</v>
      </c>
      <c r="I1527" s="3" t="s">
        <v>23</v>
      </c>
    </row>
    <row r="1528" spans="1:9" x14ac:dyDescent="0.25">
      <c r="A1528" s="3" t="s">
        <v>1618</v>
      </c>
      <c r="B1528" s="3" t="s">
        <v>38</v>
      </c>
      <c r="C1528" s="3" t="s">
        <v>1646</v>
      </c>
      <c r="D1528" s="3" t="s">
        <v>15</v>
      </c>
      <c r="E1528" s="70">
        <v>2490</v>
      </c>
      <c r="F1528" s="70">
        <v>1</v>
      </c>
      <c r="G1528" s="70">
        <v>2489</v>
      </c>
      <c r="H1528" s="70">
        <v>248900</v>
      </c>
      <c r="I1528" s="3" t="s">
        <v>23</v>
      </c>
    </row>
    <row r="1529" spans="1:9" x14ac:dyDescent="0.25">
      <c r="A1529" t="s">
        <v>1647</v>
      </c>
      <c r="B1529" t="s">
        <v>215</v>
      </c>
      <c r="C1529" t="s">
        <v>1648</v>
      </c>
      <c r="D1529" t="s">
        <v>15</v>
      </c>
      <c r="E1529" s="46">
        <v>2950</v>
      </c>
      <c r="F1529" s="46">
        <v>2650</v>
      </c>
      <c r="G1529" s="46">
        <v>300</v>
      </c>
      <c r="H1529" s="46">
        <v>11.32</v>
      </c>
      <c r="I1529" t="s">
        <v>29</v>
      </c>
    </row>
    <row r="1530" spans="1:9" x14ac:dyDescent="0.25">
      <c r="A1530" t="s">
        <v>1649</v>
      </c>
      <c r="B1530" t="s">
        <v>1650</v>
      </c>
      <c r="C1530" t="s">
        <v>1651</v>
      </c>
      <c r="D1530" t="s">
        <v>15</v>
      </c>
      <c r="E1530" s="46">
        <v>520</v>
      </c>
      <c r="F1530" s="46">
        <v>481.95</v>
      </c>
      <c r="G1530" s="46">
        <v>38.049999999999997</v>
      </c>
      <c r="H1530" s="46">
        <v>7.9</v>
      </c>
      <c r="I1530" t="s">
        <v>23</v>
      </c>
    </row>
    <row r="1531" spans="1:9" x14ac:dyDescent="0.25">
      <c r="A1531" t="s">
        <v>1649</v>
      </c>
      <c r="B1531" t="s">
        <v>1650</v>
      </c>
      <c r="C1531" t="s">
        <v>1652</v>
      </c>
      <c r="D1531" t="s">
        <v>15</v>
      </c>
      <c r="E1531" s="46">
        <v>520</v>
      </c>
      <c r="F1531" s="46">
        <v>481.95</v>
      </c>
      <c r="G1531" s="46">
        <v>38.049999999999997</v>
      </c>
      <c r="H1531" s="46">
        <v>7.9</v>
      </c>
      <c r="I1531" t="s">
        <v>23</v>
      </c>
    </row>
    <row r="1532" spans="1:9" x14ac:dyDescent="0.25">
      <c r="A1532" t="s">
        <v>1649</v>
      </c>
      <c r="B1532" t="s">
        <v>1650</v>
      </c>
      <c r="C1532" t="s">
        <v>1653</v>
      </c>
      <c r="D1532" t="s">
        <v>15</v>
      </c>
      <c r="E1532" s="46">
        <v>520</v>
      </c>
      <c r="F1532" s="46">
        <v>481.95</v>
      </c>
      <c r="G1532" s="46">
        <v>38.049999999999997</v>
      </c>
      <c r="H1532" s="46">
        <v>7.9</v>
      </c>
      <c r="I1532" t="s">
        <v>23</v>
      </c>
    </row>
    <row r="1533" spans="1:9" x14ac:dyDescent="0.25">
      <c r="A1533" s="3" t="s">
        <v>1649</v>
      </c>
      <c r="B1533" s="3" t="s">
        <v>624</v>
      </c>
      <c r="C1533" s="3" t="s">
        <v>1654</v>
      </c>
      <c r="D1533" s="3" t="s">
        <v>15</v>
      </c>
      <c r="E1533" s="70">
        <v>740</v>
      </c>
      <c r="F1533" s="70">
        <v>1</v>
      </c>
      <c r="G1533" s="70">
        <v>739</v>
      </c>
      <c r="H1533" s="70">
        <v>73900</v>
      </c>
      <c r="I1533" s="3" t="s">
        <v>23</v>
      </c>
    </row>
    <row r="1534" spans="1:9" x14ac:dyDescent="0.25">
      <c r="A1534" s="2" t="s">
        <v>1649</v>
      </c>
      <c r="B1534" s="2" t="s">
        <v>1147</v>
      </c>
      <c r="C1534" s="2" t="s">
        <v>1655</v>
      </c>
      <c r="D1534" s="2" t="s">
        <v>15</v>
      </c>
      <c r="E1534" s="59">
        <v>850</v>
      </c>
      <c r="F1534" s="59">
        <v>900</v>
      </c>
      <c r="G1534" s="59">
        <v>-50</v>
      </c>
      <c r="H1534" s="59">
        <v>-5.56</v>
      </c>
      <c r="I1534" s="2" t="s">
        <v>29</v>
      </c>
    </row>
    <row r="1535" spans="1:9" x14ac:dyDescent="0.25">
      <c r="A1535" s="3" t="s">
        <v>1649</v>
      </c>
      <c r="B1535" s="3" t="s">
        <v>1147</v>
      </c>
      <c r="C1535" s="3" t="s">
        <v>1656</v>
      </c>
      <c r="D1535" s="3" t="s">
        <v>15</v>
      </c>
      <c r="E1535" s="70">
        <v>1</v>
      </c>
      <c r="F1535" s="70">
        <v>1</v>
      </c>
      <c r="G1535" s="70">
        <v>0</v>
      </c>
      <c r="H1535" s="70">
        <v>0</v>
      </c>
      <c r="I1535" s="3" t="s">
        <v>23</v>
      </c>
    </row>
    <row r="1536" spans="1:9" x14ac:dyDescent="0.25">
      <c r="A1536" t="s">
        <v>1649</v>
      </c>
      <c r="B1536" t="s">
        <v>1147</v>
      </c>
      <c r="C1536" t="s">
        <v>1657</v>
      </c>
      <c r="D1536" t="s">
        <v>15</v>
      </c>
      <c r="E1536" s="46">
        <v>840</v>
      </c>
      <c r="F1536" s="46">
        <v>749.7</v>
      </c>
      <c r="G1536" s="46">
        <v>90.3</v>
      </c>
      <c r="H1536" s="46">
        <v>12.04</v>
      </c>
      <c r="I1536" t="s">
        <v>23</v>
      </c>
    </row>
    <row r="1537" spans="1:9" x14ac:dyDescent="0.25">
      <c r="A1537" t="s">
        <v>1649</v>
      </c>
      <c r="B1537" t="s">
        <v>1147</v>
      </c>
      <c r="C1537" t="s">
        <v>1658</v>
      </c>
      <c r="D1537" t="s">
        <v>15</v>
      </c>
      <c r="E1537" s="46">
        <v>840</v>
      </c>
      <c r="F1537" s="46">
        <v>749.7</v>
      </c>
      <c r="G1537" s="46">
        <v>90.3</v>
      </c>
      <c r="H1537" s="46">
        <v>12.04</v>
      </c>
      <c r="I1537" t="s">
        <v>23</v>
      </c>
    </row>
    <row r="1538" spans="1:9" x14ac:dyDescent="0.25">
      <c r="A1538" t="s">
        <v>1649</v>
      </c>
      <c r="B1538" t="s">
        <v>1659</v>
      </c>
      <c r="C1538" t="s">
        <v>1660</v>
      </c>
      <c r="D1538" t="s">
        <v>15</v>
      </c>
      <c r="E1538" s="46">
        <v>980</v>
      </c>
      <c r="F1538" s="46">
        <v>963.9</v>
      </c>
      <c r="G1538" s="46">
        <v>16.100000000000001</v>
      </c>
      <c r="H1538" s="46">
        <v>1.67</v>
      </c>
      <c r="I1538" t="s">
        <v>23</v>
      </c>
    </row>
    <row r="1539" spans="1:9" x14ac:dyDescent="0.25">
      <c r="A1539" t="s">
        <v>1649</v>
      </c>
      <c r="B1539" t="s">
        <v>1659</v>
      </c>
      <c r="C1539" t="s">
        <v>1661</v>
      </c>
      <c r="D1539" t="s">
        <v>15</v>
      </c>
      <c r="E1539" s="46">
        <v>980</v>
      </c>
      <c r="F1539" s="46">
        <v>963.9</v>
      </c>
      <c r="G1539" s="46">
        <v>16.100000000000001</v>
      </c>
      <c r="H1539" s="46">
        <v>1.67</v>
      </c>
      <c r="I1539" t="s">
        <v>23</v>
      </c>
    </row>
    <row r="1540" spans="1:9" x14ac:dyDescent="0.25">
      <c r="A1540" s="3" t="s">
        <v>1649</v>
      </c>
      <c r="B1540" s="3" t="s">
        <v>626</v>
      </c>
      <c r="C1540" s="3" t="s">
        <v>1662</v>
      </c>
      <c r="D1540" s="3" t="s">
        <v>15</v>
      </c>
      <c r="E1540" s="70">
        <v>1080</v>
      </c>
      <c r="F1540" s="70">
        <v>1</v>
      </c>
      <c r="G1540" s="70">
        <v>1079</v>
      </c>
      <c r="H1540" s="70">
        <v>107900</v>
      </c>
      <c r="I1540" s="3" t="s">
        <v>23</v>
      </c>
    </row>
    <row r="1541" spans="1:9" x14ac:dyDescent="0.25">
      <c r="A1541" t="s">
        <v>1649</v>
      </c>
      <c r="B1541" t="s">
        <v>630</v>
      </c>
      <c r="C1541" t="s">
        <v>1663</v>
      </c>
      <c r="D1541" t="s">
        <v>15</v>
      </c>
      <c r="E1541" s="46">
        <v>1180</v>
      </c>
      <c r="F1541" s="46">
        <v>1142.4000000000001</v>
      </c>
      <c r="G1541" s="46">
        <v>37.6</v>
      </c>
      <c r="H1541" s="46">
        <v>3.29</v>
      </c>
      <c r="I1541" t="s">
        <v>23</v>
      </c>
    </row>
    <row r="1542" spans="1:9" x14ac:dyDescent="0.25">
      <c r="A1542" s="3" t="s">
        <v>1649</v>
      </c>
      <c r="B1542" s="3" t="s">
        <v>630</v>
      </c>
      <c r="C1542" s="3" t="s">
        <v>1664</v>
      </c>
      <c r="D1542" s="3" t="s">
        <v>15</v>
      </c>
      <c r="E1542" s="70">
        <v>1</v>
      </c>
      <c r="F1542" s="70">
        <v>1</v>
      </c>
      <c r="G1542" s="70">
        <v>0</v>
      </c>
      <c r="H1542" s="70">
        <v>0</v>
      </c>
      <c r="I1542" s="3" t="s">
        <v>23</v>
      </c>
    </row>
    <row r="1543" spans="1:9" x14ac:dyDescent="0.25">
      <c r="A1543" t="s">
        <v>1649</v>
      </c>
      <c r="B1543" t="s">
        <v>630</v>
      </c>
      <c r="C1543" t="s">
        <v>1665</v>
      </c>
      <c r="D1543" t="s">
        <v>15</v>
      </c>
      <c r="E1543" s="46">
        <v>1180</v>
      </c>
      <c r="F1543" s="46">
        <v>1142.4000000000001</v>
      </c>
      <c r="G1543" s="46">
        <v>37.6</v>
      </c>
      <c r="H1543" s="46">
        <v>3.29</v>
      </c>
      <c r="I1543" t="s">
        <v>23</v>
      </c>
    </row>
    <row r="1544" spans="1:9" x14ac:dyDescent="0.25">
      <c r="A1544" t="s">
        <v>1649</v>
      </c>
      <c r="B1544" t="s">
        <v>43</v>
      </c>
      <c r="C1544" t="s">
        <v>1666</v>
      </c>
      <c r="D1544" t="s">
        <v>1667</v>
      </c>
      <c r="E1544" s="46">
        <v>2480</v>
      </c>
      <c r="F1544" s="46">
        <v>2280</v>
      </c>
      <c r="G1544" s="46">
        <v>200</v>
      </c>
      <c r="H1544" s="46">
        <v>8.77</v>
      </c>
      <c r="I1544" t="s">
        <v>29</v>
      </c>
    </row>
    <row r="1545" spans="1:9" x14ac:dyDescent="0.25">
      <c r="A1545" t="s">
        <v>1649</v>
      </c>
      <c r="B1545" t="s">
        <v>43</v>
      </c>
      <c r="C1545" t="s">
        <v>1668</v>
      </c>
      <c r="D1545" t="s">
        <v>1153</v>
      </c>
      <c r="E1545" s="46">
        <v>2480</v>
      </c>
      <c r="F1545" s="46">
        <v>2380</v>
      </c>
      <c r="G1545" s="46">
        <v>100</v>
      </c>
      <c r="H1545" s="46">
        <v>4.2</v>
      </c>
      <c r="I1545" t="s">
        <v>29</v>
      </c>
    </row>
    <row r="1546" spans="1:9" x14ac:dyDescent="0.25">
      <c r="A1546" t="s">
        <v>1649</v>
      </c>
      <c r="B1546" t="s">
        <v>43</v>
      </c>
      <c r="C1546" t="s">
        <v>1669</v>
      </c>
      <c r="D1546" t="s">
        <v>1151</v>
      </c>
      <c r="E1546" s="46">
        <v>2480</v>
      </c>
      <c r="F1546" s="46">
        <v>2380</v>
      </c>
      <c r="G1546" s="46">
        <v>100</v>
      </c>
      <c r="H1546" s="46">
        <v>4.2</v>
      </c>
      <c r="I1546" t="s">
        <v>29</v>
      </c>
    </row>
    <row r="1547" spans="1:9" x14ac:dyDescent="0.25">
      <c r="A1547" s="2" t="s">
        <v>1649</v>
      </c>
      <c r="B1547" s="2" t="s">
        <v>43</v>
      </c>
      <c r="C1547" s="2" t="s">
        <v>1670</v>
      </c>
      <c r="D1547" s="2" t="s">
        <v>1157</v>
      </c>
      <c r="E1547" s="59">
        <v>1</v>
      </c>
      <c r="F1547" s="59">
        <v>2380</v>
      </c>
      <c r="G1547" s="59">
        <v>-2379</v>
      </c>
      <c r="H1547" s="59">
        <v>-99.96</v>
      </c>
      <c r="I1547" s="2" t="s">
        <v>29</v>
      </c>
    </row>
    <row r="1548" spans="1:9" x14ac:dyDescent="0.25">
      <c r="A1548" s="2" t="s">
        <v>1649</v>
      </c>
      <c r="B1548" s="2" t="s">
        <v>43</v>
      </c>
      <c r="C1548" s="2" t="s">
        <v>1671</v>
      </c>
      <c r="D1548" s="2" t="s">
        <v>1151</v>
      </c>
      <c r="E1548" s="59">
        <v>2200</v>
      </c>
      <c r="F1548" s="59">
        <v>2380</v>
      </c>
      <c r="G1548" s="59">
        <v>-180</v>
      </c>
      <c r="H1548" s="59">
        <v>-7.56</v>
      </c>
      <c r="I1548" s="2" t="s">
        <v>29</v>
      </c>
    </row>
    <row r="1549" spans="1:9" x14ac:dyDescent="0.25">
      <c r="A1549" t="s">
        <v>1649</v>
      </c>
      <c r="B1549" t="s">
        <v>43</v>
      </c>
      <c r="C1549" t="s">
        <v>1672</v>
      </c>
      <c r="D1549" t="s">
        <v>1151</v>
      </c>
      <c r="E1549" s="46">
        <v>2480</v>
      </c>
      <c r="F1549" s="46">
        <v>2380</v>
      </c>
      <c r="G1549" s="46">
        <v>100</v>
      </c>
      <c r="H1549" s="46">
        <v>4.2</v>
      </c>
      <c r="I1549" t="s">
        <v>29</v>
      </c>
    </row>
    <row r="1550" spans="1:9" x14ac:dyDescent="0.25">
      <c r="A1550" t="s">
        <v>1649</v>
      </c>
      <c r="B1550" t="s">
        <v>43</v>
      </c>
      <c r="C1550" t="s">
        <v>1673</v>
      </c>
      <c r="D1550" t="s">
        <v>1151</v>
      </c>
      <c r="E1550" s="46">
        <v>2480</v>
      </c>
      <c r="F1550" s="46">
        <v>2380</v>
      </c>
      <c r="G1550" s="46">
        <v>100</v>
      </c>
      <c r="H1550" s="46">
        <v>4.2</v>
      </c>
      <c r="I1550" t="s">
        <v>29</v>
      </c>
    </row>
    <row r="1551" spans="1:9" x14ac:dyDescent="0.25">
      <c r="A1551" t="s">
        <v>1649</v>
      </c>
      <c r="B1551" t="s">
        <v>43</v>
      </c>
      <c r="C1551" t="s">
        <v>1674</v>
      </c>
      <c r="D1551" t="s">
        <v>1153</v>
      </c>
      <c r="E1551" s="46">
        <v>2480</v>
      </c>
      <c r="F1551" s="46">
        <v>2380</v>
      </c>
      <c r="G1551" s="46">
        <v>100</v>
      </c>
      <c r="H1551" s="46">
        <v>4.2</v>
      </c>
      <c r="I1551" t="s">
        <v>29</v>
      </c>
    </row>
    <row r="1552" spans="1:9" x14ac:dyDescent="0.25">
      <c r="A1552" t="s">
        <v>1649</v>
      </c>
      <c r="B1552" t="s">
        <v>43</v>
      </c>
      <c r="C1552" t="s">
        <v>1675</v>
      </c>
      <c r="D1552" t="s">
        <v>1151</v>
      </c>
      <c r="E1552" s="46">
        <v>2480</v>
      </c>
      <c r="F1552" s="46">
        <v>2380</v>
      </c>
      <c r="G1552" s="46">
        <v>100</v>
      </c>
      <c r="H1552" s="46">
        <v>4.2</v>
      </c>
      <c r="I1552" t="s">
        <v>29</v>
      </c>
    </row>
    <row r="1553" spans="1:9" x14ac:dyDescent="0.25">
      <c r="A1553" t="s">
        <v>1649</v>
      </c>
      <c r="B1553" t="s">
        <v>43</v>
      </c>
      <c r="C1553" t="s">
        <v>1676</v>
      </c>
      <c r="D1553" t="s">
        <v>1153</v>
      </c>
      <c r="E1553" s="46">
        <v>2480</v>
      </c>
      <c r="F1553" s="46">
        <v>2380</v>
      </c>
      <c r="G1553" s="46">
        <v>100</v>
      </c>
      <c r="H1553" s="46">
        <v>4.2</v>
      </c>
      <c r="I1553" t="s">
        <v>29</v>
      </c>
    </row>
    <row r="1554" spans="1:9" x14ac:dyDescent="0.25">
      <c r="A1554" s="2" t="s">
        <v>1649</v>
      </c>
      <c r="B1554" s="2" t="s">
        <v>1000</v>
      </c>
      <c r="C1554" s="2" t="s">
        <v>1677</v>
      </c>
      <c r="D1554" s="2" t="s">
        <v>15</v>
      </c>
      <c r="E1554" s="59">
        <v>1150</v>
      </c>
      <c r="F1554" s="59">
        <v>1314.3</v>
      </c>
      <c r="G1554" s="59">
        <v>-164.3</v>
      </c>
      <c r="H1554" s="59">
        <v>-12.5</v>
      </c>
      <c r="I1554" s="2" t="s">
        <v>16</v>
      </c>
    </row>
    <row r="1555" spans="1:9" x14ac:dyDescent="0.25">
      <c r="A1555" t="s">
        <v>1649</v>
      </c>
      <c r="B1555" t="s">
        <v>100</v>
      </c>
      <c r="C1555" t="s">
        <v>1678</v>
      </c>
      <c r="D1555" t="s">
        <v>15</v>
      </c>
      <c r="E1555" s="46">
        <v>1920</v>
      </c>
      <c r="F1555" s="46">
        <v>1880</v>
      </c>
      <c r="G1555" s="46">
        <v>40</v>
      </c>
      <c r="H1555" s="46">
        <v>2.13</v>
      </c>
      <c r="I1555" t="s">
        <v>29</v>
      </c>
    </row>
    <row r="1556" spans="1:9" x14ac:dyDescent="0.25">
      <c r="A1556" t="s">
        <v>1649</v>
      </c>
      <c r="B1556" t="s">
        <v>100</v>
      </c>
      <c r="C1556" t="s">
        <v>1679</v>
      </c>
      <c r="D1556" t="s">
        <v>15</v>
      </c>
      <c r="E1556" s="46">
        <v>1920</v>
      </c>
      <c r="F1556" s="46">
        <v>1880</v>
      </c>
      <c r="G1556" s="46">
        <v>40</v>
      </c>
      <c r="H1556" s="46">
        <v>2.13</v>
      </c>
      <c r="I1556" t="s">
        <v>29</v>
      </c>
    </row>
    <row r="1557" spans="1:9" x14ac:dyDescent="0.25">
      <c r="A1557" t="s">
        <v>1649</v>
      </c>
      <c r="B1557" t="s">
        <v>100</v>
      </c>
      <c r="C1557" t="s">
        <v>1680</v>
      </c>
      <c r="D1557" t="s">
        <v>15</v>
      </c>
      <c r="E1557" s="46">
        <v>1920</v>
      </c>
      <c r="F1557" s="46">
        <v>1880</v>
      </c>
      <c r="G1557" s="46">
        <v>40</v>
      </c>
      <c r="H1557" s="46">
        <v>2.13</v>
      </c>
      <c r="I1557" t="s">
        <v>29</v>
      </c>
    </row>
    <row r="1558" spans="1:9" x14ac:dyDescent="0.25">
      <c r="A1558" t="s">
        <v>1649</v>
      </c>
      <c r="B1558" t="s">
        <v>100</v>
      </c>
      <c r="C1558" t="s">
        <v>1681</v>
      </c>
      <c r="D1558" t="s">
        <v>15</v>
      </c>
      <c r="E1558" s="46">
        <v>1920</v>
      </c>
      <c r="F1558" s="46">
        <v>1880</v>
      </c>
      <c r="G1558" s="46">
        <v>40</v>
      </c>
      <c r="H1558" s="46">
        <v>2.13</v>
      </c>
      <c r="I1558" t="s">
        <v>29</v>
      </c>
    </row>
    <row r="1559" spans="1:9" x14ac:dyDescent="0.25">
      <c r="A1559" t="s">
        <v>1649</v>
      </c>
      <c r="B1559" t="s">
        <v>100</v>
      </c>
      <c r="C1559" t="s">
        <v>1682</v>
      </c>
      <c r="D1559" t="s">
        <v>15</v>
      </c>
      <c r="E1559" s="46">
        <v>1920</v>
      </c>
      <c r="F1559" s="46">
        <v>1880</v>
      </c>
      <c r="G1559" s="46">
        <v>40</v>
      </c>
      <c r="H1559" s="46">
        <v>2.13</v>
      </c>
      <c r="I1559" t="s">
        <v>29</v>
      </c>
    </row>
    <row r="1560" spans="1:9" x14ac:dyDescent="0.25">
      <c r="A1560" t="s">
        <v>1649</v>
      </c>
      <c r="B1560" t="s">
        <v>100</v>
      </c>
      <c r="C1560" t="s">
        <v>1683</v>
      </c>
      <c r="D1560" t="s">
        <v>15</v>
      </c>
      <c r="E1560" s="46">
        <v>1920</v>
      </c>
      <c r="F1560" s="46">
        <v>1880</v>
      </c>
      <c r="G1560" s="46">
        <v>40</v>
      </c>
      <c r="H1560" s="46">
        <v>2.13</v>
      </c>
      <c r="I1560" t="s">
        <v>29</v>
      </c>
    </row>
    <row r="1561" spans="1:9" x14ac:dyDescent="0.25">
      <c r="A1561" t="s">
        <v>1649</v>
      </c>
      <c r="B1561" t="s">
        <v>100</v>
      </c>
      <c r="C1561" t="s">
        <v>1684</v>
      </c>
      <c r="D1561" t="s">
        <v>15</v>
      </c>
      <c r="E1561" s="46">
        <v>1920</v>
      </c>
      <c r="F1561" s="46">
        <v>1880</v>
      </c>
      <c r="G1561" s="46">
        <v>40</v>
      </c>
      <c r="H1561" s="46">
        <v>2.13</v>
      </c>
      <c r="I1561" t="s">
        <v>29</v>
      </c>
    </row>
    <row r="1562" spans="1:9" x14ac:dyDescent="0.25">
      <c r="A1562" t="s">
        <v>1649</v>
      </c>
      <c r="B1562" t="s">
        <v>100</v>
      </c>
      <c r="C1562" t="s">
        <v>1685</v>
      </c>
      <c r="D1562" t="s">
        <v>15</v>
      </c>
      <c r="E1562" s="46">
        <v>1920</v>
      </c>
      <c r="F1562" s="46">
        <v>1880</v>
      </c>
      <c r="G1562" s="46">
        <v>40</v>
      </c>
      <c r="H1562" s="46">
        <v>2.13</v>
      </c>
      <c r="I1562" t="s">
        <v>29</v>
      </c>
    </row>
    <row r="1563" spans="1:9" x14ac:dyDescent="0.25">
      <c r="A1563" t="s">
        <v>1649</v>
      </c>
      <c r="B1563" t="s">
        <v>1686</v>
      </c>
      <c r="C1563" t="s">
        <v>1687</v>
      </c>
      <c r="D1563" t="s">
        <v>15</v>
      </c>
      <c r="E1563" s="46">
        <v>2050</v>
      </c>
      <c r="F1563" s="46">
        <v>1880</v>
      </c>
      <c r="G1563" s="46">
        <v>170</v>
      </c>
      <c r="H1563" s="46">
        <v>9.0399999999999991</v>
      </c>
      <c r="I1563" t="s">
        <v>29</v>
      </c>
    </row>
    <row r="1564" spans="1:9" x14ac:dyDescent="0.25">
      <c r="A1564" t="s">
        <v>1649</v>
      </c>
      <c r="B1564" t="s">
        <v>1686</v>
      </c>
      <c r="C1564" t="s">
        <v>1688</v>
      </c>
      <c r="D1564" t="s">
        <v>15</v>
      </c>
      <c r="E1564" s="46">
        <v>2050</v>
      </c>
      <c r="F1564" s="46">
        <v>1980</v>
      </c>
      <c r="G1564" s="46">
        <v>70</v>
      </c>
      <c r="H1564" s="46">
        <v>3.54</v>
      </c>
      <c r="I1564" t="s">
        <v>29</v>
      </c>
    </row>
    <row r="1565" spans="1:9" x14ac:dyDescent="0.25">
      <c r="A1565" t="s">
        <v>1649</v>
      </c>
      <c r="B1565" t="s">
        <v>1686</v>
      </c>
      <c r="C1565" t="s">
        <v>1689</v>
      </c>
      <c r="D1565" t="s">
        <v>15</v>
      </c>
      <c r="E1565" s="46">
        <v>2050</v>
      </c>
      <c r="F1565" s="46">
        <v>1980</v>
      </c>
      <c r="G1565" s="46">
        <v>70</v>
      </c>
      <c r="H1565" s="46">
        <v>3.54</v>
      </c>
      <c r="I1565" t="s">
        <v>29</v>
      </c>
    </row>
    <row r="1566" spans="1:9" x14ac:dyDescent="0.25">
      <c r="A1566" s="2" t="s">
        <v>1649</v>
      </c>
      <c r="B1566" s="2" t="s">
        <v>439</v>
      </c>
      <c r="C1566" s="2" t="s">
        <v>1690</v>
      </c>
      <c r="D1566" s="2" t="s">
        <v>15</v>
      </c>
      <c r="E1566" s="59">
        <v>770</v>
      </c>
      <c r="F1566" s="59">
        <v>841.5</v>
      </c>
      <c r="G1566" s="59">
        <v>-71.5</v>
      </c>
      <c r="H1566" s="59">
        <v>-8.5</v>
      </c>
      <c r="I1566" s="2" t="s">
        <v>16</v>
      </c>
    </row>
    <row r="1567" spans="1:9" x14ac:dyDescent="0.25">
      <c r="A1567" s="2" t="s">
        <v>1649</v>
      </c>
      <c r="B1567" s="2" t="s">
        <v>439</v>
      </c>
      <c r="C1567" s="2" t="s">
        <v>1691</v>
      </c>
      <c r="D1567" s="2" t="s">
        <v>15</v>
      </c>
      <c r="E1567" s="59">
        <v>770</v>
      </c>
      <c r="F1567" s="59">
        <v>841.5</v>
      </c>
      <c r="G1567" s="59">
        <v>-71.5</v>
      </c>
      <c r="H1567" s="59">
        <v>-8.5</v>
      </c>
      <c r="I1567" s="2" t="s">
        <v>16</v>
      </c>
    </row>
    <row r="1568" spans="1:9" x14ac:dyDescent="0.25">
      <c r="A1568" s="2" t="s">
        <v>1649</v>
      </c>
      <c r="B1568" s="2" t="s">
        <v>439</v>
      </c>
      <c r="C1568" s="2" t="s">
        <v>1692</v>
      </c>
      <c r="D1568" s="2" t="s">
        <v>15</v>
      </c>
      <c r="E1568" s="59">
        <v>770</v>
      </c>
      <c r="F1568" s="59">
        <v>841.5</v>
      </c>
      <c r="G1568" s="59">
        <v>-71.5</v>
      </c>
      <c r="H1568" s="59">
        <v>-8.5</v>
      </c>
      <c r="I1568" s="2" t="s">
        <v>16</v>
      </c>
    </row>
    <row r="1569" spans="1:9" x14ac:dyDescent="0.25">
      <c r="A1569" t="s">
        <v>1693</v>
      </c>
      <c r="B1569" t="s">
        <v>1694</v>
      </c>
      <c r="C1569" t="s">
        <v>1695</v>
      </c>
      <c r="D1569" t="s">
        <v>15</v>
      </c>
      <c r="E1569" s="46">
        <v>325</v>
      </c>
      <c r="F1569" s="46">
        <v>305.14999999999998</v>
      </c>
      <c r="G1569" s="46">
        <v>19.850000000000001</v>
      </c>
      <c r="H1569" s="46">
        <v>6.5</v>
      </c>
      <c r="I1569" t="s">
        <v>23</v>
      </c>
    </row>
    <row r="1570" spans="1:9" x14ac:dyDescent="0.25">
      <c r="A1570" t="s">
        <v>1693</v>
      </c>
      <c r="B1570" t="s">
        <v>1694</v>
      </c>
      <c r="C1570" t="s">
        <v>1696</v>
      </c>
      <c r="D1570" t="s">
        <v>15</v>
      </c>
      <c r="E1570" s="46">
        <v>325</v>
      </c>
      <c r="F1570" s="46">
        <v>305.14999999999998</v>
      </c>
      <c r="G1570" s="46">
        <v>19.850000000000001</v>
      </c>
      <c r="H1570" s="46">
        <v>6.5</v>
      </c>
      <c r="I1570" t="s">
        <v>23</v>
      </c>
    </row>
    <row r="1571" spans="1:9" x14ac:dyDescent="0.25">
      <c r="A1571" t="s">
        <v>1693</v>
      </c>
      <c r="B1571" t="s">
        <v>1694</v>
      </c>
      <c r="C1571" t="s">
        <v>1697</v>
      </c>
      <c r="D1571" t="s">
        <v>15</v>
      </c>
      <c r="E1571" s="46">
        <v>325</v>
      </c>
      <c r="F1571" s="46">
        <v>295</v>
      </c>
      <c r="G1571" s="46">
        <v>30</v>
      </c>
      <c r="H1571" s="46">
        <v>10.17</v>
      </c>
      <c r="I1571" t="s">
        <v>23</v>
      </c>
    </row>
    <row r="1572" spans="1:9" x14ac:dyDescent="0.25">
      <c r="A1572" t="s">
        <v>1693</v>
      </c>
      <c r="B1572" t="s">
        <v>1694</v>
      </c>
      <c r="C1572" t="s">
        <v>1698</v>
      </c>
      <c r="D1572" t="s">
        <v>15</v>
      </c>
      <c r="E1572" s="46">
        <v>325</v>
      </c>
      <c r="F1572" s="46">
        <v>305.14999999999998</v>
      </c>
      <c r="G1572" s="46">
        <v>19.850000000000001</v>
      </c>
      <c r="H1572" s="46">
        <v>6.5</v>
      </c>
      <c r="I1572" t="s">
        <v>23</v>
      </c>
    </row>
    <row r="1573" spans="1:9" x14ac:dyDescent="0.25">
      <c r="A1573" t="s">
        <v>1693</v>
      </c>
      <c r="B1573" t="s">
        <v>858</v>
      </c>
      <c r="C1573" t="s">
        <v>1699</v>
      </c>
      <c r="D1573" t="s">
        <v>15</v>
      </c>
      <c r="E1573" s="46">
        <v>450</v>
      </c>
      <c r="F1573" s="46">
        <v>448.75</v>
      </c>
      <c r="G1573" s="46">
        <v>1.25</v>
      </c>
      <c r="H1573" s="46">
        <v>0.28000000000000003</v>
      </c>
      <c r="I1573" t="s">
        <v>23</v>
      </c>
    </row>
    <row r="1574" spans="1:9" x14ac:dyDescent="0.25">
      <c r="A1574" s="2" t="s">
        <v>1693</v>
      </c>
      <c r="B1574" s="2" t="s">
        <v>1700</v>
      </c>
      <c r="C1574" s="2" t="s">
        <v>1701</v>
      </c>
      <c r="D1574" s="2" t="s">
        <v>15</v>
      </c>
      <c r="E1574" s="59">
        <v>520</v>
      </c>
      <c r="F1574" s="59">
        <v>719</v>
      </c>
      <c r="G1574" s="59">
        <v>-199</v>
      </c>
      <c r="H1574" s="59">
        <v>-27.68</v>
      </c>
      <c r="I1574" s="2" t="s">
        <v>23</v>
      </c>
    </row>
    <row r="1575" spans="1:9" x14ac:dyDescent="0.25">
      <c r="A1575" t="s">
        <v>1693</v>
      </c>
      <c r="B1575" t="s">
        <v>862</v>
      </c>
      <c r="C1575" t="s">
        <v>1702</v>
      </c>
      <c r="D1575" t="s">
        <v>15</v>
      </c>
      <c r="E1575" s="46">
        <v>745</v>
      </c>
      <c r="F1575" s="46">
        <v>735.95</v>
      </c>
      <c r="G1575" s="46">
        <v>9.0500000000000007</v>
      </c>
      <c r="H1575" s="46">
        <v>1.23</v>
      </c>
      <c r="I1575" t="s">
        <v>23</v>
      </c>
    </row>
    <row r="1576" spans="1:9" x14ac:dyDescent="0.25">
      <c r="A1576" t="s">
        <v>1693</v>
      </c>
      <c r="B1576" t="s">
        <v>862</v>
      </c>
      <c r="C1576" t="s">
        <v>1703</v>
      </c>
      <c r="D1576" t="s">
        <v>15</v>
      </c>
      <c r="E1576" s="46">
        <v>745</v>
      </c>
      <c r="F1576" s="46">
        <v>735.95</v>
      </c>
      <c r="G1576" s="46">
        <v>9.0500000000000007</v>
      </c>
      <c r="H1576" s="46">
        <v>1.23</v>
      </c>
      <c r="I1576" t="s">
        <v>23</v>
      </c>
    </row>
    <row r="1577" spans="1:9" x14ac:dyDescent="0.25">
      <c r="A1577" t="s">
        <v>1693</v>
      </c>
      <c r="B1577" t="s">
        <v>862</v>
      </c>
      <c r="C1577" t="s">
        <v>1704</v>
      </c>
      <c r="D1577" t="s">
        <v>15</v>
      </c>
      <c r="E1577" s="46">
        <v>745</v>
      </c>
      <c r="F1577" s="46">
        <v>714</v>
      </c>
      <c r="G1577" s="46">
        <v>31</v>
      </c>
      <c r="H1577" s="46">
        <v>4.34</v>
      </c>
      <c r="I1577" t="s">
        <v>23</v>
      </c>
    </row>
    <row r="1578" spans="1:9" x14ac:dyDescent="0.25">
      <c r="A1578" t="s">
        <v>1693</v>
      </c>
      <c r="B1578" t="s">
        <v>862</v>
      </c>
      <c r="C1578" t="s">
        <v>1705</v>
      </c>
      <c r="D1578" t="s">
        <v>15</v>
      </c>
      <c r="E1578" s="46">
        <v>745</v>
      </c>
      <c r="F1578" s="46">
        <v>714</v>
      </c>
      <c r="G1578" s="46">
        <v>31</v>
      </c>
      <c r="H1578" s="46">
        <v>4.34</v>
      </c>
      <c r="I1578" t="s">
        <v>23</v>
      </c>
    </row>
    <row r="1579" spans="1:9" x14ac:dyDescent="0.25">
      <c r="A1579" t="s">
        <v>1693</v>
      </c>
      <c r="B1579" t="s">
        <v>862</v>
      </c>
      <c r="C1579" t="s">
        <v>1706</v>
      </c>
      <c r="D1579" t="s">
        <v>15</v>
      </c>
      <c r="E1579" s="46">
        <v>745</v>
      </c>
      <c r="F1579" s="46">
        <v>714</v>
      </c>
      <c r="G1579" s="46">
        <v>31</v>
      </c>
      <c r="H1579" s="46">
        <v>4.34</v>
      </c>
      <c r="I1579" t="s">
        <v>23</v>
      </c>
    </row>
    <row r="1580" spans="1:9" x14ac:dyDescent="0.25">
      <c r="A1580" t="s">
        <v>1693</v>
      </c>
      <c r="B1580" t="s">
        <v>862</v>
      </c>
      <c r="C1580" t="s">
        <v>1707</v>
      </c>
      <c r="D1580" t="s">
        <v>15</v>
      </c>
      <c r="E1580" s="46">
        <v>745</v>
      </c>
      <c r="F1580" s="46">
        <v>714</v>
      </c>
      <c r="G1580" s="46">
        <v>31</v>
      </c>
      <c r="H1580" s="46">
        <v>4.34</v>
      </c>
      <c r="I1580" t="s">
        <v>23</v>
      </c>
    </row>
    <row r="1581" spans="1:9" x14ac:dyDescent="0.25">
      <c r="A1581" t="s">
        <v>1693</v>
      </c>
      <c r="B1581" t="s">
        <v>215</v>
      </c>
      <c r="C1581" t="s">
        <v>1708</v>
      </c>
      <c r="D1581" t="s">
        <v>1349</v>
      </c>
      <c r="E1581" s="46">
        <v>4100</v>
      </c>
      <c r="F1581" s="46">
        <v>3659.25</v>
      </c>
      <c r="G1581" s="46">
        <v>440.75</v>
      </c>
      <c r="H1581" s="46">
        <v>12.04</v>
      </c>
      <c r="I1581" t="s">
        <v>23</v>
      </c>
    </row>
    <row r="1582" spans="1:9" x14ac:dyDescent="0.25">
      <c r="A1582" t="s">
        <v>1693</v>
      </c>
      <c r="B1582" t="s">
        <v>215</v>
      </c>
      <c r="C1582" t="s">
        <v>1709</v>
      </c>
      <c r="D1582" t="s">
        <v>644</v>
      </c>
      <c r="E1582" s="46">
        <v>4100</v>
      </c>
      <c r="F1582" s="46">
        <v>3909.15</v>
      </c>
      <c r="G1582" s="46">
        <v>190.85</v>
      </c>
      <c r="H1582" s="46">
        <v>4.88</v>
      </c>
      <c r="I1582" t="s">
        <v>23</v>
      </c>
    </row>
    <row r="1583" spans="1:9" x14ac:dyDescent="0.25">
      <c r="A1583" t="s">
        <v>1693</v>
      </c>
      <c r="B1583" t="s">
        <v>215</v>
      </c>
      <c r="C1583" t="s">
        <v>1710</v>
      </c>
      <c r="D1583" t="s">
        <v>15</v>
      </c>
      <c r="E1583" s="46">
        <v>4100</v>
      </c>
      <c r="F1583" s="46">
        <v>3774</v>
      </c>
      <c r="G1583" s="46">
        <v>326</v>
      </c>
      <c r="H1583" s="46">
        <v>8.64</v>
      </c>
      <c r="I1583" t="s">
        <v>23</v>
      </c>
    </row>
    <row r="1584" spans="1:9" x14ac:dyDescent="0.25">
      <c r="A1584" t="s">
        <v>1693</v>
      </c>
      <c r="B1584" t="s">
        <v>215</v>
      </c>
      <c r="C1584" t="s">
        <v>1711</v>
      </c>
      <c r="D1584" t="s">
        <v>15</v>
      </c>
      <c r="E1584" s="46">
        <v>4100</v>
      </c>
      <c r="F1584" s="46">
        <v>3774</v>
      </c>
      <c r="G1584" s="46">
        <v>326</v>
      </c>
      <c r="H1584" s="46">
        <v>8.64</v>
      </c>
      <c r="I1584" t="s">
        <v>23</v>
      </c>
    </row>
    <row r="1585" spans="1:9" x14ac:dyDescent="0.25">
      <c r="A1585" s="2" t="s">
        <v>1693</v>
      </c>
      <c r="B1585" s="2" t="s">
        <v>215</v>
      </c>
      <c r="C1585" s="2" t="s">
        <v>1712</v>
      </c>
      <c r="D1585" s="2" t="s">
        <v>644</v>
      </c>
      <c r="E1585" s="59">
        <v>3900</v>
      </c>
      <c r="F1585" s="59">
        <v>3909.15</v>
      </c>
      <c r="G1585" s="59">
        <v>-9.15</v>
      </c>
      <c r="H1585" s="59">
        <v>-0.23</v>
      </c>
      <c r="I1585" s="2" t="s">
        <v>23</v>
      </c>
    </row>
    <row r="1586" spans="1:9" x14ac:dyDescent="0.25">
      <c r="A1586" t="s">
        <v>1693</v>
      </c>
      <c r="B1586" t="s">
        <v>33</v>
      </c>
      <c r="C1586" t="s">
        <v>1713</v>
      </c>
      <c r="D1586" t="s">
        <v>1349</v>
      </c>
      <c r="E1586" s="46">
        <v>4300</v>
      </c>
      <c r="F1586" s="46">
        <v>4069.8</v>
      </c>
      <c r="G1586" s="46">
        <v>230.2</v>
      </c>
      <c r="H1586" s="46">
        <v>5.66</v>
      </c>
      <c r="I1586" t="s">
        <v>23</v>
      </c>
    </row>
    <row r="1587" spans="1:9" x14ac:dyDescent="0.25">
      <c r="A1587" t="s">
        <v>1693</v>
      </c>
      <c r="B1587" t="s">
        <v>33</v>
      </c>
      <c r="C1587" t="s">
        <v>1348</v>
      </c>
      <c r="D1587" t="s">
        <v>1349</v>
      </c>
      <c r="E1587" s="46">
        <v>4300</v>
      </c>
      <c r="F1587" s="46">
        <v>4069.8</v>
      </c>
      <c r="G1587" s="46">
        <v>230.2</v>
      </c>
      <c r="H1587" s="46">
        <v>5.66</v>
      </c>
      <c r="I1587" t="s">
        <v>23</v>
      </c>
    </row>
    <row r="1588" spans="1:9" x14ac:dyDescent="0.25">
      <c r="A1588" t="s">
        <v>1693</v>
      </c>
      <c r="B1588" t="s">
        <v>33</v>
      </c>
      <c r="C1588" t="s">
        <v>1350</v>
      </c>
      <c r="D1588" t="s">
        <v>1349</v>
      </c>
      <c r="E1588" s="46">
        <v>4300</v>
      </c>
      <c r="F1588" s="46">
        <v>4069.8</v>
      </c>
      <c r="G1588" s="46">
        <v>230.2</v>
      </c>
      <c r="H1588" s="46">
        <v>5.66</v>
      </c>
      <c r="I1588" t="s">
        <v>23</v>
      </c>
    </row>
    <row r="1589" spans="1:9" x14ac:dyDescent="0.25">
      <c r="A1589" t="s">
        <v>1693</v>
      </c>
      <c r="B1589" t="s">
        <v>33</v>
      </c>
      <c r="C1589" t="s">
        <v>1714</v>
      </c>
      <c r="D1589" t="s">
        <v>1349</v>
      </c>
      <c r="E1589" s="46">
        <v>4250</v>
      </c>
      <c r="F1589" s="46">
        <v>4069.8</v>
      </c>
      <c r="G1589" s="46">
        <v>180.2</v>
      </c>
      <c r="H1589" s="46">
        <v>4.43</v>
      </c>
      <c r="I1589" t="s">
        <v>23</v>
      </c>
    </row>
    <row r="1590" spans="1:9" x14ac:dyDescent="0.25">
      <c r="A1590" t="s">
        <v>1693</v>
      </c>
      <c r="B1590" t="s">
        <v>33</v>
      </c>
      <c r="C1590" t="s">
        <v>1715</v>
      </c>
      <c r="D1590" t="s">
        <v>1349</v>
      </c>
      <c r="E1590" s="46">
        <v>4300</v>
      </c>
      <c r="F1590" s="46">
        <v>4069.8</v>
      </c>
      <c r="G1590" s="46">
        <v>230.2</v>
      </c>
      <c r="H1590" s="46">
        <v>5.66</v>
      </c>
      <c r="I1590" t="s">
        <v>23</v>
      </c>
    </row>
    <row r="1591" spans="1:9" x14ac:dyDescent="0.25">
      <c r="A1591" t="s">
        <v>1693</v>
      </c>
      <c r="B1591" t="s">
        <v>33</v>
      </c>
      <c r="C1591" t="s">
        <v>1716</v>
      </c>
      <c r="D1591" t="s">
        <v>1349</v>
      </c>
      <c r="E1591" s="46">
        <v>4300</v>
      </c>
      <c r="F1591" s="46">
        <v>4069.8</v>
      </c>
      <c r="G1591" s="46">
        <v>230.2</v>
      </c>
      <c r="H1591" s="46">
        <v>5.66</v>
      </c>
      <c r="I1591" t="s">
        <v>23</v>
      </c>
    </row>
    <row r="1592" spans="1:9" x14ac:dyDescent="0.25">
      <c r="A1592" t="s">
        <v>1693</v>
      </c>
      <c r="B1592" t="s">
        <v>33</v>
      </c>
      <c r="C1592" t="s">
        <v>1717</v>
      </c>
      <c r="D1592" t="s">
        <v>1349</v>
      </c>
      <c r="E1592" s="46">
        <v>4300</v>
      </c>
      <c r="F1592" s="46">
        <v>4069.8</v>
      </c>
      <c r="G1592" s="46">
        <v>230.2</v>
      </c>
      <c r="H1592" s="46">
        <v>5.66</v>
      </c>
      <c r="I1592" t="s">
        <v>23</v>
      </c>
    </row>
    <row r="1593" spans="1:9" x14ac:dyDescent="0.25">
      <c r="A1593" t="s">
        <v>1693</v>
      </c>
      <c r="B1593" t="s">
        <v>33</v>
      </c>
      <c r="C1593" t="s">
        <v>1718</v>
      </c>
      <c r="D1593" t="s">
        <v>1349</v>
      </c>
      <c r="E1593" s="46">
        <v>4250</v>
      </c>
      <c r="F1593" s="46">
        <v>4069.8</v>
      </c>
      <c r="G1593" s="46">
        <v>180.2</v>
      </c>
      <c r="H1593" s="46">
        <v>4.43</v>
      </c>
      <c r="I1593" t="s">
        <v>23</v>
      </c>
    </row>
    <row r="1594" spans="1:9" x14ac:dyDescent="0.25">
      <c r="A1594" t="s">
        <v>1693</v>
      </c>
      <c r="B1594" t="s">
        <v>33</v>
      </c>
      <c r="C1594" t="s">
        <v>1386</v>
      </c>
      <c r="D1594" t="s">
        <v>1349</v>
      </c>
      <c r="E1594" s="46">
        <v>4250</v>
      </c>
      <c r="F1594" s="46">
        <v>4069.8</v>
      </c>
      <c r="G1594" s="46">
        <v>180.2</v>
      </c>
      <c r="H1594" s="46">
        <v>4.43</v>
      </c>
      <c r="I1594" t="s">
        <v>23</v>
      </c>
    </row>
    <row r="1595" spans="1:9" x14ac:dyDescent="0.25">
      <c r="A1595" t="s">
        <v>1693</v>
      </c>
      <c r="B1595" t="s">
        <v>582</v>
      </c>
      <c r="C1595" t="s">
        <v>1719</v>
      </c>
      <c r="D1595" t="s">
        <v>1349</v>
      </c>
      <c r="E1595" s="46">
        <v>4800</v>
      </c>
      <c r="F1595" s="46">
        <v>4533.8999999999996</v>
      </c>
      <c r="G1595" s="46">
        <v>266.10000000000002</v>
      </c>
      <c r="H1595" s="46">
        <v>5.87</v>
      </c>
      <c r="I1595" t="s">
        <v>23</v>
      </c>
    </row>
    <row r="1596" spans="1:9" x14ac:dyDescent="0.25">
      <c r="A1596" s="48" t="s">
        <v>1649</v>
      </c>
      <c r="B1596" s="48" t="s">
        <v>215</v>
      </c>
      <c r="C1596" s="48" t="s">
        <v>1950</v>
      </c>
      <c r="D1596" s="48" t="s">
        <v>15</v>
      </c>
      <c r="E1596" s="46">
        <v>2900</v>
      </c>
      <c r="F1596" s="46">
        <v>2650</v>
      </c>
      <c r="G1596" s="46">
        <v>250</v>
      </c>
      <c r="H1596" s="46">
        <v>9.43</v>
      </c>
      <c r="I1596" s="48" t="s">
        <v>29</v>
      </c>
    </row>
    <row r="1597" spans="1:9" x14ac:dyDescent="0.25">
      <c r="A1597" s="48" t="s">
        <v>1649</v>
      </c>
      <c r="B1597" s="48" t="s">
        <v>215</v>
      </c>
      <c r="C1597" s="48" t="s">
        <v>1951</v>
      </c>
      <c r="D1597" s="48" t="s">
        <v>15</v>
      </c>
      <c r="E1597" s="46">
        <v>3000</v>
      </c>
      <c r="F1597" s="46">
        <v>2850</v>
      </c>
      <c r="G1597" s="46">
        <v>150</v>
      </c>
      <c r="H1597" s="46">
        <v>5.26</v>
      </c>
      <c r="I1597" s="48" t="s">
        <v>29</v>
      </c>
    </row>
    <row r="1598" spans="1:9" x14ac:dyDescent="0.25">
      <c r="A1598" s="3" t="s">
        <v>1649</v>
      </c>
      <c r="B1598" s="3" t="s">
        <v>215</v>
      </c>
      <c r="C1598" s="3" t="s">
        <v>1952</v>
      </c>
      <c r="D1598" s="3" t="s">
        <v>15</v>
      </c>
      <c r="E1598" s="70">
        <v>3100</v>
      </c>
      <c r="F1598" s="70">
        <v>1</v>
      </c>
      <c r="G1598" s="70">
        <v>3099</v>
      </c>
      <c r="H1598" s="70">
        <v>309900</v>
      </c>
      <c r="I1598" s="3" t="s">
        <v>29</v>
      </c>
    </row>
    <row r="1599" spans="1:9" x14ac:dyDescent="0.25">
      <c r="A1599" s="3" t="s">
        <v>1649</v>
      </c>
      <c r="B1599" s="3" t="s">
        <v>215</v>
      </c>
      <c r="C1599" s="3" t="s">
        <v>1953</v>
      </c>
      <c r="D1599" s="3" t="s">
        <v>15</v>
      </c>
      <c r="E1599" s="70">
        <v>3100</v>
      </c>
      <c r="F1599" s="70">
        <v>1</v>
      </c>
      <c r="G1599" s="70">
        <v>3099</v>
      </c>
      <c r="H1599" s="70">
        <v>309900</v>
      </c>
      <c r="I1599" s="3" t="s">
        <v>29</v>
      </c>
    </row>
    <row r="1600" spans="1:9" x14ac:dyDescent="0.25">
      <c r="A1600" s="48" t="s">
        <v>1649</v>
      </c>
      <c r="B1600" s="48" t="s">
        <v>215</v>
      </c>
      <c r="C1600" s="48" t="s">
        <v>1954</v>
      </c>
      <c r="D1600" s="48" t="s">
        <v>15</v>
      </c>
      <c r="E1600" s="46">
        <v>2900</v>
      </c>
      <c r="F1600" s="46">
        <v>2700</v>
      </c>
      <c r="G1600" s="46">
        <v>200</v>
      </c>
      <c r="H1600" s="46">
        <v>7.41</v>
      </c>
      <c r="I1600" s="48" t="s">
        <v>29</v>
      </c>
    </row>
    <row r="1601" spans="1:9" x14ac:dyDescent="0.25">
      <c r="A1601" s="48" t="s">
        <v>1649</v>
      </c>
      <c r="B1601" s="48" t="s">
        <v>215</v>
      </c>
      <c r="C1601" s="48" t="s">
        <v>1955</v>
      </c>
      <c r="D1601" s="48" t="s">
        <v>1956</v>
      </c>
      <c r="E1601" s="46">
        <v>2860</v>
      </c>
      <c r="F1601" s="46">
        <v>2600</v>
      </c>
      <c r="G1601" s="46">
        <v>260</v>
      </c>
      <c r="H1601" s="46">
        <v>10</v>
      </c>
      <c r="I1601" s="48" t="s">
        <v>29</v>
      </c>
    </row>
    <row r="1602" spans="1:9" x14ac:dyDescent="0.25">
      <c r="A1602" s="3" t="s">
        <v>1649</v>
      </c>
      <c r="B1602" s="3" t="s">
        <v>215</v>
      </c>
      <c r="C1602" s="3" t="s">
        <v>1957</v>
      </c>
      <c r="D1602" s="3" t="s">
        <v>15</v>
      </c>
      <c r="E1602" s="70">
        <v>3100</v>
      </c>
      <c r="F1602" s="70">
        <v>1</v>
      </c>
      <c r="G1602" s="70">
        <v>3099</v>
      </c>
      <c r="H1602" s="70">
        <v>309900</v>
      </c>
      <c r="I1602" s="3" t="s">
        <v>29</v>
      </c>
    </row>
    <row r="1603" spans="1:9" x14ac:dyDescent="0.25">
      <c r="A1603" s="48" t="s">
        <v>1649</v>
      </c>
      <c r="B1603" s="48" t="s">
        <v>33</v>
      </c>
      <c r="C1603" s="48" t="s">
        <v>1958</v>
      </c>
      <c r="D1603" s="48" t="s">
        <v>15</v>
      </c>
      <c r="E1603" s="46">
        <v>3280</v>
      </c>
      <c r="F1603" s="46">
        <v>3200</v>
      </c>
      <c r="G1603" s="46">
        <v>80</v>
      </c>
      <c r="H1603" s="46">
        <v>2.5</v>
      </c>
      <c r="I1603" s="48" t="s">
        <v>29</v>
      </c>
    </row>
    <row r="1604" spans="1:9" x14ac:dyDescent="0.25">
      <c r="A1604" s="48" t="s">
        <v>1649</v>
      </c>
      <c r="B1604" s="48" t="s">
        <v>33</v>
      </c>
      <c r="C1604" s="48" t="s">
        <v>1959</v>
      </c>
      <c r="D1604" s="48" t="s">
        <v>15</v>
      </c>
      <c r="E1604" s="46">
        <v>3230</v>
      </c>
      <c r="F1604" s="46">
        <v>3200</v>
      </c>
      <c r="G1604" s="46">
        <v>30</v>
      </c>
      <c r="H1604" s="46">
        <v>0.94</v>
      </c>
      <c r="I1604" s="48" t="s">
        <v>29</v>
      </c>
    </row>
    <row r="1605" spans="1:9" x14ac:dyDescent="0.25">
      <c r="A1605" s="48" t="s">
        <v>1649</v>
      </c>
      <c r="B1605" s="48" t="s">
        <v>33</v>
      </c>
      <c r="C1605" s="48" t="s">
        <v>1729</v>
      </c>
      <c r="D1605" s="48" t="s">
        <v>490</v>
      </c>
      <c r="E1605" s="46">
        <v>3280</v>
      </c>
      <c r="F1605" s="46">
        <v>3213</v>
      </c>
      <c r="G1605" s="46">
        <v>67</v>
      </c>
      <c r="H1605" s="46">
        <v>2.09</v>
      </c>
      <c r="I1605" s="48" t="s">
        <v>23</v>
      </c>
    </row>
    <row r="1606" spans="1:9" x14ac:dyDescent="0.25">
      <c r="A1606" s="3" t="s">
        <v>1649</v>
      </c>
      <c r="B1606" s="3" t="s">
        <v>33</v>
      </c>
      <c r="C1606" s="3" t="s">
        <v>1960</v>
      </c>
      <c r="D1606" s="3" t="s">
        <v>15</v>
      </c>
      <c r="E1606" s="70">
        <v>3700</v>
      </c>
      <c r="F1606" s="70">
        <v>1</v>
      </c>
      <c r="G1606" s="70">
        <v>3699</v>
      </c>
      <c r="H1606" s="70">
        <v>369900</v>
      </c>
      <c r="I1606" s="3" t="s">
        <v>29</v>
      </c>
    </row>
    <row r="1607" spans="1:9" x14ac:dyDescent="0.25">
      <c r="A1607" s="48" t="s">
        <v>1649</v>
      </c>
      <c r="B1607" s="48" t="s">
        <v>33</v>
      </c>
      <c r="C1607" s="48" t="s">
        <v>1961</v>
      </c>
      <c r="D1607" s="48" t="s">
        <v>15</v>
      </c>
      <c r="E1607" s="46">
        <v>3230</v>
      </c>
      <c r="F1607" s="46">
        <v>3200</v>
      </c>
      <c r="G1607" s="46">
        <v>30</v>
      </c>
      <c r="H1607" s="46">
        <v>0.94</v>
      </c>
      <c r="I1607" s="48" t="s">
        <v>29</v>
      </c>
    </row>
    <row r="1608" spans="1:9" x14ac:dyDescent="0.25">
      <c r="A1608" s="48" t="s">
        <v>1649</v>
      </c>
      <c r="B1608" s="48" t="s">
        <v>33</v>
      </c>
      <c r="C1608" s="48" t="s">
        <v>1962</v>
      </c>
      <c r="D1608" s="48" t="s">
        <v>15</v>
      </c>
      <c r="E1608" s="46">
        <v>3500</v>
      </c>
      <c r="F1608" s="46">
        <v>3500</v>
      </c>
      <c r="G1608" s="46">
        <v>0</v>
      </c>
      <c r="H1608" s="46">
        <v>0</v>
      </c>
      <c r="I1608" s="48" t="s">
        <v>29</v>
      </c>
    </row>
    <row r="1609" spans="1:9" x14ac:dyDescent="0.25">
      <c r="A1609" s="48" t="s">
        <v>1693</v>
      </c>
      <c r="B1609" s="48" t="s">
        <v>1337</v>
      </c>
      <c r="C1609" s="48" t="s">
        <v>1975</v>
      </c>
      <c r="D1609" s="48" t="s">
        <v>15</v>
      </c>
      <c r="E1609" s="46">
        <v>2500</v>
      </c>
      <c r="F1609" s="46">
        <v>2393.1999999999998</v>
      </c>
      <c r="G1609" s="46">
        <v>106.8</v>
      </c>
      <c r="H1609" s="46">
        <v>4.46</v>
      </c>
      <c r="I1609" s="48" t="s">
        <v>16</v>
      </c>
    </row>
    <row r="1610" spans="1:9" x14ac:dyDescent="0.25">
      <c r="A1610" s="48" t="s">
        <v>1693</v>
      </c>
      <c r="B1610" s="48" t="s">
        <v>1730</v>
      </c>
      <c r="C1610" s="48" t="s">
        <v>1731</v>
      </c>
      <c r="D1610" s="48" t="s">
        <v>15</v>
      </c>
      <c r="E1610" s="46">
        <v>2110</v>
      </c>
      <c r="F1610" s="46">
        <v>1999.2</v>
      </c>
      <c r="G1610" s="46">
        <v>110.8</v>
      </c>
      <c r="H1610" s="46">
        <v>5.54</v>
      </c>
      <c r="I1610" s="48" t="s">
        <v>23</v>
      </c>
    </row>
    <row r="1611" spans="1:9" x14ac:dyDescent="0.25">
      <c r="A1611" s="48" t="s">
        <v>1693</v>
      </c>
      <c r="B1611" s="48" t="s">
        <v>1730</v>
      </c>
      <c r="C1611" s="48" t="s">
        <v>1963</v>
      </c>
      <c r="D1611" s="48" t="s">
        <v>15</v>
      </c>
      <c r="E1611" s="46">
        <v>2110</v>
      </c>
      <c r="F1611" s="46">
        <v>1920</v>
      </c>
      <c r="G1611" s="46">
        <v>190</v>
      </c>
      <c r="H1611" s="46">
        <v>9.9</v>
      </c>
      <c r="I1611" s="48" t="s">
        <v>29</v>
      </c>
    </row>
    <row r="1612" spans="1:9" x14ac:dyDescent="0.25">
      <c r="A1612" s="48" t="s">
        <v>1693</v>
      </c>
      <c r="B1612" s="48" t="s">
        <v>1730</v>
      </c>
      <c r="C1612" s="48" t="s">
        <v>1964</v>
      </c>
      <c r="D1612" s="48" t="s">
        <v>15</v>
      </c>
      <c r="E1612" s="46">
        <v>2110</v>
      </c>
      <c r="F1612" s="46">
        <v>1950</v>
      </c>
      <c r="G1612" s="46">
        <v>160</v>
      </c>
      <c r="H1612" s="46">
        <v>8.2100000000000009</v>
      </c>
      <c r="I1612" s="48" t="s">
        <v>29</v>
      </c>
    </row>
    <row r="1613" spans="1:9" x14ac:dyDescent="0.25">
      <c r="A1613" s="48" t="s">
        <v>1693</v>
      </c>
      <c r="B1613" s="48" t="s">
        <v>1730</v>
      </c>
      <c r="C1613" s="48" t="s">
        <v>1965</v>
      </c>
      <c r="D1613" s="48" t="s">
        <v>15</v>
      </c>
      <c r="E1613" s="46">
        <v>2110</v>
      </c>
      <c r="F1613" s="46">
        <v>1950</v>
      </c>
      <c r="G1613" s="46">
        <v>160</v>
      </c>
      <c r="H1613" s="46">
        <v>8.2100000000000009</v>
      </c>
      <c r="I1613" s="48" t="s">
        <v>29</v>
      </c>
    </row>
    <row r="1614" spans="1:9" x14ac:dyDescent="0.25">
      <c r="A1614" s="48" t="s">
        <v>1693</v>
      </c>
      <c r="B1614" s="48" t="s">
        <v>33</v>
      </c>
      <c r="C1614" s="48" t="s">
        <v>1732</v>
      </c>
      <c r="D1614" s="48" t="s">
        <v>15</v>
      </c>
      <c r="E1614" s="46">
        <v>3500</v>
      </c>
      <c r="F1614" s="46">
        <v>3320.75</v>
      </c>
      <c r="G1614" s="46">
        <v>179.25</v>
      </c>
      <c r="H1614" s="46">
        <v>5.4</v>
      </c>
      <c r="I1614" s="48" t="s">
        <v>23</v>
      </c>
    </row>
    <row r="1615" spans="1:9" x14ac:dyDescent="0.25">
      <c r="A1615" s="48" t="s">
        <v>1693</v>
      </c>
      <c r="B1615" s="48" t="s">
        <v>33</v>
      </c>
      <c r="C1615" s="48" t="s">
        <v>1733</v>
      </c>
      <c r="D1615" s="48" t="s">
        <v>15</v>
      </c>
      <c r="E1615" s="46">
        <v>3500</v>
      </c>
      <c r="F1615" s="46">
        <v>3320.75</v>
      </c>
      <c r="G1615" s="46">
        <v>179.25</v>
      </c>
      <c r="H1615" s="46">
        <v>5.4</v>
      </c>
      <c r="I1615" s="48" t="s">
        <v>23</v>
      </c>
    </row>
    <row r="1616" spans="1:9" x14ac:dyDescent="0.25">
      <c r="A1616" s="2" t="s">
        <v>1693</v>
      </c>
      <c r="B1616" s="2" t="s">
        <v>33</v>
      </c>
      <c r="C1616" s="2" t="s">
        <v>1734</v>
      </c>
      <c r="D1616" s="2" t="s">
        <v>15</v>
      </c>
      <c r="E1616" s="59">
        <v>3440</v>
      </c>
      <c r="F1616" s="59">
        <v>3949</v>
      </c>
      <c r="G1616" s="59">
        <v>-509</v>
      </c>
      <c r="H1616" s="59">
        <v>-12.89</v>
      </c>
      <c r="I1616" s="2" t="s">
        <v>23</v>
      </c>
    </row>
    <row r="1617" spans="1:9" x14ac:dyDescent="0.25">
      <c r="A1617" s="48" t="s">
        <v>1693</v>
      </c>
      <c r="B1617" s="48" t="s">
        <v>33</v>
      </c>
      <c r="C1617" s="48" t="s">
        <v>1735</v>
      </c>
      <c r="D1617" s="48" t="s">
        <v>15</v>
      </c>
      <c r="E1617" s="46">
        <v>3440</v>
      </c>
      <c r="F1617" s="46">
        <v>3320.75</v>
      </c>
      <c r="G1617" s="46">
        <v>119.25</v>
      </c>
      <c r="H1617" s="46">
        <v>3.59</v>
      </c>
      <c r="I1617" s="48" t="s">
        <v>23</v>
      </c>
    </row>
    <row r="1618" spans="1:9" x14ac:dyDescent="0.25">
      <c r="A1618" s="48" t="s">
        <v>1693</v>
      </c>
      <c r="B1618" s="48" t="s">
        <v>33</v>
      </c>
      <c r="C1618" s="48" t="s">
        <v>1736</v>
      </c>
      <c r="D1618" s="48" t="s">
        <v>15</v>
      </c>
      <c r="E1618" s="46">
        <v>3440</v>
      </c>
      <c r="F1618" s="46">
        <v>3320.75</v>
      </c>
      <c r="G1618" s="46">
        <v>119.25</v>
      </c>
      <c r="H1618" s="46">
        <v>3.59</v>
      </c>
      <c r="I1618" s="48" t="s">
        <v>23</v>
      </c>
    </row>
    <row r="1619" spans="1:9" x14ac:dyDescent="0.25">
      <c r="A1619" s="48" t="s">
        <v>1693</v>
      </c>
      <c r="B1619" s="48" t="s">
        <v>33</v>
      </c>
      <c r="C1619" s="48" t="s">
        <v>1737</v>
      </c>
      <c r="D1619" s="48" t="s">
        <v>490</v>
      </c>
      <c r="E1619" s="46">
        <v>3500</v>
      </c>
      <c r="F1619" s="46">
        <v>3320.75</v>
      </c>
      <c r="G1619" s="46">
        <v>179.25</v>
      </c>
      <c r="H1619" s="46">
        <v>5.4</v>
      </c>
      <c r="I1619" s="48" t="s">
        <v>23</v>
      </c>
    </row>
    <row r="1620" spans="1:9" x14ac:dyDescent="0.25">
      <c r="A1620" s="48" t="s">
        <v>1693</v>
      </c>
      <c r="B1620" s="48" t="s">
        <v>33</v>
      </c>
      <c r="C1620" s="48" t="s">
        <v>1738</v>
      </c>
      <c r="D1620" s="48" t="s">
        <v>1349</v>
      </c>
      <c r="E1620" s="46">
        <v>3500</v>
      </c>
      <c r="F1620" s="46">
        <v>3337.95</v>
      </c>
      <c r="G1620" s="46">
        <v>162.05000000000001</v>
      </c>
      <c r="H1620" s="46">
        <v>4.8499999999999996</v>
      </c>
      <c r="I1620" s="48" t="s">
        <v>23</v>
      </c>
    </row>
    <row r="1621" spans="1:9" x14ac:dyDescent="0.25">
      <c r="A1621" s="48" t="s">
        <v>1693</v>
      </c>
      <c r="B1621" s="48" t="s">
        <v>33</v>
      </c>
      <c r="C1621" s="48" t="s">
        <v>1739</v>
      </c>
      <c r="D1621" s="48" t="s">
        <v>490</v>
      </c>
      <c r="E1621" s="46">
        <v>3500</v>
      </c>
      <c r="F1621" s="46">
        <v>3320.75</v>
      </c>
      <c r="G1621" s="46">
        <v>179.25</v>
      </c>
      <c r="H1621" s="46">
        <v>5.4</v>
      </c>
      <c r="I1621" s="48" t="s">
        <v>23</v>
      </c>
    </row>
    <row r="1622" spans="1:9" x14ac:dyDescent="0.25">
      <c r="A1622" s="48" t="s">
        <v>1740</v>
      </c>
      <c r="B1622" s="48" t="s">
        <v>1694</v>
      </c>
      <c r="C1622" s="48" t="s">
        <v>1741</v>
      </c>
      <c r="D1622" s="48" t="s">
        <v>15</v>
      </c>
      <c r="E1622" s="46">
        <v>345</v>
      </c>
      <c r="F1622" s="46">
        <v>287.66000000000003</v>
      </c>
      <c r="G1622" s="46">
        <v>57.34</v>
      </c>
      <c r="H1622" s="46">
        <v>19.93</v>
      </c>
      <c r="I1622" s="48" t="s">
        <v>23</v>
      </c>
    </row>
    <row r="1623" spans="1:9" x14ac:dyDescent="0.25">
      <c r="A1623" s="48" t="s">
        <v>1740</v>
      </c>
      <c r="B1623" s="48" t="s">
        <v>858</v>
      </c>
      <c r="C1623" s="48" t="s">
        <v>1742</v>
      </c>
      <c r="D1623" s="48" t="s">
        <v>15</v>
      </c>
      <c r="E1623" s="46">
        <v>470</v>
      </c>
      <c r="F1623" s="46">
        <v>448.75</v>
      </c>
      <c r="G1623" s="46">
        <v>21.25</v>
      </c>
      <c r="H1623" s="46">
        <v>4.74</v>
      </c>
      <c r="I1623" s="48" t="s">
        <v>23</v>
      </c>
    </row>
    <row r="1624" spans="1:9" x14ac:dyDescent="0.25">
      <c r="A1624" s="48" t="s">
        <v>1740</v>
      </c>
      <c r="B1624" s="48" t="s">
        <v>1743</v>
      </c>
      <c r="C1624" s="48" t="s">
        <v>1744</v>
      </c>
      <c r="D1624" s="48" t="s">
        <v>15</v>
      </c>
      <c r="E1624" s="46">
        <v>1620</v>
      </c>
      <c r="F1624" s="46">
        <v>1471.9</v>
      </c>
      <c r="G1624" s="46">
        <v>148.1</v>
      </c>
      <c r="H1624" s="46">
        <v>10.06</v>
      </c>
      <c r="I1624" s="48" t="s">
        <v>23</v>
      </c>
    </row>
    <row r="1625" spans="1:9" x14ac:dyDescent="0.25">
      <c r="A1625" s="48" t="s">
        <v>1740</v>
      </c>
      <c r="B1625" s="48" t="s">
        <v>1743</v>
      </c>
      <c r="C1625" s="48" t="s">
        <v>1745</v>
      </c>
      <c r="D1625" s="48" t="s">
        <v>15</v>
      </c>
      <c r="E1625" s="46">
        <v>1620</v>
      </c>
      <c r="F1625" s="46">
        <v>1471.9</v>
      </c>
      <c r="G1625" s="46">
        <v>148.1</v>
      </c>
      <c r="H1625" s="46">
        <v>10.06</v>
      </c>
      <c r="I1625" s="48" t="s">
        <v>23</v>
      </c>
    </row>
    <row r="1626" spans="1:9" x14ac:dyDescent="0.25">
      <c r="A1626" s="48" t="s">
        <v>1740</v>
      </c>
      <c r="B1626" s="48" t="s">
        <v>1743</v>
      </c>
      <c r="C1626" s="48" t="s">
        <v>1746</v>
      </c>
      <c r="D1626" s="48" t="s">
        <v>15</v>
      </c>
      <c r="E1626" s="46">
        <v>1650</v>
      </c>
      <c r="F1626" s="46">
        <v>1471.9</v>
      </c>
      <c r="G1626" s="46">
        <v>178.1</v>
      </c>
      <c r="H1626" s="46">
        <v>12.1</v>
      </c>
      <c r="I1626" s="48" t="s">
        <v>23</v>
      </c>
    </row>
    <row r="1627" spans="1:9" x14ac:dyDescent="0.25">
      <c r="A1627" s="48" t="s">
        <v>1740</v>
      </c>
      <c r="B1627" s="48" t="s">
        <v>1743</v>
      </c>
      <c r="C1627" s="48" t="s">
        <v>1747</v>
      </c>
      <c r="D1627" s="48" t="s">
        <v>15</v>
      </c>
      <c r="E1627" s="46">
        <v>1620</v>
      </c>
      <c r="F1627" s="46">
        <v>1471.9</v>
      </c>
      <c r="G1627" s="46">
        <v>148.1</v>
      </c>
      <c r="H1627" s="46">
        <v>10.06</v>
      </c>
      <c r="I1627" s="48" t="s">
        <v>23</v>
      </c>
    </row>
    <row r="1628" spans="1:9" x14ac:dyDescent="0.25">
      <c r="A1628" s="48" t="s">
        <v>1740</v>
      </c>
      <c r="B1628" s="48" t="s">
        <v>1743</v>
      </c>
      <c r="C1628" s="48" t="s">
        <v>1748</v>
      </c>
      <c r="D1628" s="48" t="s">
        <v>15</v>
      </c>
      <c r="E1628" s="46">
        <v>1620</v>
      </c>
      <c r="F1628" s="46">
        <v>1471.9</v>
      </c>
      <c r="G1628" s="46">
        <v>148.1</v>
      </c>
      <c r="H1628" s="46">
        <v>10.06</v>
      </c>
      <c r="I1628" s="48" t="s">
        <v>23</v>
      </c>
    </row>
    <row r="1629" spans="1:9" x14ac:dyDescent="0.25">
      <c r="A1629" s="48" t="s">
        <v>1740</v>
      </c>
      <c r="B1629" s="48" t="s">
        <v>1743</v>
      </c>
      <c r="C1629" s="48" t="s">
        <v>1749</v>
      </c>
      <c r="D1629" s="48" t="s">
        <v>15</v>
      </c>
      <c r="E1629" s="46">
        <v>1620</v>
      </c>
      <c r="F1629" s="46">
        <v>1471.9</v>
      </c>
      <c r="G1629" s="46">
        <v>148.1</v>
      </c>
      <c r="H1629" s="46">
        <v>10.06</v>
      </c>
      <c r="I1629" s="48" t="s">
        <v>23</v>
      </c>
    </row>
    <row r="1630" spans="1:9" x14ac:dyDescent="0.25">
      <c r="A1630" s="48" t="s">
        <v>1740</v>
      </c>
      <c r="B1630" s="48" t="s">
        <v>862</v>
      </c>
      <c r="C1630" s="48" t="s">
        <v>1750</v>
      </c>
      <c r="D1630" s="48" t="s">
        <v>15</v>
      </c>
      <c r="E1630" s="46">
        <v>755</v>
      </c>
      <c r="F1630" s="46">
        <v>718</v>
      </c>
      <c r="G1630" s="46">
        <v>37</v>
      </c>
      <c r="H1630" s="46">
        <v>5.15</v>
      </c>
      <c r="I1630" s="48" t="s">
        <v>23</v>
      </c>
    </row>
    <row r="1631" spans="1:9" x14ac:dyDescent="0.25">
      <c r="A1631" s="48" t="s">
        <v>1740</v>
      </c>
      <c r="B1631" s="48" t="s">
        <v>862</v>
      </c>
      <c r="C1631" s="48" t="s">
        <v>1751</v>
      </c>
      <c r="D1631" s="48" t="s">
        <v>15</v>
      </c>
      <c r="E1631" s="46">
        <v>755</v>
      </c>
      <c r="F1631" s="46">
        <v>718</v>
      </c>
      <c r="G1631" s="46">
        <v>37</v>
      </c>
      <c r="H1631" s="46">
        <v>5.15</v>
      </c>
      <c r="I1631" s="48" t="s">
        <v>23</v>
      </c>
    </row>
    <row r="1632" spans="1:9" x14ac:dyDescent="0.25">
      <c r="A1632" s="48" t="s">
        <v>1740</v>
      </c>
      <c r="B1632" s="48" t="s">
        <v>862</v>
      </c>
      <c r="C1632" s="48" t="s">
        <v>1752</v>
      </c>
      <c r="D1632" s="48" t="s">
        <v>15</v>
      </c>
      <c r="E1632" s="46">
        <v>755</v>
      </c>
      <c r="F1632" s="46">
        <v>735.95</v>
      </c>
      <c r="G1632" s="46">
        <v>19.05</v>
      </c>
      <c r="H1632" s="46">
        <v>2.59</v>
      </c>
      <c r="I1632" s="48" t="s">
        <v>23</v>
      </c>
    </row>
    <row r="1633" spans="1:9" x14ac:dyDescent="0.25">
      <c r="A1633" s="48" t="s">
        <v>1740</v>
      </c>
      <c r="B1633" s="48" t="s">
        <v>862</v>
      </c>
      <c r="C1633" s="48" t="s">
        <v>1753</v>
      </c>
      <c r="D1633" s="48" t="s">
        <v>15</v>
      </c>
      <c r="E1633" s="46">
        <v>755</v>
      </c>
      <c r="F1633" s="46">
        <v>735.95</v>
      </c>
      <c r="G1633" s="46">
        <v>19.05</v>
      </c>
      <c r="H1633" s="46">
        <v>2.59</v>
      </c>
      <c r="I1633" s="48" t="s">
        <v>23</v>
      </c>
    </row>
    <row r="1634" spans="1:9" x14ac:dyDescent="0.25">
      <c r="A1634" s="48" t="s">
        <v>1740</v>
      </c>
      <c r="B1634" s="48" t="s">
        <v>862</v>
      </c>
      <c r="C1634" s="48" t="s">
        <v>1754</v>
      </c>
      <c r="D1634" s="48" t="s">
        <v>15</v>
      </c>
      <c r="E1634" s="46">
        <v>755</v>
      </c>
      <c r="F1634" s="46">
        <v>735.95</v>
      </c>
      <c r="G1634" s="46">
        <v>19.05</v>
      </c>
      <c r="H1634" s="46">
        <v>2.59</v>
      </c>
      <c r="I1634" s="48" t="s">
        <v>23</v>
      </c>
    </row>
    <row r="1635" spans="1:9" x14ac:dyDescent="0.25">
      <c r="A1635" s="48" t="s">
        <v>1740</v>
      </c>
      <c r="B1635" s="48" t="s">
        <v>1976</v>
      </c>
      <c r="C1635" s="48" t="s">
        <v>1977</v>
      </c>
      <c r="D1635" s="48" t="s">
        <v>15</v>
      </c>
      <c r="E1635" s="46">
        <v>265</v>
      </c>
      <c r="F1635" s="46">
        <v>253</v>
      </c>
      <c r="G1635" s="46">
        <v>12</v>
      </c>
      <c r="H1635" s="46">
        <v>4.74</v>
      </c>
      <c r="I1635" s="48" t="s">
        <v>16</v>
      </c>
    </row>
    <row r="1636" spans="1:9" x14ac:dyDescent="0.25">
      <c r="A1636" s="48" t="s">
        <v>1740</v>
      </c>
      <c r="B1636" s="48" t="s">
        <v>1976</v>
      </c>
      <c r="C1636" s="48" t="s">
        <v>1978</v>
      </c>
      <c r="D1636" s="48" t="s">
        <v>15</v>
      </c>
      <c r="E1636" s="46">
        <v>265</v>
      </c>
      <c r="F1636" s="46">
        <v>253</v>
      </c>
      <c r="G1636" s="46">
        <v>12</v>
      </c>
      <c r="H1636" s="46">
        <v>4.74</v>
      </c>
      <c r="I1636" s="48" t="s">
        <v>16</v>
      </c>
    </row>
    <row r="1637" spans="1:9" x14ac:dyDescent="0.25">
      <c r="A1637" s="48" t="s">
        <v>1740</v>
      </c>
      <c r="B1637" s="48" t="s">
        <v>1976</v>
      </c>
      <c r="C1637" s="48" t="s">
        <v>1979</v>
      </c>
      <c r="D1637" s="48" t="s">
        <v>15</v>
      </c>
      <c r="E1637" s="46">
        <v>265</v>
      </c>
      <c r="F1637" s="46">
        <v>253</v>
      </c>
      <c r="G1637" s="46">
        <v>12</v>
      </c>
      <c r="H1637" s="46">
        <v>4.74</v>
      </c>
      <c r="I1637" s="48" t="s">
        <v>16</v>
      </c>
    </row>
    <row r="1638" spans="1:9" x14ac:dyDescent="0.25">
      <c r="A1638" s="48" t="s">
        <v>1740</v>
      </c>
      <c r="B1638" s="48" t="s">
        <v>1976</v>
      </c>
      <c r="C1638" s="48" t="s">
        <v>1980</v>
      </c>
      <c r="D1638" s="48" t="s">
        <v>15</v>
      </c>
      <c r="E1638" s="46">
        <v>265</v>
      </c>
      <c r="F1638" s="46">
        <v>253</v>
      </c>
      <c r="G1638" s="46">
        <v>12</v>
      </c>
      <c r="H1638" s="46">
        <v>4.74</v>
      </c>
      <c r="I1638" s="48" t="s">
        <v>16</v>
      </c>
    </row>
    <row r="1639" spans="1:9" x14ac:dyDescent="0.25">
      <c r="A1639" s="48" t="s">
        <v>1740</v>
      </c>
      <c r="B1639" s="48" t="s">
        <v>1976</v>
      </c>
      <c r="C1639" s="48" t="s">
        <v>1981</v>
      </c>
      <c r="D1639" s="48" t="s">
        <v>15</v>
      </c>
      <c r="E1639" s="46">
        <v>265</v>
      </c>
      <c r="F1639" s="46">
        <v>253</v>
      </c>
      <c r="G1639" s="46">
        <v>12</v>
      </c>
      <c r="H1639" s="46">
        <v>4.74</v>
      </c>
      <c r="I1639" s="48" t="s">
        <v>16</v>
      </c>
    </row>
    <row r="1640" spans="1:9" x14ac:dyDescent="0.25">
      <c r="A1640" s="48" t="s">
        <v>1740</v>
      </c>
      <c r="B1640" s="48" t="s">
        <v>1976</v>
      </c>
      <c r="C1640" s="48" t="s">
        <v>1982</v>
      </c>
      <c r="D1640" s="48" t="s">
        <v>15</v>
      </c>
      <c r="E1640" s="46">
        <v>265</v>
      </c>
      <c r="F1640" s="46">
        <v>253</v>
      </c>
      <c r="G1640" s="46">
        <v>12</v>
      </c>
      <c r="H1640" s="46">
        <v>4.74</v>
      </c>
      <c r="I1640" s="48" t="s">
        <v>16</v>
      </c>
    </row>
    <row r="1641" spans="1:9" x14ac:dyDescent="0.25">
      <c r="A1641" s="48" t="s">
        <v>1740</v>
      </c>
      <c r="B1641" s="48" t="s">
        <v>1976</v>
      </c>
      <c r="C1641" s="48" t="s">
        <v>1983</v>
      </c>
      <c r="D1641" s="48" t="s">
        <v>15</v>
      </c>
      <c r="E1641" s="46">
        <v>265</v>
      </c>
      <c r="F1641" s="46">
        <v>253</v>
      </c>
      <c r="G1641" s="46">
        <v>12</v>
      </c>
      <c r="H1641" s="46">
        <v>4.74</v>
      </c>
      <c r="I1641" s="48" t="s">
        <v>16</v>
      </c>
    </row>
    <row r="1642" spans="1:9" x14ac:dyDescent="0.25">
      <c r="A1642" s="2" t="s">
        <v>1740</v>
      </c>
      <c r="B1642" s="2" t="s">
        <v>1984</v>
      </c>
      <c r="C1642" s="2" t="s">
        <v>1985</v>
      </c>
      <c r="D1642" s="2" t="s">
        <v>15</v>
      </c>
      <c r="E1642" s="59">
        <v>1260</v>
      </c>
      <c r="F1642" s="59">
        <v>1376.27</v>
      </c>
      <c r="G1642" s="59">
        <v>-116.27</v>
      </c>
      <c r="H1642" s="59">
        <v>-8.4499999999999993</v>
      </c>
      <c r="I1642" s="2" t="s">
        <v>16</v>
      </c>
    </row>
    <row r="1643" spans="1:9" x14ac:dyDescent="0.25">
      <c r="A1643" s="2" t="s">
        <v>1740</v>
      </c>
      <c r="B1643" s="2" t="s">
        <v>1984</v>
      </c>
      <c r="C1643" s="2" t="s">
        <v>1986</v>
      </c>
      <c r="D1643" s="2" t="s">
        <v>15</v>
      </c>
      <c r="E1643" s="59">
        <v>1260</v>
      </c>
      <c r="F1643" s="59">
        <v>1376.27</v>
      </c>
      <c r="G1643" s="59">
        <v>-116.27</v>
      </c>
      <c r="H1643" s="59">
        <v>-8.4499999999999993</v>
      </c>
      <c r="I1643" s="2" t="s">
        <v>16</v>
      </c>
    </row>
    <row r="1644" spans="1:9" x14ac:dyDescent="0.25">
      <c r="A1644" s="2" t="s">
        <v>1740</v>
      </c>
      <c r="B1644" s="2" t="s">
        <v>1984</v>
      </c>
      <c r="C1644" s="2" t="s">
        <v>1987</v>
      </c>
      <c r="D1644" s="2" t="s">
        <v>15</v>
      </c>
      <c r="E1644" s="59">
        <v>1260</v>
      </c>
      <c r="F1644" s="59">
        <v>1376.27</v>
      </c>
      <c r="G1644" s="59">
        <v>-116.27</v>
      </c>
      <c r="H1644" s="59">
        <v>-8.4499999999999993</v>
      </c>
      <c r="I1644" s="2" t="s">
        <v>16</v>
      </c>
    </row>
    <row r="1645" spans="1:9" x14ac:dyDescent="0.25">
      <c r="A1645" s="2" t="s">
        <v>1740</v>
      </c>
      <c r="B1645" s="2" t="s">
        <v>1984</v>
      </c>
      <c r="C1645" s="2" t="s">
        <v>1988</v>
      </c>
      <c r="D1645" s="2" t="s">
        <v>15</v>
      </c>
      <c r="E1645" s="59">
        <v>1260</v>
      </c>
      <c r="F1645" s="59">
        <v>1376.27</v>
      </c>
      <c r="G1645" s="59">
        <v>-116.27</v>
      </c>
      <c r="H1645" s="59">
        <v>-8.4499999999999993</v>
      </c>
      <c r="I1645" s="2" t="s">
        <v>16</v>
      </c>
    </row>
    <row r="1646" spans="1:9" x14ac:dyDescent="0.25">
      <c r="A1646" s="2" t="s">
        <v>1740</v>
      </c>
      <c r="B1646" s="2" t="s">
        <v>1984</v>
      </c>
      <c r="C1646" s="2" t="s">
        <v>1989</v>
      </c>
      <c r="D1646" s="2" t="s">
        <v>15</v>
      </c>
      <c r="E1646" s="59">
        <v>1260</v>
      </c>
      <c r="F1646" s="59">
        <v>1376.27</v>
      </c>
      <c r="G1646" s="59">
        <v>-116.27</v>
      </c>
      <c r="H1646" s="59">
        <v>-8.4499999999999993</v>
      </c>
      <c r="I1646" s="2" t="s">
        <v>16</v>
      </c>
    </row>
    <row r="1647" spans="1:9" x14ac:dyDescent="0.25">
      <c r="A1647" s="2" t="s">
        <v>1740</v>
      </c>
      <c r="B1647" s="2" t="s">
        <v>1984</v>
      </c>
      <c r="C1647" s="2" t="s">
        <v>1990</v>
      </c>
      <c r="D1647" s="2" t="s">
        <v>15</v>
      </c>
      <c r="E1647" s="59">
        <v>1260</v>
      </c>
      <c r="F1647" s="59">
        <v>1376.27</v>
      </c>
      <c r="G1647" s="59">
        <v>-116.27</v>
      </c>
      <c r="H1647" s="59">
        <v>-8.4499999999999993</v>
      </c>
      <c r="I1647" s="2" t="s">
        <v>16</v>
      </c>
    </row>
    <row r="1648" spans="1:9" x14ac:dyDescent="0.25">
      <c r="A1648" s="2" t="s">
        <v>1740</v>
      </c>
      <c r="B1648" s="2" t="s">
        <v>1984</v>
      </c>
      <c r="C1648" s="2" t="s">
        <v>1991</v>
      </c>
      <c r="D1648" s="2" t="s">
        <v>15</v>
      </c>
      <c r="E1648" s="59">
        <v>1260</v>
      </c>
      <c r="F1648" s="59">
        <v>1376.27</v>
      </c>
      <c r="G1648" s="59">
        <v>-116.27</v>
      </c>
      <c r="H1648" s="59">
        <v>-8.4499999999999993</v>
      </c>
      <c r="I1648" s="2" t="s">
        <v>16</v>
      </c>
    </row>
    <row r="1649" spans="1:9" x14ac:dyDescent="0.25">
      <c r="A1649" s="2" t="s">
        <v>1740</v>
      </c>
      <c r="B1649" s="2" t="s">
        <v>1984</v>
      </c>
      <c r="C1649" s="2" t="s">
        <v>1992</v>
      </c>
      <c r="D1649" s="2" t="s">
        <v>15</v>
      </c>
      <c r="E1649" s="59">
        <v>1260</v>
      </c>
      <c r="F1649" s="59">
        <v>1376.27</v>
      </c>
      <c r="G1649" s="59">
        <v>-116.27</v>
      </c>
      <c r="H1649" s="59">
        <v>-8.4499999999999993</v>
      </c>
      <c r="I1649" s="2" t="s">
        <v>16</v>
      </c>
    </row>
    <row r="1650" spans="1:9" x14ac:dyDescent="0.25">
      <c r="A1650" s="2" t="s">
        <v>1740</v>
      </c>
      <c r="B1650" s="2" t="s">
        <v>1984</v>
      </c>
      <c r="C1650" s="2" t="s">
        <v>1993</v>
      </c>
      <c r="D1650" s="2" t="s">
        <v>15</v>
      </c>
      <c r="E1650" s="59">
        <v>1260</v>
      </c>
      <c r="F1650" s="59">
        <v>1376.27</v>
      </c>
      <c r="G1650" s="59">
        <v>-116.27</v>
      </c>
      <c r="H1650" s="59">
        <v>-8.4499999999999993</v>
      </c>
      <c r="I1650" s="2" t="s">
        <v>16</v>
      </c>
    </row>
    <row r="1651" spans="1:9" x14ac:dyDescent="0.25">
      <c r="A1651" s="2" t="s">
        <v>1740</v>
      </c>
      <c r="B1651" s="2" t="s">
        <v>1984</v>
      </c>
      <c r="C1651" s="2" t="s">
        <v>1994</v>
      </c>
      <c r="D1651" s="2" t="s">
        <v>15</v>
      </c>
      <c r="E1651" s="59">
        <v>1260</v>
      </c>
      <c r="F1651" s="59">
        <v>1376.27</v>
      </c>
      <c r="G1651" s="59">
        <v>-116.27</v>
      </c>
      <c r="H1651" s="59">
        <v>-8.4499999999999993</v>
      </c>
      <c r="I1651" s="2" t="s">
        <v>16</v>
      </c>
    </row>
    <row r="1652" spans="1:9" x14ac:dyDescent="0.25">
      <c r="A1652" s="2" t="s">
        <v>1740</v>
      </c>
      <c r="B1652" s="2" t="s">
        <v>1984</v>
      </c>
      <c r="C1652" s="2" t="s">
        <v>1995</v>
      </c>
      <c r="D1652" s="2" t="s">
        <v>15</v>
      </c>
      <c r="E1652" s="59">
        <v>1260</v>
      </c>
      <c r="F1652" s="59">
        <v>1376.27</v>
      </c>
      <c r="G1652" s="59">
        <v>-116.27</v>
      </c>
      <c r="H1652" s="59">
        <v>-8.4499999999999993</v>
      </c>
      <c r="I1652" s="2" t="s">
        <v>16</v>
      </c>
    </row>
    <row r="1653" spans="1:9" x14ac:dyDescent="0.25">
      <c r="A1653" s="2" t="s">
        <v>1740</v>
      </c>
      <c r="B1653" s="2" t="s">
        <v>1984</v>
      </c>
      <c r="C1653" s="2" t="s">
        <v>1996</v>
      </c>
      <c r="D1653" s="2" t="s">
        <v>15</v>
      </c>
      <c r="E1653" s="59">
        <v>1260</v>
      </c>
      <c r="F1653" s="59">
        <v>1376.27</v>
      </c>
      <c r="G1653" s="59">
        <v>-116.27</v>
      </c>
      <c r="H1653" s="59">
        <v>-8.4499999999999993</v>
      </c>
      <c r="I1653" s="2" t="s">
        <v>16</v>
      </c>
    </row>
    <row r="1654" spans="1:9" x14ac:dyDescent="0.25">
      <c r="A1654" s="2" t="s">
        <v>1740</v>
      </c>
      <c r="B1654" s="2" t="s">
        <v>1984</v>
      </c>
      <c r="C1654" s="2" t="s">
        <v>1997</v>
      </c>
      <c r="D1654" s="2" t="s">
        <v>15</v>
      </c>
      <c r="E1654" s="59">
        <v>1260</v>
      </c>
      <c r="F1654" s="59">
        <v>1376.27</v>
      </c>
      <c r="G1654" s="59">
        <v>-116.27</v>
      </c>
      <c r="H1654" s="59">
        <v>-8.4499999999999993</v>
      </c>
      <c r="I1654" s="2" t="s">
        <v>16</v>
      </c>
    </row>
    <row r="1655" spans="1:9" x14ac:dyDescent="0.25">
      <c r="A1655" s="2" t="s">
        <v>1740</v>
      </c>
      <c r="B1655" s="2" t="s">
        <v>1984</v>
      </c>
      <c r="C1655" s="2" t="s">
        <v>1998</v>
      </c>
      <c r="D1655" s="2" t="s">
        <v>15</v>
      </c>
      <c r="E1655" s="59">
        <v>1260</v>
      </c>
      <c r="F1655" s="59">
        <v>1376.27</v>
      </c>
      <c r="G1655" s="59">
        <v>-116.27</v>
      </c>
      <c r="H1655" s="59">
        <v>-8.4499999999999993</v>
      </c>
      <c r="I1655" s="2" t="s">
        <v>16</v>
      </c>
    </row>
    <row r="1656" spans="1:9" x14ac:dyDescent="0.25">
      <c r="A1656" s="2" t="s">
        <v>1740</v>
      </c>
      <c r="B1656" s="2" t="s">
        <v>1984</v>
      </c>
      <c r="C1656" s="2" t="s">
        <v>1999</v>
      </c>
      <c r="D1656" s="2" t="s">
        <v>15</v>
      </c>
      <c r="E1656" s="59">
        <v>1260</v>
      </c>
      <c r="F1656" s="59">
        <v>1376.27</v>
      </c>
      <c r="G1656" s="59">
        <v>-116.27</v>
      </c>
      <c r="H1656" s="59">
        <v>-8.4499999999999993</v>
      </c>
      <c r="I1656" s="2" t="s">
        <v>16</v>
      </c>
    </row>
    <row r="1657" spans="1:9" x14ac:dyDescent="0.25">
      <c r="A1657" s="2" t="s">
        <v>1740</v>
      </c>
      <c r="B1657" s="2" t="s">
        <v>1984</v>
      </c>
      <c r="C1657" s="2" t="s">
        <v>2000</v>
      </c>
      <c r="D1657" s="2" t="s">
        <v>15</v>
      </c>
      <c r="E1657" s="59">
        <v>1260</v>
      </c>
      <c r="F1657" s="59">
        <v>1376.27</v>
      </c>
      <c r="G1657" s="59">
        <v>-116.27</v>
      </c>
      <c r="H1657" s="59">
        <v>-8.4499999999999993</v>
      </c>
      <c r="I1657" s="2" t="s">
        <v>16</v>
      </c>
    </row>
    <row r="1658" spans="1:9" x14ac:dyDescent="0.25">
      <c r="A1658" s="2" t="s">
        <v>1740</v>
      </c>
      <c r="B1658" s="2" t="s">
        <v>1984</v>
      </c>
      <c r="C1658" s="2" t="s">
        <v>2001</v>
      </c>
      <c r="D1658" s="2" t="s">
        <v>15</v>
      </c>
      <c r="E1658" s="59">
        <v>1260</v>
      </c>
      <c r="F1658" s="59">
        <v>1376.27</v>
      </c>
      <c r="G1658" s="59">
        <v>-116.27</v>
      </c>
      <c r="H1658" s="59">
        <v>-8.4499999999999993</v>
      </c>
      <c r="I1658" s="2" t="s">
        <v>16</v>
      </c>
    </row>
    <row r="1659" spans="1:9" x14ac:dyDescent="0.25">
      <c r="A1659" s="2" t="s">
        <v>1740</v>
      </c>
      <c r="B1659" s="2" t="s">
        <v>1984</v>
      </c>
      <c r="C1659" s="2" t="s">
        <v>2002</v>
      </c>
      <c r="D1659" s="2" t="s">
        <v>15</v>
      </c>
      <c r="E1659" s="59">
        <v>1260</v>
      </c>
      <c r="F1659" s="59">
        <v>1376.27</v>
      </c>
      <c r="G1659" s="59">
        <v>-116.27</v>
      </c>
      <c r="H1659" s="59">
        <v>-8.4499999999999993</v>
      </c>
      <c r="I1659" s="2" t="s">
        <v>16</v>
      </c>
    </row>
    <row r="1660" spans="1:9" x14ac:dyDescent="0.25">
      <c r="A1660" s="2" t="s">
        <v>1740</v>
      </c>
      <c r="B1660" s="2" t="s">
        <v>1984</v>
      </c>
      <c r="C1660" s="2" t="s">
        <v>2003</v>
      </c>
      <c r="D1660" s="2" t="s">
        <v>15</v>
      </c>
      <c r="E1660" s="59">
        <v>1260</v>
      </c>
      <c r="F1660" s="59">
        <v>1376.27</v>
      </c>
      <c r="G1660" s="59">
        <v>-116.27</v>
      </c>
      <c r="H1660" s="59">
        <v>-8.4499999999999993</v>
      </c>
      <c r="I1660" s="2" t="s">
        <v>16</v>
      </c>
    </row>
    <row r="1661" spans="1:9" x14ac:dyDescent="0.25">
      <c r="A1661" s="2" t="s">
        <v>1740</v>
      </c>
      <c r="B1661" s="2" t="s">
        <v>1984</v>
      </c>
      <c r="C1661" s="2" t="s">
        <v>2004</v>
      </c>
      <c r="D1661" s="2" t="s">
        <v>15</v>
      </c>
      <c r="E1661" s="59">
        <v>1260</v>
      </c>
      <c r="F1661" s="59">
        <v>1376.27</v>
      </c>
      <c r="G1661" s="59">
        <v>-116.27</v>
      </c>
      <c r="H1661" s="59">
        <v>-8.4499999999999993</v>
      </c>
      <c r="I1661" s="2" t="s">
        <v>16</v>
      </c>
    </row>
    <row r="1662" spans="1:9" x14ac:dyDescent="0.25">
      <c r="A1662" s="48" t="s">
        <v>1740</v>
      </c>
      <c r="B1662" s="48" t="s">
        <v>1755</v>
      </c>
      <c r="C1662" s="48" t="s">
        <v>1756</v>
      </c>
      <c r="D1662" s="48" t="s">
        <v>15</v>
      </c>
      <c r="E1662" s="46">
        <v>194</v>
      </c>
      <c r="F1662" s="46">
        <v>161.55000000000001</v>
      </c>
      <c r="G1662" s="46">
        <v>32.450000000000003</v>
      </c>
      <c r="H1662" s="46">
        <v>20.09</v>
      </c>
      <c r="I1662" s="48" t="s">
        <v>23</v>
      </c>
    </row>
    <row r="1663" spans="1:9" x14ac:dyDescent="0.25">
      <c r="A1663" s="48" t="s">
        <v>1740</v>
      </c>
      <c r="B1663" s="48" t="s">
        <v>1755</v>
      </c>
      <c r="C1663" s="48" t="s">
        <v>1757</v>
      </c>
      <c r="D1663" s="48" t="s">
        <v>15</v>
      </c>
      <c r="E1663" s="46">
        <v>194</v>
      </c>
      <c r="F1663" s="46">
        <v>161.55000000000001</v>
      </c>
      <c r="G1663" s="46">
        <v>32.450000000000003</v>
      </c>
      <c r="H1663" s="46">
        <v>20.09</v>
      </c>
      <c r="I1663" s="48" t="s">
        <v>23</v>
      </c>
    </row>
    <row r="1664" spans="1:9" x14ac:dyDescent="0.25">
      <c r="A1664" s="48" t="s">
        <v>1740</v>
      </c>
      <c r="B1664" s="48" t="s">
        <v>1755</v>
      </c>
      <c r="C1664" s="48" t="s">
        <v>1758</v>
      </c>
      <c r="D1664" s="48" t="s">
        <v>15</v>
      </c>
      <c r="E1664" s="46">
        <v>194</v>
      </c>
      <c r="F1664" s="46">
        <v>161.55000000000001</v>
      </c>
      <c r="G1664" s="46">
        <v>32.450000000000003</v>
      </c>
      <c r="H1664" s="46">
        <v>20.09</v>
      </c>
      <c r="I1664" s="48" t="s">
        <v>23</v>
      </c>
    </row>
    <row r="1665" spans="1:9" x14ac:dyDescent="0.25">
      <c r="A1665" s="48" t="s">
        <v>1740</v>
      </c>
      <c r="B1665" s="48" t="s">
        <v>1755</v>
      </c>
      <c r="C1665" s="48" t="s">
        <v>1759</v>
      </c>
      <c r="D1665" s="48" t="s">
        <v>15</v>
      </c>
      <c r="E1665" s="46">
        <v>194</v>
      </c>
      <c r="F1665" s="46">
        <v>161.55000000000001</v>
      </c>
      <c r="G1665" s="46">
        <v>32.450000000000003</v>
      </c>
      <c r="H1665" s="46">
        <v>20.09</v>
      </c>
      <c r="I1665" s="48" t="s">
        <v>23</v>
      </c>
    </row>
    <row r="1666" spans="1:9" x14ac:dyDescent="0.25">
      <c r="A1666" s="48" t="s">
        <v>1740</v>
      </c>
      <c r="B1666" s="48" t="s">
        <v>1755</v>
      </c>
      <c r="C1666" s="48" t="s">
        <v>1760</v>
      </c>
      <c r="D1666" s="48" t="s">
        <v>15</v>
      </c>
      <c r="E1666" s="46">
        <v>194</v>
      </c>
      <c r="F1666" s="46">
        <v>161.55000000000001</v>
      </c>
      <c r="G1666" s="46">
        <v>32.450000000000003</v>
      </c>
      <c r="H1666" s="46">
        <v>20.09</v>
      </c>
      <c r="I1666" s="48" t="s">
        <v>23</v>
      </c>
    </row>
    <row r="1667" spans="1:9" x14ac:dyDescent="0.25">
      <c r="A1667" s="48" t="s">
        <v>1740</v>
      </c>
      <c r="B1667" s="48" t="s">
        <v>1755</v>
      </c>
      <c r="C1667" s="48" t="s">
        <v>2082</v>
      </c>
      <c r="D1667" s="48" t="s">
        <v>2083</v>
      </c>
      <c r="E1667" s="46">
        <v>194</v>
      </c>
      <c r="F1667" s="46">
        <v>3.59</v>
      </c>
      <c r="G1667" s="46">
        <v>190.41</v>
      </c>
      <c r="H1667" s="46">
        <v>5303.9</v>
      </c>
      <c r="I1667" s="48" t="s">
        <v>26</v>
      </c>
    </row>
    <row r="1668" spans="1:9" x14ac:dyDescent="0.25">
      <c r="A1668" s="48" t="s">
        <v>1740</v>
      </c>
      <c r="B1668" s="48" t="s">
        <v>1755</v>
      </c>
      <c r="C1668" s="48" t="s">
        <v>2084</v>
      </c>
      <c r="D1668" s="48" t="s">
        <v>2083</v>
      </c>
      <c r="E1668" s="46">
        <v>194</v>
      </c>
      <c r="F1668" s="46">
        <v>3.59</v>
      </c>
      <c r="G1668" s="46">
        <v>190.41</v>
      </c>
      <c r="H1668" s="46">
        <v>5303.9</v>
      </c>
      <c r="I1668" s="48" t="s">
        <v>26</v>
      </c>
    </row>
    <row r="1669" spans="1:9" x14ac:dyDescent="0.25">
      <c r="A1669" s="48" t="s">
        <v>1740</v>
      </c>
      <c r="B1669" s="48" t="s">
        <v>1755</v>
      </c>
      <c r="C1669" s="48" t="s">
        <v>2085</v>
      </c>
      <c r="D1669" s="48" t="s">
        <v>2083</v>
      </c>
      <c r="E1669" s="46">
        <v>192</v>
      </c>
      <c r="F1669" s="46">
        <v>3.59</v>
      </c>
      <c r="G1669" s="46">
        <v>188.41</v>
      </c>
      <c r="H1669" s="46">
        <v>5248.19</v>
      </c>
      <c r="I1669" s="48" t="s">
        <v>26</v>
      </c>
    </row>
    <row r="1670" spans="1:9" x14ac:dyDescent="0.25">
      <c r="A1670" s="48" t="s">
        <v>1740</v>
      </c>
      <c r="B1670" s="48" t="s">
        <v>1755</v>
      </c>
      <c r="C1670" s="48" t="s">
        <v>2086</v>
      </c>
      <c r="D1670" s="48" t="s">
        <v>2083</v>
      </c>
      <c r="E1670" s="46">
        <v>192</v>
      </c>
      <c r="F1670" s="46">
        <v>3.59</v>
      </c>
      <c r="G1670" s="46">
        <v>188.41</v>
      </c>
      <c r="H1670" s="46">
        <v>5248.19</v>
      </c>
      <c r="I1670" s="48" t="s">
        <v>26</v>
      </c>
    </row>
    <row r="1671" spans="1:9" x14ac:dyDescent="0.25">
      <c r="A1671" s="48" t="s">
        <v>1740</v>
      </c>
      <c r="B1671" s="48" t="s">
        <v>254</v>
      </c>
      <c r="C1671" s="48" t="s">
        <v>2005</v>
      </c>
      <c r="D1671" s="48" t="s">
        <v>15</v>
      </c>
      <c r="E1671" s="46">
        <v>346</v>
      </c>
      <c r="F1671" s="46">
        <v>313.98</v>
      </c>
      <c r="G1671" s="46">
        <v>32.020000000000003</v>
      </c>
      <c r="H1671" s="46">
        <v>10.199999999999999</v>
      </c>
      <c r="I1671" s="48" t="s">
        <v>81</v>
      </c>
    </row>
    <row r="1672" spans="1:9" x14ac:dyDescent="0.25">
      <c r="A1672" s="48" t="s">
        <v>1740</v>
      </c>
      <c r="B1672" s="48" t="s">
        <v>254</v>
      </c>
      <c r="C1672" s="48" t="s">
        <v>2006</v>
      </c>
      <c r="D1672" s="48" t="s">
        <v>15</v>
      </c>
      <c r="E1672" s="46">
        <v>346</v>
      </c>
      <c r="F1672" s="46">
        <v>313.98</v>
      </c>
      <c r="G1672" s="46">
        <v>32.020000000000003</v>
      </c>
      <c r="H1672" s="46">
        <v>10.199999999999999</v>
      </c>
      <c r="I1672" s="48" t="s">
        <v>81</v>
      </c>
    </row>
    <row r="1673" spans="1:9" x14ac:dyDescent="0.25">
      <c r="A1673" s="48" t="s">
        <v>1740</v>
      </c>
      <c r="B1673" s="48" t="s">
        <v>254</v>
      </c>
      <c r="C1673" s="48" t="s">
        <v>2007</v>
      </c>
      <c r="D1673" s="48" t="s">
        <v>15</v>
      </c>
      <c r="E1673" s="46">
        <v>346</v>
      </c>
      <c r="F1673" s="46">
        <v>313.98</v>
      </c>
      <c r="G1673" s="46">
        <v>32.020000000000003</v>
      </c>
      <c r="H1673" s="46">
        <v>10.199999999999999</v>
      </c>
      <c r="I1673" s="48" t="s">
        <v>81</v>
      </c>
    </row>
    <row r="1674" spans="1:9" x14ac:dyDescent="0.25">
      <c r="A1674" s="48" t="s">
        <v>1740</v>
      </c>
      <c r="B1674" s="48" t="s">
        <v>254</v>
      </c>
      <c r="C1674" s="48" t="s">
        <v>2008</v>
      </c>
      <c r="D1674" s="48" t="s">
        <v>15</v>
      </c>
      <c r="E1674" s="46">
        <v>346</v>
      </c>
      <c r="F1674" s="46">
        <v>313.98</v>
      </c>
      <c r="G1674" s="46">
        <v>32.020000000000003</v>
      </c>
      <c r="H1674" s="46">
        <v>10.199999999999999</v>
      </c>
      <c r="I1674" s="48" t="s">
        <v>81</v>
      </c>
    </row>
    <row r="1675" spans="1:9" x14ac:dyDescent="0.25">
      <c r="A1675" s="48" t="s">
        <v>1740</v>
      </c>
      <c r="B1675" s="48" t="s">
        <v>254</v>
      </c>
      <c r="C1675" s="48" t="s">
        <v>2009</v>
      </c>
      <c r="D1675" s="48" t="s">
        <v>15</v>
      </c>
      <c r="E1675" s="46">
        <v>346</v>
      </c>
      <c r="F1675" s="46">
        <v>313.98</v>
      </c>
      <c r="G1675" s="46">
        <v>32.020000000000003</v>
      </c>
      <c r="H1675" s="46">
        <v>10.199999999999999</v>
      </c>
      <c r="I1675" s="48" t="s">
        <v>81</v>
      </c>
    </row>
    <row r="1676" spans="1:9" x14ac:dyDescent="0.25">
      <c r="A1676" s="48" t="s">
        <v>1740</v>
      </c>
      <c r="B1676" s="48" t="s">
        <v>254</v>
      </c>
      <c r="C1676" s="48" t="s">
        <v>2010</v>
      </c>
      <c r="D1676" s="48" t="s">
        <v>15</v>
      </c>
      <c r="E1676" s="46">
        <v>346</v>
      </c>
      <c r="F1676" s="46">
        <v>313.98</v>
      </c>
      <c r="G1676" s="46">
        <v>32.020000000000003</v>
      </c>
      <c r="H1676" s="46">
        <v>10.199999999999999</v>
      </c>
      <c r="I1676" s="48" t="s">
        <v>81</v>
      </c>
    </row>
    <row r="1677" spans="1:9" x14ac:dyDescent="0.25">
      <c r="A1677" s="48" t="s">
        <v>1740</v>
      </c>
      <c r="B1677" s="48" t="s">
        <v>254</v>
      </c>
      <c r="C1677" s="48" t="s">
        <v>2011</v>
      </c>
      <c r="D1677" s="48" t="s">
        <v>15</v>
      </c>
      <c r="E1677" s="46">
        <v>346</v>
      </c>
      <c r="F1677" s="46">
        <v>313.98</v>
      </c>
      <c r="G1677" s="46">
        <v>32.020000000000003</v>
      </c>
      <c r="H1677" s="46">
        <v>10.199999999999999</v>
      </c>
      <c r="I1677" s="48" t="s">
        <v>81</v>
      </c>
    </row>
    <row r="1678" spans="1:9" x14ac:dyDescent="0.25">
      <c r="A1678" s="48" t="s">
        <v>1740</v>
      </c>
      <c r="B1678" s="48" t="s">
        <v>254</v>
      </c>
      <c r="C1678" s="48" t="s">
        <v>2012</v>
      </c>
      <c r="D1678" s="48" t="s">
        <v>15</v>
      </c>
      <c r="E1678" s="46">
        <v>346</v>
      </c>
      <c r="F1678" s="46">
        <v>313.98</v>
      </c>
      <c r="G1678" s="46">
        <v>32.020000000000003</v>
      </c>
      <c r="H1678" s="46">
        <v>10.199999999999999</v>
      </c>
      <c r="I1678" s="48" t="s">
        <v>81</v>
      </c>
    </row>
    <row r="1679" spans="1:9" x14ac:dyDescent="0.25">
      <c r="A1679" s="48" t="s">
        <v>1740</v>
      </c>
      <c r="B1679" s="48" t="s">
        <v>254</v>
      </c>
      <c r="C1679" s="48" t="s">
        <v>2013</v>
      </c>
      <c r="D1679" s="48" t="s">
        <v>15</v>
      </c>
      <c r="E1679" s="46">
        <v>346</v>
      </c>
      <c r="F1679" s="46">
        <v>313.98</v>
      </c>
      <c r="G1679" s="46">
        <v>32.020000000000003</v>
      </c>
      <c r="H1679" s="46">
        <v>10.199999999999999</v>
      </c>
      <c r="I1679" s="48" t="s">
        <v>81</v>
      </c>
    </row>
    <row r="1680" spans="1:9" x14ac:dyDescent="0.25">
      <c r="A1680" s="48" t="s">
        <v>1740</v>
      </c>
      <c r="B1680" s="48" t="s">
        <v>254</v>
      </c>
      <c r="C1680" s="48" t="s">
        <v>2014</v>
      </c>
      <c r="D1680" s="48" t="s">
        <v>15</v>
      </c>
      <c r="E1680" s="46">
        <v>346</v>
      </c>
      <c r="F1680" s="46">
        <v>313.98</v>
      </c>
      <c r="G1680" s="46">
        <v>32.020000000000003</v>
      </c>
      <c r="H1680" s="46">
        <v>10.199999999999999</v>
      </c>
      <c r="I1680" s="48" t="s">
        <v>81</v>
      </c>
    </row>
    <row r="1681" spans="1:9" x14ac:dyDescent="0.25">
      <c r="A1681" s="48" t="s">
        <v>1740</v>
      </c>
      <c r="B1681" s="48" t="s">
        <v>254</v>
      </c>
      <c r="C1681" s="48" t="s">
        <v>2015</v>
      </c>
      <c r="D1681" s="48" t="s">
        <v>15</v>
      </c>
      <c r="E1681" s="46">
        <v>346</v>
      </c>
      <c r="F1681" s="46">
        <v>313.98</v>
      </c>
      <c r="G1681" s="46">
        <v>32.020000000000003</v>
      </c>
      <c r="H1681" s="46">
        <v>10.199999999999999</v>
      </c>
      <c r="I1681" s="48" t="s">
        <v>81</v>
      </c>
    </row>
    <row r="1682" spans="1:9" x14ac:dyDescent="0.25">
      <c r="A1682" s="48" t="s">
        <v>1740</v>
      </c>
      <c r="B1682" s="48" t="s">
        <v>254</v>
      </c>
      <c r="C1682" s="48" t="s">
        <v>2016</v>
      </c>
      <c r="D1682" s="48" t="s">
        <v>15</v>
      </c>
      <c r="E1682" s="46">
        <v>346</v>
      </c>
      <c r="F1682" s="46">
        <v>313.98</v>
      </c>
      <c r="G1682" s="46">
        <v>32.020000000000003</v>
      </c>
      <c r="H1682" s="46">
        <v>10.199999999999999</v>
      </c>
      <c r="I1682" s="48" t="s">
        <v>81</v>
      </c>
    </row>
    <row r="1683" spans="1:9" x14ac:dyDescent="0.25">
      <c r="A1683" s="48" t="s">
        <v>1740</v>
      </c>
      <c r="B1683" s="48" t="s">
        <v>254</v>
      </c>
      <c r="C1683" s="48" t="s">
        <v>2017</v>
      </c>
      <c r="D1683" s="48" t="s">
        <v>15</v>
      </c>
      <c r="E1683" s="46">
        <v>346</v>
      </c>
      <c r="F1683" s="46">
        <v>313.98</v>
      </c>
      <c r="G1683" s="46">
        <v>32.020000000000003</v>
      </c>
      <c r="H1683" s="46">
        <v>10.199999999999999</v>
      </c>
      <c r="I1683" s="48" t="s">
        <v>81</v>
      </c>
    </row>
    <row r="1684" spans="1:9" x14ac:dyDescent="0.25">
      <c r="A1684" s="48" t="s">
        <v>1740</v>
      </c>
      <c r="B1684" s="48" t="s">
        <v>254</v>
      </c>
      <c r="C1684" s="48" t="s">
        <v>2018</v>
      </c>
      <c r="D1684" s="48" t="s">
        <v>15</v>
      </c>
      <c r="E1684" s="46">
        <v>346</v>
      </c>
      <c r="F1684" s="46">
        <v>313.98</v>
      </c>
      <c r="G1684" s="46">
        <v>32.020000000000003</v>
      </c>
      <c r="H1684" s="46">
        <v>10.199999999999999</v>
      </c>
      <c r="I1684" s="48" t="s">
        <v>81</v>
      </c>
    </row>
    <row r="1685" spans="1:9" x14ac:dyDescent="0.25">
      <c r="A1685" s="48" t="s">
        <v>1740</v>
      </c>
      <c r="B1685" s="48" t="s">
        <v>254</v>
      </c>
      <c r="C1685" s="48" t="s">
        <v>2019</v>
      </c>
      <c r="D1685" s="48" t="s">
        <v>15</v>
      </c>
      <c r="E1685" s="46">
        <v>346</v>
      </c>
      <c r="F1685" s="46">
        <v>313.98</v>
      </c>
      <c r="G1685" s="46">
        <v>32.020000000000003</v>
      </c>
      <c r="H1685" s="46">
        <v>10.199999999999999</v>
      </c>
      <c r="I1685" s="48" t="s">
        <v>81</v>
      </c>
    </row>
    <row r="1686" spans="1:9" x14ac:dyDescent="0.25">
      <c r="A1686" s="48" t="s">
        <v>1740</v>
      </c>
      <c r="B1686" s="48" t="s">
        <v>254</v>
      </c>
      <c r="C1686" s="48" t="s">
        <v>2020</v>
      </c>
      <c r="D1686" s="48" t="s">
        <v>15</v>
      </c>
      <c r="E1686" s="46">
        <v>346</v>
      </c>
      <c r="F1686" s="46">
        <v>313.98</v>
      </c>
      <c r="G1686" s="46">
        <v>32.020000000000003</v>
      </c>
      <c r="H1686" s="46">
        <v>10.199999999999999</v>
      </c>
      <c r="I1686" s="48" t="s">
        <v>81</v>
      </c>
    </row>
    <row r="1687" spans="1:9" x14ac:dyDescent="0.25">
      <c r="A1687" s="48" t="s">
        <v>1740</v>
      </c>
      <c r="B1687" s="48" t="s">
        <v>254</v>
      </c>
      <c r="C1687" s="48" t="s">
        <v>2021</v>
      </c>
      <c r="D1687" s="48" t="s">
        <v>15</v>
      </c>
      <c r="E1687" s="46">
        <v>346</v>
      </c>
      <c r="F1687" s="46">
        <v>313.98</v>
      </c>
      <c r="G1687" s="46">
        <v>32.020000000000003</v>
      </c>
      <c r="H1687" s="46">
        <v>10.199999999999999</v>
      </c>
      <c r="I1687" s="48" t="s">
        <v>81</v>
      </c>
    </row>
    <row r="1688" spans="1:9" x14ac:dyDescent="0.25">
      <c r="A1688" s="48" t="s">
        <v>1740</v>
      </c>
      <c r="B1688" s="48" t="s">
        <v>254</v>
      </c>
      <c r="C1688" s="48" t="s">
        <v>2022</v>
      </c>
      <c r="D1688" s="48" t="s">
        <v>15</v>
      </c>
      <c r="E1688" s="46">
        <v>346</v>
      </c>
      <c r="F1688" s="46">
        <v>313.98</v>
      </c>
      <c r="G1688" s="46">
        <v>32.020000000000003</v>
      </c>
      <c r="H1688" s="46">
        <v>10.199999999999999</v>
      </c>
      <c r="I1688" s="48" t="s">
        <v>81</v>
      </c>
    </row>
    <row r="1689" spans="1:9" x14ac:dyDescent="0.25">
      <c r="A1689" s="48" t="s">
        <v>1740</v>
      </c>
      <c r="B1689" s="48" t="s">
        <v>254</v>
      </c>
      <c r="C1689" s="48" t="s">
        <v>2023</v>
      </c>
      <c r="D1689" s="48" t="s">
        <v>15</v>
      </c>
      <c r="E1689" s="46">
        <v>346</v>
      </c>
      <c r="F1689" s="46">
        <v>313.98</v>
      </c>
      <c r="G1689" s="46">
        <v>32.020000000000003</v>
      </c>
      <c r="H1689" s="46">
        <v>10.199999999999999</v>
      </c>
      <c r="I1689" s="48" t="s">
        <v>81</v>
      </c>
    </row>
    <row r="1690" spans="1:9" x14ac:dyDescent="0.25">
      <c r="A1690" s="48" t="s">
        <v>1740</v>
      </c>
      <c r="B1690" s="48" t="s">
        <v>254</v>
      </c>
      <c r="C1690" s="48" t="s">
        <v>2024</v>
      </c>
      <c r="D1690" s="48" t="s">
        <v>15</v>
      </c>
      <c r="E1690" s="46">
        <v>346</v>
      </c>
      <c r="F1690" s="46">
        <v>313.98</v>
      </c>
      <c r="G1690" s="46">
        <v>32.020000000000003</v>
      </c>
      <c r="H1690" s="46">
        <v>10.199999999999999</v>
      </c>
      <c r="I1690" s="48" t="s">
        <v>81</v>
      </c>
    </row>
    <row r="1691" spans="1:9" x14ac:dyDescent="0.25">
      <c r="A1691" s="48" t="s">
        <v>1740</v>
      </c>
      <c r="B1691" s="48" t="s">
        <v>254</v>
      </c>
      <c r="C1691" s="48" t="s">
        <v>2025</v>
      </c>
      <c r="D1691" s="48" t="s">
        <v>15</v>
      </c>
      <c r="E1691" s="46">
        <v>346</v>
      </c>
      <c r="F1691" s="46">
        <v>313.98</v>
      </c>
      <c r="G1691" s="46">
        <v>32.020000000000003</v>
      </c>
      <c r="H1691" s="46">
        <v>10.199999999999999</v>
      </c>
      <c r="I1691" s="48" t="s">
        <v>81</v>
      </c>
    </row>
    <row r="1692" spans="1:9" x14ac:dyDescent="0.25">
      <c r="A1692" s="48" t="s">
        <v>1740</v>
      </c>
      <c r="B1692" s="48" t="s">
        <v>254</v>
      </c>
      <c r="C1692" s="48" t="s">
        <v>2026</v>
      </c>
      <c r="D1692" s="48" t="s">
        <v>15</v>
      </c>
      <c r="E1692" s="46">
        <v>346</v>
      </c>
      <c r="F1692" s="46">
        <v>313.98</v>
      </c>
      <c r="G1692" s="46">
        <v>32.020000000000003</v>
      </c>
      <c r="H1692" s="46">
        <v>10.199999999999999</v>
      </c>
      <c r="I1692" s="48" t="s">
        <v>81</v>
      </c>
    </row>
    <row r="1693" spans="1:9" x14ac:dyDescent="0.25">
      <c r="A1693" s="48" t="s">
        <v>1740</v>
      </c>
      <c r="B1693" s="48" t="s">
        <v>254</v>
      </c>
      <c r="C1693" s="48" t="s">
        <v>2027</v>
      </c>
      <c r="D1693" s="48" t="s">
        <v>15</v>
      </c>
      <c r="E1693" s="46">
        <v>346</v>
      </c>
      <c r="F1693" s="46">
        <v>313.98</v>
      </c>
      <c r="G1693" s="46">
        <v>32.020000000000003</v>
      </c>
      <c r="H1693" s="46">
        <v>10.199999999999999</v>
      </c>
      <c r="I1693" s="48" t="s">
        <v>81</v>
      </c>
    </row>
    <row r="1694" spans="1:9" x14ac:dyDescent="0.25">
      <c r="A1694" s="48" t="s">
        <v>1740</v>
      </c>
      <c r="B1694" s="48" t="s">
        <v>254</v>
      </c>
      <c r="C1694" s="48" t="s">
        <v>2028</v>
      </c>
      <c r="D1694" s="48" t="s">
        <v>15</v>
      </c>
      <c r="E1694" s="46">
        <v>346</v>
      </c>
      <c r="F1694" s="46">
        <v>313.98</v>
      </c>
      <c r="G1694" s="46">
        <v>32.020000000000003</v>
      </c>
      <c r="H1694" s="46">
        <v>10.199999999999999</v>
      </c>
      <c r="I1694" s="48" t="s">
        <v>81</v>
      </c>
    </row>
    <row r="1695" spans="1:9" x14ac:dyDescent="0.25">
      <c r="A1695" s="48" t="s">
        <v>1740</v>
      </c>
      <c r="B1695" s="48" t="s">
        <v>254</v>
      </c>
      <c r="C1695" s="48" t="s">
        <v>2029</v>
      </c>
      <c r="D1695" s="48" t="s">
        <v>15</v>
      </c>
      <c r="E1695" s="46">
        <v>346</v>
      </c>
      <c r="F1695" s="46">
        <v>313.98</v>
      </c>
      <c r="G1695" s="46">
        <v>32.020000000000003</v>
      </c>
      <c r="H1695" s="46">
        <v>10.199999999999999</v>
      </c>
      <c r="I1695" s="48" t="s">
        <v>81</v>
      </c>
    </row>
    <row r="1696" spans="1:9" x14ac:dyDescent="0.25">
      <c r="A1696" s="48" t="s">
        <v>1740</v>
      </c>
      <c r="B1696" s="48" t="s">
        <v>254</v>
      </c>
      <c r="C1696" s="48" t="s">
        <v>2030</v>
      </c>
      <c r="D1696" s="48" t="s">
        <v>15</v>
      </c>
      <c r="E1696" s="46">
        <v>346</v>
      </c>
      <c r="F1696" s="46">
        <v>313.98</v>
      </c>
      <c r="G1696" s="46">
        <v>32.020000000000003</v>
      </c>
      <c r="H1696" s="46">
        <v>10.199999999999999</v>
      </c>
      <c r="I1696" s="48" t="s">
        <v>81</v>
      </c>
    </row>
    <row r="1697" spans="1:9" x14ac:dyDescent="0.25">
      <c r="A1697" s="48" t="s">
        <v>1740</v>
      </c>
      <c r="B1697" s="48" t="s">
        <v>254</v>
      </c>
      <c r="C1697" s="48" t="s">
        <v>2031</v>
      </c>
      <c r="D1697" s="48" t="s">
        <v>15</v>
      </c>
      <c r="E1697" s="46">
        <v>346</v>
      </c>
      <c r="F1697" s="46">
        <v>313.98</v>
      </c>
      <c r="G1697" s="46">
        <v>32.020000000000003</v>
      </c>
      <c r="H1697" s="46">
        <v>10.199999999999999</v>
      </c>
      <c r="I1697" s="48" t="s">
        <v>81</v>
      </c>
    </row>
    <row r="1698" spans="1:9" x14ac:dyDescent="0.25">
      <c r="A1698" s="48" t="s">
        <v>1740</v>
      </c>
      <c r="B1698" s="48" t="s">
        <v>254</v>
      </c>
      <c r="C1698" s="48" t="s">
        <v>2032</v>
      </c>
      <c r="D1698" s="48" t="s">
        <v>15</v>
      </c>
      <c r="E1698" s="46">
        <v>346</v>
      </c>
      <c r="F1698" s="46">
        <v>313.98</v>
      </c>
      <c r="G1698" s="46">
        <v>32.020000000000003</v>
      </c>
      <c r="H1698" s="46">
        <v>10.199999999999999</v>
      </c>
      <c r="I1698" s="48" t="s">
        <v>81</v>
      </c>
    </row>
    <row r="1699" spans="1:9" x14ac:dyDescent="0.25">
      <c r="A1699" s="48" t="s">
        <v>1740</v>
      </c>
      <c r="B1699" s="48" t="s">
        <v>254</v>
      </c>
      <c r="C1699" s="48" t="s">
        <v>2033</v>
      </c>
      <c r="D1699" s="48" t="s">
        <v>15</v>
      </c>
      <c r="E1699" s="46">
        <v>346</v>
      </c>
      <c r="F1699" s="46">
        <v>313.98</v>
      </c>
      <c r="G1699" s="46">
        <v>32.020000000000003</v>
      </c>
      <c r="H1699" s="46">
        <v>10.199999999999999</v>
      </c>
      <c r="I1699" s="48" t="s">
        <v>81</v>
      </c>
    </row>
    <row r="1700" spans="1:9" x14ac:dyDescent="0.25">
      <c r="A1700" s="48" t="s">
        <v>1740</v>
      </c>
      <c r="B1700" s="48" t="s">
        <v>254</v>
      </c>
      <c r="C1700" s="48" t="s">
        <v>2034</v>
      </c>
      <c r="D1700" s="48" t="s">
        <v>15</v>
      </c>
      <c r="E1700" s="46">
        <v>346</v>
      </c>
      <c r="F1700" s="46">
        <v>313.98</v>
      </c>
      <c r="G1700" s="46">
        <v>32.020000000000003</v>
      </c>
      <c r="H1700" s="46">
        <v>10.199999999999999</v>
      </c>
      <c r="I1700" s="48" t="s">
        <v>81</v>
      </c>
    </row>
    <row r="1701" spans="1:9" x14ac:dyDescent="0.25">
      <c r="A1701" s="48" t="s">
        <v>1740</v>
      </c>
      <c r="B1701" s="48" t="s">
        <v>254</v>
      </c>
      <c r="C1701" s="48" t="s">
        <v>2035</v>
      </c>
      <c r="D1701" s="48" t="s">
        <v>15</v>
      </c>
      <c r="E1701" s="46">
        <v>346</v>
      </c>
      <c r="F1701" s="46">
        <v>313.98</v>
      </c>
      <c r="G1701" s="46">
        <v>32.020000000000003</v>
      </c>
      <c r="H1701" s="46">
        <v>10.199999999999999</v>
      </c>
      <c r="I1701" s="48" t="s">
        <v>81</v>
      </c>
    </row>
    <row r="1702" spans="1:9" x14ac:dyDescent="0.25">
      <c r="A1702" s="48" t="s">
        <v>1740</v>
      </c>
      <c r="B1702" s="48" t="s">
        <v>402</v>
      </c>
      <c r="C1702" s="48" t="s">
        <v>1761</v>
      </c>
      <c r="D1702" s="48" t="s">
        <v>15</v>
      </c>
      <c r="E1702" s="46">
        <v>1520</v>
      </c>
      <c r="F1702" s="46">
        <v>1077</v>
      </c>
      <c r="G1702" s="46">
        <v>443</v>
      </c>
      <c r="H1702" s="46">
        <v>41.13</v>
      </c>
      <c r="I1702" s="48" t="s">
        <v>23</v>
      </c>
    </row>
    <row r="1703" spans="1:9" x14ac:dyDescent="0.25">
      <c r="A1703" s="48" t="s">
        <v>1740</v>
      </c>
      <c r="B1703" s="48" t="s">
        <v>288</v>
      </c>
      <c r="C1703" s="48" t="s">
        <v>1762</v>
      </c>
      <c r="D1703" s="48" t="s">
        <v>15</v>
      </c>
      <c r="E1703" s="46">
        <v>1670</v>
      </c>
      <c r="F1703" s="46">
        <v>1525.75</v>
      </c>
      <c r="G1703" s="46">
        <v>144.25</v>
      </c>
      <c r="H1703" s="46">
        <v>9.4499999999999993</v>
      </c>
      <c r="I1703" s="48" t="s">
        <v>23</v>
      </c>
    </row>
    <row r="1704" spans="1:9" x14ac:dyDescent="0.25">
      <c r="A1704" s="48" t="s">
        <v>1740</v>
      </c>
      <c r="B1704" s="48" t="s">
        <v>288</v>
      </c>
      <c r="C1704" s="48" t="s">
        <v>1763</v>
      </c>
      <c r="D1704" s="48" t="s">
        <v>15</v>
      </c>
      <c r="E1704" s="46">
        <v>1670</v>
      </c>
      <c r="F1704" s="46">
        <v>1525.75</v>
      </c>
      <c r="G1704" s="46">
        <v>144.25</v>
      </c>
      <c r="H1704" s="46">
        <v>9.4499999999999993</v>
      </c>
      <c r="I1704" s="48" t="s">
        <v>23</v>
      </c>
    </row>
    <row r="1705" spans="1:9" x14ac:dyDescent="0.25">
      <c r="A1705" s="48" t="s">
        <v>1740</v>
      </c>
      <c r="B1705" s="48" t="s">
        <v>288</v>
      </c>
      <c r="C1705" s="48" t="s">
        <v>1764</v>
      </c>
      <c r="D1705" s="48" t="s">
        <v>15</v>
      </c>
      <c r="E1705" s="46">
        <v>1670</v>
      </c>
      <c r="F1705" s="46">
        <v>1525.75</v>
      </c>
      <c r="G1705" s="46">
        <v>144.25</v>
      </c>
      <c r="H1705" s="46">
        <v>9.4499999999999993</v>
      </c>
      <c r="I1705" s="48" t="s">
        <v>23</v>
      </c>
    </row>
    <row r="1706" spans="1:9" x14ac:dyDescent="0.25">
      <c r="A1706" s="48" t="s">
        <v>1740</v>
      </c>
      <c r="B1706" s="48" t="s">
        <v>288</v>
      </c>
      <c r="C1706" s="48" t="s">
        <v>1765</v>
      </c>
      <c r="D1706" s="48" t="s">
        <v>15</v>
      </c>
      <c r="E1706" s="46">
        <v>1670</v>
      </c>
      <c r="F1706" s="46">
        <v>1525.75</v>
      </c>
      <c r="G1706" s="46">
        <v>144.25</v>
      </c>
      <c r="H1706" s="46">
        <v>9.4499999999999993</v>
      </c>
      <c r="I1706" s="48" t="s">
        <v>23</v>
      </c>
    </row>
    <row r="1707" spans="1:9" x14ac:dyDescent="0.25">
      <c r="A1707" s="48" t="s">
        <v>1740</v>
      </c>
      <c r="B1707" s="48" t="s">
        <v>288</v>
      </c>
      <c r="C1707" s="48" t="s">
        <v>1766</v>
      </c>
      <c r="D1707" s="48" t="s">
        <v>15</v>
      </c>
      <c r="E1707" s="46">
        <v>1670</v>
      </c>
      <c r="F1707" s="46">
        <v>1525.75</v>
      </c>
      <c r="G1707" s="46">
        <v>144.25</v>
      </c>
      <c r="H1707" s="46">
        <v>9.4499999999999993</v>
      </c>
      <c r="I1707" s="48" t="s">
        <v>23</v>
      </c>
    </row>
    <row r="1708" spans="1:9" x14ac:dyDescent="0.25">
      <c r="A1708" s="48" t="s">
        <v>1740</v>
      </c>
      <c r="B1708" s="48" t="s">
        <v>288</v>
      </c>
      <c r="C1708" s="48" t="s">
        <v>1767</v>
      </c>
      <c r="D1708" s="48" t="s">
        <v>15</v>
      </c>
      <c r="E1708" s="46">
        <v>1670</v>
      </c>
      <c r="F1708" s="46">
        <v>1525.75</v>
      </c>
      <c r="G1708" s="46">
        <v>144.25</v>
      </c>
      <c r="H1708" s="46">
        <v>9.4499999999999993</v>
      </c>
      <c r="I1708" s="48" t="s">
        <v>23</v>
      </c>
    </row>
    <row r="1709" spans="1:9" x14ac:dyDescent="0.25">
      <c r="A1709" s="48" t="s">
        <v>1740</v>
      </c>
      <c r="B1709" s="48" t="s">
        <v>288</v>
      </c>
      <c r="C1709" s="48" t="s">
        <v>1768</v>
      </c>
      <c r="D1709" s="48" t="s">
        <v>15</v>
      </c>
      <c r="E1709" s="46">
        <v>1670</v>
      </c>
      <c r="F1709" s="46">
        <v>1525.75</v>
      </c>
      <c r="G1709" s="46">
        <v>144.25</v>
      </c>
      <c r="H1709" s="46">
        <v>9.4499999999999993</v>
      </c>
      <c r="I1709" s="48" t="s">
        <v>23</v>
      </c>
    </row>
    <row r="1710" spans="1:9" x14ac:dyDescent="0.25">
      <c r="A1710" s="48" t="s">
        <v>1740</v>
      </c>
      <c r="B1710" s="48" t="s">
        <v>288</v>
      </c>
      <c r="C1710" s="48" t="s">
        <v>1769</v>
      </c>
      <c r="D1710" s="48" t="s">
        <v>15</v>
      </c>
      <c r="E1710" s="46">
        <v>1670</v>
      </c>
      <c r="F1710" s="46">
        <v>1525.75</v>
      </c>
      <c r="G1710" s="46">
        <v>144.25</v>
      </c>
      <c r="H1710" s="46">
        <v>9.4499999999999993</v>
      </c>
      <c r="I1710" s="48" t="s">
        <v>23</v>
      </c>
    </row>
    <row r="1711" spans="1:9" x14ac:dyDescent="0.25">
      <c r="A1711" s="48" t="s">
        <v>1740</v>
      </c>
      <c r="B1711" s="48" t="s">
        <v>288</v>
      </c>
      <c r="C1711" s="48" t="s">
        <v>1770</v>
      </c>
      <c r="D1711" s="48" t="s">
        <v>15</v>
      </c>
      <c r="E1711" s="46">
        <v>1670</v>
      </c>
      <c r="F1711" s="46">
        <v>1525.75</v>
      </c>
      <c r="G1711" s="46">
        <v>144.25</v>
      </c>
      <c r="H1711" s="46">
        <v>9.4499999999999993</v>
      </c>
      <c r="I1711" s="48" t="s">
        <v>23</v>
      </c>
    </row>
    <row r="1712" spans="1:9" x14ac:dyDescent="0.25">
      <c r="A1712" s="48" t="s">
        <v>1740</v>
      </c>
      <c r="B1712" s="48" t="s">
        <v>288</v>
      </c>
      <c r="C1712" s="48" t="s">
        <v>1771</v>
      </c>
      <c r="D1712" s="48" t="s">
        <v>15</v>
      </c>
      <c r="E1712" s="46">
        <v>1670</v>
      </c>
      <c r="F1712" s="46">
        <v>1525.75</v>
      </c>
      <c r="G1712" s="46">
        <v>144.25</v>
      </c>
      <c r="H1712" s="46">
        <v>9.4499999999999993</v>
      </c>
      <c r="I1712" s="48" t="s">
        <v>23</v>
      </c>
    </row>
    <row r="1713" spans="1:9" x14ac:dyDescent="0.25">
      <c r="A1713" s="48" t="s">
        <v>1740</v>
      </c>
      <c r="B1713" s="48" t="s">
        <v>411</v>
      </c>
      <c r="C1713" s="48" t="s">
        <v>1772</v>
      </c>
      <c r="D1713" s="48" t="s">
        <v>15</v>
      </c>
      <c r="E1713" s="46">
        <v>1530</v>
      </c>
      <c r="F1713" s="46">
        <v>1077</v>
      </c>
      <c r="G1713" s="46">
        <v>453</v>
      </c>
      <c r="H1713" s="46">
        <v>42.06</v>
      </c>
      <c r="I1713" s="48" t="s">
        <v>23</v>
      </c>
    </row>
    <row r="1714" spans="1:9" x14ac:dyDescent="0.25">
      <c r="A1714" s="48" t="s">
        <v>1740</v>
      </c>
      <c r="B1714" s="48" t="s">
        <v>411</v>
      </c>
      <c r="C1714" s="48" t="s">
        <v>1773</v>
      </c>
      <c r="D1714" s="48" t="s">
        <v>15</v>
      </c>
      <c r="E1714" s="46">
        <v>1530</v>
      </c>
      <c r="F1714" s="46">
        <v>1077</v>
      </c>
      <c r="G1714" s="46">
        <v>453</v>
      </c>
      <c r="H1714" s="46">
        <v>42.06</v>
      </c>
      <c r="I1714" s="48" t="s">
        <v>23</v>
      </c>
    </row>
    <row r="1715" spans="1:9" x14ac:dyDescent="0.25">
      <c r="A1715" s="48" t="s">
        <v>1740</v>
      </c>
      <c r="B1715" s="48" t="s">
        <v>411</v>
      </c>
      <c r="C1715" s="48" t="s">
        <v>1774</v>
      </c>
      <c r="D1715" s="48" t="s">
        <v>15</v>
      </c>
      <c r="E1715" s="46">
        <v>1520</v>
      </c>
      <c r="F1715" s="46">
        <v>1077</v>
      </c>
      <c r="G1715" s="46">
        <v>443</v>
      </c>
      <c r="H1715" s="46">
        <v>41.13</v>
      </c>
      <c r="I1715" s="48" t="s">
        <v>23</v>
      </c>
    </row>
    <row r="1716" spans="1:9" x14ac:dyDescent="0.25">
      <c r="A1716" s="48" t="s">
        <v>1740</v>
      </c>
      <c r="B1716" s="48" t="s">
        <v>411</v>
      </c>
      <c r="C1716" s="48" t="s">
        <v>1775</v>
      </c>
      <c r="D1716" s="48" t="s">
        <v>15</v>
      </c>
      <c r="E1716" s="46">
        <v>1520</v>
      </c>
      <c r="F1716" s="46">
        <v>1077</v>
      </c>
      <c r="G1716" s="46">
        <v>443</v>
      </c>
      <c r="H1716" s="46">
        <v>41.13</v>
      </c>
      <c r="I1716" s="48" t="s">
        <v>23</v>
      </c>
    </row>
    <row r="1717" spans="1:9" x14ac:dyDescent="0.25">
      <c r="A1717" s="48" t="s">
        <v>1740</v>
      </c>
      <c r="B1717" s="48" t="s">
        <v>411</v>
      </c>
      <c r="C1717" s="48" t="s">
        <v>1776</v>
      </c>
      <c r="D1717" s="48" t="s">
        <v>15</v>
      </c>
      <c r="E1717" s="46">
        <v>1520</v>
      </c>
      <c r="F1717" s="46">
        <v>1077</v>
      </c>
      <c r="G1717" s="46">
        <v>443</v>
      </c>
      <c r="H1717" s="46">
        <v>41.13</v>
      </c>
      <c r="I1717" s="48" t="s">
        <v>23</v>
      </c>
    </row>
    <row r="1718" spans="1:9" x14ac:dyDescent="0.25">
      <c r="A1718" s="48" t="s">
        <v>1740</v>
      </c>
      <c r="B1718" s="48" t="s">
        <v>411</v>
      </c>
      <c r="C1718" s="48" t="s">
        <v>1777</v>
      </c>
      <c r="D1718" s="48" t="s">
        <v>15</v>
      </c>
      <c r="E1718" s="46">
        <v>1520</v>
      </c>
      <c r="F1718" s="46">
        <v>1077</v>
      </c>
      <c r="G1718" s="46">
        <v>443</v>
      </c>
      <c r="H1718" s="46">
        <v>41.13</v>
      </c>
      <c r="I1718" s="48" t="s">
        <v>23</v>
      </c>
    </row>
    <row r="1719" spans="1:9" x14ac:dyDescent="0.25">
      <c r="A1719" s="48" t="s">
        <v>1740</v>
      </c>
      <c r="B1719" s="48" t="s">
        <v>426</v>
      </c>
      <c r="C1719" s="48" t="s">
        <v>1778</v>
      </c>
      <c r="D1719" s="48" t="s">
        <v>1779</v>
      </c>
      <c r="E1719" s="46">
        <v>920</v>
      </c>
      <c r="F1719" s="46">
        <v>624.75</v>
      </c>
      <c r="G1719" s="46">
        <v>295.25</v>
      </c>
      <c r="H1719" s="46">
        <v>47.26</v>
      </c>
      <c r="I1719" s="48" t="s">
        <v>23</v>
      </c>
    </row>
    <row r="1720" spans="1:9" x14ac:dyDescent="0.25">
      <c r="A1720" s="48" t="s">
        <v>1740</v>
      </c>
      <c r="B1720" s="48" t="s">
        <v>426</v>
      </c>
      <c r="C1720" s="48" t="s">
        <v>1780</v>
      </c>
      <c r="D1720" s="48" t="s">
        <v>1781</v>
      </c>
      <c r="E1720" s="46">
        <v>1050</v>
      </c>
      <c r="F1720" s="46">
        <v>624.75</v>
      </c>
      <c r="G1720" s="46">
        <v>425.25</v>
      </c>
      <c r="H1720" s="46">
        <v>68.069999999999993</v>
      </c>
      <c r="I1720" s="48" t="s">
        <v>23</v>
      </c>
    </row>
    <row r="1721" spans="1:9" x14ac:dyDescent="0.25">
      <c r="A1721" s="48" t="s">
        <v>1740</v>
      </c>
      <c r="B1721" s="48" t="s">
        <v>428</v>
      </c>
      <c r="C1721" s="48" t="s">
        <v>1782</v>
      </c>
      <c r="D1721" s="48" t="s">
        <v>15</v>
      </c>
      <c r="E1721" s="46">
        <v>1540</v>
      </c>
      <c r="F1721" s="46">
        <v>1256.5</v>
      </c>
      <c r="G1721" s="46">
        <v>283.5</v>
      </c>
      <c r="H1721" s="46">
        <v>22.56</v>
      </c>
      <c r="I1721" s="48" t="s">
        <v>23</v>
      </c>
    </row>
    <row r="1722" spans="1:9" x14ac:dyDescent="0.25">
      <c r="A1722" s="48" t="s">
        <v>1740</v>
      </c>
      <c r="B1722" s="48" t="s">
        <v>428</v>
      </c>
      <c r="C1722" s="48" t="s">
        <v>1783</v>
      </c>
      <c r="D1722" s="48" t="s">
        <v>15</v>
      </c>
      <c r="E1722" s="46">
        <v>1540</v>
      </c>
      <c r="F1722" s="46">
        <v>1256.5</v>
      </c>
      <c r="G1722" s="46">
        <v>283.5</v>
      </c>
      <c r="H1722" s="46">
        <v>22.56</v>
      </c>
      <c r="I1722" s="48" t="s">
        <v>23</v>
      </c>
    </row>
    <row r="1723" spans="1:9" x14ac:dyDescent="0.25">
      <c r="A1723" s="48" t="s">
        <v>1740</v>
      </c>
      <c r="B1723" s="48" t="s">
        <v>428</v>
      </c>
      <c r="C1723" s="48" t="s">
        <v>1784</v>
      </c>
      <c r="D1723" s="48" t="s">
        <v>15</v>
      </c>
      <c r="E1723" s="46">
        <v>1540</v>
      </c>
      <c r="F1723" s="46">
        <v>1256.5</v>
      </c>
      <c r="G1723" s="46">
        <v>283.5</v>
      </c>
      <c r="H1723" s="46">
        <v>22.56</v>
      </c>
      <c r="I1723" s="48" t="s">
        <v>23</v>
      </c>
    </row>
    <row r="1724" spans="1:9" x14ac:dyDescent="0.25">
      <c r="A1724" s="48" t="s">
        <v>1740</v>
      </c>
      <c r="B1724" s="48" t="s">
        <v>428</v>
      </c>
      <c r="C1724" s="48" t="s">
        <v>1785</v>
      </c>
      <c r="D1724" s="48" t="s">
        <v>15</v>
      </c>
      <c r="E1724" s="46">
        <v>1540</v>
      </c>
      <c r="F1724" s="46">
        <v>1256.5</v>
      </c>
      <c r="G1724" s="46">
        <v>283.5</v>
      </c>
      <c r="H1724" s="46">
        <v>22.56</v>
      </c>
      <c r="I1724" s="48" t="s">
        <v>23</v>
      </c>
    </row>
    <row r="1725" spans="1:9" x14ac:dyDescent="0.25">
      <c r="A1725" s="48" t="s">
        <v>1740</v>
      </c>
      <c r="B1725" s="48" t="s">
        <v>428</v>
      </c>
      <c r="C1725" s="48" t="s">
        <v>1786</v>
      </c>
      <c r="D1725" s="48" t="s">
        <v>15</v>
      </c>
      <c r="E1725" s="46">
        <v>1540</v>
      </c>
      <c r="F1725" s="46">
        <v>1256.5</v>
      </c>
      <c r="G1725" s="46">
        <v>283.5</v>
      </c>
      <c r="H1725" s="46">
        <v>22.56</v>
      </c>
      <c r="I1725" s="48" t="s">
        <v>23</v>
      </c>
    </row>
    <row r="1726" spans="1:9" x14ac:dyDescent="0.25">
      <c r="A1726" s="48" t="s">
        <v>1740</v>
      </c>
      <c r="B1726" s="48" t="s">
        <v>935</v>
      </c>
      <c r="C1726" s="48" t="s">
        <v>1787</v>
      </c>
      <c r="D1726" s="48" t="s">
        <v>15</v>
      </c>
      <c r="E1726" s="46">
        <v>192</v>
      </c>
      <c r="F1726" s="46">
        <v>149.94</v>
      </c>
      <c r="G1726" s="46">
        <v>42.06</v>
      </c>
      <c r="H1726" s="46">
        <v>28.05</v>
      </c>
      <c r="I1726" s="48" t="s">
        <v>23</v>
      </c>
    </row>
    <row r="1727" spans="1:9" x14ac:dyDescent="0.25">
      <c r="A1727" s="48" t="s">
        <v>1740</v>
      </c>
      <c r="B1727" s="48" t="s">
        <v>935</v>
      </c>
      <c r="C1727" s="48" t="s">
        <v>1788</v>
      </c>
      <c r="D1727" s="48" t="s">
        <v>15</v>
      </c>
      <c r="E1727" s="46">
        <v>192</v>
      </c>
      <c r="F1727" s="46">
        <v>149.94</v>
      </c>
      <c r="G1727" s="46">
        <v>42.06</v>
      </c>
      <c r="H1727" s="46">
        <v>28.05</v>
      </c>
      <c r="I1727" s="48" t="s">
        <v>23</v>
      </c>
    </row>
    <row r="1728" spans="1:9" x14ac:dyDescent="0.25">
      <c r="A1728" s="48" t="s">
        <v>1740</v>
      </c>
      <c r="B1728" s="48" t="s">
        <v>935</v>
      </c>
      <c r="C1728" s="48" t="s">
        <v>1789</v>
      </c>
      <c r="D1728" s="48" t="s">
        <v>15</v>
      </c>
      <c r="E1728" s="46">
        <v>192</v>
      </c>
      <c r="F1728" s="46">
        <v>149.94</v>
      </c>
      <c r="G1728" s="46">
        <v>42.06</v>
      </c>
      <c r="H1728" s="46">
        <v>28.05</v>
      </c>
      <c r="I1728" s="48" t="s">
        <v>23</v>
      </c>
    </row>
    <row r="1729" spans="1:9" x14ac:dyDescent="0.25">
      <c r="A1729" s="48" t="s">
        <v>1740</v>
      </c>
      <c r="B1729" s="48" t="s">
        <v>935</v>
      </c>
      <c r="C1729" s="48" t="s">
        <v>1790</v>
      </c>
      <c r="D1729" s="48" t="s">
        <v>15</v>
      </c>
      <c r="E1729" s="46">
        <v>192</v>
      </c>
      <c r="F1729" s="46">
        <v>149.94</v>
      </c>
      <c r="G1729" s="46">
        <v>42.06</v>
      </c>
      <c r="H1729" s="46">
        <v>28.05</v>
      </c>
      <c r="I1729" s="48" t="s">
        <v>23</v>
      </c>
    </row>
    <row r="1730" spans="1:9" x14ac:dyDescent="0.25">
      <c r="A1730" s="48" t="s">
        <v>1740</v>
      </c>
      <c r="B1730" s="48" t="s">
        <v>935</v>
      </c>
      <c r="C1730" s="48" t="s">
        <v>1791</v>
      </c>
      <c r="D1730" s="48" t="s">
        <v>15</v>
      </c>
      <c r="E1730" s="46">
        <v>192</v>
      </c>
      <c r="F1730" s="46">
        <v>149.94</v>
      </c>
      <c r="G1730" s="46">
        <v>42.06</v>
      </c>
      <c r="H1730" s="46">
        <v>28.05</v>
      </c>
      <c r="I1730" s="48" t="s">
        <v>23</v>
      </c>
    </row>
    <row r="1731" spans="1:9" x14ac:dyDescent="0.25">
      <c r="A1731" s="48" t="s">
        <v>1740</v>
      </c>
      <c r="B1731" s="48" t="s">
        <v>38</v>
      </c>
      <c r="C1731" s="48" t="s">
        <v>1792</v>
      </c>
      <c r="D1731" s="48" t="s">
        <v>15</v>
      </c>
      <c r="E1731" s="46">
        <v>2493</v>
      </c>
      <c r="F1731" s="46">
        <v>2112.1999999999998</v>
      </c>
      <c r="G1731" s="46">
        <v>380.8</v>
      </c>
      <c r="H1731" s="46">
        <v>18.03</v>
      </c>
      <c r="I1731" s="48" t="s">
        <v>23</v>
      </c>
    </row>
    <row r="1732" spans="1:9" x14ac:dyDescent="0.25">
      <c r="A1732" s="48" t="s">
        <v>1740</v>
      </c>
      <c r="B1732" s="48" t="s">
        <v>38</v>
      </c>
      <c r="C1732" s="48" t="s">
        <v>1793</v>
      </c>
      <c r="D1732" s="48" t="s">
        <v>15</v>
      </c>
      <c r="E1732" s="46">
        <v>2493</v>
      </c>
      <c r="F1732" s="46">
        <v>2112.1999999999998</v>
      </c>
      <c r="G1732" s="46">
        <v>380.8</v>
      </c>
      <c r="H1732" s="46">
        <v>18.03</v>
      </c>
      <c r="I1732" s="48" t="s">
        <v>23</v>
      </c>
    </row>
    <row r="1733" spans="1:9" x14ac:dyDescent="0.25">
      <c r="A1733" s="48" t="s">
        <v>1740</v>
      </c>
      <c r="B1733" s="48" t="s">
        <v>38</v>
      </c>
      <c r="C1733" s="48" t="s">
        <v>1794</v>
      </c>
      <c r="D1733" s="48" t="s">
        <v>15</v>
      </c>
      <c r="E1733" s="46">
        <v>2493</v>
      </c>
      <c r="F1733" s="46">
        <v>2225.8000000000002</v>
      </c>
      <c r="G1733" s="46">
        <v>267.2</v>
      </c>
      <c r="H1733" s="46">
        <v>12</v>
      </c>
      <c r="I1733" s="48" t="s">
        <v>23</v>
      </c>
    </row>
    <row r="1734" spans="1:9" x14ac:dyDescent="0.25">
      <c r="A1734" s="48" t="s">
        <v>1740</v>
      </c>
      <c r="B1734" s="48" t="s">
        <v>38</v>
      </c>
      <c r="C1734" s="48" t="s">
        <v>1795</v>
      </c>
      <c r="D1734" s="48" t="s">
        <v>15</v>
      </c>
      <c r="E1734" s="46">
        <v>2493</v>
      </c>
      <c r="F1734" s="46">
        <v>2112.1999999999998</v>
      </c>
      <c r="G1734" s="46">
        <v>380.8</v>
      </c>
      <c r="H1734" s="46">
        <v>18.03</v>
      </c>
      <c r="I1734" s="48" t="s">
        <v>23</v>
      </c>
    </row>
    <row r="1735" spans="1:9" x14ac:dyDescent="0.25">
      <c r="A1735" s="48" t="s">
        <v>1740</v>
      </c>
      <c r="B1735" s="48" t="s">
        <v>38</v>
      </c>
      <c r="C1735" s="48" t="s">
        <v>1796</v>
      </c>
      <c r="D1735" s="48" t="s">
        <v>15</v>
      </c>
      <c r="E1735" s="46">
        <v>2493</v>
      </c>
      <c r="F1735" s="46">
        <v>2225.8000000000002</v>
      </c>
      <c r="G1735" s="46">
        <v>267.2</v>
      </c>
      <c r="H1735" s="46">
        <v>12</v>
      </c>
      <c r="I1735" s="48" t="s">
        <v>23</v>
      </c>
    </row>
    <row r="1736" spans="1:9" x14ac:dyDescent="0.25">
      <c r="A1736" s="48" t="s">
        <v>1740</v>
      </c>
      <c r="B1736" s="48" t="s">
        <v>38</v>
      </c>
      <c r="C1736" s="48" t="s">
        <v>1797</v>
      </c>
      <c r="D1736" s="48" t="s">
        <v>15</v>
      </c>
      <c r="E1736" s="46">
        <v>2493</v>
      </c>
      <c r="F1736" s="46">
        <v>2112.1999999999998</v>
      </c>
      <c r="G1736" s="46">
        <v>380.8</v>
      </c>
      <c r="H1736" s="46">
        <v>18.03</v>
      </c>
      <c r="I1736" s="48" t="s">
        <v>23</v>
      </c>
    </row>
    <row r="1737" spans="1:9" x14ac:dyDescent="0.25">
      <c r="A1737" s="48" t="s">
        <v>1740</v>
      </c>
      <c r="B1737" s="48" t="s">
        <v>38</v>
      </c>
      <c r="C1737" s="48" t="s">
        <v>1798</v>
      </c>
      <c r="D1737" s="48" t="s">
        <v>15</v>
      </c>
      <c r="E1737" s="46">
        <v>2493</v>
      </c>
      <c r="F1737" s="46">
        <v>2112.1999999999998</v>
      </c>
      <c r="G1737" s="46">
        <v>380.8</v>
      </c>
      <c r="H1737" s="46">
        <v>18.03</v>
      </c>
      <c r="I1737" s="48" t="s">
        <v>23</v>
      </c>
    </row>
    <row r="1738" spans="1:9" x14ac:dyDescent="0.25">
      <c r="A1738" s="48" t="s">
        <v>1740</v>
      </c>
      <c r="B1738" s="48" t="s">
        <v>38</v>
      </c>
      <c r="C1738" s="48" t="s">
        <v>1799</v>
      </c>
      <c r="D1738" s="48" t="s">
        <v>15</v>
      </c>
      <c r="E1738" s="46">
        <v>2493</v>
      </c>
      <c r="F1738" s="46">
        <v>2225.8000000000002</v>
      </c>
      <c r="G1738" s="46">
        <v>267.2</v>
      </c>
      <c r="H1738" s="46">
        <v>12</v>
      </c>
      <c r="I1738" s="48" t="s">
        <v>23</v>
      </c>
    </row>
    <row r="1739" spans="1:9" x14ac:dyDescent="0.25">
      <c r="A1739" s="48" t="s">
        <v>1740</v>
      </c>
      <c r="B1739" s="48" t="s">
        <v>38</v>
      </c>
      <c r="C1739" s="48" t="s">
        <v>1800</v>
      </c>
      <c r="D1739" s="48" t="s">
        <v>15</v>
      </c>
      <c r="E1739" s="46">
        <v>2493</v>
      </c>
      <c r="F1739" s="46">
        <v>2112.1999999999998</v>
      </c>
      <c r="G1739" s="46">
        <v>380.8</v>
      </c>
      <c r="H1739" s="46">
        <v>18.03</v>
      </c>
      <c r="I1739" s="48" t="s">
        <v>23</v>
      </c>
    </row>
    <row r="1740" spans="1:9" x14ac:dyDescent="0.25">
      <c r="A1740" s="48" t="s">
        <v>1740</v>
      </c>
      <c r="B1740" s="48" t="s">
        <v>38</v>
      </c>
      <c r="C1740" s="48" t="s">
        <v>1801</v>
      </c>
      <c r="D1740" s="48" t="s">
        <v>15</v>
      </c>
      <c r="E1740" s="46">
        <v>2493</v>
      </c>
      <c r="F1740" s="46">
        <v>2225.8000000000002</v>
      </c>
      <c r="G1740" s="46">
        <v>267.2</v>
      </c>
      <c r="H1740" s="46">
        <v>12</v>
      </c>
      <c r="I1740" s="48" t="s">
        <v>23</v>
      </c>
    </row>
    <row r="1741" spans="1:9" x14ac:dyDescent="0.25">
      <c r="A1741" s="48" t="s">
        <v>1740</v>
      </c>
      <c r="B1741" s="48" t="s">
        <v>38</v>
      </c>
      <c r="C1741" s="48" t="s">
        <v>1802</v>
      </c>
      <c r="D1741" s="48" t="s">
        <v>15</v>
      </c>
      <c r="E1741" s="46">
        <v>2493</v>
      </c>
      <c r="F1741" s="46">
        <v>2112.1999999999998</v>
      </c>
      <c r="G1741" s="46">
        <v>380.8</v>
      </c>
      <c r="H1741" s="46">
        <v>18.03</v>
      </c>
      <c r="I1741" s="48" t="s">
        <v>23</v>
      </c>
    </row>
    <row r="1742" spans="1:9" x14ac:dyDescent="0.25">
      <c r="A1742" s="48" t="s">
        <v>1740</v>
      </c>
      <c r="B1742" s="48" t="s">
        <v>38</v>
      </c>
      <c r="C1742" s="48" t="s">
        <v>1803</v>
      </c>
      <c r="D1742" s="48" t="s">
        <v>15</v>
      </c>
      <c r="E1742" s="46">
        <v>2493</v>
      </c>
      <c r="F1742" s="46">
        <v>2112.1999999999998</v>
      </c>
      <c r="G1742" s="46">
        <v>380.8</v>
      </c>
      <c r="H1742" s="46">
        <v>18.03</v>
      </c>
      <c r="I1742" s="48" t="s">
        <v>23</v>
      </c>
    </row>
    <row r="1743" spans="1:9" x14ac:dyDescent="0.25">
      <c r="A1743" s="48" t="s">
        <v>1740</v>
      </c>
      <c r="B1743" s="48" t="s">
        <v>38</v>
      </c>
      <c r="C1743" s="48" t="s">
        <v>1804</v>
      </c>
      <c r="D1743" s="48" t="s">
        <v>15</v>
      </c>
      <c r="E1743" s="46">
        <v>2493</v>
      </c>
      <c r="F1743" s="46">
        <v>2225.8000000000002</v>
      </c>
      <c r="G1743" s="46">
        <v>267.2</v>
      </c>
      <c r="H1743" s="46">
        <v>12</v>
      </c>
      <c r="I1743" s="48" t="s">
        <v>23</v>
      </c>
    </row>
    <row r="1744" spans="1:9" x14ac:dyDescent="0.25">
      <c r="A1744" s="48" t="s">
        <v>1740</v>
      </c>
      <c r="B1744" s="48" t="s">
        <v>38</v>
      </c>
      <c r="C1744" s="48" t="s">
        <v>1805</v>
      </c>
      <c r="D1744" s="48" t="s">
        <v>15</v>
      </c>
      <c r="E1744" s="46">
        <v>2493</v>
      </c>
      <c r="F1744" s="46">
        <v>2112.1999999999998</v>
      </c>
      <c r="G1744" s="46">
        <v>380.8</v>
      </c>
      <c r="H1744" s="46">
        <v>18.03</v>
      </c>
      <c r="I1744" s="48" t="s">
        <v>23</v>
      </c>
    </row>
    <row r="1745" spans="1:9" x14ac:dyDescent="0.25">
      <c r="A1745" s="48" t="s">
        <v>1740</v>
      </c>
      <c r="B1745" s="48" t="s">
        <v>38</v>
      </c>
      <c r="C1745" s="48" t="s">
        <v>1806</v>
      </c>
      <c r="D1745" s="48" t="s">
        <v>15</v>
      </c>
      <c r="E1745" s="46">
        <v>2493</v>
      </c>
      <c r="F1745" s="46">
        <v>2112.1999999999998</v>
      </c>
      <c r="G1745" s="46">
        <v>380.8</v>
      </c>
      <c r="H1745" s="46">
        <v>18.03</v>
      </c>
      <c r="I1745" s="48" t="s">
        <v>23</v>
      </c>
    </row>
    <row r="1746" spans="1:9" x14ac:dyDescent="0.25">
      <c r="A1746" s="48" t="s">
        <v>1740</v>
      </c>
      <c r="B1746" s="48" t="s">
        <v>38</v>
      </c>
      <c r="C1746" s="48" t="s">
        <v>1807</v>
      </c>
      <c r="D1746" s="48" t="s">
        <v>15</v>
      </c>
      <c r="E1746" s="46">
        <v>2493</v>
      </c>
      <c r="F1746" s="46">
        <v>2112.1999999999998</v>
      </c>
      <c r="G1746" s="46">
        <v>380.8</v>
      </c>
      <c r="H1746" s="46">
        <v>18.03</v>
      </c>
      <c r="I1746" s="48" t="s">
        <v>23</v>
      </c>
    </row>
    <row r="1747" spans="1:9" x14ac:dyDescent="0.25">
      <c r="A1747" s="48" t="s">
        <v>1740</v>
      </c>
      <c r="B1747" s="48" t="s">
        <v>38</v>
      </c>
      <c r="C1747" s="48" t="s">
        <v>1808</v>
      </c>
      <c r="D1747" s="48" t="s">
        <v>15</v>
      </c>
      <c r="E1747" s="46">
        <v>2493</v>
      </c>
      <c r="F1747" s="46">
        <v>2112.1999999999998</v>
      </c>
      <c r="G1747" s="46">
        <v>380.8</v>
      </c>
      <c r="H1747" s="46">
        <v>18.03</v>
      </c>
      <c r="I1747" s="48" t="s">
        <v>23</v>
      </c>
    </row>
    <row r="1748" spans="1:9" x14ac:dyDescent="0.25">
      <c r="A1748" s="48" t="s">
        <v>1740</v>
      </c>
      <c r="B1748" s="48" t="s">
        <v>38</v>
      </c>
      <c r="C1748" s="48" t="s">
        <v>1809</v>
      </c>
      <c r="D1748" s="48" t="s">
        <v>15</v>
      </c>
      <c r="E1748" s="46">
        <v>2493</v>
      </c>
      <c r="F1748" s="46">
        <v>2112.1999999999998</v>
      </c>
      <c r="G1748" s="46">
        <v>380.8</v>
      </c>
      <c r="H1748" s="46">
        <v>18.03</v>
      </c>
      <c r="I1748" s="48" t="s">
        <v>23</v>
      </c>
    </row>
    <row r="1749" spans="1:9" x14ac:dyDescent="0.25">
      <c r="A1749" s="48" t="s">
        <v>1740</v>
      </c>
      <c r="B1749" s="48" t="s">
        <v>38</v>
      </c>
      <c r="C1749" s="48" t="s">
        <v>1810</v>
      </c>
      <c r="D1749" s="48" t="s">
        <v>15</v>
      </c>
      <c r="E1749" s="46">
        <v>2493</v>
      </c>
      <c r="F1749" s="46">
        <v>2112.1999999999998</v>
      </c>
      <c r="G1749" s="46">
        <v>380.8</v>
      </c>
      <c r="H1749" s="46">
        <v>18.03</v>
      </c>
      <c r="I1749" s="48" t="s">
        <v>23</v>
      </c>
    </row>
    <row r="1750" spans="1:9" x14ac:dyDescent="0.25">
      <c r="A1750" s="48" t="s">
        <v>1740</v>
      </c>
      <c r="B1750" s="48" t="s">
        <v>38</v>
      </c>
      <c r="C1750" s="48" t="s">
        <v>1811</v>
      </c>
      <c r="D1750" s="48" t="s">
        <v>15</v>
      </c>
      <c r="E1750" s="46">
        <v>2493</v>
      </c>
      <c r="F1750" s="46">
        <v>2112.1999999999998</v>
      </c>
      <c r="G1750" s="46">
        <v>380.8</v>
      </c>
      <c r="H1750" s="46">
        <v>18.03</v>
      </c>
      <c r="I1750" s="48" t="s">
        <v>23</v>
      </c>
    </row>
    <row r="1751" spans="1:9" x14ac:dyDescent="0.25">
      <c r="A1751" s="48" t="s">
        <v>1740</v>
      </c>
      <c r="B1751" s="48" t="s">
        <v>38</v>
      </c>
      <c r="C1751" s="48" t="s">
        <v>1812</v>
      </c>
      <c r="D1751" s="48" t="s">
        <v>15</v>
      </c>
      <c r="E1751" s="46">
        <v>2493</v>
      </c>
      <c r="F1751" s="46">
        <v>2112.1999999999998</v>
      </c>
      <c r="G1751" s="46">
        <v>380.8</v>
      </c>
      <c r="H1751" s="46">
        <v>18.03</v>
      </c>
      <c r="I1751" s="48" t="s">
        <v>23</v>
      </c>
    </row>
    <row r="1752" spans="1:9" x14ac:dyDescent="0.25">
      <c r="A1752" s="48" t="s">
        <v>1740</v>
      </c>
      <c r="B1752" s="48" t="s">
        <v>38</v>
      </c>
      <c r="C1752" s="48" t="s">
        <v>1813</v>
      </c>
      <c r="D1752" s="48" t="s">
        <v>15</v>
      </c>
      <c r="E1752" s="46">
        <v>2493</v>
      </c>
      <c r="F1752" s="46">
        <v>2112.1999999999998</v>
      </c>
      <c r="G1752" s="46">
        <v>380.8</v>
      </c>
      <c r="H1752" s="46">
        <v>18.03</v>
      </c>
      <c r="I1752" s="48" t="s">
        <v>23</v>
      </c>
    </row>
    <row r="1753" spans="1:9" x14ac:dyDescent="0.25">
      <c r="A1753" s="48" t="s">
        <v>1740</v>
      </c>
      <c r="B1753" s="48" t="s">
        <v>38</v>
      </c>
      <c r="C1753" s="48" t="s">
        <v>1814</v>
      </c>
      <c r="D1753" s="48" t="s">
        <v>15</v>
      </c>
      <c r="E1753" s="46">
        <v>2493</v>
      </c>
      <c r="F1753" s="46">
        <v>2112.1999999999998</v>
      </c>
      <c r="G1753" s="46">
        <v>380.8</v>
      </c>
      <c r="H1753" s="46">
        <v>18.03</v>
      </c>
      <c r="I1753" s="48" t="s">
        <v>23</v>
      </c>
    </row>
    <row r="1754" spans="1:9" x14ac:dyDescent="0.25">
      <c r="A1754" s="48" t="s">
        <v>1740</v>
      </c>
      <c r="B1754" s="48" t="s">
        <v>38</v>
      </c>
      <c r="C1754" s="48" t="s">
        <v>1815</v>
      </c>
      <c r="D1754" s="48" t="s">
        <v>15</v>
      </c>
      <c r="E1754" s="46">
        <v>2493</v>
      </c>
      <c r="F1754" s="46">
        <v>2225.8000000000002</v>
      </c>
      <c r="G1754" s="46">
        <v>267.2</v>
      </c>
      <c r="H1754" s="46">
        <v>12</v>
      </c>
      <c r="I1754" s="48" t="s">
        <v>23</v>
      </c>
    </row>
    <row r="1755" spans="1:9" x14ac:dyDescent="0.25">
      <c r="A1755" s="48" t="s">
        <v>1740</v>
      </c>
      <c r="B1755" s="48" t="s">
        <v>38</v>
      </c>
      <c r="C1755" s="48" t="s">
        <v>1816</v>
      </c>
      <c r="D1755" s="48" t="s">
        <v>15</v>
      </c>
      <c r="E1755" s="46">
        <v>2493</v>
      </c>
      <c r="F1755" s="46">
        <v>2112.1999999999998</v>
      </c>
      <c r="G1755" s="46">
        <v>380.8</v>
      </c>
      <c r="H1755" s="46">
        <v>18.03</v>
      </c>
      <c r="I1755" s="48" t="s">
        <v>23</v>
      </c>
    </row>
    <row r="1756" spans="1:9" x14ac:dyDescent="0.25">
      <c r="A1756" s="48" t="s">
        <v>1740</v>
      </c>
      <c r="B1756" s="48" t="s">
        <v>38</v>
      </c>
      <c r="C1756" s="48" t="s">
        <v>1817</v>
      </c>
      <c r="D1756" s="48" t="s">
        <v>15</v>
      </c>
      <c r="E1756" s="46">
        <v>2493</v>
      </c>
      <c r="F1756" s="46">
        <v>2225.8000000000002</v>
      </c>
      <c r="G1756" s="46">
        <v>267.2</v>
      </c>
      <c r="H1756" s="46">
        <v>12</v>
      </c>
      <c r="I1756" s="48" t="s">
        <v>23</v>
      </c>
    </row>
    <row r="1757" spans="1:9" x14ac:dyDescent="0.25">
      <c r="A1757" s="48" t="s">
        <v>1740</v>
      </c>
      <c r="B1757" s="48" t="s">
        <v>38</v>
      </c>
      <c r="C1757" s="48" t="s">
        <v>1818</v>
      </c>
      <c r="D1757" s="48" t="s">
        <v>15</v>
      </c>
      <c r="E1757" s="46">
        <v>2493</v>
      </c>
      <c r="F1757" s="46">
        <v>2112.1999999999998</v>
      </c>
      <c r="G1757" s="46">
        <v>380.8</v>
      </c>
      <c r="H1757" s="46">
        <v>18.03</v>
      </c>
      <c r="I1757" s="48" t="s">
        <v>23</v>
      </c>
    </row>
    <row r="1758" spans="1:9" x14ac:dyDescent="0.25">
      <c r="A1758" s="48" t="s">
        <v>1740</v>
      </c>
      <c r="B1758" s="48" t="s">
        <v>38</v>
      </c>
      <c r="C1758" s="48" t="s">
        <v>1819</v>
      </c>
      <c r="D1758" s="48" t="s">
        <v>15</v>
      </c>
      <c r="E1758" s="46">
        <v>2493</v>
      </c>
      <c r="F1758" s="46">
        <v>2225.8000000000002</v>
      </c>
      <c r="G1758" s="46">
        <v>267.2</v>
      </c>
      <c r="H1758" s="46">
        <v>12</v>
      </c>
      <c r="I1758" s="48" t="s">
        <v>23</v>
      </c>
    </row>
    <row r="1759" spans="1:9" x14ac:dyDescent="0.25">
      <c r="A1759" s="48" t="s">
        <v>1740</v>
      </c>
      <c r="B1759" s="48" t="s">
        <v>38</v>
      </c>
      <c r="C1759" s="48" t="s">
        <v>1820</v>
      </c>
      <c r="D1759" s="48" t="s">
        <v>15</v>
      </c>
      <c r="E1759" s="46">
        <v>2493</v>
      </c>
      <c r="F1759" s="46">
        <v>2225.8000000000002</v>
      </c>
      <c r="G1759" s="46">
        <v>267.2</v>
      </c>
      <c r="H1759" s="46">
        <v>12</v>
      </c>
      <c r="I1759" s="48" t="s">
        <v>23</v>
      </c>
    </row>
    <row r="1760" spans="1:9" x14ac:dyDescent="0.25">
      <c r="A1760" s="48" t="s">
        <v>1740</v>
      </c>
      <c r="B1760" s="48" t="s">
        <v>38</v>
      </c>
      <c r="C1760" s="48" t="s">
        <v>1821</v>
      </c>
      <c r="D1760" s="48" t="s">
        <v>15</v>
      </c>
      <c r="E1760" s="46">
        <v>2493</v>
      </c>
      <c r="F1760" s="46">
        <v>2112.1999999999998</v>
      </c>
      <c r="G1760" s="46">
        <v>380.8</v>
      </c>
      <c r="H1760" s="46">
        <v>18.03</v>
      </c>
      <c r="I1760" s="48" t="s">
        <v>23</v>
      </c>
    </row>
    <row r="1761" spans="1:9" x14ac:dyDescent="0.25">
      <c r="A1761" s="48" t="s">
        <v>1740</v>
      </c>
      <c r="B1761" s="48" t="s">
        <v>38</v>
      </c>
      <c r="C1761" s="48" t="s">
        <v>1822</v>
      </c>
      <c r="D1761" s="48" t="s">
        <v>15</v>
      </c>
      <c r="E1761" s="46">
        <v>2493</v>
      </c>
      <c r="F1761" s="46">
        <v>2112.1999999999998</v>
      </c>
      <c r="G1761" s="46">
        <v>380.8</v>
      </c>
      <c r="H1761" s="46">
        <v>18.03</v>
      </c>
      <c r="I1761" s="48" t="s">
        <v>23</v>
      </c>
    </row>
    <row r="1762" spans="1:9" x14ac:dyDescent="0.25">
      <c r="A1762" s="48" t="s">
        <v>1740</v>
      </c>
      <c r="B1762" s="48" t="s">
        <v>38</v>
      </c>
      <c r="C1762" s="48" t="s">
        <v>1823</v>
      </c>
      <c r="D1762" s="48" t="s">
        <v>15</v>
      </c>
      <c r="E1762" s="46">
        <v>2493</v>
      </c>
      <c r="F1762" s="46">
        <v>2112.1999999999998</v>
      </c>
      <c r="G1762" s="46">
        <v>380.8</v>
      </c>
      <c r="H1762" s="46">
        <v>18.03</v>
      </c>
      <c r="I1762" s="48" t="s">
        <v>23</v>
      </c>
    </row>
    <row r="1763" spans="1:9" x14ac:dyDescent="0.25">
      <c r="A1763" s="48" t="s">
        <v>1740</v>
      </c>
      <c r="B1763" s="48" t="s">
        <v>38</v>
      </c>
      <c r="C1763" s="48" t="s">
        <v>2087</v>
      </c>
      <c r="D1763" s="48" t="s">
        <v>2088</v>
      </c>
      <c r="E1763" s="46">
        <v>2493</v>
      </c>
      <c r="F1763" s="46">
        <v>2112.1999999999998</v>
      </c>
      <c r="G1763" s="46">
        <v>380.8</v>
      </c>
      <c r="H1763" s="46">
        <v>18.03</v>
      </c>
      <c r="I1763" s="48" t="s">
        <v>26</v>
      </c>
    </row>
    <row r="1764" spans="1:9" x14ac:dyDescent="0.25">
      <c r="A1764" s="48" t="s">
        <v>1740</v>
      </c>
      <c r="B1764" s="48" t="s">
        <v>38</v>
      </c>
      <c r="C1764" s="48" t="s">
        <v>1824</v>
      </c>
      <c r="D1764" s="48" t="s">
        <v>15</v>
      </c>
      <c r="E1764" s="46">
        <v>2493</v>
      </c>
      <c r="F1764" s="46">
        <v>2112.1999999999998</v>
      </c>
      <c r="G1764" s="46">
        <v>380.8</v>
      </c>
      <c r="H1764" s="46">
        <v>18.03</v>
      </c>
      <c r="I1764" s="48" t="s">
        <v>23</v>
      </c>
    </row>
    <row r="1765" spans="1:9" x14ac:dyDescent="0.25">
      <c r="A1765" s="48" t="s">
        <v>1740</v>
      </c>
      <c r="B1765" s="48" t="s">
        <v>38</v>
      </c>
      <c r="C1765" s="48" t="s">
        <v>1825</v>
      </c>
      <c r="D1765" s="48" t="s">
        <v>15</v>
      </c>
      <c r="E1765" s="46">
        <v>2493</v>
      </c>
      <c r="F1765" s="46">
        <v>2112.1999999999998</v>
      </c>
      <c r="G1765" s="46">
        <v>380.8</v>
      </c>
      <c r="H1765" s="46">
        <v>18.03</v>
      </c>
      <c r="I1765" s="48" t="s">
        <v>23</v>
      </c>
    </row>
    <row r="1766" spans="1:9" x14ac:dyDescent="0.25">
      <c r="A1766" s="48" t="s">
        <v>1740</v>
      </c>
      <c r="B1766" s="48" t="s">
        <v>38</v>
      </c>
      <c r="C1766" s="48" t="s">
        <v>1826</v>
      </c>
      <c r="D1766" s="48" t="s">
        <v>15</v>
      </c>
      <c r="E1766" s="46">
        <v>2493</v>
      </c>
      <c r="F1766" s="46">
        <v>2112.1999999999998</v>
      </c>
      <c r="G1766" s="46">
        <v>380.8</v>
      </c>
      <c r="H1766" s="46">
        <v>18.03</v>
      </c>
      <c r="I1766" s="48" t="s">
        <v>23</v>
      </c>
    </row>
    <row r="1767" spans="1:9" x14ac:dyDescent="0.25">
      <c r="A1767" s="48" t="s">
        <v>1740</v>
      </c>
      <c r="B1767" s="48" t="s">
        <v>38</v>
      </c>
      <c r="C1767" s="48" t="s">
        <v>1827</v>
      </c>
      <c r="D1767" s="48" t="s">
        <v>15</v>
      </c>
      <c r="E1767" s="46">
        <v>2493</v>
      </c>
      <c r="F1767" s="46">
        <v>2112.1999999999998</v>
      </c>
      <c r="G1767" s="46">
        <v>380.8</v>
      </c>
      <c r="H1767" s="46">
        <v>18.03</v>
      </c>
      <c r="I1767" s="48" t="s">
        <v>23</v>
      </c>
    </row>
    <row r="1768" spans="1:9" x14ac:dyDescent="0.25">
      <c r="A1768" s="48" t="s">
        <v>1740</v>
      </c>
      <c r="B1768" s="48" t="s">
        <v>38</v>
      </c>
      <c r="C1768" s="48" t="s">
        <v>1828</v>
      </c>
      <c r="D1768" s="48" t="s">
        <v>15</v>
      </c>
      <c r="E1768" s="46">
        <v>2493</v>
      </c>
      <c r="F1768" s="46">
        <v>2112.1999999999998</v>
      </c>
      <c r="G1768" s="46">
        <v>380.8</v>
      </c>
      <c r="H1768" s="46">
        <v>18.03</v>
      </c>
      <c r="I1768" s="48" t="s">
        <v>23</v>
      </c>
    </row>
    <row r="1769" spans="1:9" x14ac:dyDescent="0.25">
      <c r="A1769" s="48" t="s">
        <v>1740</v>
      </c>
      <c r="B1769" s="48" t="s">
        <v>38</v>
      </c>
      <c r="C1769" s="48" t="s">
        <v>1829</v>
      </c>
      <c r="D1769" s="48" t="s">
        <v>15</v>
      </c>
      <c r="E1769" s="46">
        <v>2493</v>
      </c>
      <c r="F1769" s="46">
        <v>2112.1999999999998</v>
      </c>
      <c r="G1769" s="46">
        <v>380.8</v>
      </c>
      <c r="H1769" s="46">
        <v>18.03</v>
      </c>
      <c r="I1769" s="48" t="s">
        <v>23</v>
      </c>
    </row>
    <row r="1770" spans="1:9" x14ac:dyDescent="0.25">
      <c r="A1770" s="48" t="s">
        <v>1740</v>
      </c>
      <c r="B1770" s="48" t="s">
        <v>38</v>
      </c>
      <c r="C1770" s="48" t="s">
        <v>1830</v>
      </c>
      <c r="D1770" s="48" t="s">
        <v>15</v>
      </c>
      <c r="E1770" s="46">
        <v>2493</v>
      </c>
      <c r="F1770" s="46">
        <v>2112.1999999999998</v>
      </c>
      <c r="G1770" s="46">
        <v>380.8</v>
      </c>
      <c r="H1770" s="46">
        <v>18.03</v>
      </c>
      <c r="I1770" s="48" t="s">
        <v>23</v>
      </c>
    </row>
    <row r="1771" spans="1:9" x14ac:dyDescent="0.25">
      <c r="A1771" s="48" t="s">
        <v>1740</v>
      </c>
      <c r="B1771" s="48" t="s">
        <v>38</v>
      </c>
      <c r="C1771" s="48" t="s">
        <v>1831</v>
      </c>
      <c r="D1771" s="48" t="s">
        <v>15</v>
      </c>
      <c r="E1771" s="46">
        <v>2493</v>
      </c>
      <c r="F1771" s="46">
        <v>2112.1999999999998</v>
      </c>
      <c r="G1771" s="46">
        <v>380.8</v>
      </c>
      <c r="H1771" s="46">
        <v>18.03</v>
      </c>
      <c r="I1771" s="48" t="s">
        <v>23</v>
      </c>
    </row>
    <row r="1772" spans="1:9" x14ac:dyDescent="0.25">
      <c r="A1772" s="48" t="s">
        <v>1740</v>
      </c>
      <c r="B1772" s="48" t="s">
        <v>38</v>
      </c>
      <c r="C1772" s="48" t="s">
        <v>1832</v>
      </c>
      <c r="D1772" s="48" t="s">
        <v>15</v>
      </c>
      <c r="E1772" s="46">
        <v>2493</v>
      </c>
      <c r="F1772" s="46">
        <v>2112.1999999999998</v>
      </c>
      <c r="G1772" s="46">
        <v>380.8</v>
      </c>
      <c r="H1772" s="46">
        <v>18.03</v>
      </c>
      <c r="I1772" s="48" t="s">
        <v>23</v>
      </c>
    </row>
    <row r="1773" spans="1:9" x14ac:dyDescent="0.25">
      <c r="A1773" s="48" t="s">
        <v>1740</v>
      </c>
      <c r="B1773" s="48" t="s">
        <v>38</v>
      </c>
      <c r="C1773" s="48" t="s">
        <v>1833</v>
      </c>
      <c r="D1773" s="48" t="s">
        <v>15</v>
      </c>
      <c r="E1773" s="46">
        <v>2493</v>
      </c>
      <c r="F1773" s="46">
        <v>2112.1999999999998</v>
      </c>
      <c r="G1773" s="46">
        <v>380.8</v>
      </c>
      <c r="H1773" s="46">
        <v>18.03</v>
      </c>
      <c r="I1773" s="48" t="s">
        <v>23</v>
      </c>
    </row>
    <row r="1774" spans="1:9" x14ac:dyDescent="0.25">
      <c r="A1774" s="48" t="s">
        <v>1740</v>
      </c>
      <c r="B1774" s="48" t="s">
        <v>38</v>
      </c>
      <c r="C1774" s="48" t="s">
        <v>1834</v>
      </c>
      <c r="D1774" s="48" t="s">
        <v>15</v>
      </c>
      <c r="E1774" s="46">
        <v>2493</v>
      </c>
      <c r="F1774" s="46">
        <v>2112.1999999999998</v>
      </c>
      <c r="G1774" s="46">
        <v>380.8</v>
      </c>
      <c r="H1774" s="46">
        <v>18.03</v>
      </c>
      <c r="I1774" s="48" t="s">
        <v>23</v>
      </c>
    </row>
    <row r="1775" spans="1:9" x14ac:dyDescent="0.25">
      <c r="A1775" s="48" t="s">
        <v>1740</v>
      </c>
      <c r="B1775" s="48" t="s">
        <v>38</v>
      </c>
      <c r="C1775" s="48" t="s">
        <v>1835</v>
      </c>
      <c r="D1775" s="48" t="s">
        <v>15</v>
      </c>
      <c r="E1775" s="46">
        <v>2493</v>
      </c>
      <c r="F1775" s="46">
        <v>2112.1999999999998</v>
      </c>
      <c r="G1775" s="46">
        <v>380.8</v>
      </c>
      <c r="H1775" s="46">
        <v>18.03</v>
      </c>
      <c r="I1775" s="48" t="s">
        <v>23</v>
      </c>
    </row>
    <row r="1776" spans="1:9" x14ac:dyDescent="0.25">
      <c r="A1776" s="48" t="s">
        <v>1740</v>
      </c>
      <c r="B1776" s="48" t="s">
        <v>38</v>
      </c>
      <c r="C1776" s="48" t="s">
        <v>1836</v>
      </c>
      <c r="D1776" s="48" t="s">
        <v>15</v>
      </c>
      <c r="E1776" s="46">
        <v>2493</v>
      </c>
      <c r="F1776" s="46">
        <v>2112.1999999999998</v>
      </c>
      <c r="G1776" s="46">
        <v>380.8</v>
      </c>
      <c r="H1776" s="46">
        <v>18.03</v>
      </c>
      <c r="I1776" s="48" t="s">
        <v>23</v>
      </c>
    </row>
    <row r="1777" spans="1:9" x14ac:dyDescent="0.25">
      <c r="A1777" s="48" t="s">
        <v>1740</v>
      </c>
      <c r="B1777" s="48" t="s">
        <v>38</v>
      </c>
      <c r="C1777" s="48" t="s">
        <v>1837</v>
      </c>
      <c r="D1777" s="48" t="s">
        <v>15</v>
      </c>
      <c r="E1777" s="46">
        <v>2493</v>
      </c>
      <c r="F1777" s="46">
        <v>2112.1999999999998</v>
      </c>
      <c r="G1777" s="46">
        <v>380.8</v>
      </c>
      <c r="H1777" s="46">
        <v>18.03</v>
      </c>
      <c r="I1777" s="48" t="s">
        <v>23</v>
      </c>
    </row>
    <row r="1778" spans="1:9" x14ac:dyDescent="0.25">
      <c r="A1778" s="48" t="s">
        <v>1740</v>
      </c>
      <c r="B1778" s="48" t="s">
        <v>38</v>
      </c>
      <c r="C1778" s="48" t="s">
        <v>1838</v>
      </c>
      <c r="D1778" s="48" t="s">
        <v>15</v>
      </c>
      <c r="E1778" s="46">
        <v>2493</v>
      </c>
      <c r="F1778" s="46">
        <v>2112.1999999999998</v>
      </c>
      <c r="G1778" s="46">
        <v>380.8</v>
      </c>
      <c r="H1778" s="46">
        <v>18.03</v>
      </c>
      <c r="I1778" s="48" t="s">
        <v>23</v>
      </c>
    </row>
    <row r="1779" spans="1:9" x14ac:dyDescent="0.25">
      <c r="A1779" s="48" t="s">
        <v>1740</v>
      </c>
      <c r="B1779" s="48" t="s">
        <v>38</v>
      </c>
      <c r="C1779" s="48" t="s">
        <v>1839</v>
      </c>
      <c r="D1779" s="48" t="s">
        <v>15</v>
      </c>
      <c r="E1779" s="46">
        <v>2493</v>
      </c>
      <c r="F1779" s="46">
        <v>2112.1999999999998</v>
      </c>
      <c r="G1779" s="46">
        <v>380.8</v>
      </c>
      <c r="H1779" s="46">
        <v>18.03</v>
      </c>
      <c r="I1779" s="48" t="s">
        <v>23</v>
      </c>
    </row>
    <row r="1780" spans="1:9" x14ac:dyDescent="0.25">
      <c r="A1780" s="48" t="s">
        <v>1740</v>
      </c>
      <c r="B1780" s="48" t="s">
        <v>38</v>
      </c>
      <c r="C1780" s="48" t="s">
        <v>1840</v>
      </c>
      <c r="D1780" s="48" t="s">
        <v>15</v>
      </c>
      <c r="E1780" s="46">
        <v>2493</v>
      </c>
      <c r="F1780" s="46">
        <v>2112.1999999999998</v>
      </c>
      <c r="G1780" s="46">
        <v>380.8</v>
      </c>
      <c r="H1780" s="46">
        <v>18.03</v>
      </c>
      <c r="I1780" s="48" t="s">
        <v>23</v>
      </c>
    </row>
    <row r="1781" spans="1:9" x14ac:dyDescent="0.25">
      <c r="A1781" s="48" t="s">
        <v>1740</v>
      </c>
      <c r="B1781" s="48" t="s">
        <v>38</v>
      </c>
      <c r="C1781" s="48" t="s">
        <v>1841</v>
      </c>
      <c r="D1781" s="48" t="s">
        <v>15</v>
      </c>
      <c r="E1781" s="46">
        <v>2493</v>
      </c>
      <c r="F1781" s="46">
        <v>2112.1999999999998</v>
      </c>
      <c r="G1781" s="46">
        <v>380.8</v>
      </c>
      <c r="H1781" s="46">
        <v>18.03</v>
      </c>
      <c r="I1781" s="48" t="s">
        <v>23</v>
      </c>
    </row>
    <row r="1782" spans="1:9" x14ac:dyDescent="0.25">
      <c r="A1782" s="48" t="s">
        <v>1740</v>
      </c>
      <c r="B1782" s="48" t="s">
        <v>38</v>
      </c>
      <c r="C1782" s="48" t="s">
        <v>1842</v>
      </c>
      <c r="D1782" s="48" t="s">
        <v>15</v>
      </c>
      <c r="E1782" s="46">
        <v>2493</v>
      </c>
      <c r="F1782" s="46">
        <v>2112.1999999999998</v>
      </c>
      <c r="G1782" s="46">
        <v>380.8</v>
      </c>
      <c r="H1782" s="46">
        <v>18.03</v>
      </c>
      <c r="I1782" s="48" t="s">
        <v>23</v>
      </c>
    </row>
    <row r="1783" spans="1:9" x14ac:dyDescent="0.25">
      <c r="A1783" s="48" t="s">
        <v>1740</v>
      </c>
      <c r="B1783" s="48" t="s">
        <v>38</v>
      </c>
      <c r="C1783" s="48" t="s">
        <v>1843</v>
      </c>
      <c r="D1783" s="48" t="s">
        <v>15</v>
      </c>
      <c r="E1783" s="46">
        <v>2493</v>
      </c>
      <c r="F1783" s="46">
        <v>2112.1999999999998</v>
      </c>
      <c r="G1783" s="46">
        <v>380.8</v>
      </c>
      <c r="H1783" s="46">
        <v>18.03</v>
      </c>
      <c r="I1783" s="48" t="s">
        <v>23</v>
      </c>
    </row>
    <row r="1784" spans="1:9" x14ac:dyDescent="0.25">
      <c r="A1784" s="48" t="s">
        <v>1740</v>
      </c>
      <c r="B1784" s="48" t="s">
        <v>38</v>
      </c>
      <c r="C1784" s="48" t="s">
        <v>1844</v>
      </c>
      <c r="D1784" s="48" t="s">
        <v>15</v>
      </c>
      <c r="E1784" s="46">
        <v>2493</v>
      </c>
      <c r="F1784" s="46">
        <v>2112.1999999999998</v>
      </c>
      <c r="G1784" s="46">
        <v>380.8</v>
      </c>
      <c r="H1784" s="46">
        <v>18.03</v>
      </c>
      <c r="I1784" s="48" t="s">
        <v>23</v>
      </c>
    </row>
    <row r="1785" spans="1:9" x14ac:dyDescent="0.25">
      <c r="A1785" s="48" t="s">
        <v>1740</v>
      </c>
      <c r="B1785" s="48" t="s">
        <v>38</v>
      </c>
      <c r="C1785" s="48" t="s">
        <v>1845</v>
      </c>
      <c r="D1785" s="48" t="s">
        <v>15</v>
      </c>
      <c r="E1785" s="46">
        <v>2493</v>
      </c>
      <c r="F1785" s="46">
        <v>2112.1999999999998</v>
      </c>
      <c r="G1785" s="46">
        <v>380.8</v>
      </c>
      <c r="H1785" s="46">
        <v>18.03</v>
      </c>
      <c r="I1785" s="48" t="s">
        <v>23</v>
      </c>
    </row>
    <row r="1786" spans="1:9" x14ac:dyDescent="0.25">
      <c r="A1786" s="48" t="s">
        <v>1740</v>
      </c>
      <c r="B1786" s="48" t="s">
        <v>38</v>
      </c>
      <c r="C1786" s="48" t="s">
        <v>1846</v>
      </c>
      <c r="D1786" s="48" t="s">
        <v>15</v>
      </c>
      <c r="E1786" s="46">
        <v>2493</v>
      </c>
      <c r="F1786" s="46">
        <v>2112.1999999999998</v>
      </c>
      <c r="G1786" s="46">
        <v>380.8</v>
      </c>
      <c r="H1786" s="46">
        <v>18.03</v>
      </c>
      <c r="I1786" s="48" t="s">
        <v>23</v>
      </c>
    </row>
    <row r="1787" spans="1:9" x14ac:dyDescent="0.25">
      <c r="A1787" s="48" t="s">
        <v>1740</v>
      </c>
      <c r="B1787" s="48" t="s">
        <v>38</v>
      </c>
      <c r="C1787" s="48" t="s">
        <v>1847</v>
      </c>
      <c r="D1787" s="48" t="s">
        <v>15</v>
      </c>
      <c r="E1787" s="46">
        <v>2493</v>
      </c>
      <c r="F1787" s="46">
        <v>2112.1999999999998</v>
      </c>
      <c r="G1787" s="46">
        <v>380.8</v>
      </c>
      <c r="H1787" s="46">
        <v>18.03</v>
      </c>
      <c r="I1787" s="48" t="s">
        <v>23</v>
      </c>
    </row>
    <row r="1788" spans="1:9" x14ac:dyDescent="0.25">
      <c r="A1788" s="48" t="s">
        <v>1740</v>
      </c>
      <c r="B1788" s="48" t="s">
        <v>38</v>
      </c>
      <c r="C1788" s="48" t="s">
        <v>1848</v>
      </c>
      <c r="D1788" s="48" t="s">
        <v>15</v>
      </c>
      <c r="E1788" s="46">
        <v>2493</v>
      </c>
      <c r="F1788" s="46">
        <v>2112.1999999999998</v>
      </c>
      <c r="G1788" s="46">
        <v>380.8</v>
      </c>
      <c r="H1788" s="46">
        <v>18.03</v>
      </c>
      <c r="I1788" s="48" t="s">
        <v>23</v>
      </c>
    </row>
    <row r="1789" spans="1:9" x14ac:dyDescent="0.25">
      <c r="A1789" s="48" t="s">
        <v>1740</v>
      </c>
      <c r="B1789" s="48" t="s">
        <v>38</v>
      </c>
      <c r="C1789" s="48" t="s">
        <v>1849</v>
      </c>
      <c r="D1789" s="48" t="s">
        <v>15</v>
      </c>
      <c r="E1789" s="46">
        <v>2493</v>
      </c>
      <c r="F1789" s="46">
        <v>2225.8000000000002</v>
      </c>
      <c r="G1789" s="46">
        <v>267.2</v>
      </c>
      <c r="H1789" s="46">
        <v>12</v>
      </c>
      <c r="I1789" s="48" t="s">
        <v>23</v>
      </c>
    </row>
    <row r="1790" spans="1:9" x14ac:dyDescent="0.25">
      <c r="A1790" s="48" t="s">
        <v>1740</v>
      </c>
      <c r="B1790" s="48" t="s">
        <v>38</v>
      </c>
      <c r="C1790" s="48" t="s">
        <v>1850</v>
      </c>
      <c r="D1790" s="48" t="s">
        <v>15</v>
      </c>
      <c r="E1790" s="46">
        <v>2493</v>
      </c>
      <c r="F1790" s="46">
        <v>2112.1999999999998</v>
      </c>
      <c r="G1790" s="46">
        <v>380.8</v>
      </c>
      <c r="H1790" s="46">
        <v>18.03</v>
      </c>
      <c r="I1790" s="48" t="s">
        <v>23</v>
      </c>
    </row>
    <row r="1791" spans="1:9" x14ac:dyDescent="0.25">
      <c r="A1791" s="48" t="s">
        <v>1740</v>
      </c>
      <c r="B1791" s="48" t="s">
        <v>38</v>
      </c>
      <c r="C1791" s="48" t="s">
        <v>1851</v>
      </c>
      <c r="D1791" s="48" t="s">
        <v>15</v>
      </c>
      <c r="E1791" s="46">
        <v>2493</v>
      </c>
      <c r="F1791" s="46">
        <v>2112.1999999999998</v>
      </c>
      <c r="G1791" s="46">
        <v>380.8</v>
      </c>
      <c r="H1791" s="46">
        <v>18.03</v>
      </c>
      <c r="I1791" s="48" t="s">
        <v>23</v>
      </c>
    </row>
    <row r="1792" spans="1:9" x14ac:dyDescent="0.25">
      <c r="A1792" s="48" t="s">
        <v>1740</v>
      </c>
      <c r="B1792" s="48" t="s">
        <v>38</v>
      </c>
      <c r="C1792" s="48" t="s">
        <v>1852</v>
      </c>
      <c r="D1792" s="48" t="s">
        <v>15</v>
      </c>
      <c r="E1792" s="46">
        <v>2493</v>
      </c>
      <c r="F1792" s="46">
        <v>2112.1999999999998</v>
      </c>
      <c r="G1792" s="46">
        <v>380.8</v>
      </c>
      <c r="H1792" s="46">
        <v>18.03</v>
      </c>
      <c r="I1792" s="48" t="s">
        <v>23</v>
      </c>
    </row>
    <row r="1793" spans="1:9" x14ac:dyDescent="0.25">
      <c r="A1793" s="48" t="s">
        <v>1740</v>
      </c>
      <c r="B1793" s="48" t="s">
        <v>38</v>
      </c>
      <c r="C1793" s="48" t="s">
        <v>1853</v>
      </c>
      <c r="D1793" s="48" t="s">
        <v>15</v>
      </c>
      <c r="E1793" s="46">
        <v>2493</v>
      </c>
      <c r="F1793" s="46">
        <v>2112.1999999999998</v>
      </c>
      <c r="G1793" s="46">
        <v>380.8</v>
      </c>
      <c r="H1793" s="46">
        <v>18.03</v>
      </c>
      <c r="I1793" s="48" t="s">
        <v>23</v>
      </c>
    </row>
    <row r="1794" spans="1:9" x14ac:dyDescent="0.25">
      <c r="A1794" s="48" t="s">
        <v>1740</v>
      </c>
      <c r="B1794" s="48" t="s">
        <v>38</v>
      </c>
      <c r="C1794" s="48" t="s">
        <v>1854</v>
      </c>
      <c r="D1794" s="48" t="s">
        <v>15</v>
      </c>
      <c r="E1794" s="46">
        <v>2493</v>
      </c>
      <c r="F1794" s="46">
        <v>2112.1999999999998</v>
      </c>
      <c r="G1794" s="46">
        <v>380.8</v>
      </c>
      <c r="H1794" s="46">
        <v>18.03</v>
      </c>
      <c r="I1794" s="48" t="s">
        <v>23</v>
      </c>
    </row>
    <row r="1795" spans="1:9" x14ac:dyDescent="0.25">
      <c r="A1795" s="48" t="s">
        <v>1740</v>
      </c>
      <c r="B1795" s="48" t="s">
        <v>38</v>
      </c>
      <c r="C1795" s="48" t="s">
        <v>1855</v>
      </c>
      <c r="D1795" s="48" t="s">
        <v>15</v>
      </c>
      <c r="E1795" s="46">
        <v>2493</v>
      </c>
      <c r="F1795" s="46">
        <v>2112.1999999999998</v>
      </c>
      <c r="G1795" s="46">
        <v>380.8</v>
      </c>
      <c r="H1795" s="46">
        <v>18.03</v>
      </c>
      <c r="I1795" s="48" t="s">
        <v>23</v>
      </c>
    </row>
    <row r="1796" spans="1:9" x14ac:dyDescent="0.25">
      <c r="A1796" s="48" t="s">
        <v>1740</v>
      </c>
      <c r="B1796" s="48" t="s">
        <v>38</v>
      </c>
      <c r="C1796" s="48" t="s">
        <v>1856</v>
      </c>
      <c r="D1796" s="48" t="s">
        <v>15</v>
      </c>
      <c r="E1796" s="46">
        <v>2493</v>
      </c>
      <c r="F1796" s="46">
        <v>2112.1999999999998</v>
      </c>
      <c r="G1796" s="46">
        <v>380.8</v>
      </c>
      <c r="H1796" s="46">
        <v>18.03</v>
      </c>
      <c r="I1796" s="48" t="s">
        <v>23</v>
      </c>
    </row>
    <row r="1797" spans="1:9" x14ac:dyDescent="0.25">
      <c r="A1797" s="48" t="s">
        <v>1740</v>
      </c>
      <c r="B1797" s="48" t="s">
        <v>38</v>
      </c>
      <c r="C1797" s="48" t="s">
        <v>1857</v>
      </c>
      <c r="D1797" s="48" t="s">
        <v>15</v>
      </c>
      <c r="E1797" s="46">
        <v>2493</v>
      </c>
      <c r="F1797" s="46">
        <v>2112.1999999999998</v>
      </c>
      <c r="G1797" s="46">
        <v>380.8</v>
      </c>
      <c r="H1797" s="46">
        <v>18.03</v>
      </c>
      <c r="I1797" s="48" t="s">
        <v>23</v>
      </c>
    </row>
    <row r="1798" spans="1:9" x14ac:dyDescent="0.25">
      <c r="A1798" s="48" t="s">
        <v>1740</v>
      </c>
      <c r="B1798" s="48" t="s">
        <v>38</v>
      </c>
      <c r="C1798" s="48" t="s">
        <v>1858</v>
      </c>
      <c r="D1798" s="48" t="s">
        <v>15</v>
      </c>
      <c r="E1798" s="46">
        <v>2493</v>
      </c>
      <c r="F1798" s="46">
        <v>2112.1999999999998</v>
      </c>
      <c r="G1798" s="46">
        <v>380.8</v>
      </c>
      <c r="H1798" s="46">
        <v>18.03</v>
      </c>
      <c r="I1798" s="48" t="s">
        <v>23</v>
      </c>
    </row>
    <row r="1799" spans="1:9" x14ac:dyDescent="0.25">
      <c r="A1799" s="48" t="s">
        <v>1740</v>
      </c>
      <c r="B1799" s="48" t="s">
        <v>38</v>
      </c>
      <c r="C1799" s="48" t="s">
        <v>1859</v>
      </c>
      <c r="D1799" s="48" t="s">
        <v>15</v>
      </c>
      <c r="E1799" s="46">
        <v>2493</v>
      </c>
      <c r="F1799" s="46">
        <v>2112.1999999999998</v>
      </c>
      <c r="G1799" s="46">
        <v>380.8</v>
      </c>
      <c r="H1799" s="46">
        <v>18.03</v>
      </c>
      <c r="I1799" s="48" t="s">
        <v>23</v>
      </c>
    </row>
    <row r="1800" spans="1:9" x14ac:dyDescent="0.25">
      <c r="A1800" s="48" t="s">
        <v>1740</v>
      </c>
      <c r="B1800" s="48" t="s">
        <v>38</v>
      </c>
      <c r="C1800" s="48" t="s">
        <v>1860</v>
      </c>
      <c r="D1800" s="48" t="s">
        <v>15</v>
      </c>
      <c r="E1800" s="46">
        <v>2493</v>
      </c>
      <c r="F1800" s="46">
        <v>2112.1999999999998</v>
      </c>
      <c r="G1800" s="46">
        <v>380.8</v>
      </c>
      <c r="H1800" s="46">
        <v>18.03</v>
      </c>
      <c r="I1800" s="48" t="s">
        <v>23</v>
      </c>
    </row>
    <row r="1801" spans="1:9" x14ac:dyDescent="0.25">
      <c r="A1801" s="48" t="s">
        <v>1740</v>
      </c>
      <c r="B1801" s="48" t="s">
        <v>38</v>
      </c>
      <c r="C1801" s="48" t="s">
        <v>1861</v>
      </c>
      <c r="D1801" s="48" t="s">
        <v>15</v>
      </c>
      <c r="E1801" s="46">
        <v>2493</v>
      </c>
      <c r="F1801" s="46">
        <v>2112.1999999999998</v>
      </c>
      <c r="G1801" s="46">
        <v>380.8</v>
      </c>
      <c r="H1801" s="46">
        <v>18.03</v>
      </c>
      <c r="I1801" s="48" t="s">
        <v>23</v>
      </c>
    </row>
    <row r="1802" spans="1:9" x14ac:dyDescent="0.25">
      <c r="A1802" s="48" t="s">
        <v>1740</v>
      </c>
      <c r="B1802" s="48" t="s">
        <v>38</v>
      </c>
      <c r="C1802" s="48" t="s">
        <v>1862</v>
      </c>
      <c r="D1802" s="48" t="s">
        <v>15</v>
      </c>
      <c r="E1802" s="46">
        <v>2493</v>
      </c>
      <c r="F1802" s="46">
        <v>2225.8000000000002</v>
      </c>
      <c r="G1802" s="46">
        <v>267.2</v>
      </c>
      <c r="H1802" s="46">
        <v>12</v>
      </c>
      <c r="I1802" s="48" t="s">
        <v>23</v>
      </c>
    </row>
    <row r="1803" spans="1:9" x14ac:dyDescent="0.25">
      <c r="A1803" s="48" t="s">
        <v>1740</v>
      </c>
      <c r="B1803" s="48" t="s">
        <v>38</v>
      </c>
      <c r="C1803" s="48" t="s">
        <v>1863</v>
      </c>
      <c r="D1803" s="48" t="s">
        <v>15</v>
      </c>
      <c r="E1803" s="46">
        <v>2493</v>
      </c>
      <c r="F1803" s="46">
        <v>2112.1999999999998</v>
      </c>
      <c r="G1803" s="46">
        <v>380.8</v>
      </c>
      <c r="H1803" s="46">
        <v>18.03</v>
      </c>
      <c r="I1803" s="48" t="s">
        <v>23</v>
      </c>
    </row>
    <row r="1804" spans="1:9" x14ac:dyDescent="0.25">
      <c r="A1804" s="48" t="s">
        <v>1740</v>
      </c>
      <c r="B1804" s="48" t="s">
        <v>38</v>
      </c>
      <c r="C1804" s="48" t="s">
        <v>1864</v>
      </c>
      <c r="D1804" s="48" t="s">
        <v>15</v>
      </c>
      <c r="E1804" s="46">
        <v>2493</v>
      </c>
      <c r="F1804" s="46">
        <v>2112.1999999999998</v>
      </c>
      <c r="G1804" s="46">
        <v>380.8</v>
      </c>
      <c r="H1804" s="46">
        <v>18.03</v>
      </c>
      <c r="I1804" s="48" t="s">
        <v>23</v>
      </c>
    </row>
    <row r="1805" spans="1:9" x14ac:dyDescent="0.25">
      <c r="A1805" s="48" t="s">
        <v>1740</v>
      </c>
      <c r="B1805" s="48" t="s">
        <v>38</v>
      </c>
      <c r="C1805" s="48" t="s">
        <v>1865</v>
      </c>
      <c r="D1805" s="48" t="s">
        <v>15</v>
      </c>
      <c r="E1805" s="46">
        <v>2493</v>
      </c>
      <c r="F1805" s="46">
        <v>2112.1999999999998</v>
      </c>
      <c r="G1805" s="46">
        <v>380.8</v>
      </c>
      <c r="H1805" s="46">
        <v>18.03</v>
      </c>
      <c r="I1805" s="48" t="s">
        <v>23</v>
      </c>
    </row>
    <row r="1806" spans="1:9" x14ac:dyDescent="0.25">
      <c r="A1806" s="48" t="s">
        <v>1740</v>
      </c>
      <c r="B1806" s="48" t="s">
        <v>38</v>
      </c>
      <c r="C1806" s="48" t="s">
        <v>1866</v>
      </c>
      <c r="D1806" s="48" t="s">
        <v>15</v>
      </c>
      <c r="E1806" s="46">
        <v>2493</v>
      </c>
      <c r="F1806" s="46">
        <v>2225.8000000000002</v>
      </c>
      <c r="G1806" s="46">
        <v>267.2</v>
      </c>
      <c r="H1806" s="46">
        <v>12</v>
      </c>
      <c r="I1806" s="48" t="s">
        <v>23</v>
      </c>
    </row>
    <row r="1807" spans="1:9" x14ac:dyDescent="0.25">
      <c r="A1807" s="48" t="s">
        <v>1740</v>
      </c>
      <c r="B1807" s="48" t="s">
        <v>38</v>
      </c>
      <c r="C1807" s="48" t="s">
        <v>1867</v>
      </c>
      <c r="D1807" s="48" t="s">
        <v>15</v>
      </c>
      <c r="E1807" s="46">
        <v>2493</v>
      </c>
      <c r="F1807" s="46">
        <v>2112.1999999999998</v>
      </c>
      <c r="G1807" s="46">
        <v>380.8</v>
      </c>
      <c r="H1807" s="46">
        <v>18.03</v>
      </c>
      <c r="I1807" s="48" t="s">
        <v>23</v>
      </c>
    </row>
    <row r="1808" spans="1:9" x14ac:dyDescent="0.25">
      <c r="A1808" s="48" t="s">
        <v>1740</v>
      </c>
      <c r="B1808" s="48" t="s">
        <v>38</v>
      </c>
      <c r="C1808" s="48" t="s">
        <v>1868</v>
      </c>
      <c r="D1808" s="48" t="s">
        <v>15</v>
      </c>
      <c r="E1808" s="46">
        <v>2493</v>
      </c>
      <c r="F1808" s="46">
        <v>2112.1999999999998</v>
      </c>
      <c r="G1808" s="46">
        <v>380.8</v>
      </c>
      <c r="H1808" s="46">
        <v>18.03</v>
      </c>
      <c r="I1808" s="48" t="s">
        <v>23</v>
      </c>
    </row>
    <row r="1809" spans="1:9" x14ac:dyDescent="0.25">
      <c r="A1809" s="48" t="s">
        <v>1740</v>
      </c>
      <c r="B1809" s="48" t="s">
        <v>38</v>
      </c>
      <c r="C1809" s="48" t="s">
        <v>1869</v>
      </c>
      <c r="D1809" s="48" t="s">
        <v>15</v>
      </c>
      <c r="E1809" s="46">
        <v>2493</v>
      </c>
      <c r="F1809" s="46">
        <v>2225.8000000000002</v>
      </c>
      <c r="G1809" s="46">
        <v>267.2</v>
      </c>
      <c r="H1809" s="46">
        <v>12</v>
      </c>
      <c r="I1809" s="48" t="s">
        <v>23</v>
      </c>
    </row>
    <row r="1810" spans="1:9" x14ac:dyDescent="0.25">
      <c r="A1810" s="48" t="s">
        <v>1740</v>
      </c>
      <c r="B1810" s="48" t="s">
        <v>38</v>
      </c>
      <c r="C1810" s="48" t="s">
        <v>1870</v>
      </c>
      <c r="D1810" s="48" t="s">
        <v>15</v>
      </c>
      <c r="E1810" s="46">
        <v>2493</v>
      </c>
      <c r="F1810" s="46">
        <v>2112.1999999999998</v>
      </c>
      <c r="G1810" s="46">
        <v>380.8</v>
      </c>
      <c r="H1810" s="46">
        <v>18.03</v>
      </c>
      <c r="I1810" s="48" t="s">
        <v>23</v>
      </c>
    </row>
    <row r="1811" spans="1:9" x14ac:dyDescent="0.25">
      <c r="A1811" s="48" t="s">
        <v>1740</v>
      </c>
      <c r="B1811" s="48" t="s">
        <v>38</v>
      </c>
      <c r="C1811" s="48" t="s">
        <v>1871</v>
      </c>
      <c r="D1811" s="48" t="s">
        <v>15</v>
      </c>
      <c r="E1811" s="46">
        <v>2493</v>
      </c>
      <c r="F1811" s="46">
        <v>2112.1999999999998</v>
      </c>
      <c r="G1811" s="46">
        <v>380.8</v>
      </c>
      <c r="H1811" s="46">
        <v>18.03</v>
      </c>
      <c r="I1811" s="48" t="s">
        <v>23</v>
      </c>
    </row>
    <row r="1812" spans="1:9" x14ac:dyDescent="0.25">
      <c r="A1812" s="48" t="s">
        <v>1740</v>
      </c>
      <c r="B1812" s="48" t="s">
        <v>38</v>
      </c>
      <c r="C1812" s="48" t="s">
        <v>1872</v>
      </c>
      <c r="D1812" s="48" t="s">
        <v>15</v>
      </c>
      <c r="E1812" s="46">
        <v>2493</v>
      </c>
      <c r="F1812" s="46">
        <v>2112.1999999999998</v>
      </c>
      <c r="G1812" s="46">
        <v>380.8</v>
      </c>
      <c r="H1812" s="46">
        <v>18.03</v>
      </c>
      <c r="I1812" s="48" t="s">
        <v>23</v>
      </c>
    </row>
    <row r="1813" spans="1:9" x14ac:dyDescent="0.25">
      <c r="A1813" s="48" t="s">
        <v>1740</v>
      </c>
      <c r="B1813" s="48" t="s">
        <v>38</v>
      </c>
      <c r="C1813" s="48" t="s">
        <v>1873</v>
      </c>
      <c r="D1813" s="48" t="s">
        <v>15</v>
      </c>
      <c r="E1813" s="46">
        <v>2493</v>
      </c>
      <c r="F1813" s="46">
        <v>2112.1999999999998</v>
      </c>
      <c r="G1813" s="46">
        <v>380.8</v>
      </c>
      <c r="H1813" s="46">
        <v>18.03</v>
      </c>
      <c r="I1813" s="48" t="s">
        <v>23</v>
      </c>
    </row>
    <row r="1814" spans="1:9" x14ac:dyDescent="0.25">
      <c r="A1814" s="48" t="s">
        <v>1740</v>
      </c>
      <c r="B1814" s="48" t="s">
        <v>38</v>
      </c>
      <c r="C1814" s="48" t="s">
        <v>1874</v>
      </c>
      <c r="D1814" s="48" t="s">
        <v>15</v>
      </c>
      <c r="E1814" s="46">
        <v>2493</v>
      </c>
      <c r="F1814" s="46">
        <v>2112.1999999999998</v>
      </c>
      <c r="G1814" s="46">
        <v>380.8</v>
      </c>
      <c r="H1814" s="46">
        <v>18.03</v>
      </c>
      <c r="I1814" s="48" t="s">
        <v>23</v>
      </c>
    </row>
    <row r="1815" spans="1:9" x14ac:dyDescent="0.25">
      <c r="A1815" s="48" t="s">
        <v>1740</v>
      </c>
      <c r="B1815" s="48" t="s">
        <v>38</v>
      </c>
      <c r="C1815" s="48" t="s">
        <v>1875</v>
      </c>
      <c r="D1815" s="48" t="s">
        <v>15</v>
      </c>
      <c r="E1815" s="46">
        <v>2493</v>
      </c>
      <c r="F1815" s="46">
        <v>2112.1999999999998</v>
      </c>
      <c r="G1815" s="46">
        <v>380.8</v>
      </c>
      <c r="H1815" s="46">
        <v>18.03</v>
      </c>
      <c r="I1815" s="48" t="s">
        <v>23</v>
      </c>
    </row>
    <row r="1816" spans="1:9" x14ac:dyDescent="0.25">
      <c r="A1816" s="48" t="s">
        <v>1740</v>
      </c>
      <c r="B1816" s="48" t="s">
        <v>38</v>
      </c>
      <c r="C1816" s="48" t="s">
        <v>1876</v>
      </c>
      <c r="D1816" s="48" t="s">
        <v>15</v>
      </c>
      <c r="E1816" s="46">
        <v>2493</v>
      </c>
      <c r="F1816" s="46">
        <v>2112.1999999999998</v>
      </c>
      <c r="G1816" s="46">
        <v>380.8</v>
      </c>
      <c r="H1816" s="46">
        <v>18.03</v>
      </c>
      <c r="I1816" s="48" t="s">
        <v>23</v>
      </c>
    </row>
    <row r="1817" spans="1:9" x14ac:dyDescent="0.25">
      <c r="A1817" s="48" t="s">
        <v>1740</v>
      </c>
      <c r="B1817" s="48" t="s">
        <v>38</v>
      </c>
      <c r="C1817" s="48" t="s">
        <v>1877</v>
      </c>
      <c r="D1817" s="48" t="s">
        <v>15</v>
      </c>
      <c r="E1817" s="46">
        <v>2493</v>
      </c>
      <c r="F1817" s="46">
        <v>2112.1999999999998</v>
      </c>
      <c r="G1817" s="46">
        <v>380.8</v>
      </c>
      <c r="H1817" s="46">
        <v>18.03</v>
      </c>
      <c r="I1817" s="48" t="s">
        <v>23</v>
      </c>
    </row>
    <row r="1818" spans="1:9" x14ac:dyDescent="0.25">
      <c r="A1818" s="48" t="s">
        <v>1740</v>
      </c>
      <c r="B1818" s="48" t="s">
        <v>38</v>
      </c>
      <c r="C1818" s="48" t="s">
        <v>1878</v>
      </c>
      <c r="D1818" s="48" t="s">
        <v>15</v>
      </c>
      <c r="E1818" s="46">
        <v>2493</v>
      </c>
      <c r="F1818" s="46">
        <v>2112.1999999999998</v>
      </c>
      <c r="G1818" s="46">
        <v>380.8</v>
      </c>
      <c r="H1818" s="46">
        <v>18.03</v>
      </c>
      <c r="I1818" s="48" t="s">
        <v>23</v>
      </c>
    </row>
    <row r="1819" spans="1:9" x14ac:dyDescent="0.25">
      <c r="A1819" s="48" t="s">
        <v>1740</v>
      </c>
      <c r="B1819" s="48" t="s">
        <v>38</v>
      </c>
      <c r="C1819" s="48" t="s">
        <v>1879</v>
      </c>
      <c r="D1819" s="48" t="s">
        <v>15</v>
      </c>
      <c r="E1819" s="46">
        <v>2493</v>
      </c>
      <c r="F1819" s="46">
        <v>2112.1999999999998</v>
      </c>
      <c r="G1819" s="46">
        <v>380.8</v>
      </c>
      <c r="H1819" s="46">
        <v>18.03</v>
      </c>
      <c r="I1819" s="48" t="s">
        <v>23</v>
      </c>
    </row>
    <row r="1820" spans="1:9" x14ac:dyDescent="0.25">
      <c r="A1820" s="48" t="s">
        <v>1740</v>
      </c>
      <c r="B1820" s="48" t="s">
        <v>38</v>
      </c>
      <c r="C1820" s="48" t="s">
        <v>1880</v>
      </c>
      <c r="D1820" s="48" t="s">
        <v>15</v>
      </c>
      <c r="E1820" s="46">
        <v>2493</v>
      </c>
      <c r="F1820" s="46">
        <v>2112.1999999999998</v>
      </c>
      <c r="G1820" s="46">
        <v>380.8</v>
      </c>
      <c r="H1820" s="46">
        <v>18.03</v>
      </c>
      <c r="I1820" s="48" t="s">
        <v>23</v>
      </c>
    </row>
    <row r="1821" spans="1:9" x14ac:dyDescent="0.25">
      <c r="A1821" s="48" t="s">
        <v>1740</v>
      </c>
      <c r="B1821" s="48" t="s">
        <v>38</v>
      </c>
      <c r="C1821" s="48" t="s">
        <v>1881</v>
      </c>
      <c r="D1821" s="48" t="s">
        <v>15</v>
      </c>
      <c r="E1821" s="46">
        <v>2493</v>
      </c>
      <c r="F1821" s="46">
        <v>2225.8000000000002</v>
      </c>
      <c r="G1821" s="46">
        <v>267.2</v>
      </c>
      <c r="H1821" s="46">
        <v>12</v>
      </c>
      <c r="I1821" s="48" t="s">
        <v>23</v>
      </c>
    </row>
    <row r="1822" spans="1:9" x14ac:dyDescent="0.25">
      <c r="A1822" s="48" t="s">
        <v>1740</v>
      </c>
      <c r="B1822" s="48" t="s">
        <v>38</v>
      </c>
      <c r="C1822" s="48" t="s">
        <v>1882</v>
      </c>
      <c r="D1822" s="48" t="s">
        <v>15</v>
      </c>
      <c r="E1822" s="46">
        <v>2493</v>
      </c>
      <c r="F1822" s="46">
        <v>2112.1999999999998</v>
      </c>
      <c r="G1822" s="46">
        <v>380.8</v>
      </c>
      <c r="H1822" s="46">
        <v>18.03</v>
      </c>
      <c r="I1822" s="48" t="s">
        <v>23</v>
      </c>
    </row>
    <row r="1823" spans="1:9" x14ac:dyDescent="0.25">
      <c r="A1823" s="48" t="s">
        <v>1740</v>
      </c>
      <c r="B1823" s="48" t="s">
        <v>38</v>
      </c>
      <c r="C1823" s="48" t="s">
        <v>1883</v>
      </c>
      <c r="D1823" s="48" t="s">
        <v>15</v>
      </c>
      <c r="E1823" s="46">
        <v>2493</v>
      </c>
      <c r="F1823" s="46">
        <v>2112.1999999999998</v>
      </c>
      <c r="G1823" s="46">
        <v>380.8</v>
      </c>
      <c r="H1823" s="46">
        <v>18.03</v>
      </c>
      <c r="I1823" s="48" t="s">
        <v>23</v>
      </c>
    </row>
    <row r="1824" spans="1:9" x14ac:dyDescent="0.25">
      <c r="A1824" s="48" t="s">
        <v>1740</v>
      </c>
      <c r="B1824" s="48" t="s">
        <v>38</v>
      </c>
      <c r="C1824" s="48" t="s">
        <v>1884</v>
      </c>
      <c r="D1824" s="48" t="s">
        <v>15</v>
      </c>
      <c r="E1824" s="46">
        <v>2493</v>
      </c>
      <c r="F1824" s="46">
        <v>2112.1999999999998</v>
      </c>
      <c r="G1824" s="46">
        <v>380.8</v>
      </c>
      <c r="H1824" s="46">
        <v>18.03</v>
      </c>
      <c r="I1824" s="48" t="s">
        <v>23</v>
      </c>
    </row>
    <row r="1825" spans="1:9" x14ac:dyDescent="0.25">
      <c r="A1825" s="48" t="s">
        <v>1740</v>
      </c>
      <c r="B1825" s="48" t="s">
        <v>38</v>
      </c>
      <c r="C1825" s="48" t="s">
        <v>1885</v>
      </c>
      <c r="D1825" s="48" t="s">
        <v>15</v>
      </c>
      <c r="E1825" s="46">
        <v>2493</v>
      </c>
      <c r="F1825" s="46">
        <v>2112.1999999999998</v>
      </c>
      <c r="G1825" s="46">
        <v>380.8</v>
      </c>
      <c r="H1825" s="46">
        <v>18.03</v>
      </c>
      <c r="I1825" s="48" t="s">
        <v>23</v>
      </c>
    </row>
    <row r="1826" spans="1:9" x14ac:dyDescent="0.25">
      <c r="A1826" s="48" t="s">
        <v>1740</v>
      </c>
      <c r="B1826" s="48" t="s">
        <v>38</v>
      </c>
      <c r="C1826" s="48" t="s">
        <v>1886</v>
      </c>
      <c r="D1826" s="48" t="s">
        <v>15</v>
      </c>
      <c r="E1826" s="46">
        <v>2493</v>
      </c>
      <c r="F1826" s="46">
        <v>2112.1999999999998</v>
      </c>
      <c r="G1826" s="46">
        <v>380.8</v>
      </c>
      <c r="H1826" s="46">
        <v>18.03</v>
      </c>
      <c r="I1826" s="48" t="s">
        <v>23</v>
      </c>
    </row>
    <row r="1827" spans="1:9" x14ac:dyDescent="0.25">
      <c r="A1827" s="48" t="s">
        <v>1740</v>
      </c>
      <c r="B1827" s="48" t="s">
        <v>38</v>
      </c>
      <c r="C1827" s="48" t="s">
        <v>1887</v>
      </c>
      <c r="D1827" s="48" t="s">
        <v>15</v>
      </c>
      <c r="E1827" s="46">
        <v>2493</v>
      </c>
      <c r="F1827" s="46">
        <v>2112.1999999999998</v>
      </c>
      <c r="G1827" s="46">
        <v>380.8</v>
      </c>
      <c r="H1827" s="46">
        <v>18.03</v>
      </c>
      <c r="I1827" s="48" t="s">
        <v>23</v>
      </c>
    </row>
    <row r="1828" spans="1:9" x14ac:dyDescent="0.25">
      <c r="A1828" s="48" t="s">
        <v>1740</v>
      </c>
      <c r="B1828" s="48" t="s">
        <v>38</v>
      </c>
      <c r="C1828" s="48" t="s">
        <v>1888</v>
      </c>
      <c r="D1828" s="48" t="s">
        <v>15</v>
      </c>
      <c r="E1828" s="46">
        <v>2493</v>
      </c>
      <c r="F1828" s="46">
        <v>2112.1999999999998</v>
      </c>
      <c r="G1828" s="46">
        <v>380.8</v>
      </c>
      <c r="H1828" s="46">
        <v>18.03</v>
      </c>
      <c r="I1828" s="48" t="s">
        <v>23</v>
      </c>
    </row>
    <row r="1829" spans="1:9" x14ac:dyDescent="0.25">
      <c r="A1829" s="48" t="s">
        <v>1740</v>
      </c>
      <c r="B1829" s="48" t="s">
        <v>38</v>
      </c>
      <c r="C1829" s="48" t="s">
        <v>1889</v>
      </c>
      <c r="D1829" s="48" t="s">
        <v>15</v>
      </c>
      <c r="E1829" s="46">
        <v>2493</v>
      </c>
      <c r="F1829" s="46">
        <v>2112.1999999999998</v>
      </c>
      <c r="G1829" s="46">
        <v>380.8</v>
      </c>
      <c r="H1829" s="46">
        <v>18.03</v>
      </c>
      <c r="I1829" s="48" t="s">
        <v>23</v>
      </c>
    </row>
    <row r="1830" spans="1:9" x14ac:dyDescent="0.25">
      <c r="A1830" s="48" t="s">
        <v>1740</v>
      </c>
      <c r="B1830" s="48" t="s">
        <v>38</v>
      </c>
      <c r="C1830" s="48" t="s">
        <v>1890</v>
      </c>
      <c r="D1830" s="48" t="s">
        <v>15</v>
      </c>
      <c r="E1830" s="46">
        <v>2493</v>
      </c>
      <c r="F1830" s="46">
        <v>2112.1999999999998</v>
      </c>
      <c r="G1830" s="46">
        <v>380.8</v>
      </c>
      <c r="H1830" s="46">
        <v>18.03</v>
      </c>
      <c r="I1830" s="48" t="s">
        <v>23</v>
      </c>
    </row>
    <row r="1831" spans="1:9" x14ac:dyDescent="0.25">
      <c r="A1831" s="48" t="s">
        <v>1740</v>
      </c>
      <c r="B1831" s="48" t="s">
        <v>38</v>
      </c>
      <c r="C1831" s="48" t="s">
        <v>1891</v>
      </c>
      <c r="D1831" s="48" t="s">
        <v>15</v>
      </c>
      <c r="E1831" s="46">
        <v>2493</v>
      </c>
      <c r="F1831" s="46">
        <v>2112.1999999999998</v>
      </c>
      <c r="G1831" s="46">
        <v>380.8</v>
      </c>
      <c r="H1831" s="46">
        <v>18.03</v>
      </c>
      <c r="I1831" s="48" t="s">
        <v>23</v>
      </c>
    </row>
    <row r="1832" spans="1:9" x14ac:dyDescent="0.25">
      <c r="A1832" s="48" t="s">
        <v>1740</v>
      </c>
      <c r="B1832" s="48" t="s">
        <v>38</v>
      </c>
      <c r="C1832" s="48" t="s">
        <v>1892</v>
      </c>
      <c r="D1832" s="48" t="s">
        <v>15</v>
      </c>
      <c r="E1832" s="46">
        <v>2493</v>
      </c>
      <c r="F1832" s="46">
        <v>2112.1999999999998</v>
      </c>
      <c r="G1832" s="46">
        <v>380.8</v>
      </c>
      <c r="H1832" s="46">
        <v>18.03</v>
      </c>
      <c r="I1832" s="48" t="s">
        <v>23</v>
      </c>
    </row>
    <row r="1833" spans="1:9" x14ac:dyDescent="0.25">
      <c r="A1833" s="48" t="s">
        <v>1740</v>
      </c>
      <c r="B1833" s="48" t="s">
        <v>38</v>
      </c>
      <c r="C1833" s="48" t="s">
        <v>1893</v>
      </c>
      <c r="D1833" s="48" t="s">
        <v>15</v>
      </c>
      <c r="E1833" s="46">
        <v>2493</v>
      </c>
      <c r="F1833" s="46">
        <v>2112.1999999999998</v>
      </c>
      <c r="G1833" s="46">
        <v>380.8</v>
      </c>
      <c r="H1833" s="46">
        <v>18.03</v>
      </c>
      <c r="I1833" s="48" t="s">
        <v>23</v>
      </c>
    </row>
    <row r="1834" spans="1:9" x14ac:dyDescent="0.25">
      <c r="A1834" s="48" t="s">
        <v>1740</v>
      </c>
      <c r="B1834" s="48" t="s">
        <v>38</v>
      </c>
      <c r="C1834" s="48" t="s">
        <v>1894</v>
      </c>
      <c r="D1834" s="48" t="s">
        <v>15</v>
      </c>
      <c r="E1834" s="46">
        <v>2493</v>
      </c>
      <c r="F1834" s="46">
        <v>2112.1999999999998</v>
      </c>
      <c r="G1834" s="46">
        <v>380.8</v>
      </c>
      <c r="H1834" s="46">
        <v>18.03</v>
      </c>
      <c r="I1834" s="48" t="s">
        <v>23</v>
      </c>
    </row>
    <row r="1835" spans="1:9" x14ac:dyDescent="0.25">
      <c r="A1835" s="48" t="s">
        <v>1740</v>
      </c>
      <c r="B1835" s="48" t="s">
        <v>38</v>
      </c>
      <c r="C1835" s="48" t="s">
        <v>1895</v>
      </c>
      <c r="D1835" s="48" t="s">
        <v>15</v>
      </c>
      <c r="E1835" s="46">
        <v>2493</v>
      </c>
      <c r="F1835" s="46">
        <v>2112.1999999999998</v>
      </c>
      <c r="G1835" s="46">
        <v>380.8</v>
      </c>
      <c r="H1835" s="46">
        <v>18.03</v>
      </c>
      <c r="I1835" s="48" t="s">
        <v>23</v>
      </c>
    </row>
    <row r="1836" spans="1:9" x14ac:dyDescent="0.25">
      <c r="A1836" s="48" t="s">
        <v>1740</v>
      </c>
      <c r="B1836" s="48" t="s">
        <v>38</v>
      </c>
      <c r="C1836" s="48" t="s">
        <v>1896</v>
      </c>
      <c r="D1836" s="48" t="s">
        <v>15</v>
      </c>
      <c r="E1836" s="46">
        <v>2493</v>
      </c>
      <c r="F1836" s="46">
        <v>2112.1999999999998</v>
      </c>
      <c r="G1836" s="46">
        <v>380.8</v>
      </c>
      <c r="H1836" s="46">
        <v>18.03</v>
      </c>
      <c r="I1836" s="48" t="s">
        <v>23</v>
      </c>
    </row>
    <row r="1837" spans="1:9" x14ac:dyDescent="0.25">
      <c r="A1837" s="48" t="s">
        <v>1740</v>
      </c>
      <c r="B1837" s="48" t="s">
        <v>38</v>
      </c>
      <c r="C1837" s="48" t="s">
        <v>1897</v>
      </c>
      <c r="D1837" s="48" t="s">
        <v>15</v>
      </c>
      <c r="E1837" s="46">
        <v>2493</v>
      </c>
      <c r="F1837" s="46">
        <v>2112.1999999999998</v>
      </c>
      <c r="G1837" s="46">
        <v>380.8</v>
      </c>
      <c r="H1837" s="46">
        <v>18.03</v>
      </c>
      <c r="I1837" s="48" t="s">
        <v>23</v>
      </c>
    </row>
    <row r="1838" spans="1:9" x14ac:dyDescent="0.25">
      <c r="A1838" s="48" t="s">
        <v>1740</v>
      </c>
      <c r="B1838" s="48" t="s">
        <v>38</v>
      </c>
      <c r="C1838" s="48" t="s">
        <v>1898</v>
      </c>
      <c r="D1838" s="48" t="s">
        <v>15</v>
      </c>
      <c r="E1838" s="46">
        <v>2493</v>
      </c>
      <c r="F1838" s="46">
        <v>2112.1999999999998</v>
      </c>
      <c r="G1838" s="46">
        <v>380.8</v>
      </c>
      <c r="H1838" s="46">
        <v>18.03</v>
      </c>
      <c r="I1838" s="48" t="s">
        <v>23</v>
      </c>
    </row>
    <row r="1839" spans="1:9" x14ac:dyDescent="0.25">
      <c r="A1839" s="48" t="s">
        <v>1740</v>
      </c>
      <c r="B1839" s="48" t="s">
        <v>38</v>
      </c>
      <c r="C1839" s="48" t="s">
        <v>1899</v>
      </c>
      <c r="D1839" s="48" t="s">
        <v>15</v>
      </c>
      <c r="E1839" s="46">
        <v>2493</v>
      </c>
      <c r="F1839" s="46">
        <v>2225.8000000000002</v>
      </c>
      <c r="G1839" s="46">
        <v>267.2</v>
      </c>
      <c r="H1839" s="46">
        <v>12</v>
      </c>
      <c r="I1839" s="48" t="s">
        <v>23</v>
      </c>
    </row>
    <row r="1840" spans="1:9" x14ac:dyDescent="0.25">
      <c r="A1840" s="48" t="s">
        <v>1740</v>
      </c>
      <c r="B1840" s="48" t="s">
        <v>38</v>
      </c>
      <c r="C1840" s="48" t="s">
        <v>1900</v>
      </c>
      <c r="D1840" s="48" t="s">
        <v>15</v>
      </c>
      <c r="E1840" s="46">
        <v>2493</v>
      </c>
      <c r="F1840" s="46">
        <v>2112.1999999999998</v>
      </c>
      <c r="G1840" s="46">
        <v>380.8</v>
      </c>
      <c r="H1840" s="46">
        <v>18.03</v>
      </c>
      <c r="I1840" s="48" t="s">
        <v>23</v>
      </c>
    </row>
    <row r="1841" spans="1:9" x14ac:dyDescent="0.25">
      <c r="A1841" s="48" t="s">
        <v>1740</v>
      </c>
      <c r="B1841" s="48" t="s">
        <v>38</v>
      </c>
      <c r="C1841" s="48" t="s">
        <v>1901</v>
      </c>
      <c r="D1841" s="48" t="s">
        <v>15</v>
      </c>
      <c r="E1841" s="46">
        <v>2493</v>
      </c>
      <c r="F1841" s="46">
        <v>2112.1999999999998</v>
      </c>
      <c r="G1841" s="46">
        <v>380.8</v>
      </c>
      <c r="H1841" s="46">
        <v>18.03</v>
      </c>
      <c r="I1841" s="48" t="s">
        <v>23</v>
      </c>
    </row>
    <row r="1842" spans="1:9" x14ac:dyDescent="0.25">
      <c r="A1842" s="48" t="s">
        <v>1902</v>
      </c>
      <c r="B1842" s="48" t="s">
        <v>33</v>
      </c>
      <c r="C1842" s="48" t="s">
        <v>1903</v>
      </c>
      <c r="D1842" s="48" t="s">
        <v>1904</v>
      </c>
      <c r="E1842" s="46">
        <v>3300</v>
      </c>
      <c r="F1842" s="46">
        <v>3015.6</v>
      </c>
      <c r="G1842" s="46">
        <v>284.39999999999998</v>
      </c>
      <c r="H1842" s="46">
        <v>9.43</v>
      </c>
      <c r="I1842" s="48" t="s">
        <v>23</v>
      </c>
    </row>
    <row r="1843" spans="1:9" x14ac:dyDescent="0.25">
      <c r="A1843" s="48" t="s">
        <v>1902</v>
      </c>
      <c r="B1843" s="48" t="s">
        <v>33</v>
      </c>
      <c r="C1843" s="48" t="s">
        <v>1905</v>
      </c>
      <c r="D1843" s="48" t="s">
        <v>15</v>
      </c>
      <c r="E1843" s="46">
        <v>3200</v>
      </c>
      <c r="F1843" s="46">
        <v>3020</v>
      </c>
      <c r="G1843" s="46">
        <v>180</v>
      </c>
      <c r="H1843" s="46">
        <v>5.96</v>
      </c>
      <c r="I1843" s="48" t="s">
        <v>23</v>
      </c>
    </row>
    <row r="1844" spans="1:9" x14ac:dyDescent="0.25">
      <c r="A1844" s="48" t="s">
        <v>1902</v>
      </c>
      <c r="B1844" s="48" t="s">
        <v>33</v>
      </c>
      <c r="C1844" s="48" t="s">
        <v>1906</v>
      </c>
      <c r="D1844" s="48" t="s">
        <v>1904</v>
      </c>
      <c r="E1844" s="46">
        <v>3300</v>
      </c>
      <c r="F1844" s="46">
        <v>3015.6</v>
      </c>
      <c r="G1844" s="46">
        <v>284.39999999999998</v>
      </c>
      <c r="H1844" s="46">
        <v>9.43</v>
      </c>
      <c r="I1844" s="48" t="s">
        <v>23</v>
      </c>
    </row>
    <row r="1845" spans="1:9" x14ac:dyDescent="0.25">
      <c r="A1845" s="48" t="s">
        <v>1902</v>
      </c>
      <c r="B1845" s="48" t="s">
        <v>33</v>
      </c>
      <c r="C1845" s="48" t="s">
        <v>1907</v>
      </c>
      <c r="D1845" s="48" t="s">
        <v>1904</v>
      </c>
      <c r="E1845" s="46">
        <v>3300</v>
      </c>
      <c r="F1845" s="46">
        <v>3015.6</v>
      </c>
      <c r="G1845" s="46">
        <v>284.39999999999998</v>
      </c>
      <c r="H1845" s="46">
        <v>9.43</v>
      </c>
      <c r="I1845" s="48" t="s">
        <v>23</v>
      </c>
    </row>
    <row r="1846" spans="1:9" x14ac:dyDescent="0.25">
      <c r="A1846" s="48" t="s">
        <v>1908</v>
      </c>
      <c r="B1846" s="48" t="s">
        <v>33</v>
      </c>
      <c r="C1846" s="48" t="s">
        <v>1909</v>
      </c>
      <c r="D1846" s="48" t="s">
        <v>15</v>
      </c>
      <c r="E1846" s="46">
        <v>3470</v>
      </c>
      <c r="F1846" s="46">
        <v>3338.7</v>
      </c>
      <c r="G1846" s="46">
        <v>131.30000000000001</v>
      </c>
      <c r="H1846" s="46">
        <v>3.93</v>
      </c>
      <c r="I1846" s="48" t="s">
        <v>23</v>
      </c>
    </row>
    <row r="1847" spans="1:9" x14ac:dyDescent="0.25">
      <c r="A1847" s="48" t="s">
        <v>1908</v>
      </c>
      <c r="B1847" s="48" t="s">
        <v>33</v>
      </c>
      <c r="C1847" s="48" t="s">
        <v>1910</v>
      </c>
      <c r="D1847" s="48" t="s">
        <v>15</v>
      </c>
      <c r="E1847" s="46">
        <v>3470</v>
      </c>
      <c r="F1847" s="46">
        <v>3338.7</v>
      </c>
      <c r="G1847" s="46">
        <v>131.30000000000001</v>
      </c>
      <c r="H1847" s="46">
        <v>3.93</v>
      </c>
      <c r="I1847" s="48" t="s">
        <v>23</v>
      </c>
    </row>
    <row r="1848" spans="1:9" x14ac:dyDescent="0.25">
      <c r="A1848" s="2" t="s">
        <v>1908</v>
      </c>
      <c r="B1848" s="2" t="s">
        <v>33</v>
      </c>
      <c r="C1848" s="2" t="s">
        <v>1911</v>
      </c>
      <c r="D1848" s="2" t="s">
        <v>15</v>
      </c>
      <c r="E1848" s="59">
        <v>3470</v>
      </c>
      <c r="F1848" s="59">
        <v>4272.1000000000004</v>
      </c>
      <c r="G1848" s="59">
        <v>-802.1</v>
      </c>
      <c r="H1848" s="59">
        <v>-18.78</v>
      </c>
      <c r="I1848" s="2" t="s">
        <v>23</v>
      </c>
    </row>
    <row r="1849" spans="1:9" x14ac:dyDescent="0.25">
      <c r="A1849" s="48" t="s">
        <v>1908</v>
      </c>
      <c r="B1849" s="48" t="s">
        <v>33</v>
      </c>
      <c r="C1849" s="48" t="s">
        <v>1912</v>
      </c>
      <c r="D1849" s="48" t="s">
        <v>15</v>
      </c>
      <c r="E1849" s="46">
        <v>3470</v>
      </c>
      <c r="F1849" s="46">
        <v>3338.7</v>
      </c>
      <c r="G1849" s="46">
        <v>131.30000000000001</v>
      </c>
      <c r="H1849" s="46">
        <v>3.93</v>
      </c>
      <c r="I1849" s="48" t="s">
        <v>23</v>
      </c>
    </row>
    <row r="1850" spans="1:9" x14ac:dyDescent="0.25">
      <c r="A1850" s="48" t="s">
        <v>1908</v>
      </c>
      <c r="B1850" s="48" t="s">
        <v>33</v>
      </c>
      <c r="C1850" s="48" t="s">
        <v>1913</v>
      </c>
      <c r="D1850" s="48" t="s">
        <v>15</v>
      </c>
      <c r="E1850" s="46">
        <v>3470</v>
      </c>
      <c r="F1850" s="46">
        <v>3338.7</v>
      </c>
      <c r="G1850" s="46">
        <v>131.30000000000001</v>
      </c>
      <c r="H1850" s="46">
        <v>3.93</v>
      </c>
      <c r="I1850" s="48" t="s">
        <v>23</v>
      </c>
    </row>
    <row r="1851" spans="1:9" x14ac:dyDescent="0.25">
      <c r="A1851" s="48" t="s">
        <v>1908</v>
      </c>
      <c r="B1851" s="48" t="s">
        <v>33</v>
      </c>
      <c r="C1851" s="48" t="s">
        <v>1914</v>
      </c>
      <c r="D1851" s="48" t="s">
        <v>15</v>
      </c>
      <c r="E1851" s="46">
        <v>3470</v>
      </c>
      <c r="F1851" s="46">
        <v>3338.7</v>
      </c>
      <c r="G1851" s="46">
        <v>131.30000000000001</v>
      </c>
      <c r="H1851" s="46">
        <v>3.93</v>
      </c>
      <c r="I1851" s="48" t="s">
        <v>23</v>
      </c>
    </row>
    <row r="1852" spans="1:9" x14ac:dyDescent="0.25">
      <c r="A1852" s="48" t="s">
        <v>1908</v>
      </c>
      <c r="B1852" s="48" t="s">
        <v>33</v>
      </c>
      <c r="C1852" s="48" t="s">
        <v>1915</v>
      </c>
      <c r="D1852" s="48" t="s">
        <v>15</v>
      </c>
      <c r="E1852" s="46">
        <v>3470</v>
      </c>
      <c r="F1852" s="46">
        <v>3338.7</v>
      </c>
      <c r="G1852" s="46">
        <v>131.30000000000001</v>
      </c>
      <c r="H1852" s="46">
        <v>3.93</v>
      </c>
      <c r="I1852" s="48" t="s">
        <v>23</v>
      </c>
    </row>
    <row r="1853" spans="1:9" x14ac:dyDescent="0.25">
      <c r="A1853" s="48" t="s">
        <v>1908</v>
      </c>
      <c r="B1853" s="48" t="s">
        <v>33</v>
      </c>
      <c r="C1853" s="48" t="s">
        <v>1916</v>
      </c>
      <c r="D1853" s="48" t="s">
        <v>15</v>
      </c>
      <c r="E1853" s="46">
        <v>3480</v>
      </c>
      <c r="F1853" s="46">
        <v>3338.7</v>
      </c>
      <c r="G1853" s="46">
        <v>141.30000000000001</v>
      </c>
      <c r="H1853" s="46">
        <v>4.2300000000000004</v>
      </c>
      <c r="I1853" s="48" t="s">
        <v>23</v>
      </c>
    </row>
    <row r="1854" spans="1:9" x14ac:dyDescent="0.25">
      <c r="A1854" s="48" t="s">
        <v>1908</v>
      </c>
      <c r="B1854" s="48" t="s">
        <v>33</v>
      </c>
      <c r="C1854" s="48" t="s">
        <v>1917</v>
      </c>
      <c r="D1854" s="48" t="s">
        <v>15</v>
      </c>
      <c r="E1854" s="46">
        <v>3700</v>
      </c>
      <c r="F1854" s="46">
        <v>3446.4</v>
      </c>
      <c r="G1854" s="46">
        <v>253.6</v>
      </c>
      <c r="H1854" s="46">
        <v>7.36</v>
      </c>
      <c r="I1854" s="48" t="s">
        <v>23</v>
      </c>
    </row>
    <row r="1855" spans="1:9" x14ac:dyDescent="0.25">
      <c r="A1855" s="48" t="s">
        <v>1908</v>
      </c>
      <c r="B1855" s="48" t="s">
        <v>33</v>
      </c>
      <c r="C1855" s="48" t="s">
        <v>1918</v>
      </c>
      <c r="D1855" s="48" t="s">
        <v>15</v>
      </c>
      <c r="E1855" s="46">
        <v>3470</v>
      </c>
      <c r="F1855" s="46">
        <v>3338.7</v>
      </c>
      <c r="G1855" s="46">
        <v>131.30000000000001</v>
      </c>
      <c r="H1855" s="46">
        <v>3.93</v>
      </c>
      <c r="I1855" s="48" t="s">
        <v>23</v>
      </c>
    </row>
    <row r="1856" spans="1:9" x14ac:dyDescent="0.25">
      <c r="A1856" s="48" t="s">
        <v>1908</v>
      </c>
      <c r="B1856" s="48" t="s">
        <v>1919</v>
      </c>
      <c r="C1856" s="48" t="s">
        <v>1920</v>
      </c>
      <c r="D1856" s="48" t="s">
        <v>15</v>
      </c>
      <c r="E1856" s="46">
        <v>3780</v>
      </c>
      <c r="F1856" s="46">
        <v>3410.5</v>
      </c>
      <c r="G1856" s="46">
        <v>369.5</v>
      </c>
      <c r="H1856" s="46">
        <v>10.83</v>
      </c>
      <c r="I1856" s="48" t="s">
        <v>23</v>
      </c>
    </row>
    <row r="1857" spans="1:9" x14ac:dyDescent="0.25">
      <c r="A1857" s="48" t="s">
        <v>1908</v>
      </c>
      <c r="B1857" s="48" t="s">
        <v>1921</v>
      </c>
      <c r="C1857" s="48" t="s">
        <v>1922</v>
      </c>
      <c r="D1857" s="48" t="s">
        <v>15</v>
      </c>
      <c r="E1857" s="46">
        <v>4500</v>
      </c>
      <c r="F1857" s="46">
        <v>4056.7</v>
      </c>
      <c r="G1857" s="46">
        <v>443.3</v>
      </c>
      <c r="H1857" s="46">
        <v>10.93</v>
      </c>
      <c r="I1857" s="48" t="s">
        <v>23</v>
      </c>
    </row>
    <row r="1858" spans="1:9" x14ac:dyDescent="0.25">
      <c r="A1858" s="48" t="s">
        <v>1908</v>
      </c>
      <c r="B1858" s="48" t="s">
        <v>1923</v>
      </c>
      <c r="C1858" s="48" t="s">
        <v>1924</v>
      </c>
      <c r="D1858" s="48" t="s">
        <v>15</v>
      </c>
      <c r="E1858" s="46">
        <v>6600</v>
      </c>
      <c r="F1858" s="46">
        <v>5871.2</v>
      </c>
      <c r="G1858" s="46">
        <v>728.8</v>
      </c>
      <c r="H1858" s="46">
        <v>12.41</v>
      </c>
      <c r="I1858" s="48" t="s">
        <v>23</v>
      </c>
    </row>
    <row r="1859" spans="1:9" x14ac:dyDescent="0.25">
      <c r="A1859" s="48" t="s">
        <v>1908</v>
      </c>
      <c r="B1859" s="48" t="s">
        <v>1925</v>
      </c>
      <c r="C1859" s="48" t="s">
        <v>1926</v>
      </c>
      <c r="D1859" s="48" t="s">
        <v>15</v>
      </c>
      <c r="E1859" s="46">
        <v>5800</v>
      </c>
      <c r="F1859" s="46">
        <v>5580</v>
      </c>
      <c r="G1859" s="46">
        <v>220</v>
      </c>
      <c r="H1859" s="46">
        <v>3.94</v>
      </c>
      <c r="I1859" s="48" t="s">
        <v>23</v>
      </c>
    </row>
    <row r="1860" spans="1:9" x14ac:dyDescent="0.25">
      <c r="A1860" s="2" t="s">
        <v>1927</v>
      </c>
      <c r="B1860" s="2" t="s">
        <v>1650</v>
      </c>
      <c r="C1860" s="2" t="s">
        <v>1928</v>
      </c>
      <c r="D1860" s="2" t="s">
        <v>15</v>
      </c>
      <c r="E1860" s="59">
        <v>520</v>
      </c>
      <c r="F1860" s="59">
        <v>538.5</v>
      </c>
      <c r="G1860" s="59">
        <v>-18.5</v>
      </c>
      <c r="H1860" s="59">
        <v>-3.44</v>
      </c>
      <c r="I1860" s="2" t="s">
        <v>23</v>
      </c>
    </row>
    <row r="1861" spans="1:9" x14ac:dyDescent="0.25">
      <c r="A1861" s="2" t="s">
        <v>1927</v>
      </c>
      <c r="B1861" s="2" t="s">
        <v>1650</v>
      </c>
      <c r="C1861" s="2" t="s">
        <v>1929</v>
      </c>
      <c r="D1861" s="2" t="s">
        <v>15</v>
      </c>
      <c r="E1861" s="59">
        <v>520</v>
      </c>
      <c r="F1861" s="59">
        <v>538.5</v>
      </c>
      <c r="G1861" s="59">
        <v>-18.5</v>
      </c>
      <c r="H1861" s="59">
        <v>-3.44</v>
      </c>
      <c r="I1861" s="2" t="s">
        <v>23</v>
      </c>
    </row>
    <row r="1862" spans="1:9" x14ac:dyDescent="0.25">
      <c r="A1862" s="48" t="s">
        <v>1927</v>
      </c>
      <c r="B1862" s="48" t="s">
        <v>1147</v>
      </c>
      <c r="C1862" s="48" t="s">
        <v>1930</v>
      </c>
      <c r="D1862" s="48" t="s">
        <v>15</v>
      </c>
      <c r="E1862" s="46">
        <v>850</v>
      </c>
      <c r="F1862" s="46">
        <v>749.7</v>
      </c>
      <c r="G1862" s="46">
        <v>100.3</v>
      </c>
      <c r="H1862" s="46">
        <v>13.38</v>
      </c>
      <c r="I1862" s="48" t="s">
        <v>23</v>
      </c>
    </row>
    <row r="1863" spans="1:9" x14ac:dyDescent="0.25">
      <c r="A1863" s="48" t="s">
        <v>1927</v>
      </c>
      <c r="B1863" s="48" t="s">
        <v>1147</v>
      </c>
      <c r="C1863" s="48" t="s">
        <v>1931</v>
      </c>
      <c r="D1863" s="48" t="s">
        <v>15</v>
      </c>
      <c r="E1863" s="46">
        <v>840</v>
      </c>
      <c r="F1863" s="46">
        <v>753.9</v>
      </c>
      <c r="G1863" s="46">
        <v>86.1</v>
      </c>
      <c r="H1863" s="46">
        <v>11.42</v>
      </c>
      <c r="I1863" s="48" t="s">
        <v>23</v>
      </c>
    </row>
    <row r="1864" spans="1:9" x14ac:dyDescent="0.25">
      <c r="A1864" s="48" t="s">
        <v>1927</v>
      </c>
      <c r="B1864" s="48" t="s">
        <v>1147</v>
      </c>
      <c r="C1864" s="48" t="s">
        <v>1932</v>
      </c>
      <c r="D1864" s="48" t="s">
        <v>15</v>
      </c>
      <c r="E1864" s="46">
        <v>840</v>
      </c>
      <c r="F1864" s="46">
        <v>753.9</v>
      </c>
      <c r="G1864" s="46">
        <v>86.1</v>
      </c>
      <c r="H1864" s="46">
        <v>11.42</v>
      </c>
      <c r="I1864" s="48" t="s">
        <v>23</v>
      </c>
    </row>
    <row r="1865" spans="1:9" x14ac:dyDescent="0.25">
      <c r="A1865" s="48" t="s">
        <v>1927</v>
      </c>
      <c r="B1865" s="48" t="s">
        <v>1147</v>
      </c>
      <c r="C1865" s="48" t="s">
        <v>1933</v>
      </c>
      <c r="D1865" s="48" t="s">
        <v>15</v>
      </c>
      <c r="E1865" s="46">
        <v>840</v>
      </c>
      <c r="F1865" s="46">
        <v>753.9</v>
      </c>
      <c r="G1865" s="46">
        <v>86.1</v>
      </c>
      <c r="H1865" s="46">
        <v>11.42</v>
      </c>
      <c r="I1865" s="48" t="s">
        <v>23</v>
      </c>
    </row>
    <row r="1866" spans="1:9" x14ac:dyDescent="0.25">
      <c r="A1866" s="48" t="s">
        <v>1927</v>
      </c>
      <c r="B1866" s="48" t="s">
        <v>1147</v>
      </c>
      <c r="C1866" s="48" t="s">
        <v>1934</v>
      </c>
      <c r="D1866" s="48" t="s">
        <v>15</v>
      </c>
      <c r="E1866" s="46">
        <v>840</v>
      </c>
      <c r="F1866" s="46">
        <v>753.9</v>
      </c>
      <c r="G1866" s="46">
        <v>86.1</v>
      </c>
      <c r="H1866" s="46">
        <v>11.42</v>
      </c>
      <c r="I1866" s="48" t="s">
        <v>23</v>
      </c>
    </row>
    <row r="1867" spans="1:9" x14ac:dyDescent="0.25">
      <c r="A1867" s="48" t="s">
        <v>1927</v>
      </c>
      <c r="B1867" s="48" t="s">
        <v>626</v>
      </c>
      <c r="C1867" s="48" t="s">
        <v>1935</v>
      </c>
      <c r="D1867" s="48" t="s">
        <v>15</v>
      </c>
      <c r="E1867" s="46">
        <v>1080</v>
      </c>
      <c r="F1867" s="46">
        <v>1077</v>
      </c>
      <c r="G1867" s="46">
        <v>3</v>
      </c>
      <c r="H1867" s="46">
        <v>0.28000000000000003</v>
      </c>
      <c r="I1867" s="48" t="s">
        <v>23</v>
      </c>
    </row>
    <row r="1868" spans="1:9" x14ac:dyDescent="0.25">
      <c r="A1868" s="48" t="s">
        <v>1927</v>
      </c>
      <c r="B1868" s="48" t="s">
        <v>626</v>
      </c>
      <c r="C1868" s="48" t="s">
        <v>1936</v>
      </c>
      <c r="D1868" s="48" t="s">
        <v>15</v>
      </c>
      <c r="E1868" s="46">
        <v>1080</v>
      </c>
      <c r="F1868" s="46">
        <v>1077</v>
      </c>
      <c r="G1868" s="46">
        <v>3</v>
      </c>
      <c r="H1868" s="46">
        <v>0.28000000000000003</v>
      </c>
      <c r="I1868" s="48" t="s">
        <v>23</v>
      </c>
    </row>
    <row r="1869" spans="1:9" x14ac:dyDescent="0.25">
      <c r="A1869" s="48" t="s">
        <v>1927</v>
      </c>
      <c r="B1869" s="48" t="s">
        <v>626</v>
      </c>
      <c r="C1869" s="48" t="s">
        <v>1937</v>
      </c>
      <c r="D1869" s="48" t="s">
        <v>15</v>
      </c>
      <c r="E1869" s="46">
        <v>1080</v>
      </c>
      <c r="F1869" s="46">
        <v>1077</v>
      </c>
      <c r="G1869" s="46">
        <v>3</v>
      </c>
      <c r="H1869" s="46">
        <v>0.28000000000000003</v>
      </c>
      <c r="I1869" s="48" t="s">
        <v>23</v>
      </c>
    </row>
    <row r="1870" spans="1:9" x14ac:dyDescent="0.25">
      <c r="A1870" s="48" t="s">
        <v>1927</v>
      </c>
      <c r="B1870" s="48" t="s">
        <v>626</v>
      </c>
      <c r="C1870" s="48" t="s">
        <v>1938</v>
      </c>
      <c r="D1870" s="48" t="s">
        <v>15</v>
      </c>
      <c r="E1870" s="46">
        <v>1080</v>
      </c>
      <c r="F1870" s="46">
        <v>1077</v>
      </c>
      <c r="G1870" s="46">
        <v>3</v>
      </c>
      <c r="H1870" s="46">
        <v>0.28000000000000003</v>
      </c>
      <c r="I1870" s="48" t="s">
        <v>23</v>
      </c>
    </row>
    <row r="1871" spans="1:9" x14ac:dyDescent="0.25">
      <c r="A1871" s="48" t="s">
        <v>1927</v>
      </c>
      <c r="B1871" s="48" t="s">
        <v>43</v>
      </c>
      <c r="C1871" s="48" t="s">
        <v>1939</v>
      </c>
      <c r="D1871" s="48" t="s">
        <v>1157</v>
      </c>
      <c r="E1871" s="46">
        <v>2480</v>
      </c>
      <c r="F1871" s="46">
        <v>2405.3000000000002</v>
      </c>
      <c r="G1871" s="46">
        <v>74.7</v>
      </c>
      <c r="H1871" s="46">
        <v>3.11</v>
      </c>
      <c r="I1871" s="48" t="s">
        <v>23</v>
      </c>
    </row>
    <row r="1872" spans="1:9" x14ac:dyDescent="0.25">
      <c r="A1872" s="48" t="s">
        <v>1927</v>
      </c>
      <c r="B1872" s="48" t="s">
        <v>43</v>
      </c>
      <c r="C1872" s="48" t="s">
        <v>1966</v>
      </c>
      <c r="D1872" s="48" t="s">
        <v>1153</v>
      </c>
      <c r="E1872" s="46">
        <v>2480</v>
      </c>
      <c r="F1872" s="46">
        <v>2380</v>
      </c>
      <c r="G1872" s="46">
        <v>100</v>
      </c>
      <c r="H1872" s="46">
        <v>4.2</v>
      </c>
      <c r="I1872" s="48" t="s">
        <v>29</v>
      </c>
    </row>
    <row r="1873" spans="1:9" x14ac:dyDescent="0.25">
      <c r="A1873" s="48" t="s">
        <v>1927</v>
      </c>
      <c r="B1873" s="48" t="s">
        <v>43</v>
      </c>
      <c r="C1873" s="48" t="s">
        <v>1940</v>
      </c>
      <c r="D1873" s="48" t="s">
        <v>1157</v>
      </c>
      <c r="E1873" s="46">
        <v>2480</v>
      </c>
      <c r="F1873" s="46">
        <v>2405.3000000000002</v>
      </c>
      <c r="G1873" s="46">
        <v>74.7</v>
      </c>
      <c r="H1873" s="46">
        <v>3.11</v>
      </c>
      <c r="I1873" s="48" t="s">
        <v>23</v>
      </c>
    </row>
    <row r="1874" spans="1:9" x14ac:dyDescent="0.25">
      <c r="A1874" s="2" t="s">
        <v>1927</v>
      </c>
      <c r="B1874" s="2" t="s">
        <v>1000</v>
      </c>
      <c r="C1874" s="2" t="s">
        <v>2036</v>
      </c>
      <c r="D1874" s="2" t="s">
        <v>15</v>
      </c>
      <c r="E1874" s="59">
        <v>1150</v>
      </c>
      <c r="F1874" s="59">
        <v>1314.3</v>
      </c>
      <c r="G1874" s="59">
        <v>-164.3</v>
      </c>
      <c r="H1874" s="59">
        <v>-12.5</v>
      </c>
      <c r="I1874" s="2" t="s">
        <v>16</v>
      </c>
    </row>
    <row r="1875" spans="1:9" x14ac:dyDescent="0.25">
      <c r="A1875" s="2" t="s">
        <v>1927</v>
      </c>
      <c r="B1875" s="2" t="s">
        <v>1000</v>
      </c>
      <c r="C1875" s="2" t="s">
        <v>2037</v>
      </c>
      <c r="D1875" s="2" t="s">
        <v>15</v>
      </c>
      <c r="E1875" s="59">
        <v>1150</v>
      </c>
      <c r="F1875" s="59">
        <v>1314.3</v>
      </c>
      <c r="G1875" s="59">
        <v>-164.3</v>
      </c>
      <c r="H1875" s="59">
        <v>-12.5</v>
      </c>
      <c r="I1875" s="2" t="s">
        <v>16</v>
      </c>
    </row>
    <row r="1876" spans="1:9" x14ac:dyDescent="0.25">
      <c r="A1876" s="48" t="s">
        <v>1927</v>
      </c>
      <c r="B1876" s="48" t="s">
        <v>206</v>
      </c>
      <c r="C1876" s="48" t="s">
        <v>1941</v>
      </c>
      <c r="D1876" s="48" t="s">
        <v>644</v>
      </c>
      <c r="E1876" s="46">
        <v>3075</v>
      </c>
      <c r="F1876" s="46">
        <v>2872</v>
      </c>
      <c r="G1876" s="46">
        <v>203</v>
      </c>
      <c r="H1876" s="46">
        <v>7.07</v>
      </c>
      <c r="I1876" s="48" t="s">
        <v>23</v>
      </c>
    </row>
    <row r="1877" spans="1:9" x14ac:dyDescent="0.25">
      <c r="A1877" s="2" t="s">
        <v>1927</v>
      </c>
      <c r="B1877" s="2" t="s">
        <v>206</v>
      </c>
      <c r="C1877" s="2" t="s">
        <v>2038</v>
      </c>
      <c r="D1877" s="2" t="s">
        <v>644</v>
      </c>
      <c r="E1877" s="59">
        <v>3075</v>
      </c>
      <c r="F1877" s="59">
        <v>3270.3</v>
      </c>
      <c r="G1877" s="59">
        <v>-195.3</v>
      </c>
      <c r="H1877" s="59">
        <v>-5.97</v>
      </c>
      <c r="I1877" s="2" t="s">
        <v>81</v>
      </c>
    </row>
    <row r="1878" spans="1:9" x14ac:dyDescent="0.25">
      <c r="A1878" s="2" t="s">
        <v>1927</v>
      </c>
      <c r="B1878" s="2" t="s">
        <v>206</v>
      </c>
      <c r="C1878" s="2" t="s">
        <v>2039</v>
      </c>
      <c r="D1878" s="2" t="s">
        <v>644</v>
      </c>
      <c r="E1878" s="59">
        <v>3075</v>
      </c>
      <c r="F1878" s="59">
        <v>3274.67</v>
      </c>
      <c r="G1878" s="59">
        <v>-199.67</v>
      </c>
      <c r="H1878" s="59">
        <v>-6.1</v>
      </c>
      <c r="I1878" s="2" t="s">
        <v>81</v>
      </c>
    </row>
    <row r="1879" spans="1:9" x14ac:dyDescent="0.25">
      <c r="A1879" s="2" t="s">
        <v>1927</v>
      </c>
      <c r="B1879" s="2" t="s">
        <v>206</v>
      </c>
      <c r="C1879" s="2" t="s">
        <v>2040</v>
      </c>
      <c r="D1879" s="2" t="s">
        <v>644</v>
      </c>
      <c r="E1879" s="59">
        <v>3075</v>
      </c>
      <c r="F1879" s="59">
        <v>3270.3</v>
      </c>
      <c r="G1879" s="59">
        <v>-195.3</v>
      </c>
      <c r="H1879" s="59">
        <v>-5.97</v>
      </c>
      <c r="I1879" s="2" t="s">
        <v>81</v>
      </c>
    </row>
    <row r="1880" spans="1:9" x14ac:dyDescent="0.25">
      <c r="A1880" s="2" t="s">
        <v>1927</v>
      </c>
      <c r="B1880" s="2" t="s">
        <v>206</v>
      </c>
      <c r="C1880" s="2" t="s">
        <v>2041</v>
      </c>
      <c r="D1880" s="2" t="s">
        <v>644</v>
      </c>
      <c r="E1880" s="59">
        <v>3075</v>
      </c>
      <c r="F1880" s="59">
        <v>3270.3</v>
      </c>
      <c r="G1880" s="59">
        <v>-195.3</v>
      </c>
      <c r="H1880" s="59">
        <v>-5.97</v>
      </c>
      <c r="I1880" s="2" t="s">
        <v>81</v>
      </c>
    </row>
    <row r="1881" spans="1:9" x14ac:dyDescent="0.25">
      <c r="A1881" s="2" t="s">
        <v>1927</v>
      </c>
      <c r="B1881" s="2" t="s">
        <v>206</v>
      </c>
      <c r="C1881" s="2" t="s">
        <v>2042</v>
      </c>
      <c r="D1881" s="2" t="s">
        <v>644</v>
      </c>
      <c r="E1881" s="59">
        <v>3075</v>
      </c>
      <c r="F1881" s="59">
        <v>3383.25</v>
      </c>
      <c r="G1881" s="59">
        <v>-308.25</v>
      </c>
      <c r="H1881" s="59">
        <v>-9.11</v>
      </c>
      <c r="I1881" s="2" t="s">
        <v>81</v>
      </c>
    </row>
    <row r="1882" spans="1:9" x14ac:dyDescent="0.25">
      <c r="A1882" s="2" t="s">
        <v>1927</v>
      </c>
      <c r="B1882" s="2" t="s">
        <v>206</v>
      </c>
      <c r="C1882" s="2" t="s">
        <v>2043</v>
      </c>
      <c r="D1882" s="2" t="s">
        <v>644</v>
      </c>
      <c r="E1882" s="59">
        <v>3075</v>
      </c>
      <c r="F1882" s="59">
        <v>3383.25</v>
      </c>
      <c r="G1882" s="59">
        <v>-308.25</v>
      </c>
      <c r="H1882" s="59">
        <v>-9.11</v>
      </c>
      <c r="I1882" s="2" t="s">
        <v>81</v>
      </c>
    </row>
    <row r="1883" spans="1:9" x14ac:dyDescent="0.25">
      <c r="A1883" s="2" t="s">
        <v>1927</v>
      </c>
      <c r="B1883" s="2" t="s">
        <v>206</v>
      </c>
      <c r="C1883" s="2" t="s">
        <v>2044</v>
      </c>
      <c r="D1883" s="2" t="s">
        <v>644</v>
      </c>
      <c r="E1883" s="59">
        <v>3075</v>
      </c>
      <c r="F1883" s="59">
        <v>3274.67</v>
      </c>
      <c r="G1883" s="59">
        <v>-199.67</v>
      </c>
      <c r="H1883" s="59">
        <v>-6.1</v>
      </c>
      <c r="I1883" s="2" t="s">
        <v>81</v>
      </c>
    </row>
    <row r="1884" spans="1:9" x14ac:dyDescent="0.25">
      <c r="A1884" s="2" t="s">
        <v>1927</v>
      </c>
      <c r="B1884" s="2" t="s">
        <v>206</v>
      </c>
      <c r="C1884" s="2" t="s">
        <v>2045</v>
      </c>
      <c r="D1884" s="2" t="s">
        <v>15</v>
      </c>
      <c r="E1884" s="59">
        <v>3075</v>
      </c>
      <c r="F1884" s="59">
        <v>3393</v>
      </c>
      <c r="G1884" s="59">
        <v>-318</v>
      </c>
      <c r="H1884" s="59">
        <v>-9.3699999999999992</v>
      </c>
      <c r="I1884" s="2" t="s">
        <v>81</v>
      </c>
    </row>
    <row r="1885" spans="1:9" x14ac:dyDescent="0.25">
      <c r="A1885" s="2" t="s">
        <v>1927</v>
      </c>
      <c r="B1885" s="2" t="s">
        <v>206</v>
      </c>
      <c r="C1885" s="2" t="s">
        <v>2046</v>
      </c>
      <c r="D1885" s="2" t="s">
        <v>15</v>
      </c>
      <c r="E1885" s="59">
        <v>3075</v>
      </c>
      <c r="F1885" s="59">
        <v>3393</v>
      </c>
      <c r="G1885" s="59">
        <v>-318</v>
      </c>
      <c r="H1885" s="59">
        <v>-9.3699999999999992</v>
      </c>
      <c r="I1885" s="2" t="s">
        <v>81</v>
      </c>
    </row>
    <row r="1886" spans="1:9" x14ac:dyDescent="0.25">
      <c r="A1886" s="2" t="s">
        <v>1927</v>
      </c>
      <c r="B1886" s="2" t="s">
        <v>206</v>
      </c>
      <c r="C1886" s="2" t="s">
        <v>2047</v>
      </c>
      <c r="D1886" s="2" t="s">
        <v>644</v>
      </c>
      <c r="E1886" s="59">
        <v>3075</v>
      </c>
      <c r="F1886" s="59">
        <v>3383.25</v>
      </c>
      <c r="G1886" s="59">
        <v>-308.25</v>
      </c>
      <c r="H1886" s="59">
        <v>-9.11</v>
      </c>
      <c r="I1886" s="2" t="s">
        <v>81</v>
      </c>
    </row>
    <row r="1887" spans="1:9" x14ac:dyDescent="0.25">
      <c r="A1887" s="2" t="s">
        <v>1927</v>
      </c>
      <c r="B1887" s="2" t="s">
        <v>206</v>
      </c>
      <c r="C1887" s="2" t="s">
        <v>2048</v>
      </c>
      <c r="D1887" s="2" t="s">
        <v>644</v>
      </c>
      <c r="E1887" s="59">
        <v>3075</v>
      </c>
      <c r="F1887" s="59">
        <v>3383.25</v>
      </c>
      <c r="G1887" s="59">
        <v>-308.25</v>
      </c>
      <c r="H1887" s="59">
        <v>-9.11</v>
      </c>
      <c r="I1887" s="2" t="s">
        <v>81</v>
      </c>
    </row>
    <row r="1888" spans="1:9" x14ac:dyDescent="0.25">
      <c r="A1888" s="2" t="s">
        <v>1927</v>
      </c>
      <c r="B1888" s="2" t="s">
        <v>206</v>
      </c>
      <c r="C1888" s="2" t="s">
        <v>2049</v>
      </c>
      <c r="D1888" s="2" t="s">
        <v>644</v>
      </c>
      <c r="E1888" s="59">
        <v>3075</v>
      </c>
      <c r="F1888" s="59">
        <v>3274.67</v>
      </c>
      <c r="G1888" s="59">
        <v>-199.67</v>
      </c>
      <c r="H1888" s="59">
        <v>-6.1</v>
      </c>
      <c r="I1888" s="2" t="s">
        <v>81</v>
      </c>
    </row>
    <row r="1889" spans="1:9" x14ac:dyDescent="0.25">
      <c r="A1889" s="2" t="s">
        <v>1927</v>
      </c>
      <c r="B1889" s="2" t="s">
        <v>206</v>
      </c>
      <c r="C1889" s="2" t="s">
        <v>2050</v>
      </c>
      <c r="D1889" s="2" t="s">
        <v>644</v>
      </c>
      <c r="E1889" s="59">
        <v>3075</v>
      </c>
      <c r="F1889" s="59">
        <v>3270.3</v>
      </c>
      <c r="G1889" s="59">
        <v>-195.3</v>
      </c>
      <c r="H1889" s="59">
        <v>-5.97</v>
      </c>
      <c r="I1889" s="2" t="s">
        <v>81</v>
      </c>
    </row>
    <row r="1890" spans="1:9" x14ac:dyDescent="0.25">
      <c r="A1890" s="2" t="s">
        <v>1927</v>
      </c>
      <c r="B1890" s="2" t="s">
        <v>206</v>
      </c>
      <c r="C1890" s="2" t="s">
        <v>2051</v>
      </c>
      <c r="D1890" s="2" t="s">
        <v>644</v>
      </c>
      <c r="E1890" s="59">
        <v>3075</v>
      </c>
      <c r="F1890" s="59">
        <v>3274.67</v>
      </c>
      <c r="G1890" s="59">
        <v>-199.67</v>
      </c>
      <c r="H1890" s="59">
        <v>-6.1</v>
      </c>
      <c r="I1890" s="2" t="s">
        <v>81</v>
      </c>
    </row>
    <row r="1891" spans="1:9" x14ac:dyDescent="0.25">
      <c r="A1891" s="2" t="s">
        <v>1927</v>
      </c>
      <c r="B1891" s="2" t="s">
        <v>206</v>
      </c>
      <c r="C1891" s="2" t="s">
        <v>2052</v>
      </c>
      <c r="D1891" s="2" t="s">
        <v>644</v>
      </c>
      <c r="E1891" s="59">
        <v>3075</v>
      </c>
      <c r="F1891" s="59">
        <v>3383.25</v>
      </c>
      <c r="G1891" s="59">
        <v>-308.25</v>
      </c>
      <c r="H1891" s="59">
        <v>-9.11</v>
      </c>
      <c r="I1891" s="2" t="s">
        <v>81</v>
      </c>
    </row>
    <row r="1892" spans="1:9" x14ac:dyDescent="0.25">
      <c r="A1892" s="2" t="s">
        <v>1927</v>
      </c>
      <c r="B1892" s="2" t="s">
        <v>206</v>
      </c>
      <c r="C1892" s="2" t="s">
        <v>2053</v>
      </c>
      <c r="D1892" s="2" t="s">
        <v>644</v>
      </c>
      <c r="E1892" s="59">
        <v>3075</v>
      </c>
      <c r="F1892" s="59">
        <v>3383.25</v>
      </c>
      <c r="G1892" s="59">
        <v>-308.25</v>
      </c>
      <c r="H1892" s="59">
        <v>-9.11</v>
      </c>
      <c r="I1892" s="2" t="s">
        <v>81</v>
      </c>
    </row>
    <row r="1893" spans="1:9" x14ac:dyDescent="0.25">
      <c r="A1893" s="2" t="s">
        <v>1927</v>
      </c>
      <c r="B1893" s="2" t="s">
        <v>206</v>
      </c>
      <c r="C1893" s="2" t="s">
        <v>2054</v>
      </c>
      <c r="D1893" s="2" t="s">
        <v>15</v>
      </c>
      <c r="E1893" s="59">
        <v>3075</v>
      </c>
      <c r="F1893" s="59">
        <v>3393</v>
      </c>
      <c r="G1893" s="59">
        <v>-318</v>
      </c>
      <c r="H1893" s="59">
        <v>-9.3699999999999992</v>
      </c>
      <c r="I1893" s="2" t="s">
        <v>81</v>
      </c>
    </row>
    <row r="1894" spans="1:9" x14ac:dyDescent="0.25">
      <c r="A1894" s="2" t="s">
        <v>1927</v>
      </c>
      <c r="B1894" s="2" t="s">
        <v>206</v>
      </c>
      <c r="C1894" s="2" t="s">
        <v>2055</v>
      </c>
      <c r="D1894" s="2" t="s">
        <v>644</v>
      </c>
      <c r="E1894" s="59">
        <v>3075</v>
      </c>
      <c r="F1894" s="59">
        <v>3383.25</v>
      </c>
      <c r="G1894" s="59">
        <v>-308.25</v>
      </c>
      <c r="H1894" s="59">
        <v>-9.11</v>
      </c>
      <c r="I1894" s="2" t="s">
        <v>81</v>
      </c>
    </row>
    <row r="1895" spans="1:9" x14ac:dyDescent="0.25">
      <c r="A1895" s="2" t="s">
        <v>1927</v>
      </c>
      <c r="B1895" s="2" t="s">
        <v>206</v>
      </c>
      <c r="C1895" s="2" t="s">
        <v>2056</v>
      </c>
      <c r="D1895" s="2" t="s">
        <v>644</v>
      </c>
      <c r="E1895" s="59">
        <v>3075</v>
      </c>
      <c r="F1895" s="59">
        <v>3383.25</v>
      </c>
      <c r="G1895" s="59">
        <v>-308.25</v>
      </c>
      <c r="H1895" s="59">
        <v>-9.11</v>
      </c>
      <c r="I1895" s="2" t="s">
        <v>81</v>
      </c>
    </row>
    <row r="1896" spans="1:9" x14ac:dyDescent="0.25">
      <c r="A1896" s="48" t="s">
        <v>1927</v>
      </c>
      <c r="B1896" s="48" t="s">
        <v>206</v>
      </c>
      <c r="C1896" s="48" t="s">
        <v>1942</v>
      </c>
      <c r="D1896" s="48" t="s">
        <v>644</v>
      </c>
      <c r="E1896" s="46">
        <v>3075</v>
      </c>
      <c r="F1896" s="46">
        <v>2872</v>
      </c>
      <c r="G1896" s="46">
        <v>203</v>
      </c>
      <c r="H1896" s="46">
        <v>7.07</v>
      </c>
      <c r="I1896" s="48" t="s">
        <v>23</v>
      </c>
    </row>
    <row r="1897" spans="1:9" x14ac:dyDescent="0.25">
      <c r="A1897" s="2" t="s">
        <v>1927</v>
      </c>
      <c r="B1897" s="2" t="s">
        <v>206</v>
      </c>
      <c r="C1897" s="2" t="s">
        <v>2057</v>
      </c>
      <c r="D1897" s="2" t="s">
        <v>644</v>
      </c>
      <c r="E1897" s="59">
        <v>3075</v>
      </c>
      <c r="F1897" s="59">
        <v>3383.25</v>
      </c>
      <c r="G1897" s="59">
        <v>-308.25</v>
      </c>
      <c r="H1897" s="59">
        <v>-9.11</v>
      </c>
      <c r="I1897" s="2" t="s">
        <v>81</v>
      </c>
    </row>
    <row r="1898" spans="1:9" x14ac:dyDescent="0.25">
      <c r="A1898" s="48" t="s">
        <v>1927</v>
      </c>
      <c r="B1898" s="48" t="s">
        <v>206</v>
      </c>
      <c r="C1898" s="48" t="s">
        <v>1943</v>
      </c>
      <c r="D1898" s="48" t="s">
        <v>644</v>
      </c>
      <c r="E1898" s="46">
        <v>3075</v>
      </c>
      <c r="F1898" s="46">
        <v>2872</v>
      </c>
      <c r="G1898" s="46">
        <v>203</v>
      </c>
      <c r="H1898" s="46">
        <v>7.07</v>
      </c>
      <c r="I1898" s="48" t="s">
        <v>23</v>
      </c>
    </row>
    <row r="1899" spans="1:9" x14ac:dyDescent="0.25">
      <c r="A1899" s="2" t="s">
        <v>1927</v>
      </c>
      <c r="B1899" s="2" t="s">
        <v>206</v>
      </c>
      <c r="C1899" s="2" t="s">
        <v>2058</v>
      </c>
      <c r="D1899" s="2" t="s">
        <v>644</v>
      </c>
      <c r="E1899" s="59">
        <v>3075</v>
      </c>
      <c r="F1899" s="59">
        <v>3385.68</v>
      </c>
      <c r="G1899" s="59">
        <v>-310.68</v>
      </c>
      <c r="H1899" s="59">
        <v>-9.18</v>
      </c>
      <c r="I1899" s="2" t="s">
        <v>81</v>
      </c>
    </row>
    <row r="1900" spans="1:9" x14ac:dyDescent="0.25">
      <c r="A1900" s="2" t="s">
        <v>1927</v>
      </c>
      <c r="B1900" s="2" t="s">
        <v>206</v>
      </c>
      <c r="C1900" s="2" t="s">
        <v>2059</v>
      </c>
      <c r="D1900" s="2" t="s">
        <v>644</v>
      </c>
      <c r="E1900" s="59">
        <v>3075</v>
      </c>
      <c r="F1900" s="59">
        <v>3385.68</v>
      </c>
      <c r="G1900" s="59">
        <v>-310.68</v>
      </c>
      <c r="H1900" s="59">
        <v>-9.18</v>
      </c>
      <c r="I1900" s="2" t="s">
        <v>81</v>
      </c>
    </row>
    <row r="1901" spans="1:9" x14ac:dyDescent="0.25">
      <c r="A1901" s="2" t="s">
        <v>1927</v>
      </c>
      <c r="B1901" s="2" t="s">
        <v>206</v>
      </c>
      <c r="C1901" s="2" t="s">
        <v>2060</v>
      </c>
      <c r="D1901" s="2" t="s">
        <v>644</v>
      </c>
      <c r="E1901" s="59">
        <v>3075</v>
      </c>
      <c r="F1901" s="59">
        <v>3270.3</v>
      </c>
      <c r="G1901" s="59">
        <v>-195.3</v>
      </c>
      <c r="H1901" s="59">
        <v>-5.97</v>
      </c>
      <c r="I1901" s="2" t="s">
        <v>81</v>
      </c>
    </row>
    <row r="1902" spans="1:9" x14ac:dyDescent="0.25">
      <c r="A1902" s="2" t="s">
        <v>1927</v>
      </c>
      <c r="B1902" s="2" t="s">
        <v>206</v>
      </c>
      <c r="C1902" s="2" t="s">
        <v>2061</v>
      </c>
      <c r="D1902" s="2" t="s">
        <v>644</v>
      </c>
      <c r="E1902" s="59">
        <v>3075</v>
      </c>
      <c r="F1902" s="59">
        <v>3383.25</v>
      </c>
      <c r="G1902" s="59">
        <v>-308.25</v>
      </c>
      <c r="H1902" s="59">
        <v>-9.11</v>
      </c>
      <c r="I1902" s="2" t="s">
        <v>81</v>
      </c>
    </row>
    <row r="1903" spans="1:9" x14ac:dyDescent="0.25">
      <c r="A1903" s="2" t="s">
        <v>1927</v>
      </c>
      <c r="B1903" s="2" t="s">
        <v>206</v>
      </c>
      <c r="C1903" s="2" t="s">
        <v>2062</v>
      </c>
      <c r="D1903" s="2" t="s">
        <v>644</v>
      </c>
      <c r="E1903" s="59">
        <v>3075</v>
      </c>
      <c r="F1903" s="59">
        <v>3383.25</v>
      </c>
      <c r="G1903" s="59">
        <v>-308.25</v>
      </c>
      <c r="H1903" s="59">
        <v>-9.11</v>
      </c>
      <c r="I1903" s="2" t="s">
        <v>81</v>
      </c>
    </row>
    <row r="1904" spans="1:9" x14ac:dyDescent="0.25">
      <c r="A1904" s="48" t="s">
        <v>1927</v>
      </c>
      <c r="B1904" s="48" t="s">
        <v>33</v>
      </c>
      <c r="C1904" s="48" t="s">
        <v>1944</v>
      </c>
      <c r="D1904" s="48" t="s">
        <v>644</v>
      </c>
      <c r="E1904" s="46">
        <v>4430</v>
      </c>
      <c r="F1904" s="46">
        <v>4272.1000000000004</v>
      </c>
      <c r="G1904" s="46">
        <v>157.9</v>
      </c>
      <c r="H1904" s="46">
        <v>3.7</v>
      </c>
      <c r="I1904" s="48" t="s">
        <v>23</v>
      </c>
    </row>
    <row r="1905" spans="1:9" x14ac:dyDescent="0.25">
      <c r="A1905" s="48" t="s">
        <v>1927</v>
      </c>
      <c r="B1905" s="48" t="s">
        <v>33</v>
      </c>
      <c r="C1905" s="48" t="s">
        <v>1945</v>
      </c>
      <c r="D1905" s="48" t="s">
        <v>644</v>
      </c>
      <c r="E1905" s="46">
        <v>4430</v>
      </c>
      <c r="F1905" s="46">
        <v>4272.1000000000004</v>
      </c>
      <c r="G1905" s="46">
        <v>157.9</v>
      </c>
      <c r="H1905" s="46">
        <v>3.7</v>
      </c>
      <c r="I1905" s="48" t="s">
        <v>23</v>
      </c>
    </row>
    <row r="1906" spans="1:9" x14ac:dyDescent="0.25">
      <c r="A1906" s="48" t="s">
        <v>1927</v>
      </c>
      <c r="B1906" s="48" t="s">
        <v>33</v>
      </c>
      <c r="C1906" s="48" t="s">
        <v>1946</v>
      </c>
      <c r="D1906" s="48" t="s">
        <v>644</v>
      </c>
      <c r="E1906" s="46">
        <v>4430</v>
      </c>
      <c r="F1906" s="46">
        <v>4272.1000000000004</v>
      </c>
      <c r="G1906" s="46">
        <v>157.9</v>
      </c>
      <c r="H1906" s="46">
        <v>3.7</v>
      </c>
      <c r="I1906" s="48" t="s">
        <v>23</v>
      </c>
    </row>
    <row r="1907" spans="1:9" x14ac:dyDescent="0.25">
      <c r="A1907" s="48" t="s">
        <v>1927</v>
      </c>
      <c r="B1907" s="48" t="s">
        <v>33</v>
      </c>
      <c r="C1907" s="48" t="s">
        <v>1947</v>
      </c>
      <c r="D1907" s="48" t="s">
        <v>644</v>
      </c>
      <c r="E1907" s="46">
        <v>4430</v>
      </c>
      <c r="F1907" s="46">
        <v>4272.1000000000004</v>
      </c>
      <c r="G1907" s="46">
        <v>157.9</v>
      </c>
      <c r="H1907" s="46">
        <v>3.7</v>
      </c>
      <c r="I1907" s="48" t="s">
        <v>23</v>
      </c>
    </row>
    <row r="1908" spans="1:9" x14ac:dyDescent="0.25">
      <c r="A1908" s="2" t="s">
        <v>1927</v>
      </c>
      <c r="B1908" s="2" t="s">
        <v>582</v>
      </c>
      <c r="C1908" s="2" t="s">
        <v>1948</v>
      </c>
      <c r="D1908" s="2" t="s">
        <v>15</v>
      </c>
      <c r="E1908" s="59">
        <v>3800</v>
      </c>
      <c r="F1908" s="59">
        <v>3805.4</v>
      </c>
      <c r="G1908" s="59">
        <v>-5.4</v>
      </c>
      <c r="H1908" s="59">
        <v>-0.14000000000000001</v>
      </c>
      <c r="I1908" s="2" t="s">
        <v>23</v>
      </c>
    </row>
    <row r="1909" spans="1:9" x14ac:dyDescent="0.25">
      <c r="A1909" s="48" t="s">
        <v>1927</v>
      </c>
      <c r="B1909" s="48" t="s">
        <v>1925</v>
      </c>
      <c r="C1909" s="48" t="s">
        <v>1949</v>
      </c>
      <c r="D1909" s="48" t="s">
        <v>15</v>
      </c>
      <c r="E1909" s="46">
        <v>5800</v>
      </c>
      <c r="F1909" s="46">
        <v>5580</v>
      </c>
      <c r="G1909" s="46">
        <v>220</v>
      </c>
      <c r="H1909" s="46">
        <v>3.94</v>
      </c>
      <c r="I1909" s="48" t="s">
        <v>23</v>
      </c>
    </row>
    <row r="1919" spans="1:9" ht="18.75" x14ac:dyDescent="0.3">
      <c r="B1919" s="71" t="s">
        <v>2094</v>
      </c>
      <c r="C1919" s="74">
        <v>262588.66363635985</v>
      </c>
    </row>
    <row r="1920" spans="1:9" ht="18.75" x14ac:dyDescent="0.3">
      <c r="B1920" s="71" t="s">
        <v>2095</v>
      </c>
      <c r="C1920" s="74">
        <v>96547</v>
      </c>
    </row>
    <row r="1921" spans="2:3" ht="18.75" x14ac:dyDescent="0.3">
      <c r="B1921" s="71" t="s">
        <v>2096</v>
      </c>
      <c r="C1921" s="74">
        <v>6936.1437840000035</v>
      </c>
    </row>
    <row r="1922" spans="2:3" ht="18.75" x14ac:dyDescent="0.3">
      <c r="B1922" s="71" t="s">
        <v>2097</v>
      </c>
      <c r="C1922" s="74">
        <v>-1288.9699999999993</v>
      </c>
    </row>
    <row r="1923" spans="2:3" ht="18.75" x14ac:dyDescent="0.3">
      <c r="B1923" s="71" t="s">
        <v>2098</v>
      </c>
      <c r="C1923" s="74">
        <v>-43073.56</v>
      </c>
    </row>
    <row r="1924" spans="2:3" ht="18.75" x14ac:dyDescent="0.3">
      <c r="B1924" s="72"/>
      <c r="C1924" s="75"/>
    </row>
    <row r="1925" spans="2:3" ht="18.75" x14ac:dyDescent="0.3">
      <c r="B1925" s="73" t="s">
        <v>2099</v>
      </c>
      <c r="C1925" s="76">
        <f>SUM(C1919:C1924)</f>
        <v>321709.2774203599</v>
      </c>
    </row>
    <row r="1945" spans="2:2" x14ac:dyDescent="0.25">
      <c r="B1945">
        <v>1529906</v>
      </c>
    </row>
    <row r="1946" spans="2:2" x14ac:dyDescent="0.25">
      <c r="B1946">
        <v>1703571.3599999999</v>
      </c>
    </row>
    <row r="1947" spans="2:2" x14ac:dyDescent="0.25">
      <c r="B1947">
        <v>102608</v>
      </c>
    </row>
    <row r="1948" spans="2:2" x14ac:dyDescent="0.25">
      <c r="B1948">
        <v>55201.26</v>
      </c>
    </row>
    <row r="1949" spans="2:2" x14ac:dyDescent="0.25">
      <c r="B1949">
        <v>25955</v>
      </c>
    </row>
    <row r="1950" spans="2:2" x14ac:dyDescent="0.25">
      <c r="B1950" s="45">
        <f>SUM(B1945:B1949)</f>
        <v>3417241.6199999996</v>
      </c>
    </row>
    <row r="1955" spans="2:2" x14ac:dyDescent="0.25">
      <c r="B1955">
        <v>1200120.9363636319</v>
      </c>
    </row>
    <row r="1956" spans="2:2" x14ac:dyDescent="0.25">
      <c r="B1956">
        <v>1560195.5399999924</v>
      </c>
    </row>
    <row r="1957" spans="2:2" x14ac:dyDescent="0.25">
      <c r="B1957">
        <v>87495.85621600016</v>
      </c>
    </row>
    <row r="1958" spans="2:2" x14ac:dyDescent="0.25">
      <c r="B1958">
        <v>44712.229999999996</v>
      </c>
    </row>
    <row r="1959" spans="2:2" x14ac:dyDescent="0.25">
      <c r="B1959">
        <v>20699.560000000001</v>
      </c>
    </row>
    <row r="1960" spans="2:2" x14ac:dyDescent="0.25">
      <c r="B1960" s="45">
        <f>SUM(B1955:B1959)</f>
        <v>2913224.1225796249</v>
      </c>
    </row>
  </sheetData>
  <autoFilter ref="A4:I1909" xr:uid="{00000000-0001-0000-0000-000000000000}"/>
  <conditionalFormatting sqref="C1924:C1048576 C1:C1909">
    <cfRule type="duplicateValues" dxfId="10" priority="1"/>
  </conditionalFormatting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A4F30-AF2D-44D4-8EDF-11A4CEA4EAF9}">
  <dimension ref="A1:K1037"/>
  <sheetViews>
    <sheetView topLeftCell="A995" zoomScale="80" zoomScaleNormal="80" workbookViewId="0">
      <selection activeCell="C1037" sqref="C1037"/>
    </sheetView>
  </sheetViews>
  <sheetFormatPr defaultRowHeight="15" x14ac:dyDescent="0.25"/>
  <cols>
    <col min="1" max="1" width="14.28515625" customWidth="1"/>
    <col min="2" max="2" width="48.85546875" customWidth="1"/>
    <col min="3" max="3" width="31.7109375" customWidth="1"/>
    <col min="4" max="4" width="29.28515625" customWidth="1"/>
    <col min="5" max="5" width="16" customWidth="1"/>
    <col min="6" max="6" width="14.28515625" customWidth="1"/>
    <col min="7" max="7" width="14.28515625" style="4" customWidth="1"/>
    <col min="8" max="8" width="17.140625" style="4" customWidth="1"/>
    <col min="9" max="9" width="16.5703125" style="4" customWidth="1"/>
    <col min="10" max="10" width="20.28515625" style="5" customWidth="1"/>
    <col min="11" max="11" width="28.42578125" customWidth="1"/>
    <col min="12" max="12" width="22.5703125" customWidth="1"/>
  </cols>
  <sheetData>
    <row r="1" spans="1:11" ht="22.15" customHeight="1" x14ac:dyDescent="0.25">
      <c r="A1" s="10" t="s">
        <v>3</v>
      </c>
      <c r="B1" s="10" t="s">
        <v>4</v>
      </c>
      <c r="C1" s="10" t="s">
        <v>5</v>
      </c>
      <c r="D1" s="10" t="s">
        <v>6</v>
      </c>
      <c r="E1" s="10" t="s">
        <v>7</v>
      </c>
      <c r="F1" s="10" t="s">
        <v>8</v>
      </c>
      <c r="G1" s="11" t="s">
        <v>1721</v>
      </c>
      <c r="H1" s="11" t="s">
        <v>1720</v>
      </c>
      <c r="I1" s="11" t="s">
        <v>9</v>
      </c>
      <c r="J1" s="12" t="s">
        <v>10</v>
      </c>
      <c r="K1" s="10" t="s">
        <v>11</v>
      </c>
    </row>
    <row r="2" spans="1:11" x14ac:dyDescent="0.25">
      <c r="A2" s="7" t="s">
        <v>12</v>
      </c>
      <c r="B2" s="7" t="s">
        <v>13</v>
      </c>
      <c r="C2" s="7" t="s">
        <v>14</v>
      </c>
      <c r="D2" s="7" t="s">
        <v>15</v>
      </c>
      <c r="E2" s="16">
        <v>2050</v>
      </c>
      <c r="F2" s="16">
        <v>1504.52</v>
      </c>
      <c r="G2" s="8">
        <f>F2/11</f>
        <v>136.77454545454546</v>
      </c>
      <c r="H2" s="8">
        <f>F2-G2</f>
        <v>1367.7454545454545</v>
      </c>
      <c r="I2" s="8">
        <f>E2-H2</f>
        <v>682.25454545454545</v>
      </c>
      <c r="J2" s="9">
        <f>(E2-H2)/H2</f>
        <v>0.49881689841278282</v>
      </c>
      <c r="K2" s="7" t="s">
        <v>16</v>
      </c>
    </row>
    <row r="3" spans="1:11" x14ac:dyDescent="0.25">
      <c r="A3" s="7" t="s">
        <v>12</v>
      </c>
      <c r="B3" s="7" t="s">
        <v>17</v>
      </c>
      <c r="C3" s="7" t="s">
        <v>18</v>
      </c>
      <c r="D3" s="7" t="s">
        <v>15</v>
      </c>
      <c r="E3" s="16">
        <v>11250</v>
      </c>
      <c r="F3" s="16">
        <v>10586</v>
      </c>
      <c r="G3" s="8">
        <f t="shared" ref="G3:G66" si="0">F3/11</f>
        <v>962.36363636363637</v>
      </c>
      <c r="H3" s="8">
        <f t="shared" ref="H3:H66" si="1">F3-G3</f>
        <v>9623.636363636364</v>
      </c>
      <c r="I3" s="8">
        <f t="shared" ref="I3:I66" si="2">E3-H3</f>
        <v>1626.363636363636</v>
      </c>
      <c r="J3" s="9">
        <f t="shared" ref="J3:J66" si="3">(E3-H3)/H3</f>
        <v>0.16899678821084446</v>
      </c>
      <c r="K3" s="7" t="s">
        <v>16</v>
      </c>
    </row>
    <row r="4" spans="1:11" x14ac:dyDescent="0.25">
      <c r="A4" s="7" t="s">
        <v>12</v>
      </c>
      <c r="B4" s="7" t="s">
        <v>19</v>
      </c>
      <c r="C4" s="7" t="s">
        <v>20</v>
      </c>
      <c r="D4" s="7" t="s">
        <v>15</v>
      </c>
      <c r="E4" s="16">
        <v>3450</v>
      </c>
      <c r="F4" s="16">
        <v>3351.6</v>
      </c>
      <c r="G4" s="8">
        <f t="shared" si="0"/>
        <v>304.69090909090909</v>
      </c>
      <c r="H4" s="8">
        <f t="shared" si="1"/>
        <v>3046.909090909091</v>
      </c>
      <c r="I4" s="8">
        <f t="shared" si="2"/>
        <v>403.09090909090901</v>
      </c>
      <c r="J4" s="9">
        <f t="shared" si="3"/>
        <v>0.13229502327246684</v>
      </c>
      <c r="K4" s="7" t="s">
        <v>16</v>
      </c>
    </row>
    <row r="5" spans="1:11" x14ac:dyDescent="0.25">
      <c r="A5" s="7" t="s">
        <v>69</v>
      </c>
      <c r="B5" s="7" t="s">
        <v>70</v>
      </c>
      <c r="C5" s="7" t="s">
        <v>71</v>
      </c>
      <c r="D5" s="7" t="s">
        <v>15</v>
      </c>
      <c r="E5" s="16">
        <v>3650</v>
      </c>
      <c r="F5" s="16">
        <v>2829.19</v>
      </c>
      <c r="G5" s="8">
        <f t="shared" si="0"/>
        <v>257.1990909090909</v>
      </c>
      <c r="H5" s="8">
        <f t="shared" si="1"/>
        <v>2571.9909090909091</v>
      </c>
      <c r="I5" s="8">
        <f t="shared" si="2"/>
        <v>1078.0090909090909</v>
      </c>
      <c r="J5" s="9">
        <f t="shared" si="3"/>
        <v>0.41913409845220717</v>
      </c>
      <c r="K5" s="7" t="s">
        <v>16</v>
      </c>
    </row>
    <row r="6" spans="1:11" x14ac:dyDescent="0.25">
      <c r="A6" s="7" t="s">
        <v>69</v>
      </c>
      <c r="B6" s="7" t="s">
        <v>72</v>
      </c>
      <c r="C6" s="7" t="s">
        <v>73</v>
      </c>
      <c r="D6" s="7" t="s">
        <v>15</v>
      </c>
      <c r="E6" s="16">
        <v>940</v>
      </c>
      <c r="F6" s="16">
        <v>994.18</v>
      </c>
      <c r="G6" s="8">
        <f t="shared" si="0"/>
        <v>90.38</v>
      </c>
      <c r="H6" s="8">
        <f t="shared" si="1"/>
        <v>903.8</v>
      </c>
      <c r="I6" s="8">
        <f t="shared" si="2"/>
        <v>36.200000000000045</v>
      </c>
      <c r="J6" s="9">
        <f t="shared" si="3"/>
        <v>4.0053109094932558E-2</v>
      </c>
      <c r="K6" s="7" t="s">
        <v>16</v>
      </c>
    </row>
    <row r="7" spans="1:11" x14ac:dyDescent="0.25">
      <c r="A7" s="7" t="s">
        <v>69</v>
      </c>
      <c r="B7" s="7" t="s">
        <v>72</v>
      </c>
      <c r="C7" s="7" t="s">
        <v>74</v>
      </c>
      <c r="D7" s="7" t="s">
        <v>15</v>
      </c>
      <c r="E7" s="16">
        <v>940</v>
      </c>
      <c r="F7" s="16">
        <v>994.18</v>
      </c>
      <c r="G7" s="8">
        <f t="shared" si="0"/>
        <v>90.38</v>
      </c>
      <c r="H7" s="8">
        <f t="shared" si="1"/>
        <v>903.8</v>
      </c>
      <c r="I7" s="8">
        <f t="shared" si="2"/>
        <v>36.200000000000045</v>
      </c>
      <c r="J7" s="9">
        <f t="shared" si="3"/>
        <v>4.0053109094932558E-2</v>
      </c>
      <c r="K7" s="7" t="s">
        <v>16</v>
      </c>
    </row>
    <row r="8" spans="1:11" x14ac:dyDescent="0.25">
      <c r="A8" s="7" t="s">
        <v>69</v>
      </c>
      <c r="B8" s="7" t="s">
        <v>72</v>
      </c>
      <c r="C8" s="7" t="s">
        <v>75</v>
      </c>
      <c r="D8" s="7" t="s">
        <v>15</v>
      </c>
      <c r="E8" s="16">
        <v>940</v>
      </c>
      <c r="F8" s="16">
        <v>994.18</v>
      </c>
      <c r="G8" s="8">
        <f t="shared" si="0"/>
        <v>90.38</v>
      </c>
      <c r="H8" s="8">
        <f t="shared" si="1"/>
        <v>903.8</v>
      </c>
      <c r="I8" s="8">
        <f t="shared" si="2"/>
        <v>36.200000000000045</v>
      </c>
      <c r="J8" s="9">
        <f t="shared" si="3"/>
        <v>4.0053109094932558E-2</v>
      </c>
      <c r="K8" s="7" t="s">
        <v>16</v>
      </c>
    </row>
    <row r="9" spans="1:11" x14ac:dyDescent="0.25">
      <c r="A9" s="7" t="s">
        <v>69</v>
      </c>
      <c r="B9" s="7" t="s">
        <v>72</v>
      </c>
      <c r="C9" s="7" t="s">
        <v>76</v>
      </c>
      <c r="D9" s="7" t="s">
        <v>15</v>
      </c>
      <c r="E9" s="16">
        <v>940</v>
      </c>
      <c r="F9" s="16">
        <v>994.18</v>
      </c>
      <c r="G9" s="8">
        <f t="shared" si="0"/>
        <v>90.38</v>
      </c>
      <c r="H9" s="8">
        <f t="shared" si="1"/>
        <v>903.8</v>
      </c>
      <c r="I9" s="8">
        <f t="shared" si="2"/>
        <v>36.200000000000045</v>
      </c>
      <c r="J9" s="9">
        <f t="shared" si="3"/>
        <v>4.0053109094932558E-2</v>
      </c>
      <c r="K9" s="7" t="s">
        <v>16</v>
      </c>
    </row>
    <row r="10" spans="1:11" x14ac:dyDescent="0.25">
      <c r="A10" s="7" t="s">
        <v>69</v>
      </c>
      <c r="B10" s="7" t="s">
        <v>72</v>
      </c>
      <c r="C10" s="7" t="s">
        <v>77</v>
      </c>
      <c r="D10" s="7" t="s">
        <v>15</v>
      </c>
      <c r="E10" s="16">
        <v>940</v>
      </c>
      <c r="F10" s="16">
        <v>994.18</v>
      </c>
      <c r="G10" s="8">
        <f t="shared" si="0"/>
        <v>90.38</v>
      </c>
      <c r="H10" s="8">
        <f t="shared" si="1"/>
        <v>903.8</v>
      </c>
      <c r="I10" s="8">
        <f t="shared" si="2"/>
        <v>36.200000000000045</v>
      </c>
      <c r="J10" s="9">
        <f t="shared" si="3"/>
        <v>4.0053109094932558E-2</v>
      </c>
      <c r="K10" s="7" t="s">
        <v>16</v>
      </c>
    </row>
    <row r="11" spans="1:11" x14ac:dyDescent="0.25">
      <c r="A11" s="7" t="s">
        <v>69</v>
      </c>
      <c r="B11" s="7" t="s">
        <v>72</v>
      </c>
      <c r="C11" s="7" t="s">
        <v>78</v>
      </c>
      <c r="D11" s="7" t="s">
        <v>15</v>
      </c>
      <c r="E11" s="16">
        <v>940</v>
      </c>
      <c r="F11" s="16">
        <v>994.18</v>
      </c>
      <c r="G11" s="8">
        <f t="shared" si="0"/>
        <v>90.38</v>
      </c>
      <c r="H11" s="8">
        <f t="shared" si="1"/>
        <v>903.8</v>
      </c>
      <c r="I11" s="8">
        <f t="shared" si="2"/>
        <v>36.200000000000045</v>
      </c>
      <c r="J11" s="9">
        <f t="shared" si="3"/>
        <v>4.0053109094932558E-2</v>
      </c>
      <c r="K11" s="7" t="s">
        <v>16</v>
      </c>
    </row>
    <row r="12" spans="1:11" x14ac:dyDescent="0.25">
      <c r="A12" s="7" t="s">
        <v>69</v>
      </c>
      <c r="B12" s="7" t="s">
        <v>72</v>
      </c>
      <c r="C12" s="7" t="s">
        <v>79</v>
      </c>
      <c r="D12" s="7" t="s">
        <v>15</v>
      </c>
      <c r="E12" s="16">
        <v>940</v>
      </c>
      <c r="F12" s="16">
        <v>994.18</v>
      </c>
      <c r="G12" s="8">
        <f t="shared" si="0"/>
        <v>90.38</v>
      </c>
      <c r="H12" s="8">
        <f t="shared" si="1"/>
        <v>903.8</v>
      </c>
      <c r="I12" s="8">
        <f t="shared" si="2"/>
        <v>36.200000000000045</v>
      </c>
      <c r="J12" s="9">
        <f t="shared" si="3"/>
        <v>4.0053109094932558E-2</v>
      </c>
      <c r="K12" s="7" t="s">
        <v>16</v>
      </c>
    </row>
    <row r="13" spans="1:11" x14ac:dyDescent="0.25">
      <c r="A13" s="7" t="s">
        <v>69</v>
      </c>
      <c r="B13" s="7" t="s">
        <v>72</v>
      </c>
      <c r="C13" s="7" t="s">
        <v>80</v>
      </c>
      <c r="D13" s="7" t="s">
        <v>15</v>
      </c>
      <c r="E13" s="16">
        <v>940</v>
      </c>
      <c r="F13" s="16">
        <v>1008</v>
      </c>
      <c r="G13" s="8">
        <f t="shared" si="0"/>
        <v>91.63636363636364</v>
      </c>
      <c r="H13" s="8">
        <f t="shared" si="1"/>
        <v>916.36363636363637</v>
      </c>
      <c r="I13" s="8">
        <f t="shared" si="2"/>
        <v>23.636363636363626</v>
      </c>
      <c r="J13" s="9">
        <f t="shared" si="3"/>
        <v>2.5793650793650782E-2</v>
      </c>
      <c r="K13" s="7" t="s">
        <v>81</v>
      </c>
    </row>
    <row r="14" spans="1:11" x14ac:dyDescent="0.25">
      <c r="A14" s="7" t="s">
        <v>69</v>
      </c>
      <c r="B14" s="7" t="s">
        <v>72</v>
      </c>
      <c r="C14" s="7" t="s">
        <v>82</v>
      </c>
      <c r="D14" s="7" t="s">
        <v>15</v>
      </c>
      <c r="E14" s="16">
        <v>940</v>
      </c>
      <c r="F14" s="16">
        <v>994.18</v>
      </c>
      <c r="G14" s="8">
        <f t="shared" si="0"/>
        <v>90.38</v>
      </c>
      <c r="H14" s="8">
        <f t="shared" si="1"/>
        <v>903.8</v>
      </c>
      <c r="I14" s="8">
        <f t="shared" si="2"/>
        <v>36.200000000000045</v>
      </c>
      <c r="J14" s="9">
        <f t="shared" si="3"/>
        <v>4.0053109094932558E-2</v>
      </c>
      <c r="K14" s="7" t="s">
        <v>16</v>
      </c>
    </row>
    <row r="15" spans="1:11" x14ac:dyDescent="0.25">
      <c r="A15" s="7" t="s">
        <v>69</v>
      </c>
      <c r="B15" s="7" t="s">
        <v>72</v>
      </c>
      <c r="C15" s="7" t="s">
        <v>83</v>
      </c>
      <c r="D15" s="7" t="s">
        <v>15</v>
      </c>
      <c r="E15" s="16">
        <v>940</v>
      </c>
      <c r="F15" s="16">
        <v>994.18</v>
      </c>
      <c r="G15" s="8">
        <f t="shared" si="0"/>
        <v>90.38</v>
      </c>
      <c r="H15" s="8">
        <f t="shared" si="1"/>
        <v>903.8</v>
      </c>
      <c r="I15" s="8">
        <f t="shared" si="2"/>
        <v>36.200000000000045</v>
      </c>
      <c r="J15" s="9">
        <f t="shared" si="3"/>
        <v>4.0053109094932558E-2</v>
      </c>
      <c r="K15" s="7" t="s">
        <v>16</v>
      </c>
    </row>
    <row r="16" spans="1:11" x14ac:dyDescent="0.25">
      <c r="A16" s="7" t="s">
        <v>69</v>
      </c>
      <c r="B16" s="7" t="s">
        <v>72</v>
      </c>
      <c r="C16" s="7" t="s">
        <v>84</v>
      </c>
      <c r="D16" s="7" t="s">
        <v>15</v>
      </c>
      <c r="E16" s="16">
        <v>940</v>
      </c>
      <c r="F16" s="16">
        <v>994.18</v>
      </c>
      <c r="G16" s="8">
        <f t="shared" si="0"/>
        <v>90.38</v>
      </c>
      <c r="H16" s="8">
        <f t="shared" si="1"/>
        <v>903.8</v>
      </c>
      <c r="I16" s="8">
        <f t="shared" si="2"/>
        <v>36.200000000000045</v>
      </c>
      <c r="J16" s="9">
        <f t="shared" si="3"/>
        <v>4.0053109094932558E-2</v>
      </c>
      <c r="K16" s="7" t="s">
        <v>16</v>
      </c>
    </row>
    <row r="17" spans="1:11" x14ac:dyDescent="0.25">
      <c r="A17" s="7" t="s">
        <v>69</v>
      </c>
      <c r="B17" s="7" t="s">
        <v>72</v>
      </c>
      <c r="C17" s="7" t="s">
        <v>85</v>
      </c>
      <c r="D17" s="7" t="s">
        <v>15</v>
      </c>
      <c r="E17" s="16">
        <v>940</v>
      </c>
      <c r="F17" s="16">
        <v>1008</v>
      </c>
      <c r="G17" s="8">
        <f t="shared" si="0"/>
        <v>91.63636363636364</v>
      </c>
      <c r="H17" s="8">
        <f t="shared" si="1"/>
        <v>916.36363636363637</v>
      </c>
      <c r="I17" s="8">
        <f t="shared" si="2"/>
        <v>23.636363636363626</v>
      </c>
      <c r="J17" s="9">
        <f t="shared" si="3"/>
        <v>2.5793650793650782E-2</v>
      </c>
      <c r="K17" s="7" t="s">
        <v>81</v>
      </c>
    </row>
    <row r="18" spans="1:11" x14ac:dyDescent="0.25">
      <c r="A18" s="7" t="s">
        <v>69</v>
      </c>
      <c r="B18" s="7" t="s">
        <v>72</v>
      </c>
      <c r="C18" s="7" t="s">
        <v>86</v>
      </c>
      <c r="D18" s="7" t="s">
        <v>15</v>
      </c>
      <c r="E18" s="16">
        <v>940</v>
      </c>
      <c r="F18" s="16">
        <v>1008</v>
      </c>
      <c r="G18" s="8">
        <f t="shared" si="0"/>
        <v>91.63636363636364</v>
      </c>
      <c r="H18" s="8">
        <f t="shared" si="1"/>
        <v>916.36363636363637</v>
      </c>
      <c r="I18" s="8">
        <f t="shared" si="2"/>
        <v>23.636363636363626</v>
      </c>
      <c r="J18" s="9">
        <f t="shared" si="3"/>
        <v>2.5793650793650782E-2</v>
      </c>
      <c r="K18" s="7" t="s">
        <v>81</v>
      </c>
    </row>
    <row r="19" spans="1:11" x14ac:dyDescent="0.25">
      <c r="A19" s="7" t="s">
        <v>69</v>
      </c>
      <c r="B19" s="7" t="s">
        <v>72</v>
      </c>
      <c r="C19" s="7" t="s">
        <v>87</v>
      </c>
      <c r="D19" s="7" t="s">
        <v>15</v>
      </c>
      <c r="E19" s="16">
        <v>940</v>
      </c>
      <c r="F19" s="16">
        <v>1008</v>
      </c>
      <c r="G19" s="8">
        <f t="shared" si="0"/>
        <v>91.63636363636364</v>
      </c>
      <c r="H19" s="8">
        <f t="shared" si="1"/>
        <v>916.36363636363637</v>
      </c>
      <c r="I19" s="8">
        <f t="shared" si="2"/>
        <v>23.636363636363626</v>
      </c>
      <c r="J19" s="9">
        <f t="shared" si="3"/>
        <v>2.5793650793650782E-2</v>
      </c>
      <c r="K19" s="7" t="s">
        <v>81</v>
      </c>
    </row>
    <row r="20" spans="1:11" x14ac:dyDescent="0.25">
      <c r="A20" s="7" t="s">
        <v>69</v>
      </c>
      <c r="B20" s="7" t="s">
        <v>72</v>
      </c>
      <c r="C20" s="7" t="s">
        <v>88</v>
      </c>
      <c r="D20" s="7" t="s">
        <v>15</v>
      </c>
      <c r="E20" s="16">
        <v>940</v>
      </c>
      <c r="F20" s="16">
        <v>1008</v>
      </c>
      <c r="G20" s="8">
        <f t="shared" si="0"/>
        <v>91.63636363636364</v>
      </c>
      <c r="H20" s="8">
        <f t="shared" si="1"/>
        <v>916.36363636363637</v>
      </c>
      <c r="I20" s="8">
        <f t="shared" si="2"/>
        <v>23.636363636363626</v>
      </c>
      <c r="J20" s="9">
        <f t="shared" si="3"/>
        <v>2.5793650793650782E-2</v>
      </c>
      <c r="K20" s="7" t="s">
        <v>81</v>
      </c>
    </row>
    <row r="21" spans="1:11" x14ac:dyDescent="0.25">
      <c r="A21" s="7" t="s">
        <v>69</v>
      </c>
      <c r="B21" s="7" t="s">
        <v>72</v>
      </c>
      <c r="C21" s="7" t="s">
        <v>89</v>
      </c>
      <c r="D21" s="7" t="s">
        <v>15</v>
      </c>
      <c r="E21" s="16">
        <v>940</v>
      </c>
      <c r="F21" s="16">
        <v>1008</v>
      </c>
      <c r="G21" s="8">
        <f t="shared" si="0"/>
        <v>91.63636363636364</v>
      </c>
      <c r="H21" s="8">
        <f t="shared" si="1"/>
        <v>916.36363636363637</v>
      </c>
      <c r="I21" s="8">
        <f t="shared" si="2"/>
        <v>23.636363636363626</v>
      </c>
      <c r="J21" s="9">
        <f t="shared" si="3"/>
        <v>2.5793650793650782E-2</v>
      </c>
      <c r="K21" s="7" t="s">
        <v>81</v>
      </c>
    </row>
    <row r="22" spans="1:11" x14ac:dyDescent="0.25">
      <c r="A22" s="7" t="s">
        <v>69</v>
      </c>
      <c r="B22" s="7" t="s">
        <v>72</v>
      </c>
      <c r="C22" s="7" t="s">
        <v>90</v>
      </c>
      <c r="D22" s="7" t="s">
        <v>15</v>
      </c>
      <c r="E22" s="16">
        <v>940</v>
      </c>
      <c r="F22" s="16">
        <v>1008</v>
      </c>
      <c r="G22" s="8">
        <f t="shared" si="0"/>
        <v>91.63636363636364</v>
      </c>
      <c r="H22" s="8">
        <f t="shared" si="1"/>
        <v>916.36363636363637</v>
      </c>
      <c r="I22" s="8">
        <f t="shared" si="2"/>
        <v>23.636363636363626</v>
      </c>
      <c r="J22" s="9">
        <f t="shared" si="3"/>
        <v>2.5793650793650782E-2</v>
      </c>
      <c r="K22" s="7" t="s">
        <v>81</v>
      </c>
    </row>
    <row r="23" spans="1:11" x14ac:dyDescent="0.25">
      <c r="A23" s="7" t="s">
        <v>69</v>
      </c>
      <c r="B23" s="7" t="s">
        <v>72</v>
      </c>
      <c r="C23" s="7" t="s">
        <v>91</v>
      </c>
      <c r="D23" s="7" t="s">
        <v>15</v>
      </c>
      <c r="E23" s="16">
        <v>940</v>
      </c>
      <c r="F23" s="16">
        <v>994.18</v>
      </c>
      <c r="G23" s="8">
        <f t="shared" si="0"/>
        <v>90.38</v>
      </c>
      <c r="H23" s="8">
        <f t="shared" si="1"/>
        <v>903.8</v>
      </c>
      <c r="I23" s="8">
        <f t="shared" si="2"/>
        <v>36.200000000000045</v>
      </c>
      <c r="J23" s="9">
        <f t="shared" si="3"/>
        <v>4.0053109094932558E-2</v>
      </c>
      <c r="K23" s="7" t="s">
        <v>16</v>
      </c>
    </row>
    <row r="24" spans="1:11" x14ac:dyDescent="0.25">
      <c r="A24" s="7" t="s">
        <v>69</v>
      </c>
      <c r="B24" s="7" t="s">
        <v>72</v>
      </c>
      <c r="C24" s="7" t="s">
        <v>92</v>
      </c>
      <c r="D24" s="7" t="s">
        <v>15</v>
      </c>
      <c r="E24" s="16">
        <v>940</v>
      </c>
      <c r="F24" s="16">
        <v>1008</v>
      </c>
      <c r="G24" s="8">
        <f t="shared" si="0"/>
        <v>91.63636363636364</v>
      </c>
      <c r="H24" s="8">
        <f t="shared" si="1"/>
        <v>916.36363636363637</v>
      </c>
      <c r="I24" s="8">
        <f t="shared" si="2"/>
        <v>23.636363636363626</v>
      </c>
      <c r="J24" s="9">
        <f t="shared" si="3"/>
        <v>2.5793650793650782E-2</v>
      </c>
      <c r="K24" s="7" t="s">
        <v>81</v>
      </c>
    </row>
    <row r="25" spans="1:11" x14ac:dyDescent="0.25">
      <c r="A25" s="7" t="s">
        <v>69</v>
      </c>
      <c r="B25" s="7" t="s">
        <v>72</v>
      </c>
      <c r="C25" s="7" t="s">
        <v>93</v>
      </c>
      <c r="D25" s="7" t="s">
        <v>15</v>
      </c>
      <c r="E25" s="16">
        <v>940</v>
      </c>
      <c r="F25" s="16">
        <v>994.18</v>
      </c>
      <c r="G25" s="8">
        <f t="shared" si="0"/>
        <v>90.38</v>
      </c>
      <c r="H25" s="8">
        <f t="shared" si="1"/>
        <v>903.8</v>
      </c>
      <c r="I25" s="8">
        <f t="shared" si="2"/>
        <v>36.200000000000045</v>
      </c>
      <c r="J25" s="9">
        <f t="shared" si="3"/>
        <v>4.0053109094932558E-2</v>
      </c>
      <c r="K25" s="7" t="s">
        <v>16</v>
      </c>
    </row>
    <row r="26" spans="1:11" x14ac:dyDescent="0.25">
      <c r="A26" s="7" t="s">
        <v>69</v>
      </c>
      <c r="B26" s="7" t="s">
        <v>72</v>
      </c>
      <c r="C26" s="7" t="s">
        <v>94</v>
      </c>
      <c r="D26" s="7" t="s">
        <v>15</v>
      </c>
      <c r="E26" s="16">
        <v>940</v>
      </c>
      <c r="F26" s="16">
        <v>1008</v>
      </c>
      <c r="G26" s="8">
        <f t="shared" si="0"/>
        <v>91.63636363636364</v>
      </c>
      <c r="H26" s="8">
        <f t="shared" si="1"/>
        <v>916.36363636363637</v>
      </c>
      <c r="I26" s="8">
        <f t="shared" si="2"/>
        <v>23.636363636363626</v>
      </c>
      <c r="J26" s="9">
        <f t="shared" si="3"/>
        <v>2.5793650793650782E-2</v>
      </c>
      <c r="K26" s="7" t="s">
        <v>81</v>
      </c>
    </row>
    <row r="27" spans="1:11" x14ac:dyDescent="0.25">
      <c r="A27" s="7" t="s">
        <v>69</v>
      </c>
      <c r="B27" s="7" t="s">
        <v>72</v>
      </c>
      <c r="C27" s="7" t="s">
        <v>95</v>
      </c>
      <c r="D27" s="7" t="s">
        <v>15</v>
      </c>
      <c r="E27" s="16">
        <v>940</v>
      </c>
      <c r="F27" s="16">
        <v>1008</v>
      </c>
      <c r="G27" s="8">
        <f t="shared" si="0"/>
        <v>91.63636363636364</v>
      </c>
      <c r="H27" s="8">
        <f t="shared" si="1"/>
        <v>916.36363636363637</v>
      </c>
      <c r="I27" s="8">
        <f t="shared" si="2"/>
        <v>23.636363636363626</v>
      </c>
      <c r="J27" s="9">
        <f t="shared" si="3"/>
        <v>2.5793650793650782E-2</v>
      </c>
      <c r="K27" s="7" t="s">
        <v>81</v>
      </c>
    </row>
    <row r="28" spans="1:11" x14ac:dyDescent="0.25">
      <c r="A28" s="7" t="s">
        <v>69</v>
      </c>
      <c r="B28" s="7" t="s">
        <v>72</v>
      </c>
      <c r="C28" s="7" t="s">
        <v>96</v>
      </c>
      <c r="D28" s="7" t="s">
        <v>15</v>
      </c>
      <c r="E28" s="16">
        <v>940</v>
      </c>
      <c r="F28" s="16">
        <v>994.18</v>
      </c>
      <c r="G28" s="8">
        <f t="shared" si="0"/>
        <v>90.38</v>
      </c>
      <c r="H28" s="8">
        <f t="shared" si="1"/>
        <v>903.8</v>
      </c>
      <c r="I28" s="8">
        <f t="shared" si="2"/>
        <v>36.200000000000045</v>
      </c>
      <c r="J28" s="9">
        <f t="shared" si="3"/>
        <v>4.0053109094932558E-2</v>
      </c>
      <c r="K28" s="7" t="s">
        <v>16</v>
      </c>
    </row>
    <row r="29" spans="1:11" x14ac:dyDescent="0.25">
      <c r="A29" s="7" t="s">
        <v>69</v>
      </c>
      <c r="B29" s="7" t="s">
        <v>72</v>
      </c>
      <c r="C29" s="7" t="s">
        <v>97</v>
      </c>
      <c r="D29" s="7" t="s">
        <v>15</v>
      </c>
      <c r="E29" s="16">
        <v>940</v>
      </c>
      <c r="F29" s="16">
        <v>1008</v>
      </c>
      <c r="G29" s="8">
        <f t="shared" si="0"/>
        <v>91.63636363636364</v>
      </c>
      <c r="H29" s="8">
        <f t="shared" si="1"/>
        <v>916.36363636363637</v>
      </c>
      <c r="I29" s="8">
        <f t="shared" si="2"/>
        <v>23.636363636363626</v>
      </c>
      <c r="J29" s="9">
        <f t="shared" si="3"/>
        <v>2.5793650793650782E-2</v>
      </c>
      <c r="K29" s="7" t="s">
        <v>81</v>
      </c>
    </row>
    <row r="30" spans="1:11" x14ac:dyDescent="0.25">
      <c r="A30" s="7" t="s">
        <v>69</v>
      </c>
      <c r="B30" s="7" t="s">
        <v>72</v>
      </c>
      <c r="C30" s="7" t="s">
        <v>98</v>
      </c>
      <c r="D30" s="7" t="s">
        <v>15</v>
      </c>
      <c r="E30" s="16">
        <v>940</v>
      </c>
      <c r="F30" s="16">
        <v>994.18</v>
      </c>
      <c r="G30" s="8">
        <f t="shared" si="0"/>
        <v>90.38</v>
      </c>
      <c r="H30" s="8">
        <f t="shared" si="1"/>
        <v>903.8</v>
      </c>
      <c r="I30" s="8">
        <f t="shared" si="2"/>
        <v>36.200000000000045</v>
      </c>
      <c r="J30" s="9">
        <f t="shared" si="3"/>
        <v>4.0053109094932558E-2</v>
      </c>
      <c r="K30" s="7" t="s">
        <v>16</v>
      </c>
    </row>
    <row r="31" spans="1:11" x14ac:dyDescent="0.25">
      <c r="A31" s="7" t="s">
        <v>69</v>
      </c>
      <c r="B31" s="7" t="s">
        <v>72</v>
      </c>
      <c r="C31" s="7" t="s">
        <v>99</v>
      </c>
      <c r="D31" s="7" t="s">
        <v>15</v>
      </c>
      <c r="E31" s="16">
        <v>940</v>
      </c>
      <c r="F31" s="16">
        <v>1008</v>
      </c>
      <c r="G31" s="8">
        <f t="shared" si="0"/>
        <v>91.63636363636364</v>
      </c>
      <c r="H31" s="8">
        <f t="shared" si="1"/>
        <v>916.36363636363637</v>
      </c>
      <c r="I31" s="8">
        <f t="shared" si="2"/>
        <v>23.636363636363626</v>
      </c>
      <c r="J31" s="9">
        <f t="shared" si="3"/>
        <v>2.5793650793650782E-2</v>
      </c>
      <c r="K31" s="7" t="s">
        <v>81</v>
      </c>
    </row>
    <row r="32" spans="1:11" x14ac:dyDescent="0.25">
      <c r="A32" s="7" t="s">
        <v>69</v>
      </c>
      <c r="B32" s="7" t="s">
        <v>254</v>
      </c>
      <c r="C32" s="7" t="s">
        <v>255</v>
      </c>
      <c r="D32" s="7" t="s">
        <v>15</v>
      </c>
      <c r="E32" s="16">
        <v>345</v>
      </c>
      <c r="F32" s="16">
        <v>313.98</v>
      </c>
      <c r="G32" s="8">
        <f t="shared" si="0"/>
        <v>28.543636363636367</v>
      </c>
      <c r="H32" s="8">
        <f t="shared" si="1"/>
        <v>285.43636363636364</v>
      </c>
      <c r="I32" s="8">
        <f t="shared" si="2"/>
        <v>59.563636363636363</v>
      </c>
      <c r="J32" s="9">
        <f t="shared" si="3"/>
        <v>0.20867571182877889</v>
      </c>
      <c r="K32" s="7" t="s">
        <v>16</v>
      </c>
    </row>
    <row r="33" spans="1:11" x14ac:dyDescent="0.25">
      <c r="A33" s="7" t="s">
        <v>69</v>
      </c>
      <c r="B33" s="7" t="s">
        <v>254</v>
      </c>
      <c r="C33" s="7" t="s">
        <v>256</v>
      </c>
      <c r="D33" s="7" t="s">
        <v>15</v>
      </c>
      <c r="E33" s="16">
        <v>345</v>
      </c>
      <c r="F33" s="16">
        <v>313.98</v>
      </c>
      <c r="G33" s="8">
        <f t="shared" si="0"/>
        <v>28.543636363636367</v>
      </c>
      <c r="H33" s="8">
        <f t="shared" si="1"/>
        <v>285.43636363636364</v>
      </c>
      <c r="I33" s="8">
        <f t="shared" si="2"/>
        <v>59.563636363636363</v>
      </c>
      <c r="J33" s="9">
        <f t="shared" si="3"/>
        <v>0.20867571182877889</v>
      </c>
      <c r="K33" s="7" t="s">
        <v>16</v>
      </c>
    </row>
    <row r="34" spans="1:11" x14ac:dyDescent="0.25">
      <c r="A34" s="7" t="s">
        <v>69</v>
      </c>
      <c r="B34" s="7" t="s">
        <v>254</v>
      </c>
      <c r="C34" s="7" t="s">
        <v>257</v>
      </c>
      <c r="D34" s="7" t="s">
        <v>15</v>
      </c>
      <c r="E34" s="16">
        <v>345</v>
      </c>
      <c r="F34" s="16">
        <v>313.98</v>
      </c>
      <c r="G34" s="8">
        <f t="shared" si="0"/>
        <v>28.543636363636367</v>
      </c>
      <c r="H34" s="8">
        <f t="shared" si="1"/>
        <v>285.43636363636364</v>
      </c>
      <c r="I34" s="8">
        <f t="shared" si="2"/>
        <v>59.563636363636363</v>
      </c>
      <c r="J34" s="9">
        <f t="shared" si="3"/>
        <v>0.20867571182877889</v>
      </c>
      <c r="K34" s="7" t="s">
        <v>16</v>
      </c>
    </row>
    <row r="35" spans="1:11" x14ac:dyDescent="0.25">
      <c r="A35" s="7" t="s">
        <v>69</v>
      </c>
      <c r="B35" s="7" t="s">
        <v>254</v>
      </c>
      <c r="C35" s="7" t="s">
        <v>258</v>
      </c>
      <c r="D35" s="7" t="s">
        <v>15</v>
      </c>
      <c r="E35" s="16">
        <v>345</v>
      </c>
      <c r="F35" s="16">
        <v>313.98</v>
      </c>
      <c r="G35" s="8">
        <f t="shared" si="0"/>
        <v>28.543636363636367</v>
      </c>
      <c r="H35" s="8">
        <f t="shared" si="1"/>
        <v>285.43636363636364</v>
      </c>
      <c r="I35" s="8">
        <f t="shared" si="2"/>
        <v>59.563636363636363</v>
      </c>
      <c r="J35" s="9">
        <f t="shared" si="3"/>
        <v>0.20867571182877889</v>
      </c>
      <c r="K35" s="7" t="s">
        <v>16</v>
      </c>
    </row>
    <row r="36" spans="1:11" x14ac:dyDescent="0.25">
      <c r="A36" s="7" t="s">
        <v>69</v>
      </c>
      <c r="B36" s="7" t="s">
        <v>254</v>
      </c>
      <c r="C36" s="7" t="s">
        <v>259</v>
      </c>
      <c r="D36" s="7" t="s">
        <v>15</v>
      </c>
      <c r="E36" s="16">
        <v>345</v>
      </c>
      <c r="F36" s="16">
        <v>313.98</v>
      </c>
      <c r="G36" s="8">
        <f t="shared" si="0"/>
        <v>28.543636363636367</v>
      </c>
      <c r="H36" s="8">
        <f t="shared" si="1"/>
        <v>285.43636363636364</v>
      </c>
      <c r="I36" s="8">
        <f t="shared" si="2"/>
        <v>59.563636363636363</v>
      </c>
      <c r="J36" s="9">
        <f t="shared" si="3"/>
        <v>0.20867571182877889</v>
      </c>
      <c r="K36" s="7" t="s">
        <v>16</v>
      </c>
    </row>
    <row r="37" spans="1:11" x14ac:dyDescent="0.25">
      <c r="A37" s="7" t="s">
        <v>69</v>
      </c>
      <c r="B37" s="7" t="s">
        <v>254</v>
      </c>
      <c r="C37" s="7" t="s">
        <v>260</v>
      </c>
      <c r="D37" s="7" t="s">
        <v>15</v>
      </c>
      <c r="E37" s="16">
        <v>345</v>
      </c>
      <c r="F37" s="16">
        <v>313.98</v>
      </c>
      <c r="G37" s="8">
        <f t="shared" si="0"/>
        <v>28.543636363636367</v>
      </c>
      <c r="H37" s="8">
        <f t="shared" si="1"/>
        <v>285.43636363636364</v>
      </c>
      <c r="I37" s="8">
        <f t="shared" si="2"/>
        <v>59.563636363636363</v>
      </c>
      <c r="J37" s="9">
        <f t="shared" si="3"/>
        <v>0.20867571182877889</v>
      </c>
      <c r="K37" s="7" t="s">
        <v>16</v>
      </c>
    </row>
    <row r="38" spans="1:11" x14ac:dyDescent="0.25">
      <c r="A38" s="7" t="s">
        <v>69</v>
      </c>
      <c r="B38" s="7" t="s">
        <v>254</v>
      </c>
      <c r="C38" s="7" t="s">
        <v>261</v>
      </c>
      <c r="D38" s="7" t="s">
        <v>15</v>
      </c>
      <c r="E38" s="16">
        <v>345</v>
      </c>
      <c r="F38" s="16">
        <v>313.98</v>
      </c>
      <c r="G38" s="8">
        <f t="shared" si="0"/>
        <v>28.543636363636367</v>
      </c>
      <c r="H38" s="8">
        <f t="shared" si="1"/>
        <v>285.43636363636364</v>
      </c>
      <c r="I38" s="8">
        <f t="shared" si="2"/>
        <v>59.563636363636363</v>
      </c>
      <c r="J38" s="9">
        <f t="shared" si="3"/>
        <v>0.20867571182877889</v>
      </c>
      <c r="K38" s="7" t="s">
        <v>16</v>
      </c>
    </row>
    <row r="39" spans="1:11" x14ac:dyDescent="0.25">
      <c r="A39" s="7" t="s">
        <v>69</v>
      </c>
      <c r="B39" s="7" t="s">
        <v>254</v>
      </c>
      <c r="C39" s="7" t="s">
        <v>262</v>
      </c>
      <c r="D39" s="7" t="s">
        <v>15</v>
      </c>
      <c r="E39" s="16">
        <v>345</v>
      </c>
      <c r="F39" s="16">
        <v>313.98</v>
      </c>
      <c r="G39" s="8">
        <f t="shared" si="0"/>
        <v>28.543636363636367</v>
      </c>
      <c r="H39" s="8">
        <f t="shared" si="1"/>
        <v>285.43636363636364</v>
      </c>
      <c r="I39" s="8">
        <f t="shared" si="2"/>
        <v>59.563636363636363</v>
      </c>
      <c r="J39" s="9">
        <f t="shared" si="3"/>
        <v>0.20867571182877889</v>
      </c>
      <c r="K39" s="7" t="s">
        <v>16</v>
      </c>
    </row>
    <row r="40" spans="1:11" x14ac:dyDescent="0.25">
      <c r="A40" s="7" t="s">
        <v>69</v>
      </c>
      <c r="B40" s="7" t="s">
        <v>254</v>
      </c>
      <c r="C40" s="7" t="s">
        <v>263</v>
      </c>
      <c r="D40" s="7" t="s">
        <v>15</v>
      </c>
      <c r="E40" s="16">
        <v>345</v>
      </c>
      <c r="F40" s="16">
        <v>313.98</v>
      </c>
      <c r="G40" s="8">
        <f t="shared" si="0"/>
        <v>28.543636363636367</v>
      </c>
      <c r="H40" s="8">
        <f t="shared" si="1"/>
        <v>285.43636363636364</v>
      </c>
      <c r="I40" s="8">
        <f t="shared" si="2"/>
        <v>59.563636363636363</v>
      </c>
      <c r="J40" s="9">
        <f t="shared" si="3"/>
        <v>0.20867571182877889</v>
      </c>
      <c r="K40" s="7" t="s">
        <v>16</v>
      </c>
    </row>
    <row r="41" spans="1:11" x14ac:dyDescent="0.25">
      <c r="A41" s="7" t="s">
        <v>69</v>
      </c>
      <c r="B41" s="7" t="s">
        <v>254</v>
      </c>
      <c r="C41" s="7" t="s">
        <v>264</v>
      </c>
      <c r="D41" s="7" t="s">
        <v>15</v>
      </c>
      <c r="E41" s="16">
        <v>345</v>
      </c>
      <c r="F41" s="16">
        <v>313.98</v>
      </c>
      <c r="G41" s="8">
        <f t="shared" si="0"/>
        <v>28.543636363636367</v>
      </c>
      <c r="H41" s="8">
        <f t="shared" si="1"/>
        <v>285.43636363636364</v>
      </c>
      <c r="I41" s="8">
        <f t="shared" si="2"/>
        <v>59.563636363636363</v>
      </c>
      <c r="J41" s="9">
        <f t="shared" si="3"/>
        <v>0.20867571182877889</v>
      </c>
      <c r="K41" s="7" t="s">
        <v>16</v>
      </c>
    </row>
    <row r="42" spans="1:11" x14ac:dyDescent="0.25">
      <c r="A42" s="7" t="s">
        <v>69</v>
      </c>
      <c r="B42" s="7" t="s">
        <v>254</v>
      </c>
      <c r="C42" s="7" t="s">
        <v>265</v>
      </c>
      <c r="D42" s="7" t="s">
        <v>15</v>
      </c>
      <c r="E42" s="16">
        <v>345</v>
      </c>
      <c r="F42" s="16">
        <v>313.98</v>
      </c>
      <c r="G42" s="8">
        <f t="shared" si="0"/>
        <v>28.543636363636367</v>
      </c>
      <c r="H42" s="8">
        <f t="shared" si="1"/>
        <v>285.43636363636364</v>
      </c>
      <c r="I42" s="8">
        <f t="shared" si="2"/>
        <v>59.563636363636363</v>
      </c>
      <c r="J42" s="9">
        <f t="shared" si="3"/>
        <v>0.20867571182877889</v>
      </c>
      <c r="K42" s="7" t="s">
        <v>16</v>
      </c>
    </row>
    <row r="43" spans="1:11" x14ac:dyDescent="0.25">
      <c r="A43" s="7" t="s">
        <v>69</v>
      </c>
      <c r="B43" s="7" t="s">
        <v>254</v>
      </c>
      <c r="C43" s="7" t="s">
        <v>266</v>
      </c>
      <c r="D43" s="7" t="s">
        <v>15</v>
      </c>
      <c r="E43" s="16">
        <v>345</v>
      </c>
      <c r="F43" s="16">
        <v>313.98</v>
      </c>
      <c r="G43" s="8">
        <f t="shared" si="0"/>
        <v>28.543636363636367</v>
      </c>
      <c r="H43" s="8">
        <f t="shared" si="1"/>
        <v>285.43636363636364</v>
      </c>
      <c r="I43" s="8">
        <f t="shared" si="2"/>
        <v>59.563636363636363</v>
      </c>
      <c r="J43" s="9">
        <f t="shared" si="3"/>
        <v>0.20867571182877889</v>
      </c>
      <c r="K43" s="7" t="s">
        <v>16</v>
      </c>
    </row>
    <row r="44" spans="1:11" x14ac:dyDescent="0.25">
      <c r="A44" s="7" t="s">
        <v>69</v>
      </c>
      <c r="B44" s="7" t="s">
        <v>254</v>
      </c>
      <c r="C44" s="7" t="s">
        <v>267</v>
      </c>
      <c r="D44" s="7" t="s">
        <v>15</v>
      </c>
      <c r="E44" s="16">
        <v>345</v>
      </c>
      <c r="F44" s="16">
        <v>313.98</v>
      </c>
      <c r="G44" s="8">
        <f t="shared" si="0"/>
        <v>28.543636363636367</v>
      </c>
      <c r="H44" s="8">
        <f t="shared" si="1"/>
        <v>285.43636363636364</v>
      </c>
      <c r="I44" s="8">
        <f t="shared" si="2"/>
        <v>59.563636363636363</v>
      </c>
      <c r="J44" s="9">
        <f t="shared" si="3"/>
        <v>0.20867571182877889</v>
      </c>
      <c r="K44" s="7" t="s">
        <v>16</v>
      </c>
    </row>
    <row r="45" spans="1:11" x14ac:dyDescent="0.25">
      <c r="A45" s="7" t="s">
        <v>69</v>
      </c>
      <c r="B45" s="7" t="s">
        <v>254</v>
      </c>
      <c r="C45" s="7" t="s">
        <v>268</v>
      </c>
      <c r="D45" s="7" t="s">
        <v>15</v>
      </c>
      <c r="E45" s="16">
        <v>345</v>
      </c>
      <c r="F45" s="16">
        <v>313.98</v>
      </c>
      <c r="G45" s="8">
        <f t="shared" si="0"/>
        <v>28.543636363636367</v>
      </c>
      <c r="H45" s="8">
        <f t="shared" si="1"/>
        <v>285.43636363636364</v>
      </c>
      <c r="I45" s="8">
        <f t="shared" si="2"/>
        <v>59.563636363636363</v>
      </c>
      <c r="J45" s="9">
        <f t="shared" si="3"/>
        <v>0.20867571182877889</v>
      </c>
      <c r="K45" s="7" t="s">
        <v>16</v>
      </c>
    </row>
    <row r="46" spans="1:11" x14ac:dyDescent="0.25">
      <c r="A46" s="7" t="s">
        <v>69</v>
      </c>
      <c r="B46" s="7" t="s">
        <v>254</v>
      </c>
      <c r="C46" s="7" t="s">
        <v>269</v>
      </c>
      <c r="D46" s="7" t="s">
        <v>15</v>
      </c>
      <c r="E46" s="16">
        <v>345</v>
      </c>
      <c r="F46" s="16">
        <v>313.98</v>
      </c>
      <c r="G46" s="8">
        <f t="shared" si="0"/>
        <v>28.543636363636367</v>
      </c>
      <c r="H46" s="8">
        <f t="shared" si="1"/>
        <v>285.43636363636364</v>
      </c>
      <c r="I46" s="8">
        <f t="shared" si="2"/>
        <v>59.563636363636363</v>
      </c>
      <c r="J46" s="9">
        <f t="shared" si="3"/>
        <v>0.20867571182877889</v>
      </c>
      <c r="K46" s="7" t="s">
        <v>16</v>
      </c>
    </row>
    <row r="47" spans="1:11" x14ac:dyDescent="0.25">
      <c r="A47" s="7" t="s">
        <v>69</v>
      </c>
      <c r="B47" s="7" t="s">
        <v>254</v>
      </c>
      <c r="C47" s="7" t="s">
        <v>270</v>
      </c>
      <c r="D47" s="7" t="s">
        <v>15</v>
      </c>
      <c r="E47" s="16">
        <v>345</v>
      </c>
      <c r="F47" s="16">
        <v>313.98</v>
      </c>
      <c r="G47" s="8">
        <f t="shared" si="0"/>
        <v>28.543636363636367</v>
      </c>
      <c r="H47" s="8">
        <f t="shared" si="1"/>
        <v>285.43636363636364</v>
      </c>
      <c r="I47" s="8">
        <f t="shared" si="2"/>
        <v>59.563636363636363</v>
      </c>
      <c r="J47" s="9">
        <f t="shared" si="3"/>
        <v>0.20867571182877889</v>
      </c>
      <c r="K47" s="7" t="s">
        <v>16</v>
      </c>
    </row>
    <row r="48" spans="1:11" x14ac:dyDescent="0.25">
      <c r="A48" s="7" t="s">
        <v>69</v>
      </c>
      <c r="B48" s="7" t="s">
        <v>254</v>
      </c>
      <c r="C48" s="7" t="s">
        <v>271</v>
      </c>
      <c r="D48" s="7" t="s">
        <v>15</v>
      </c>
      <c r="E48" s="16">
        <v>345</v>
      </c>
      <c r="F48" s="16">
        <v>313.98</v>
      </c>
      <c r="G48" s="8">
        <f t="shared" si="0"/>
        <v>28.543636363636367</v>
      </c>
      <c r="H48" s="8">
        <f t="shared" si="1"/>
        <v>285.43636363636364</v>
      </c>
      <c r="I48" s="8">
        <f t="shared" si="2"/>
        <v>59.563636363636363</v>
      </c>
      <c r="J48" s="9">
        <f t="shared" si="3"/>
        <v>0.20867571182877889</v>
      </c>
      <c r="K48" s="7" t="s">
        <v>16</v>
      </c>
    </row>
    <row r="49" spans="1:11" x14ac:dyDescent="0.25">
      <c r="A49" s="7" t="s">
        <v>69</v>
      </c>
      <c r="B49" s="7" t="s">
        <v>254</v>
      </c>
      <c r="C49" s="7" t="s">
        <v>272</v>
      </c>
      <c r="D49" s="7" t="s">
        <v>15</v>
      </c>
      <c r="E49" s="16">
        <v>345</v>
      </c>
      <c r="F49" s="16">
        <v>313.98</v>
      </c>
      <c r="G49" s="8">
        <f t="shared" si="0"/>
        <v>28.543636363636367</v>
      </c>
      <c r="H49" s="8">
        <f t="shared" si="1"/>
        <v>285.43636363636364</v>
      </c>
      <c r="I49" s="8">
        <f t="shared" si="2"/>
        <v>59.563636363636363</v>
      </c>
      <c r="J49" s="9">
        <f t="shared" si="3"/>
        <v>0.20867571182877889</v>
      </c>
      <c r="K49" s="7" t="s">
        <v>16</v>
      </c>
    </row>
    <row r="50" spans="1:11" x14ac:dyDescent="0.25">
      <c r="A50" s="7" t="s">
        <v>69</v>
      </c>
      <c r="B50" s="7" t="s">
        <v>254</v>
      </c>
      <c r="C50" s="7" t="s">
        <v>273</v>
      </c>
      <c r="D50" s="7" t="s">
        <v>15</v>
      </c>
      <c r="E50" s="16">
        <v>345</v>
      </c>
      <c r="F50" s="16">
        <v>313.98</v>
      </c>
      <c r="G50" s="8">
        <f t="shared" si="0"/>
        <v>28.543636363636367</v>
      </c>
      <c r="H50" s="8">
        <f t="shared" si="1"/>
        <v>285.43636363636364</v>
      </c>
      <c r="I50" s="8">
        <f t="shared" si="2"/>
        <v>59.563636363636363</v>
      </c>
      <c r="J50" s="9">
        <f t="shared" si="3"/>
        <v>0.20867571182877889</v>
      </c>
      <c r="K50" s="7" t="s">
        <v>16</v>
      </c>
    </row>
    <row r="51" spans="1:11" x14ac:dyDescent="0.25">
      <c r="A51" s="7" t="s">
        <v>69</v>
      </c>
      <c r="B51" s="7" t="s">
        <v>254</v>
      </c>
      <c r="C51" s="7" t="s">
        <v>274</v>
      </c>
      <c r="D51" s="7" t="s">
        <v>15</v>
      </c>
      <c r="E51" s="16">
        <v>345</v>
      </c>
      <c r="F51" s="16">
        <v>313.98</v>
      </c>
      <c r="G51" s="8">
        <f t="shared" si="0"/>
        <v>28.543636363636367</v>
      </c>
      <c r="H51" s="8">
        <f t="shared" si="1"/>
        <v>285.43636363636364</v>
      </c>
      <c r="I51" s="8">
        <f t="shared" si="2"/>
        <v>59.563636363636363</v>
      </c>
      <c r="J51" s="9">
        <f t="shared" si="3"/>
        <v>0.20867571182877889</v>
      </c>
      <c r="K51" s="7" t="s">
        <v>16</v>
      </c>
    </row>
    <row r="52" spans="1:11" x14ac:dyDescent="0.25">
      <c r="A52" s="7" t="s">
        <v>69</v>
      </c>
      <c r="B52" s="7" t="s">
        <v>254</v>
      </c>
      <c r="C52" s="7" t="s">
        <v>275</v>
      </c>
      <c r="D52" s="7" t="s">
        <v>15</v>
      </c>
      <c r="E52" s="16">
        <v>345</v>
      </c>
      <c r="F52" s="16">
        <v>313.98</v>
      </c>
      <c r="G52" s="8">
        <f t="shared" si="0"/>
        <v>28.543636363636367</v>
      </c>
      <c r="H52" s="8">
        <f t="shared" si="1"/>
        <v>285.43636363636364</v>
      </c>
      <c r="I52" s="8">
        <f t="shared" si="2"/>
        <v>59.563636363636363</v>
      </c>
      <c r="J52" s="9">
        <f t="shared" si="3"/>
        <v>0.20867571182877889</v>
      </c>
      <c r="K52" s="7" t="s">
        <v>16</v>
      </c>
    </row>
    <row r="53" spans="1:11" x14ac:dyDescent="0.25">
      <c r="A53" s="7" t="s">
        <v>69</v>
      </c>
      <c r="B53" s="7" t="s">
        <v>254</v>
      </c>
      <c r="C53" s="7" t="s">
        <v>276</v>
      </c>
      <c r="D53" s="7" t="s">
        <v>15</v>
      </c>
      <c r="E53" s="16">
        <v>345</v>
      </c>
      <c r="F53" s="16">
        <v>313.98</v>
      </c>
      <c r="G53" s="8">
        <f t="shared" si="0"/>
        <v>28.543636363636367</v>
      </c>
      <c r="H53" s="8">
        <f t="shared" si="1"/>
        <v>285.43636363636364</v>
      </c>
      <c r="I53" s="8">
        <f t="shared" si="2"/>
        <v>59.563636363636363</v>
      </c>
      <c r="J53" s="9">
        <f t="shared" si="3"/>
        <v>0.20867571182877889</v>
      </c>
      <c r="K53" s="7" t="s">
        <v>16</v>
      </c>
    </row>
    <row r="54" spans="1:11" x14ac:dyDescent="0.25">
      <c r="A54" s="7" t="s">
        <v>69</v>
      </c>
      <c r="B54" s="7" t="s">
        <v>254</v>
      </c>
      <c r="C54" s="7" t="s">
        <v>277</v>
      </c>
      <c r="D54" s="7" t="s">
        <v>15</v>
      </c>
      <c r="E54" s="16">
        <v>345</v>
      </c>
      <c r="F54" s="16">
        <v>313.98</v>
      </c>
      <c r="G54" s="8">
        <f t="shared" si="0"/>
        <v>28.543636363636367</v>
      </c>
      <c r="H54" s="8">
        <f t="shared" si="1"/>
        <v>285.43636363636364</v>
      </c>
      <c r="I54" s="8">
        <f t="shared" si="2"/>
        <v>59.563636363636363</v>
      </c>
      <c r="J54" s="9">
        <f t="shared" si="3"/>
        <v>0.20867571182877889</v>
      </c>
      <c r="K54" s="7" t="s">
        <v>16</v>
      </c>
    </row>
    <row r="55" spans="1:11" x14ac:dyDescent="0.25">
      <c r="A55" s="7" t="s">
        <v>69</v>
      </c>
      <c r="B55" s="7" t="s">
        <v>254</v>
      </c>
      <c r="C55" s="7" t="s">
        <v>278</v>
      </c>
      <c r="D55" s="7" t="s">
        <v>15</v>
      </c>
      <c r="E55" s="16">
        <v>345</v>
      </c>
      <c r="F55" s="16">
        <v>313.98</v>
      </c>
      <c r="G55" s="8">
        <f t="shared" si="0"/>
        <v>28.543636363636367</v>
      </c>
      <c r="H55" s="8">
        <f t="shared" si="1"/>
        <v>285.43636363636364</v>
      </c>
      <c r="I55" s="8">
        <f t="shared" si="2"/>
        <v>59.563636363636363</v>
      </c>
      <c r="J55" s="9">
        <f t="shared" si="3"/>
        <v>0.20867571182877889</v>
      </c>
      <c r="K55" s="7" t="s">
        <v>16</v>
      </c>
    </row>
    <row r="56" spans="1:11" x14ac:dyDescent="0.25">
      <c r="A56" s="7" t="s">
        <v>69</v>
      </c>
      <c r="B56" s="7" t="s">
        <v>254</v>
      </c>
      <c r="C56" s="7" t="s">
        <v>279</v>
      </c>
      <c r="D56" s="7" t="s">
        <v>15</v>
      </c>
      <c r="E56" s="16">
        <v>345</v>
      </c>
      <c r="F56" s="16">
        <v>313.98</v>
      </c>
      <c r="G56" s="8">
        <f t="shared" si="0"/>
        <v>28.543636363636367</v>
      </c>
      <c r="H56" s="8">
        <f t="shared" si="1"/>
        <v>285.43636363636364</v>
      </c>
      <c r="I56" s="8">
        <f t="shared" si="2"/>
        <v>59.563636363636363</v>
      </c>
      <c r="J56" s="9">
        <f t="shared" si="3"/>
        <v>0.20867571182877889</v>
      </c>
      <c r="K56" s="7" t="s">
        <v>16</v>
      </c>
    </row>
    <row r="57" spans="1:11" x14ac:dyDescent="0.25">
      <c r="A57" s="7" t="s">
        <v>69</v>
      </c>
      <c r="B57" s="7" t="s">
        <v>254</v>
      </c>
      <c r="C57" s="7" t="s">
        <v>280</v>
      </c>
      <c r="D57" s="7" t="s">
        <v>15</v>
      </c>
      <c r="E57" s="16">
        <v>345</v>
      </c>
      <c r="F57" s="16">
        <v>313.98</v>
      </c>
      <c r="G57" s="8">
        <f t="shared" si="0"/>
        <v>28.543636363636367</v>
      </c>
      <c r="H57" s="8">
        <f t="shared" si="1"/>
        <v>285.43636363636364</v>
      </c>
      <c r="I57" s="8">
        <f t="shared" si="2"/>
        <v>59.563636363636363</v>
      </c>
      <c r="J57" s="9">
        <f t="shared" si="3"/>
        <v>0.20867571182877889</v>
      </c>
      <c r="K57" s="7" t="s">
        <v>16</v>
      </c>
    </row>
    <row r="58" spans="1:11" x14ac:dyDescent="0.25">
      <c r="A58" s="7" t="s">
        <v>69</v>
      </c>
      <c r="B58" s="7" t="s">
        <v>254</v>
      </c>
      <c r="C58" s="7" t="s">
        <v>281</v>
      </c>
      <c r="D58" s="7" t="s">
        <v>15</v>
      </c>
      <c r="E58" s="16">
        <v>345</v>
      </c>
      <c r="F58" s="16">
        <v>313.98</v>
      </c>
      <c r="G58" s="8">
        <f t="shared" si="0"/>
        <v>28.543636363636367</v>
      </c>
      <c r="H58" s="8">
        <f t="shared" si="1"/>
        <v>285.43636363636364</v>
      </c>
      <c r="I58" s="8">
        <f t="shared" si="2"/>
        <v>59.563636363636363</v>
      </c>
      <c r="J58" s="9">
        <f t="shared" si="3"/>
        <v>0.20867571182877889</v>
      </c>
      <c r="K58" s="7" t="s">
        <v>16</v>
      </c>
    </row>
    <row r="59" spans="1:11" x14ac:dyDescent="0.25">
      <c r="A59" s="7" t="s">
        <v>69</v>
      </c>
      <c r="B59" s="7" t="s">
        <v>254</v>
      </c>
      <c r="C59" s="7" t="s">
        <v>282</v>
      </c>
      <c r="D59" s="7" t="s">
        <v>15</v>
      </c>
      <c r="E59" s="16">
        <v>345</v>
      </c>
      <c r="F59" s="16">
        <v>313.98</v>
      </c>
      <c r="G59" s="8">
        <f t="shared" si="0"/>
        <v>28.543636363636367</v>
      </c>
      <c r="H59" s="8">
        <f t="shared" si="1"/>
        <v>285.43636363636364</v>
      </c>
      <c r="I59" s="8">
        <f t="shared" si="2"/>
        <v>59.563636363636363</v>
      </c>
      <c r="J59" s="9">
        <f t="shared" si="3"/>
        <v>0.20867571182877889</v>
      </c>
      <c r="K59" s="7" t="s">
        <v>16</v>
      </c>
    </row>
    <row r="60" spans="1:11" x14ac:dyDescent="0.25">
      <c r="A60" s="7" t="s">
        <v>69</v>
      </c>
      <c r="B60" s="7" t="s">
        <v>254</v>
      </c>
      <c r="C60" s="7" t="s">
        <v>283</v>
      </c>
      <c r="D60" s="7" t="s">
        <v>15</v>
      </c>
      <c r="E60" s="16">
        <v>345</v>
      </c>
      <c r="F60" s="16">
        <v>313.98</v>
      </c>
      <c r="G60" s="8">
        <f t="shared" si="0"/>
        <v>28.543636363636367</v>
      </c>
      <c r="H60" s="8">
        <f t="shared" si="1"/>
        <v>285.43636363636364</v>
      </c>
      <c r="I60" s="8">
        <f t="shared" si="2"/>
        <v>59.563636363636363</v>
      </c>
      <c r="J60" s="9">
        <f t="shared" si="3"/>
        <v>0.20867571182877889</v>
      </c>
      <c r="K60" s="7" t="s">
        <v>16</v>
      </c>
    </row>
    <row r="61" spans="1:11" x14ac:dyDescent="0.25">
      <c r="A61" s="7" t="s">
        <v>69</v>
      </c>
      <c r="B61" s="7" t="s">
        <v>254</v>
      </c>
      <c r="C61" s="7" t="s">
        <v>284</v>
      </c>
      <c r="D61" s="7" t="s">
        <v>15</v>
      </c>
      <c r="E61" s="16">
        <v>345</v>
      </c>
      <c r="F61" s="16">
        <v>313.98</v>
      </c>
      <c r="G61" s="8">
        <f t="shared" si="0"/>
        <v>28.543636363636367</v>
      </c>
      <c r="H61" s="8">
        <f t="shared" si="1"/>
        <v>285.43636363636364</v>
      </c>
      <c r="I61" s="8">
        <f t="shared" si="2"/>
        <v>59.563636363636363</v>
      </c>
      <c r="J61" s="9">
        <f t="shared" si="3"/>
        <v>0.20867571182877889</v>
      </c>
      <c r="K61" s="7" t="s">
        <v>16</v>
      </c>
    </row>
    <row r="62" spans="1:11" x14ac:dyDescent="0.25">
      <c r="A62" s="7" t="s">
        <v>69</v>
      </c>
      <c r="B62" s="7" t="s">
        <v>254</v>
      </c>
      <c r="C62" s="7" t="s">
        <v>285</v>
      </c>
      <c r="D62" s="7" t="s">
        <v>15</v>
      </c>
      <c r="E62" s="16">
        <v>345</v>
      </c>
      <c r="F62" s="16">
        <v>313.98</v>
      </c>
      <c r="G62" s="8">
        <f t="shared" si="0"/>
        <v>28.543636363636367</v>
      </c>
      <c r="H62" s="8">
        <f t="shared" si="1"/>
        <v>285.43636363636364</v>
      </c>
      <c r="I62" s="8">
        <f t="shared" si="2"/>
        <v>59.563636363636363</v>
      </c>
      <c r="J62" s="9">
        <f t="shared" si="3"/>
        <v>0.20867571182877889</v>
      </c>
      <c r="K62" s="7" t="s">
        <v>16</v>
      </c>
    </row>
    <row r="63" spans="1:11" x14ac:dyDescent="0.25">
      <c r="A63" s="7" t="s">
        <v>69</v>
      </c>
      <c r="B63" s="7" t="s">
        <v>254</v>
      </c>
      <c r="C63" s="7" t="s">
        <v>286</v>
      </c>
      <c r="D63" s="7" t="s">
        <v>15</v>
      </c>
      <c r="E63" s="16">
        <v>345</v>
      </c>
      <c r="F63" s="16">
        <v>313.98</v>
      </c>
      <c r="G63" s="8">
        <f t="shared" si="0"/>
        <v>28.543636363636367</v>
      </c>
      <c r="H63" s="8">
        <f t="shared" si="1"/>
        <v>285.43636363636364</v>
      </c>
      <c r="I63" s="8">
        <f t="shared" si="2"/>
        <v>59.563636363636363</v>
      </c>
      <c r="J63" s="9">
        <f t="shared" si="3"/>
        <v>0.20867571182877889</v>
      </c>
      <c r="K63" s="7" t="s">
        <v>16</v>
      </c>
    </row>
    <row r="64" spans="1:11" x14ac:dyDescent="0.25">
      <c r="A64" s="7" t="s">
        <v>69</v>
      </c>
      <c r="B64" s="7" t="s">
        <v>254</v>
      </c>
      <c r="C64" s="7" t="s">
        <v>287</v>
      </c>
      <c r="D64" s="7" t="s">
        <v>15</v>
      </c>
      <c r="E64" s="16">
        <v>345</v>
      </c>
      <c r="F64" s="16">
        <v>313.98</v>
      </c>
      <c r="G64" s="8">
        <f t="shared" si="0"/>
        <v>28.543636363636367</v>
      </c>
      <c r="H64" s="8">
        <f t="shared" si="1"/>
        <v>285.43636363636364</v>
      </c>
      <c r="I64" s="8">
        <f t="shared" si="2"/>
        <v>59.563636363636363</v>
      </c>
      <c r="J64" s="9">
        <f t="shared" si="3"/>
        <v>0.20867571182877889</v>
      </c>
      <c r="K64" s="7" t="s">
        <v>16</v>
      </c>
    </row>
    <row r="65" spans="1:11" x14ac:dyDescent="0.25">
      <c r="A65" s="7" t="s">
        <v>300</v>
      </c>
      <c r="B65" s="7" t="s">
        <v>72</v>
      </c>
      <c r="C65" s="7" t="s">
        <v>303</v>
      </c>
      <c r="D65" s="7" t="s">
        <v>15</v>
      </c>
      <c r="E65" s="16">
        <v>940</v>
      </c>
      <c r="F65" s="16">
        <v>994.18</v>
      </c>
      <c r="G65" s="8">
        <f t="shared" si="0"/>
        <v>90.38</v>
      </c>
      <c r="H65" s="8">
        <f t="shared" si="1"/>
        <v>903.8</v>
      </c>
      <c r="I65" s="8">
        <f t="shared" si="2"/>
        <v>36.200000000000045</v>
      </c>
      <c r="J65" s="9">
        <f t="shared" si="3"/>
        <v>4.0053109094932558E-2</v>
      </c>
      <c r="K65" s="7" t="s">
        <v>16</v>
      </c>
    </row>
    <row r="66" spans="1:11" x14ac:dyDescent="0.25">
      <c r="A66" s="7" t="s">
        <v>300</v>
      </c>
      <c r="B66" s="7" t="s">
        <v>72</v>
      </c>
      <c r="C66" s="7" t="s">
        <v>304</v>
      </c>
      <c r="D66" s="7" t="s">
        <v>15</v>
      </c>
      <c r="E66" s="16">
        <v>940</v>
      </c>
      <c r="F66" s="16">
        <v>994.18</v>
      </c>
      <c r="G66" s="8">
        <f t="shared" si="0"/>
        <v>90.38</v>
      </c>
      <c r="H66" s="8">
        <f t="shared" si="1"/>
        <v>903.8</v>
      </c>
      <c r="I66" s="8">
        <f t="shared" si="2"/>
        <v>36.200000000000045</v>
      </c>
      <c r="J66" s="9">
        <f t="shared" si="3"/>
        <v>4.0053109094932558E-2</v>
      </c>
      <c r="K66" s="7" t="s">
        <v>16</v>
      </c>
    </row>
    <row r="67" spans="1:11" x14ac:dyDescent="0.25">
      <c r="A67" s="7" t="s">
        <v>300</v>
      </c>
      <c r="B67" s="7" t="s">
        <v>72</v>
      </c>
      <c r="C67" s="7" t="s">
        <v>305</v>
      </c>
      <c r="D67" s="7" t="s">
        <v>15</v>
      </c>
      <c r="E67" s="16">
        <v>940</v>
      </c>
      <c r="F67" s="16">
        <v>994.18</v>
      </c>
      <c r="G67" s="8">
        <f t="shared" ref="G67:G130" si="4">F67/11</f>
        <v>90.38</v>
      </c>
      <c r="H67" s="8">
        <f t="shared" ref="H67:H130" si="5">F67-G67</f>
        <v>903.8</v>
      </c>
      <c r="I67" s="8">
        <f t="shared" ref="I67:I130" si="6">E67-H67</f>
        <v>36.200000000000045</v>
      </c>
      <c r="J67" s="9">
        <f t="shared" ref="J67:J130" si="7">(E67-H67)/H67</f>
        <v>4.0053109094932558E-2</v>
      </c>
      <c r="K67" s="7" t="s">
        <v>16</v>
      </c>
    </row>
    <row r="68" spans="1:11" x14ac:dyDescent="0.25">
      <c r="A68" s="7" t="s">
        <v>300</v>
      </c>
      <c r="B68" s="7" t="s">
        <v>72</v>
      </c>
      <c r="C68" s="7" t="s">
        <v>306</v>
      </c>
      <c r="D68" s="7" t="s">
        <v>15</v>
      </c>
      <c r="E68" s="16">
        <v>940</v>
      </c>
      <c r="F68" s="16">
        <v>1008</v>
      </c>
      <c r="G68" s="8">
        <f t="shared" si="4"/>
        <v>91.63636363636364</v>
      </c>
      <c r="H68" s="8">
        <f t="shared" si="5"/>
        <v>916.36363636363637</v>
      </c>
      <c r="I68" s="8">
        <f t="shared" si="6"/>
        <v>23.636363636363626</v>
      </c>
      <c r="J68" s="9">
        <f t="shared" si="7"/>
        <v>2.5793650793650782E-2</v>
      </c>
      <c r="K68" s="7" t="s">
        <v>81</v>
      </c>
    </row>
    <row r="69" spans="1:11" x14ac:dyDescent="0.25">
      <c r="A69" s="7" t="s">
        <v>300</v>
      </c>
      <c r="B69" s="7" t="s">
        <v>72</v>
      </c>
      <c r="C69" s="7" t="s">
        <v>307</v>
      </c>
      <c r="D69" s="7" t="s">
        <v>15</v>
      </c>
      <c r="E69" s="16">
        <v>940</v>
      </c>
      <c r="F69" s="16">
        <v>1008</v>
      </c>
      <c r="G69" s="8">
        <f t="shared" si="4"/>
        <v>91.63636363636364</v>
      </c>
      <c r="H69" s="8">
        <f t="shared" si="5"/>
        <v>916.36363636363637</v>
      </c>
      <c r="I69" s="8">
        <f t="shared" si="6"/>
        <v>23.636363636363626</v>
      </c>
      <c r="J69" s="9">
        <f t="shared" si="7"/>
        <v>2.5793650793650782E-2</v>
      </c>
      <c r="K69" s="7" t="s">
        <v>81</v>
      </c>
    </row>
    <row r="70" spans="1:11" x14ac:dyDescent="0.25">
      <c r="A70" s="7" t="s">
        <v>300</v>
      </c>
      <c r="B70" s="7" t="s">
        <v>72</v>
      </c>
      <c r="C70" s="7" t="s">
        <v>308</v>
      </c>
      <c r="D70" s="7" t="s">
        <v>15</v>
      </c>
      <c r="E70" s="16">
        <v>940</v>
      </c>
      <c r="F70" s="16">
        <v>994.18</v>
      </c>
      <c r="G70" s="8">
        <f t="shared" si="4"/>
        <v>90.38</v>
      </c>
      <c r="H70" s="8">
        <f t="shared" si="5"/>
        <v>903.8</v>
      </c>
      <c r="I70" s="8">
        <f t="shared" si="6"/>
        <v>36.200000000000045</v>
      </c>
      <c r="J70" s="9">
        <f t="shared" si="7"/>
        <v>4.0053109094932558E-2</v>
      </c>
      <c r="K70" s="7" t="s">
        <v>16</v>
      </c>
    </row>
    <row r="71" spans="1:11" x14ac:dyDescent="0.25">
      <c r="A71" s="7" t="s">
        <v>300</v>
      </c>
      <c r="B71" s="7" t="s">
        <v>72</v>
      </c>
      <c r="C71" s="7" t="s">
        <v>309</v>
      </c>
      <c r="D71" s="7" t="s">
        <v>15</v>
      </c>
      <c r="E71" s="16">
        <v>940</v>
      </c>
      <c r="F71" s="16">
        <v>1008</v>
      </c>
      <c r="G71" s="8">
        <f t="shared" si="4"/>
        <v>91.63636363636364</v>
      </c>
      <c r="H71" s="8">
        <f t="shared" si="5"/>
        <v>916.36363636363637</v>
      </c>
      <c r="I71" s="8">
        <f t="shared" si="6"/>
        <v>23.636363636363626</v>
      </c>
      <c r="J71" s="9">
        <f t="shared" si="7"/>
        <v>2.5793650793650782E-2</v>
      </c>
      <c r="K71" s="7" t="s">
        <v>81</v>
      </c>
    </row>
    <row r="72" spans="1:11" x14ac:dyDescent="0.25">
      <c r="A72" s="7" t="s">
        <v>300</v>
      </c>
      <c r="B72" s="7" t="s">
        <v>72</v>
      </c>
      <c r="C72" s="7" t="s">
        <v>310</v>
      </c>
      <c r="D72" s="7" t="s">
        <v>15</v>
      </c>
      <c r="E72" s="16">
        <v>940</v>
      </c>
      <c r="F72" s="16">
        <v>994.18</v>
      </c>
      <c r="G72" s="8">
        <f t="shared" si="4"/>
        <v>90.38</v>
      </c>
      <c r="H72" s="8">
        <f t="shared" si="5"/>
        <v>903.8</v>
      </c>
      <c r="I72" s="8">
        <f t="shared" si="6"/>
        <v>36.200000000000045</v>
      </c>
      <c r="J72" s="9">
        <f t="shared" si="7"/>
        <v>4.0053109094932558E-2</v>
      </c>
      <c r="K72" s="7" t="s">
        <v>16</v>
      </c>
    </row>
    <row r="73" spans="1:11" x14ac:dyDescent="0.25">
      <c r="A73" s="7" t="s">
        <v>300</v>
      </c>
      <c r="B73" s="7" t="s">
        <v>72</v>
      </c>
      <c r="C73" s="7" t="s">
        <v>311</v>
      </c>
      <c r="D73" s="7" t="s">
        <v>15</v>
      </c>
      <c r="E73" s="16">
        <v>940</v>
      </c>
      <c r="F73" s="16">
        <v>1008</v>
      </c>
      <c r="G73" s="8">
        <f t="shared" si="4"/>
        <v>91.63636363636364</v>
      </c>
      <c r="H73" s="8">
        <f t="shared" si="5"/>
        <v>916.36363636363637</v>
      </c>
      <c r="I73" s="8">
        <f t="shared" si="6"/>
        <v>23.636363636363626</v>
      </c>
      <c r="J73" s="9">
        <f t="shared" si="7"/>
        <v>2.5793650793650782E-2</v>
      </c>
      <c r="K73" s="7" t="s">
        <v>81</v>
      </c>
    </row>
    <row r="74" spans="1:11" x14ac:dyDescent="0.25">
      <c r="A74" s="7" t="s">
        <v>300</v>
      </c>
      <c r="B74" s="7" t="s">
        <v>72</v>
      </c>
      <c r="C74" s="7" t="s">
        <v>312</v>
      </c>
      <c r="D74" s="7" t="s">
        <v>15</v>
      </c>
      <c r="E74" s="16">
        <v>940</v>
      </c>
      <c r="F74" s="16">
        <v>1008</v>
      </c>
      <c r="G74" s="8">
        <f t="shared" si="4"/>
        <v>91.63636363636364</v>
      </c>
      <c r="H74" s="8">
        <f t="shared" si="5"/>
        <v>916.36363636363637</v>
      </c>
      <c r="I74" s="8">
        <f t="shared" si="6"/>
        <v>23.636363636363626</v>
      </c>
      <c r="J74" s="9">
        <f t="shared" si="7"/>
        <v>2.5793650793650782E-2</v>
      </c>
      <c r="K74" s="7" t="s">
        <v>81</v>
      </c>
    </row>
    <row r="75" spans="1:11" x14ac:dyDescent="0.25">
      <c r="A75" s="7" t="s">
        <v>300</v>
      </c>
      <c r="B75" s="7" t="s">
        <v>72</v>
      </c>
      <c r="C75" s="7" t="s">
        <v>313</v>
      </c>
      <c r="D75" s="7" t="s">
        <v>15</v>
      </c>
      <c r="E75" s="16">
        <v>940</v>
      </c>
      <c r="F75" s="16">
        <v>994.18</v>
      </c>
      <c r="G75" s="8">
        <f t="shared" si="4"/>
        <v>90.38</v>
      </c>
      <c r="H75" s="8">
        <f t="shared" si="5"/>
        <v>903.8</v>
      </c>
      <c r="I75" s="8">
        <f t="shared" si="6"/>
        <v>36.200000000000045</v>
      </c>
      <c r="J75" s="9">
        <f t="shared" si="7"/>
        <v>4.0053109094932558E-2</v>
      </c>
      <c r="K75" s="7" t="s">
        <v>16</v>
      </c>
    </row>
    <row r="76" spans="1:11" x14ac:dyDescent="0.25">
      <c r="A76" s="7" t="s">
        <v>300</v>
      </c>
      <c r="B76" s="7" t="s">
        <v>72</v>
      </c>
      <c r="C76" s="7" t="s">
        <v>314</v>
      </c>
      <c r="D76" s="7" t="s">
        <v>15</v>
      </c>
      <c r="E76" s="16">
        <v>940</v>
      </c>
      <c r="F76" s="16">
        <v>1008</v>
      </c>
      <c r="G76" s="8">
        <f t="shared" si="4"/>
        <v>91.63636363636364</v>
      </c>
      <c r="H76" s="8">
        <f t="shared" si="5"/>
        <v>916.36363636363637</v>
      </c>
      <c r="I76" s="8">
        <f t="shared" si="6"/>
        <v>23.636363636363626</v>
      </c>
      <c r="J76" s="9">
        <f t="shared" si="7"/>
        <v>2.5793650793650782E-2</v>
      </c>
      <c r="K76" s="7" t="s">
        <v>81</v>
      </c>
    </row>
    <row r="77" spans="1:11" x14ac:dyDescent="0.25">
      <c r="A77" s="7" t="s">
        <v>300</v>
      </c>
      <c r="B77" s="7" t="s">
        <v>72</v>
      </c>
      <c r="C77" s="7" t="s">
        <v>315</v>
      </c>
      <c r="D77" s="7" t="s">
        <v>15</v>
      </c>
      <c r="E77" s="16">
        <v>940</v>
      </c>
      <c r="F77" s="16">
        <v>1008</v>
      </c>
      <c r="G77" s="8">
        <f t="shared" si="4"/>
        <v>91.63636363636364</v>
      </c>
      <c r="H77" s="8">
        <f t="shared" si="5"/>
        <v>916.36363636363637</v>
      </c>
      <c r="I77" s="8">
        <f t="shared" si="6"/>
        <v>23.636363636363626</v>
      </c>
      <c r="J77" s="9">
        <f t="shared" si="7"/>
        <v>2.5793650793650782E-2</v>
      </c>
      <c r="K77" s="7" t="s">
        <v>81</v>
      </c>
    </row>
    <row r="78" spans="1:11" x14ac:dyDescent="0.25">
      <c r="A78" s="7" t="s">
        <v>300</v>
      </c>
      <c r="B78" s="7" t="s">
        <v>72</v>
      </c>
      <c r="C78" s="7" t="s">
        <v>316</v>
      </c>
      <c r="D78" s="7" t="s">
        <v>15</v>
      </c>
      <c r="E78" s="16">
        <v>940</v>
      </c>
      <c r="F78" s="16">
        <v>1008</v>
      </c>
      <c r="G78" s="8">
        <f t="shared" si="4"/>
        <v>91.63636363636364</v>
      </c>
      <c r="H78" s="8">
        <f t="shared" si="5"/>
        <v>916.36363636363637</v>
      </c>
      <c r="I78" s="8">
        <f t="shared" si="6"/>
        <v>23.636363636363626</v>
      </c>
      <c r="J78" s="9">
        <f t="shared" si="7"/>
        <v>2.5793650793650782E-2</v>
      </c>
      <c r="K78" s="7" t="s">
        <v>81</v>
      </c>
    </row>
    <row r="79" spans="1:11" x14ac:dyDescent="0.25">
      <c r="A79" s="7" t="s">
        <v>300</v>
      </c>
      <c r="B79" s="7" t="s">
        <v>72</v>
      </c>
      <c r="C79" s="7" t="s">
        <v>317</v>
      </c>
      <c r="D79" s="7" t="s">
        <v>15</v>
      </c>
      <c r="E79" s="16">
        <v>940</v>
      </c>
      <c r="F79" s="16">
        <v>994.18</v>
      </c>
      <c r="G79" s="8">
        <f t="shared" si="4"/>
        <v>90.38</v>
      </c>
      <c r="H79" s="8">
        <f t="shared" si="5"/>
        <v>903.8</v>
      </c>
      <c r="I79" s="8">
        <f t="shared" si="6"/>
        <v>36.200000000000045</v>
      </c>
      <c r="J79" s="9">
        <f t="shared" si="7"/>
        <v>4.0053109094932558E-2</v>
      </c>
      <c r="K79" s="7" t="s">
        <v>16</v>
      </c>
    </row>
    <row r="80" spans="1:11" x14ac:dyDescent="0.25">
      <c r="A80" s="7" t="s">
        <v>300</v>
      </c>
      <c r="B80" s="7" t="s">
        <v>72</v>
      </c>
      <c r="C80" s="7" t="s">
        <v>318</v>
      </c>
      <c r="D80" s="7" t="s">
        <v>15</v>
      </c>
      <c r="E80" s="16">
        <v>940</v>
      </c>
      <c r="F80" s="16">
        <v>1008</v>
      </c>
      <c r="G80" s="8">
        <f t="shared" si="4"/>
        <v>91.63636363636364</v>
      </c>
      <c r="H80" s="8">
        <f t="shared" si="5"/>
        <v>916.36363636363637</v>
      </c>
      <c r="I80" s="8">
        <f t="shared" si="6"/>
        <v>23.636363636363626</v>
      </c>
      <c r="J80" s="9">
        <f t="shared" si="7"/>
        <v>2.5793650793650782E-2</v>
      </c>
      <c r="K80" s="7" t="s">
        <v>81</v>
      </c>
    </row>
    <row r="81" spans="1:11" x14ac:dyDescent="0.25">
      <c r="A81" s="7" t="s">
        <v>300</v>
      </c>
      <c r="B81" s="7" t="s">
        <v>72</v>
      </c>
      <c r="C81" s="7" t="s">
        <v>319</v>
      </c>
      <c r="D81" s="7" t="s">
        <v>15</v>
      </c>
      <c r="E81" s="16">
        <v>940</v>
      </c>
      <c r="F81" s="16">
        <v>1008</v>
      </c>
      <c r="G81" s="8">
        <f t="shared" si="4"/>
        <v>91.63636363636364</v>
      </c>
      <c r="H81" s="8">
        <f t="shared" si="5"/>
        <v>916.36363636363637</v>
      </c>
      <c r="I81" s="8">
        <f t="shared" si="6"/>
        <v>23.636363636363626</v>
      </c>
      <c r="J81" s="9">
        <f t="shared" si="7"/>
        <v>2.5793650793650782E-2</v>
      </c>
      <c r="K81" s="7" t="s">
        <v>81</v>
      </c>
    </row>
    <row r="82" spans="1:11" x14ac:dyDescent="0.25">
      <c r="A82" s="7" t="s">
        <v>300</v>
      </c>
      <c r="B82" s="7" t="s">
        <v>72</v>
      </c>
      <c r="C82" s="7" t="s">
        <v>320</v>
      </c>
      <c r="D82" s="7" t="s">
        <v>15</v>
      </c>
      <c r="E82" s="16">
        <v>940</v>
      </c>
      <c r="F82" s="16">
        <v>1008</v>
      </c>
      <c r="G82" s="8">
        <f t="shared" si="4"/>
        <v>91.63636363636364</v>
      </c>
      <c r="H82" s="8">
        <f t="shared" si="5"/>
        <v>916.36363636363637</v>
      </c>
      <c r="I82" s="8">
        <f t="shared" si="6"/>
        <v>23.636363636363626</v>
      </c>
      <c r="J82" s="9">
        <f t="shared" si="7"/>
        <v>2.5793650793650782E-2</v>
      </c>
      <c r="K82" s="7" t="s">
        <v>81</v>
      </c>
    </row>
    <row r="83" spans="1:11" x14ac:dyDescent="0.25">
      <c r="A83" s="7" t="s">
        <v>300</v>
      </c>
      <c r="B83" s="7" t="s">
        <v>72</v>
      </c>
      <c r="C83" s="7" t="s">
        <v>321</v>
      </c>
      <c r="D83" s="7" t="s">
        <v>15</v>
      </c>
      <c r="E83" s="16">
        <v>940</v>
      </c>
      <c r="F83" s="16">
        <v>994.18</v>
      </c>
      <c r="G83" s="8">
        <f t="shared" si="4"/>
        <v>90.38</v>
      </c>
      <c r="H83" s="8">
        <f t="shared" si="5"/>
        <v>903.8</v>
      </c>
      <c r="I83" s="8">
        <f t="shared" si="6"/>
        <v>36.200000000000045</v>
      </c>
      <c r="J83" s="9">
        <f t="shared" si="7"/>
        <v>4.0053109094932558E-2</v>
      </c>
      <c r="K83" s="7" t="s">
        <v>16</v>
      </c>
    </row>
    <row r="84" spans="1:11" x14ac:dyDescent="0.25">
      <c r="A84" s="7" t="s">
        <v>300</v>
      </c>
      <c r="B84" s="7" t="s">
        <v>72</v>
      </c>
      <c r="C84" s="7" t="s">
        <v>322</v>
      </c>
      <c r="D84" s="7" t="s">
        <v>15</v>
      </c>
      <c r="E84" s="16">
        <v>940</v>
      </c>
      <c r="F84" s="16">
        <v>1008</v>
      </c>
      <c r="G84" s="8">
        <f t="shared" si="4"/>
        <v>91.63636363636364</v>
      </c>
      <c r="H84" s="8">
        <f t="shared" si="5"/>
        <v>916.36363636363637</v>
      </c>
      <c r="I84" s="8">
        <f t="shared" si="6"/>
        <v>23.636363636363626</v>
      </c>
      <c r="J84" s="9">
        <f t="shared" si="7"/>
        <v>2.5793650793650782E-2</v>
      </c>
      <c r="K84" s="7" t="s">
        <v>81</v>
      </c>
    </row>
    <row r="85" spans="1:11" x14ac:dyDescent="0.25">
      <c r="A85" s="7" t="s">
        <v>300</v>
      </c>
      <c r="B85" s="7" t="s">
        <v>72</v>
      </c>
      <c r="C85" s="7" t="s">
        <v>323</v>
      </c>
      <c r="D85" s="7" t="s">
        <v>15</v>
      </c>
      <c r="E85" s="16">
        <v>940</v>
      </c>
      <c r="F85" s="16">
        <v>1008</v>
      </c>
      <c r="G85" s="8">
        <f t="shared" si="4"/>
        <v>91.63636363636364</v>
      </c>
      <c r="H85" s="8">
        <f t="shared" si="5"/>
        <v>916.36363636363637</v>
      </c>
      <c r="I85" s="8">
        <f t="shared" si="6"/>
        <v>23.636363636363626</v>
      </c>
      <c r="J85" s="9">
        <f t="shared" si="7"/>
        <v>2.5793650793650782E-2</v>
      </c>
      <c r="K85" s="7" t="s">
        <v>81</v>
      </c>
    </row>
    <row r="86" spans="1:11" x14ac:dyDescent="0.25">
      <c r="A86" s="7" t="s">
        <v>300</v>
      </c>
      <c r="B86" s="7" t="s">
        <v>72</v>
      </c>
      <c r="C86" s="7" t="s">
        <v>324</v>
      </c>
      <c r="D86" s="7" t="s">
        <v>15</v>
      </c>
      <c r="E86" s="16">
        <v>940</v>
      </c>
      <c r="F86" s="16">
        <v>1008</v>
      </c>
      <c r="G86" s="8">
        <f t="shared" si="4"/>
        <v>91.63636363636364</v>
      </c>
      <c r="H86" s="8">
        <f t="shared" si="5"/>
        <v>916.36363636363637</v>
      </c>
      <c r="I86" s="8">
        <f t="shared" si="6"/>
        <v>23.636363636363626</v>
      </c>
      <c r="J86" s="9">
        <f t="shared" si="7"/>
        <v>2.5793650793650782E-2</v>
      </c>
      <c r="K86" s="7" t="s">
        <v>81</v>
      </c>
    </row>
    <row r="87" spans="1:11" x14ac:dyDescent="0.25">
      <c r="A87" s="7" t="s">
        <v>300</v>
      </c>
      <c r="B87" s="7" t="s">
        <v>72</v>
      </c>
      <c r="C87" s="7" t="s">
        <v>325</v>
      </c>
      <c r="D87" s="7" t="s">
        <v>15</v>
      </c>
      <c r="E87" s="16">
        <v>940</v>
      </c>
      <c r="F87" s="16">
        <v>1008</v>
      </c>
      <c r="G87" s="8">
        <f t="shared" si="4"/>
        <v>91.63636363636364</v>
      </c>
      <c r="H87" s="8">
        <f t="shared" si="5"/>
        <v>916.36363636363637</v>
      </c>
      <c r="I87" s="8">
        <f t="shared" si="6"/>
        <v>23.636363636363626</v>
      </c>
      <c r="J87" s="9">
        <f t="shared" si="7"/>
        <v>2.5793650793650782E-2</v>
      </c>
      <c r="K87" s="7" t="s">
        <v>81</v>
      </c>
    </row>
    <row r="88" spans="1:11" x14ac:dyDescent="0.25">
      <c r="A88" s="7" t="s">
        <v>300</v>
      </c>
      <c r="B88" s="7" t="s">
        <v>72</v>
      </c>
      <c r="C88" s="7" t="s">
        <v>326</v>
      </c>
      <c r="D88" s="7" t="s">
        <v>15</v>
      </c>
      <c r="E88" s="16">
        <v>940</v>
      </c>
      <c r="F88" s="16">
        <v>994.18</v>
      </c>
      <c r="G88" s="8">
        <f t="shared" si="4"/>
        <v>90.38</v>
      </c>
      <c r="H88" s="8">
        <f t="shared" si="5"/>
        <v>903.8</v>
      </c>
      <c r="I88" s="8">
        <f t="shared" si="6"/>
        <v>36.200000000000045</v>
      </c>
      <c r="J88" s="9">
        <f t="shared" si="7"/>
        <v>4.0053109094932558E-2</v>
      </c>
      <c r="K88" s="7" t="s">
        <v>16</v>
      </c>
    </row>
    <row r="89" spans="1:11" x14ac:dyDescent="0.25">
      <c r="A89" s="7" t="s">
        <v>300</v>
      </c>
      <c r="B89" s="7" t="s">
        <v>328</v>
      </c>
      <c r="C89" s="7" t="s">
        <v>329</v>
      </c>
      <c r="D89" s="7" t="s">
        <v>330</v>
      </c>
      <c r="E89" s="16">
        <v>1420</v>
      </c>
      <c r="F89" s="16">
        <v>963.87</v>
      </c>
      <c r="G89" s="8">
        <f t="shared" si="4"/>
        <v>87.624545454545455</v>
      </c>
      <c r="H89" s="8">
        <f t="shared" si="5"/>
        <v>876.24545454545455</v>
      </c>
      <c r="I89" s="8">
        <f t="shared" si="6"/>
        <v>543.75454545454545</v>
      </c>
      <c r="J89" s="9">
        <f t="shared" si="7"/>
        <v>0.62055048917385125</v>
      </c>
      <c r="K89" s="7" t="s">
        <v>81</v>
      </c>
    </row>
    <row r="90" spans="1:11" x14ac:dyDescent="0.25">
      <c r="A90" s="7" t="s">
        <v>300</v>
      </c>
      <c r="B90" s="7" t="s">
        <v>328</v>
      </c>
      <c r="C90" s="7" t="s">
        <v>331</v>
      </c>
      <c r="D90" s="7" t="s">
        <v>330</v>
      </c>
      <c r="E90" s="16">
        <v>1420</v>
      </c>
      <c r="F90" s="16">
        <v>963.87</v>
      </c>
      <c r="G90" s="8">
        <f t="shared" si="4"/>
        <v>87.624545454545455</v>
      </c>
      <c r="H90" s="8">
        <f t="shared" si="5"/>
        <v>876.24545454545455</v>
      </c>
      <c r="I90" s="8">
        <f t="shared" si="6"/>
        <v>543.75454545454545</v>
      </c>
      <c r="J90" s="9">
        <f t="shared" si="7"/>
        <v>0.62055048917385125</v>
      </c>
      <c r="K90" s="7" t="s">
        <v>81</v>
      </c>
    </row>
    <row r="91" spans="1:11" x14ac:dyDescent="0.25">
      <c r="A91" s="7" t="s">
        <v>300</v>
      </c>
      <c r="B91" s="7" t="s">
        <v>328</v>
      </c>
      <c r="C91" s="7" t="s">
        <v>332</v>
      </c>
      <c r="D91" s="7" t="s">
        <v>330</v>
      </c>
      <c r="E91" s="16">
        <v>1420</v>
      </c>
      <c r="F91" s="16">
        <v>963.87</v>
      </c>
      <c r="G91" s="8">
        <f t="shared" si="4"/>
        <v>87.624545454545455</v>
      </c>
      <c r="H91" s="8">
        <f t="shared" si="5"/>
        <v>876.24545454545455</v>
      </c>
      <c r="I91" s="8">
        <f t="shared" si="6"/>
        <v>543.75454545454545</v>
      </c>
      <c r="J91" s="9">
        <f t="shared" si="7"/>
        <v>0.62055048917385125</v>
      </c>
      <c r="K91" s="7" t="s">
        <v>81</v>
      </c>
    </row>
    <row r="92" spans="1:11" x14ac:dyDescent="0.25">
      <c r="A92" s="7" t="s">
        <v>300</v>
      </c>
      <c r="B92" s="7" t="s">
        <v>328</v>
      </c>
      <c r="C92" s="7" t="s">
        <v>333</v>
      </c>
      <c r="D92" s="7" t="s">
        <v>330</v>
      </c>
      <c r="E92" s="16">
        <v>1420</v>
      </c>
      <c r="F92" s="16">
        <v>963.87</v>
      </c>
      <c r="G92" s="8">
        <f t="shared" si="4"/>
        <v>87.624545454545455</v>
      </c>
      <c r="H92" s="8">
        <f t="shared" si="5"/>
        <v>876.24545454545455</v>
      </c>
      <c r="I92" s="8">
        <f t="shared" si="6"/>
        <v>543.75454545454545</v>
      </c>
      <c r="J92" s="9">
        <f t="shared" si="7"/>
        <v>0.62055048917385125</v>
      </c>
      <c r="K92" s="7" t="s">
        <v>81</v>
      </c>
    </row>
    <row r="93" spans="1:11" x14ac:dyDescent="0.25">
      <c r="A93" s="7" t="s">
        <v>300</v>
      </c>
      <c r="B93" s="7" t="s">
        <v>328</v>
      </c>
      <c r="C93" s="7" t="s">
        <v>334</v>
      </c>
      <c r="D93" s="7" t="s">
        <v>330</v>
      </c>
      <c r="E93" s="16">
        <v>1420</v>
      </c>
      <c r="F93" s="16">
        <v>963.87</v>
      </c>
      <c r="G93" s="8">
        <f t="shared" si="4"/>
        <v>87.624545454545455</v>
      </c>
      <c r="H93" s="8">
        <f t="shared" si="5"/>
        <v>876.24545454545455</v>
      </c>
      <c r="I93" s="8">
        <f t="shared" si="6"/>
        <v>543.75454545454545</v>
      </c>
      <c r="J93" s="9">
        <f t="shared" si="7"/>
        <v>0.62055048917385125</v>
      </c>
      <c r="K93" s="7" t="s">
        <v>81</v>
      </c>
    </row>
    <row r="94" spans="1:11" x14ac:dyDescent="0.25">
      <c r="A94" s="7" t="s">
        <v>300</v>
      </c>
      <c r="B94" s="7" t="s">
        <v>328</v>
      </c>
      <c r="C94" s="7" t="s">
        <v>335</v>
      </c>
      <c r="D94" s="7" t="s">
        <v>330</v>
      </c>
      <c r="E94" s="16">
        <v>1420</v>
      </c>
      <c r="F94" s="16">
        <v>963.87</v>
      </c>
      <c r="G94" s="8">
        <f t="shared" si="4"/>
        <v>87.624545454545455</v>
      </c>
      <c r="H94" s="8">
        <f t="shared" si="5"/>
        <v>876.24545454545455</v>
      </c>
      <c r="I94" s="8">
        <f t="shared" si="6"/>
        <v>543.75454545454545</v>
      </c>
      <c r="J94" s="9">
        <f t="shared" si="7"/>
        <v>0.62055048917385125</v>
      </c>
      <c r="K94" s="7" t="s">
        <v>81</v>
      </c>
    </row>
    <row r="95" spans="1:11" x14ac:dyDescent="0.25">
      <c r="A95" s="7" t="s">
        <v>300</v>
      </c>
      <c r="B95" s="7" t="s">
        <v>328</v>
      </c>
      <c r="C95" s="7" t="s">
        <v>336</v>
      </c>
      <c r="D95" s="7" t="s">
        <v>330</v>
      </c>
      <c r="E95" s="16">
        <v>1420</v>
      </c>
      <c r="F95" s="16">
        <v>963.87</v>
      </c>
      <c r="G95" s="8">
        <f t="shared" si="4"/>
        <v>87.624545454545455</v>
      </c>
      <c r="H95" s="8">
        <f t="shared" si="5"/>
        <v>876.24545454545455</v>
      </c>
      <c r="I95" s="8">
        <f t="shared" si="6"/>
        <v>543.75454545454545</v>
      </c>
      <c r="J95" s="9">
        <f t="shared" si="7"/>
        <v>0.62055048917385125</v>
      </c>
      <c r="K95" s="7" t="s">
        <v>81</v>
      </c>
    </row>
    <row r="96" spans="1:11" x14ac:dyDescent="0.25">
      <c r="A96" s="7" t="s">
        <v>300</v>
      </c>
      <c r="B96" s="7" t="s">
        <v>328</v>
      </c>
      <c r="C96" s="7" t="s">
        <v>337</v>
      </c>
      <c r="D96" s="7" t="s">
        <v>330</v>
      </c>
      <c r="E96" s="16">
        <v>1420</v>
      </c>
      <c r="F96" s="16">
        <v>963.87</v>
      </c>
      <c r="G96" s="8">
        <f t="shared" si="4"/>
        <v>87.624545454545455</v>
      </c>
      <c r="H96" s="8">
        <f t="shared" si="5"/>
        <v>876.24545454545455</v>
      </c>
      <c r="I96" s="8">
        <f t="shared" si="6"/>
        <v>543.75454545454545</v>
      </c>
      <c r="J96" s="9">
        <f t="shared" si="7"/>
        <v>0.62055048917385125</v>
      </c>
      <c r="K96" s="7" t="s">
        <v>81</v>
      </c>
    </row>
    <row r="97" spans="1:11" x14ac:dyDescent="0.25">
      <c r="A97" s="7" t="s">
        <v>300</v>
      </c>
      <c r="B97" s="7" t="s">
        <v>328</v>
      </c>
      <c r="C97" s="7" t="s">
        <v>338</v>
      </c>
      <c r="D97" s="7" t="s">
        <v>330</v>
      </c>
      <c r="E97" s="16">
        <v>1420</v>
      </c>
      <c r="F97" s="16">
        <v>963.87</v>
      </c>
      <c r="G97" s="8">
        <f t="shared" si="4"/>
        <v>87.624545454545455</v>
      </c>
      <c r="H97" s="8">
        <f t="shared" si="5"/>
        <v>876.24545454545455</v>
      </c>
      <c r="I97" s="8">
        <f t="shared" si="6"/>
        <v>543.75454545454545</v>
      </c>
      <c r="J97" s="9">
        <f t="shared" si="7"/>
        <v>0.62055048917385125</v>
      </c>
      <c r="K97" s="7" t="s">
        <v>81</v>
      </c>
    </row>
    <row r="98" spans="1:11" x14ac:dyDescent="0.25">
      <c r="A98" s="7" t="s">
        <v>300</v>
      </c>
      <c r="B98" s="7" t="s">
        <v>328</v>
      </c>
      <c r="C98" s="7" t="s">
        <v>339</v>
      </c>
      <c r="D98" s="7" t="s">
        <v>330</v>
      </c>
      <c r="E98" s="16">
        <v>1420</v>
      </c>
      <c r="F98" s="16">
        <v>963.87</v>
      </c>
      <c r="G98" s="8">
        <f t="shared" si="4"/>
        <v>87.624545454545455</v>
      </c>
      <c r="H98" s="8">
        <f t="shared" si="5"/>
        <v>876.24545454545455</v>
      </c>
      <c r="I98" s="8">
        <f t="shared" si="6"/>
        <v>543.75454545454545</v>
      </c>
      <c r="J98" s="9">
        <f t="shared" si="7"/>
        <v>0.62055048917385125</v>
      </c>
      <c r="K98" s="7" t="s">
        <v>81</v>
      </c>
    </row>
    <row r="99" spans="1:11" x14ac:dyDescent="0.25">
      <c r="A99" s="7" t="s">
        <v>300</v>
      </c>
      <c r="B99" s="7" t="s">
        <v>328</v>
      </c>
      <c r="C99" s="7" t="s">
        <v>340</v>
      </c>
      <c r="D99" s="7" t="s">
        <v>330</v>
      </c>
      <c r="E99" s="16">
        <v>1420</v>
      </c>
      <c r="F99" s="16">
        <v>963.87</v>
      </c>
      <c r="G99" s="8">
        <f t="shared" si="4"/>
        <v>87.624545454545455</v>
      </c>
      <c r="H99" s="8">
        <f t="shared" si="5"/>
        <v>876.24545454545455</v>
      </c>
      <c r="I99" s="8">
        <f t="shared" si="6"/>
        <v>543.75454545454545</v>
      </c>
      <c r="J99" s="9">
        <f t="shared" si="7"/>
        <v>0.62055048917385125</v>
      </c>
      <c r="K99" s="7" t="s">
        <v>81</v>
      </c>
    </row>
    <row r="100" spans="1:11" x14ac:dyDescent="0.25">
      <c r="A100" s="7" t="s">
        <v>300</v>
      </c>
      <c r="B100" s="7" t="s">
        <v>328</v>
      </c>
      <c r="C100" s="7" t="s">
        <v>341</v>
      </c>
      <c r="D100" s="7" t="s">
        <v>330</v>
      </c>
      <c r="E100" s="16">
        <v>1420</v>
      </c>
      <c r="F100" s="16">
        <v>963.87</v>
      </c>
      <c r="G100" s="8">
        <f t="shared" si="4"/>
        <v>87.624545454545455</v>
      </c>
      <c r="H100" s="8">
        <f t="shared" si="5"/>
        <v>876.24545454545455</v>
      </c>
      <c r="I100" s="8">
        <f t="shared" si="6"/>
        <v>543.75454545454545</v>
      </c>
      <c r="J100" s="9">
        <f t="shared" si="7"/>
        <v>0.62055048917385125</v>
      </c>
      <c r="K100" s="7" t="s">
        <v>81</v>
      </c>
    </row>
    <row r="101" spans="1:11" x14ac:dyDescent="0.25">
      <c r="A101" s="7" t="s">
        <v>300</v>
      </c>
      <c r="B101" s="7" t="s">
        <v>328</v>
      </c>
      <c r="C101" s="7" t="s">
        <v>342</v>
      </c>
      <c r="D101" s="7" t="s">
        <v>330</v>
      </c>
      <c r="E101" s="16">
        <v>1420</v>
      </c>
      <c r="F101" s="16">
        <v>963.87</v>
      </c>
      <c r="G101" s="8">
        <f t="shared" si="4"/>
        <v>87.624545454545455</v>
      </c>
      <c r="H101" s="8">
        <f t="shared" si="5"/>
        <v>876.24545454545455</v>
      </c>
      <c r="I101" s="8">
        <f t="shared" si="6"/>
        <v>543.75454545454545</v>
      </c>
      <c r="J101" s="9">
        <f t="shared" si="7"/>
        <v>0.62055048917385125</v>
      </c>
      <c r="K101" s="7" t="s">
        <v>81</v>
      </c>
    </row>
    <row r="102" spans="1:11" x14ac:dyDescent="0.25">
      <c r="A102" s="7" t="s">
        <v>300</v>
      </c>
      <c r="B102" s="7" t="s">
        <v>328</v>
      </c>
      <c r="C102" s="7" t="s">
        <v>343</v>
      </c>
      <c r="D102" s="7" t="s">
        <v>330</v>
      </c>
      <c r="E102" s="16">
        <v>1420</v>
      </c>
      <c r="F102" s="16">
        <v>963.87</v>
      </c>
      <c r="G102" s="8">
        <f t="shared" si="4"/>
        <v>87.624545454545455</v>
      </c>
      <c r="H102" s="8">
        <f t="shared" si="5"/>
        <v>876.24545454545455</v>
      </c>
      <c r="I102" s="8">
        <f t="shared" si="6"/>
        <v>543.75454545454545</v>
      </c>
      <c r="J102" s="9">
        <f t="shared" si="7"/>
        <v>0.62055048917385125</v>
      </c>
      <c r="K102" s="7" t="s">
        <v>81</v>
      </c>
    </row>
    <row r="103" spans="1:11" x14ac:dyDescent="0.25">
      <c r="A103" s="7" t="s">
        <v>300</v>
      </c>
      <c r="B103" s="7" t="s">
        <v>328</v>
      </c>
      <c r="C103" s="7" t="s">
        <v>344</v>
      </c>
      <c r="D103" s="7" t="s">
        <v>330</v>
      </c>
      <c r="E103" s="16">
        <v>1420</v>
      </c>
      <c r="F103" s="16">
        <v>963.87</v>
      </c>
      <c r="G103" s="8">
        <f t="shared" si="4"/>
        <v>87.624545454545455</v>
      </c>
      <c r="H103" s="8">
        <f t="shared" si="5"/>
        <v>876.24545454545455</v>
      </c>
      <c r="I103" s="8">
        <f t="shared" si="6"/>
        <v>543.75454545454545</v>
      </c>
      <c r="J103" s="9">
        <f t="shared" si="7"/>
        <v>0.62055048917385125</v>
      </c>
      <c r="K103" s="7" t="s">
        <v>81</v>
      </c>
    </row>
    <row r="104" spans="1:11" x14ac:dyDescent="0.25">
      <c r="A104" s="7" t="s">
        <v>300</v>
      </c>
      <c r="B104" s="7" t="s">
        <v>328</v>
      </c>
      <c r="C104" s="7" t="s">
        <v>345</v>
      </c>
      <c r="D104" s="7" t="s">
        <v>330</v>
      </c>
      <c r="E104" s="16">
        <v>1420</v>
      </c>
      <c r="F104" s="16">
        <v>963.87</v>
      </c>
      <c r="G104" s="8">
        <f t="shared" si="4"/>
        <v>87.624545454545455</v>
      </c>
      <c r="H104" s="8">
        <f t="shared" si="5"/>
        <v>876.24545454545455</v>
      </c>
      <c r="I104" s="8">
        <f t="shared" si="6"/>
        <v>543.75454545454545</v>
      </c>
      <c r="J104" s="9">
        <f t="shared" si="7"/>
        <v>0.62055048917385125</v>
      </c>
      <c r="K104" s="7" t="s">
        <v>81</v>
      </c>
    </row>
    <row r="105" spans="1:11" x14ac:dyDescent="0.25">
      <c r="A105" s="7" t="s">
        <v>300</v>
      </c>
      <c r="B105" s="7" t="s">
        <v>328</v>
      </c>
      <c r="C105" s="7" t="s">
        <v>346</v>
      </c>
      <c r="D105" s="7" t="s">
        <v>330</v>
      </c>
      <c r="E105" s="16">
        <v>1420</v>
      </c>
      <c r="F105" s="16">
        <v>963.87</v>
      </c>
      <c r="G105" s="8">
        <f t="shared" si="4"/>
        <v>87.624545454545455</v>
      </c>
      <c r="H105" s="8">
        <f t="shared" si="5"/>
        <v>876.24545454545455</v>
      </c>
      <c r="I105" s="8">
        <f t="shared" si="6"/>
        <v>543.75454545454545</v>
      </c>
      <c r="J105" s="9">
        <f t="shared" si="7"/>
        <v>0.62055048917385125</v>
      </c>
      <c r="K105" s="7" t="s">
        <v>81</v>
      </c>
    </row>
    <row r="106" spans="1:11" x14ac:dyDescent="0.25">
      <c r="A106" s="7" t="s">
        <v>300</v>
      </c>
      <c r="B106" s="7" t="s">
        <v>328</v>
      </c>
      <c r="C106" s="7" t="s">
        <v>347</v>
      </c>
      <c r="D106" s="7" t="s">
        <v>330</v>
      </c>
      <c r="E106" s="16">
        <v>1420</v>
      </c>
      <c r="F106" s="16">
        <v>963.87</v>
      </c>
      <c r="G106" s="8">
        <f t="shared" si="4"/>
        <v>87.624545454545455</v>
      </c>
      <c r="H106" s="8">
        <f t="shared" si="5"/>
        <v>876.24545454545455</v>
      </c>
      <c r="I106" s="8">
        <f t="shared" si="6"/>
        <v>543.75454545454545</v>
      </c>
      <c r="J106" s="9">
        <f t="shared" si="7"/>
        <v>0.62055048917385125</v>
      </c>
      <c r="K106" s="7" t="s">
        <v>81</v>
      </c>
    </row>
    <row r="107" spans="1:11" x14ac:dyDescent="0.25">
      <c r="A107" s="7" t="s">
        <v>300</v>
      </c>
      <c r="B107" s="7" t="s">
        <v>328</v>
      </c>
      <c r="C107" s="7" t="s">
        <v>348</v>
      </c>
      <c r="D107" s="7" t="s">
        <v>330</v>
      </c>
      <c r="E107" s="16">
        <v>1420</v>
      </c>
      <c r="F107" s="16">
        <v>963.87</v>
      </c>
      <c r="G107" s="8">
        <f t="shared" si="4"/>
        <v>87.624545454545455</v>
      </c>
      <c r="H107" s="8">
        <f t="shared" si="5"/>
        <v>876.24545454545455</v>
      </c>
      <c r="I107" s="8">
        <f t="shared" si="6"/>
        <v>543.75454545454545</v>
      </c>
      <c r="J107" s="9">
        <f t="shared" si="7"/>
        <v>0.62055048917385125</v>
      </c>
      <c r="K107" s="7" t="s">
        <v>81</v>
      </c>
    </row>
    <row r="108" spans="1:11" x14ac:dyDescent="0.25">
      <c r="A108" s="7" t="s">
        <v>300</v>
      </c>
      <c r="B108" s="7" t="s">
        <v>328</v>
      </c>
      <c r="C108" s="7" t="s">
        <v>349</v>
      </c>
      <c r="D108" s="7" t="s">
        <v>330</v>
      </c>
      <c r="E108" s="16">
        <v>1420</v>
      </c>
      <c r="F108" s="16">
        <v>963.87</v>
      </c>
      <c r="G108" s="8">
        <f t="shared" si="4"/>
        <v>87.624545454545455</v>
      </c>
      <c r="H108" s="8">
        <f t="shared" si="5"/>
        <v>876.24545454545455</v>
      </c>
      <c r="I108" s="8">
        <f t="shared" si="6"/>
        <v>543.75454545454545</v>
      </c>
      <c r="J108" s="9">
        <f t="shared" si="7"/>
        <v>0.62055048917385125</v>
      </c>
      <c r="K108" s="7" t="s">
        <v>81</v>
      </c>
    </row>
    <row r="109" spans="1:11" x14ac:dyDescent="0.25">
      <c r="A109" s="7" t="s">
        <v>300</v>
      </c>
      <c r="B109" s="7" t="s">
        <v>328</v>
      </c>
      <c r="C109" s="7" t="s">
        <v>350</v>
      </c>
      <c r="D109" s="7" t="s">
        <v>330</v>
      </c>
      <c r="E109" s="16">
        <v>1420</v>
      </c>
      <c r="F109" s="16">
        <v>963.87</v>
      </c>
      <c r="G109" s="8">
        <f t="shared" si="4"/>
        <v>87.624545454545455</v>
      </c>
      <c r="H109" s="8">
        <f t="shared" si="5"/>
        <v>876.24545454545455</v>
      </c>
      <c r="I109" s="8">
        <f t="shared" si="6"/>
        <v>543.75454545454545</v>
      </c>
      <c r="J109" s="9">
        <f t="shared" si="7"/>
        <v>0.62055048917385125</v>
      </c>
      <c r="K109" s="7" t="s">
        <v>81</v>
      </c>
    </row>
    <row r="110" spans="1:11" x14ac:dyDescent="0.25">
      <c r="A110" s="7" t="s">
        <v>300</v>
      </c>
      <c r="B110" s="7" t="s">
        <v>328</v>
      </c>
      <c r="C110" s="7" t="s">
        <v>351</v>
      </c>
      <c r="D110" s="7" t="s">
        <v>330</v>
      </c>
      <c r="E110" s="16">
        <v>1420</v>
      </c>
      <c r="F110" s="16">
        <v>963.87</v>
      </c>
      <c r="G110" s="8">
        <f t="shared" si="4"/>
        <v>87.624545454545455</v>
      </c>
      <c r="H110" s="8">
        <f t="shared" si="5"/>
        <v>876.24545454545455</v>
      </c>
      <c r="I110" s="8">
        <f t="shared" si="6"/>
        <v>543.75454545454545</v>
      </c>
      <c r="J110" s="9">
        <f t="shared" si="7"/>
        <v>0.62055048917385125</v>
      </c>
      <c r="K110" s="7" t="s">
        <v>81</v>
      </c>
    </row>
    <row r="111" spans="1:11" x14ac:dyDescent="0.25">
      <c r="A111" s="7" t="s">
        <v>300</v>
      </c>
      <c r="B111" s="7" t="s">
        <v>328</v>
      </c>
      <c r="C111" s="7" t="s">
        <v>352</v>
      </c>
      <c r="D111" s="7" t="s">
        <v>330</v>
      </c>
      <c r="E111" s="16">
        <v>1420</v>
      </c>
      <c r="F111" s="16">
        <v>963.87</v>
      </c>
      <c r="G111" s="8">
        <f t="shared" si="4"/>
        <v>87.624545454545455</v>
      </c>
      <c r="H111" s="8">
        <f t="shared" si="5"/>
        <v>876.24545454545455</v>
      </c>
      <c r="I111" s="8">
        <f t="shared" si="6"/>
        <v>543.75454545454545</v>
      </c>
      <c r="J111" s="9">
        <f t="shared" si="7"/>
        <v>0.62055048917385125</v>
      </c>
      <c r="K111" s="7" t="s">
        <v>81</v>
      </c>
    </row>
    <row r="112" spans="1:11" x14ac:dyDescent="0.25">
      <c r="A112" s="7" t="s">
        <v>300</v>
      </c>
      <c r="B112" s="7" t="s">
        <v>328</v>
      </c>
      <c r="C112" s="7" t="s">
        <v>353</v>
      </c>
      <c r="D112" s="7" t="s">
        <v>330</v>
      </c>
      <c r="E112" s="16">
        <v>1420</v>
      </c>
      <c r="F112" s="16">
        <v>963.87</v>
      </c>
      <c r="G112" s="8">
        <f t="shared" si="4"/>
        <v>87.624545454545455</v>
      </c>
      <c r="H112" s="8">
        <f t="shared" si="5"/>
        <v>876.24545454545455</v>
      </c>
      <c r="I112" s="8">
        <f t="shared" si="6"/>
        <v>543.75454545454545</v>
      </c>
      <c r="J112" s="9">
        <f t="shared" si="7"/>
        <v>0.62055048917385125</v>
      </c>
      <c r="K112" s="7" t="s">
        <v>81</v>
      </c>
    </row>
    <row r="113" spans="1:11" x14ac:dyDescent="0.25">
      <c r="A113" s="7" t="s">
        <v>300</v>
      </c>
      <c r="B113" s="7" t="s">
        <v>328</v>
      </c>
      <c r="C113" s="7" t="s">
        <v>354</v>
      </c>
      <c r="D113" s="7" t="s">
        <v>330</v>
      </c>
      <c r="E113" s="16">
        <v>1420</v>
      </c>
      <c r="F113" s="16">
        <v>963.87</v>
      </c>
      <c r="G113" s="8">
        <f t="shared" si="4"/>
        <v>87.624545454545455</v>
      </c>
      <c r="H113" s="8">
        <f t="shared" si="5"/>
        <v>876.24545454545455</v>
      </c>
      <c r="I113" s="8">
        <f t="shared" si="6"/>
        <v>543.75454545454545</v>
      </c>
      <c r="J113" s="9">
        <f t="shared" si="7"/>
        <v>0.62055048917385125</v>
      </c>
      <c r="K113" s="7" t="s">
        <v>81</v>
      </c>
    </row>
    <row r="114" spans="1:11" x14ac:dyDescent="0.25">
      <c r="A114" s="7" t="s">
        <v>300</v>
      </c>
      <c r="B114" s="7" t="s">
        <v>328</v>
      </c>
      <c r="C114" s="7" t="s">
        <v>355</v>
      </c>
      <c r="D114" s="7" t="s">
        <v>330</v>
      </c>
      <c r="E114" s="16">
        <v>1420</v>
      </c>
      <c r="F114" s="16">
        <v>963.87</v>
      </c>
      <c r="G114" s="8">
        <f t="shared" si="4"/>
        <v>87.624545454545455</v>
      </c>
      <c r="H114" s="8">
        <f t="shared" si="5"/>
        <v>876.24545454545455</v>
      </c>
      <c r="I114" s="8">
        <f t="shared" si="6"/>
        <v>543.75454545454545</v>
      </c>
      <c r="J114" s="9">
        <f t="shared" si="7"/>
        <v>0.62055048917385125</v>
      </c>
      <c r="K114" s="7" t="s">
        <v>81</v>
      </c>
    </row>
    <row r="115" spans="1:11" x14ac:dyDescent="0.25">
      <c r="A115" s="7" t="s">
        <v>300</v>
      </c>
      <c r="B115" s="7" t="s">
        <v>328</v>
      </c>
      <c r="C115" s="7" t="s">
        <v>356</v>
      </c>
      <c r="D115" s="7" t="s">
        <v>330</v>
      </c>
      <c r="E115" s="16">
        <v>1420</v>
      </c>
      <c r="F115" s="16">
        <v>963.87</v>
      </c>
      <c r="G115" s="8">
        <f t="shared" si="4"/>
        <v>87.624545454545455</v>
      </c>
      <c r="H115" s="8">
        <f t="shared" si="5"/>
        <v>876.24545454545455</v>
      </c>
      <c r="I115" s="8">
        <f t="shared" si="6"/>
        <v>543.75454545454545</v>
      </c>
      <c r="J115" s="9">
        <f t="shared" si="7"/>
        <v>0.62055048917385125</v>
      </c>
      <c r="K115" s="7" t="s">
        <v>81</v>
      </c>
    </row>
    <row r="116" spans="1:11" x14ac:dyDescent="0.25">
      <c r="A116" s="7" t="s">
        <v>300</v>
      </c>
      <c r="B116" s="7" t="s">
        <v>328</v>
      </c>
      <c r="C116" s="7" t="s">
        <v>357</v>
      </c>
      <c r="D116" s="7" t="s">
        <v>330</v>
      </c>
      <c r="E116" s="16">
        <v>1420</v>
      </c>
      <c r="F116" s="16">
        <v>963.87</v>
      </c>
      <c r="G116" s="8">
        <f t="shared" si="4"/>
        <v>87.624545454545455</v>
      </c>
      <c r="H116" s="8">
        <f t="shared" si="5"/>
        <v>876.24545454545455</v>
      </c>
      <c r="I116" s="8">
        <f t="shared" si="6"/>
        <v>543.75454545454545</v>
      </c>
      <c r="J116" s="9">
        <f t="shared" si="7"/>
        <v>0.62055048917385125</v>
      </c>
      <c r="K116" s="7" t="s">
        <v>81</v>
      </c>
    </row>
    <row r="117" spans="1:11" x14ac:dyDescent="0.25">
      <c r="A117" s="7" t="s">
        <v>300</v>
      </c>
      <c r="B117" s="7" t="s">
        <v>328</v>
      </c>
      <c r="C117" s="7" t="s">
        <v>358</v>
      </c>
      <c r="D117" s="7" t="s">
        <v>330</v>
      </c>
      <c r="E117" s="16">
        <v>1420</v>
      </c>
      <c r="F117" s="16">
        <v>963.87</v>
      </c>
      <c r="G117" s="8">
        <f t="shared" si="4"/>
        <v>87.624545454545455</v>
      </c>
      <c r="H117" s="8">
        <f t="shared" si="5"/>
        <v>876.24545454545455</v>
      </c>
      <c r="I117" s="8">
        <f t="shared" si="6"/>
        <v>543.75454545454545</v>
      </c>
      <c r="J117" s="9">
        <f t="shared" si="7"/>
        <v>0.62055048917385125</v>
      </c>
      <c r="K117" s="7" t="s">
        <v>81</v>
      </c>
    </row>
    <row r="118" spans="1:11" x14ac:dyDescent="0.25">
      <c r="A118" s="7" t="s">
        <v>300</v>
      </c>
      <c r="B118" s="7" t="s">
        <v>328</v>
      </c>
      <c r="C118" s="7" t="s">
        <v>359</v>
      </c>
      <c r="D118" s="7" t="s">
        <v>330</v>
      </c>
      <c r="E118" s="16">
        <v>1420</v>
      </c>
      <c r="F118" s="16">
        <v>963.87</v>
      </c>
      <c r="G118" s="8">
        <f t="shared" si="4"/>
        <v>87.624545454545455</v>
      </c>
      <c r="H118" s="8">
        <f t="shared" si="5"/>
        <v>876.24545454545455</v>
      </c>
      <c r="I118" s="8">
        <f t="shared" si="6"/>
        <v>543.75454545454545</v>
      </c>
      <c r="J118" s="9">
        <f t="shared" si="7"/>
        <v>0.62055048917385125</v>
      </c>
      <c r="K118" s="7" t="s">
        <v>81</v>
      </c>
    </row>
    <row r="119" spans="1:11" x14ac:dyDescent="0.25">
      <c r="A119" s="7" t="s">
        <v>300</v>
      </c>
      <c r="B119" s="7" t="s">
        <v>328</v>
      </c>
      <c r="C119" s="7" t="s">
        <v>360</v>
      </c>
      <c r="D119" s="7" t="s">
        <v>330</v>
      </c>
      <c r="E119" s="16">
        <v>1420</v>
      </c>
      <c r="F119" s="16">
        <v>963.87</v>
      </c>
      <c r="G119" s="8">
        <f t="shared" si="4"/>
        <v>87.624545454545455</v>
      </c>
      <c r="H119" s="8">
        <f t="shared" si="5"/>
        <v>876.24545454545455</v>
      </c>
      <c r="I119" s="8">
        <f t="shared" si="6"/>
        <v>543.75454545454545</v>
      </c>
      <c r="J119" s="9">
        <f t="shared" si="7"/>
        <v>0.62055048917385125</v>
      </c>
      <c r="K119" s="7" t="s">
        <v>81</v>
      </c>
    </row>
    <row r="120" spans="1:11" x14ac:dyDescent="0.25">
      <c r="A120" s="7" t="s">
        <v>300</v>
      </c>
      <c r="B120" s="7" t="s">
        <v>328</v>
      </c>
      <c r="C120" s="7" t="s">
        <v>361</v>
      </c>
      <c r="D120" s="7" t="s">
        <v>330</v>
      </c>
      <c r="E120" s="16">
        <v>1420</v>
      </c>
      <c r="F120" s="16">
        <v>963.87</v>
      </c>
      <c r="G120" s="8">
        <f t="shared" si="4"/>
        <v>87.624545454545455</v>
      </c>
      <c r="H120" s="8">
        <f t="shared" si="5"/>
        <v>876.24545454545455</v>
      </c>
      <c r="I120" s="8">
        <f t="shared" si="6"/>
        <v>543.75454545454545</v>
      </c>
      <c r="J120" s="9">
        <f t="shared" si="7"/>
        <v>0.62055048917385125</v>
      </c>
      <c r="K120" s="7" t="s">
        <v>81</v>
      </c>
    </row>
    <row r="121" spans="1:11" x14ac:dyDescent="0.25">
      <c r="A121" s="7" t="s">
        <v>300</v>
      </c>
      <c r="B121" s="7" t="s">
        <v>328</v>
      </c>
      <c r="C121" s="7" t="s">
        <v>362</v>
      </c>
      <c r="D121" s="7" t="s">
        <v>330</v>
      </c>
      <c r="E121" s="16">
        <v>1420</v>
      </c>
      <c r="F121" s="16">
        <v>963.87</v>
      </c>
      <c r="G121" s="8">
        <f t="shared" si="4"/>
        <v>87.624545454545455</v>
      </c>
      <c r="H121" s="8">
        <f t="shared" si="5"/>
        <v>876.24545454545455</v>
      </c>
      <c r="I121" s="8">
        <f t="shared" si="6"/>
        <v>543.75454545454545</v>
      </c>
      <c r="J121" s="9">
        <f t="shared" si="7"/>
        <v>0.62055048917385125</v>
      </c>
      <c r="K121" s="7" t="s">
        <v>81</v>
      </c>
    </row>
    <row r="122" spans="1:11" x14ac:dyDescent="0.25">
      <c r="A122" s="7" t="s">
        <v>300</v>
      </c>
      <c r="B122" s="7" t="s">
        <v>328</v>
      </c>
      <c r="C122" s="7" t="s">
        <v>363</v>
      </c>
      <c r="D122" s="7" t="s">
        <v>330</v>
      </c>
      <c r="E122" s="16">
        <v>1420</v>
      </c>
      <c r="F122" s="16">
        <v>963.87</v>
      </c>
      <c r="G122" s="8">
        <f t="shared" si="4"/>
        <v>87.624545454545455</v>
      </c>
      <c r="H122" s="8">
        <f t="shared" si="5"/>
        <v>876.24545454545455</v>
      </c>
      <c r="I122" s="8">
        <f t="shared" si="6"/>
        <v>543.75454545454545</v>
      </c>
      <c r="J122" s="9">
        <f t="shared" si="7"/>
        <v>0.62055048917385125</v>
      </c>
      <c r="K122" s="7" t="s">
        <v>81</v>
      </c>
    </row>
    <row r="123" spans="1:11" x14ac:dyDescent="0.25">
      <c r="A123" s="7" t="s">
        <v>300</v>
      </c>
      <c r="B123" s="7" t="s">
        <v>328</v>
      </c>
      <c r="C123" s="7" t="s">
        <v>364</v>
      </c>
      <c r="D123" s="7" t="s">
        <v>330</v>
      </c>
      <c r="E123" s="16">
        <v>1420</v>
      </c>
      <c r="F123" s="16">
        <v>963.87</v>
      </c>
      <c r="G123" s="8">
        <f t="shared" si="4"/>
        <v>87.624545454545455</v>
      </c>
      <c r="H123" s="8">
        <f t="shared" si="5"/>
        <v>876.24545454545455</v>
      </c>
      <c r="I123" s="8">
        <f t="shared" si="6"/>
        <v>543.75454545454545</v>
      </c>
      <c r="J123" s="9">
        <f t="shared" si="7"/>
        <v>0.62055048917385125</v>
      </c>
      <c r="K123" s="7" t="s">
        <v>81</v>
      </c>
    </row>
    <row r="124" spans="1:11" x14ac:dyDescent="0.25">
      <c r="A124" s="7" t="s">
        <v>300</v>
      </c>
      <c r="B124" s="7" t="s">
        <v>328</v>
      </c>
      <c r="C124" s="7" t="s">
        <v>365</v>
      </c>
      <c r="D124" s="7" t="s">
        <v>330</v>
      </c>
      <c r="E124" s="16">
        <v>1420</v>
      </c>
      <c r="F124" s="16">
        <v>963.87</v>
      </c>
      <c r="G124" s="8">
        <f t="shared" si="4"/>
        <v>87.624545454545455</v>
      </c>
      <c r="H124" s="8">
        <f t="shared" si="5"/>
        <v>876.24545454545455</v>
      </c>
      <c r="I124" s="8">
        <f t="shared" si="6"/>
        <v>543.75454545454545</v>
      </c>
      <c r="J124" s="9">
        <f t="shared" si="7"/>
        <v>0.62055048917385125</v>
      </c>
      <c r="K124" s="7" t="s">
        <v>81</v>
      </c>
    </row>
    <row r="125" spans="1:11" x14ac:dyDescent="0.25">
      <c r="A125" s="7" t="s">
        <v>300</v>
      </c>
      <c r="B125" s="7" t="s">
        <v>328</v>
      </c>
      <c r="C125" s="7" t="s">
        <v>366</v>
      </c>
      <c r="D125" s="7" t="s">
        <v>330</v>
      </c>
      <c r="E125" s="16">
        <v>1420</v>
      </c>
      <c r="F125" s="16">
        <v>1063.17</v>
      </c>
      <c r="G125" s="8">
        <f t="shared" si="4"/>
        <v>96.651818181818186</v>
      </c>
      <c r="H125" s="8">
        <f t="shared" si="5"/>
        <v>966.51818181818192</v>
      </c>
      <c r="I125" s="8">
        <f t="shared" si="6"/>
        <v>453.48181818181808</v>
      </c>
      <c r="J125" s="9">
        <f t="shared" si="7"/>
        <v>0.46919119237751239</v>
      </c>
      <c r="K125" s="7" t="s">
        <v>81</v>
      </c>
    </row>
    <row r="126" spans="1:11" x14ac:dyDescent="0.25">
      <c r="A126" s="7" t="s">
        <v>300</v>
      </c>
      <c r="B126" s="7" t="s">
        <v>328</v>
      </c>
      <c r="C126" s="7" t="s">
        <v>367</v>
      </c>
      <c r="D126" s="7" t="s">
        <v>330</v>
      </c>
      <c r="E126" s="16">
        <v>1420</v>
      </c>
      <c r="F126" s="16">
        <v>1046</v>
      </c>
      <c r="G126" s="8">
        <f t="shared" si="4"/>
        <v>95.090909090909093</v>
      </c>
      <c r="H126" s="8">
        <f t="shared" si="5"/>
        <v>950.90909090909088</v>
      </c>
      <c r="I126" s="8">
        <f t="shared" si="6"/>
        <v>469.09090909090912</v>
      </c>
      <c r="J126" s="9">
        <f t="shared" si="7"/>
        <v>0.49330783938814537</v>
      </c>
      <c r="K126" s="7" t="s">
        <v>81</v>
      </c>
    </row>
    <row r="127" spans="1:11" x14ac:dyDescent="0.25">
      <c r="A127" s="7" t="s">
        <v>300</v>
      </c>
      <c r="B127" s="7" t="s">
        <v>328</v>
      </c>
      <c r="C127" s="7" t="s">
        <v>368</v>
      </c>
      <c r="D127" s="7" t="s">
        <v>330</v>
      </c>
      <c r="E127" s="16">
        <v>1420</v>
      </c>
      <c r="F127" s="16">
        <v>1046</v>
      </c>
      <c r="G127" s="8">
        <f t="shared" si="4"/>
        <v>95.090909090909093</v>
      </c>
      <c r="H127" s="8">
        <f t="shared" si="5"/>
        <v>950.90909090909088</v>
      </c>
      <c r="I127" s="8">
        <f t="shared" si="6"/>
        <v>469.09090909090912</v>
      </c>
      <c r="J127" s="9">
        <f t="shared" si="7"/>
        <v>0.49330783938814537</v>
      </c>
      <c r="K127" s="7" t="s">
        <v>81</v>
      </c>
    </row>
    <row r="128" spans="1:11" x14ac:dyDescent="0.25">
      <c r="A128" s="7" t="s">
        <v>300</v>
      </c>
      <c r="B128" s="7" t="s">
        <v>328</v>
      </c>
      <c r="C128" s="7" t="s">
        <v>369</v>
      </c>
      <c r="D128" s="7" t="s">
        <v>330</v>
      </c>
      <c r="E128" s="16">
        <v>1420</v>
      </c>
      <c r="F128" s="16">
        <v>1046</v>
      </c>
      <c r="G128" s="8">
        <f t="shared" si="4"/>
        <v>95.090909090909093</v>
      </c>
      <c r="H128" s="8">
        <f t="shared" si="5"/>
        <v>950.90909090909088</v>
      </c>
      <c r="I128" s="8">
        <f t="shared" si="6"/>
        <v>469.09090909090912</v>
      </c>
      <c r="J128" s="9">
        <f t="shared" si="7"/>
        <v>0.49330783938814537</v>
      </c>
      <c r="K128" s="7" t="s">
        <v>81</v>
      </c>
    </row>
    <row r="129" spans="1:11" x14ac:dyDescent="0.25">
      <c r="A129" s="7" t="s">
        <v>300</v>
      </c>
      <c r="B129" s="7" t="s">
        <v>328</v>
      </c>
      <c r="C129" s="7" t="s">
        <v>370</v>
      </c>
      <c r="D129" s="7" t="s">
        <v>330</v>
      </c>
      <c r="E129" s="16">
        <v>1420</v>
      </c>
      <c r="F129" s="16">
        <v>1046</v>
      </c>
      <c r="G129" s="8">
        <f t="shared" si="4"/>
        <v>95.090909090909093</v>
      </c>
      <c r="H129" s="8">
        <f t="shared" si="5"/>
        <v>950.90909090909088</v>
      </c>
      <c r="I129" s="8">
        <f t="shared" si="6"/>
        <v>469.09090909090912</v>
      </c>
      <c r="J129" s="9">
        <f t="shared" si="7"/>
        <v>0.49330783938814537</v>
      </c>
      <c r="K129" s="7" t="s">
        <v>81</v>
      </c>
    </row>
    <row r="130" spans="1:11" x14ac:dyDescent="0.25">
      <c r="A130" s="7" t="s">
        <v>300</v>
      </c>
      <c r="B130" s="7" t="s">
        <v>328</v>
      </c>
      <c r="C130" s="7" t="s">
        <v>371</v>
      </c>
      <c r="D130" s="7" t="s">
        <v>330</v>
      </c>
      <c r="E130" s="16">
        <v>1420</v>
      </c>
      <c r="F130" s="16">
        <v>1046</v>
      </c>
      <c r="G130" s="8">
        <f t="shared" si="4"/>
        <v>95.090909090909093</v>
      </c>
      <c r="H130" s="8">
        <f t="shared" si="5"/>
        <v>950.90909090909088</v>
      </c>
      <c r="I130" s="8">
        <f t="shared" si="6"/>
        <v>469.09090909090912</v>
      </c>
      <c r="J130" s="9">
        <f t="shared" si="7"/>
        <v>0.49330783938814537</v>
      </c>
      <c r="K130" s="7" t="s">
        <v>81</v>
      </c>
    </row>
    <row r="131" spans="1:11" x14ac:dyDescent="0.25">
      <c r="A131" s="7" t="s">
        <v>300</v>
      </c>
      <c r="B131" s="7" t="s">
        <v>328</v>
      </c>
      <c r="C131" s="7" t="s">
        <v>372</v>
      </c>
      <c r="D131" s="7" t="s">
        <v>330</v>
      </c>
      <c r="E131" s="16">
        <v>1420</v>
      </c>
      <c r="F131" s="16">
        <v>1046</v>
      </c>
      <c r="G131" s="8">
        <f t="shared" ref="G131:G194" si="8">F131/11</f>
        <v>95.090909090909093</v>
      </c>
      <c r="H131" s="8">
        <f t="shared" ref="H131:H194" si="9">F131-G131</f>
        <v>950.90909090909088</v>
      </c>
      <c r="I131" s="8">
        <f t="shared" ref="I131:I194" si="10">E131-H131</f>
        <v>469.09090909090912</v>
      </c>
      <c r="J131" s="9">
        <f t="shared" ref="J131:J194" si="11">(E131-H131)/H131</f>
        <v>0.49330783938814537</v>
      </c>
      <c r="K131" s="7" t="s">
        <v>81</v>
      </c>
    </row>
    <row r="132" spans="1:11" x14ac:dyDescent="0.25">
      <c r="A132" s="7" t="s">
        <v>300</v>
      </c>
      <c r="B132" s="7" t="s">
        <v>328</v>
      </c>
      <c r="C132" s="7" t="s">
        <v>373</v>
      </c>
      <c r="D132" s="7" t="s">
        <v>330</v>
      </c>
      <c r="E132" s="16">
        <v>1420</v>
      </c>
      <c r="F132" s="16">
        <v>1046</v>
      </c>
      <c r="G132" s="8">
        <f t="shared" si="8"/>
        <v>95.090909090909093</v>
      </c>
      <c r="H132" s="8">
        <f t="shared" si="9"/>
        <v>950.90909090909088</v>
      </c>
      <c r="I132" s="8">
        <f t="shared" si="10"/>
        <v>469.09090909090912</v>
      </c>
      <c r="J132" s="9">
        <f t="shared" si="11"/>
        <v>0.49330783938814537</v>
      </c>
      <c r="K132" s="7" t="s">
        <v>81</v>
      </c>
    </row>
    <row r="133" spans="1:11" x14ac:dyDescent="0.25">
      <c r="A133" s="7" t="s">
        <v>300</v>
      </c>
      <c r="B133" s="7" t="s">
        <v>328</v>
      </c>
      <c r="C133" s="7" t="s">
        <v>374</v>
      </c>
      <c r="D133" s="7" t="s">
        <v>330</v>
      </c>
      <c r="E133" s="16">
        <v>1420</v>
      </c>
      <c r="F133" s="16">
        <v>1046</v>
      </c>
      <c r="G133" s="8">
        <f t="shared" si="8"/>
        <v>95.090909090909093</v>
      </c>
      <c r="H133" s="8">
        <f t="shared" si="9"/>
        <v>950.90909090909088</v>
      </c>
      <c r="I133" s="8">
        <f t="shared" si="10"/>
        <v>469.09090909090912</v>
      </c>
      <c r="J133" s="9">
        <f t="shared" si="11"/>
        <v>0.49330783938814537</v>
      </c>
      <c r="K133" s="7" t="s">
        <v>81</v>
      </c>
    </row>
    <row r="134" spans="1:11" x14ac:dyDescent="0.25">
      <c r="A134" s="7" t="s">
        <v>300</v>
      </c>
      <c r="B134" s="7" t="s">
        <v>328</v>
      </c>
      <c r="C134" s="7" t="s">
        <v>375</v>
      </c>
      <c r="D134" s="7" t="s">
        <v>330</v>
      </c>
      <c r="E134" s="16">
        <v>1420</v>
      </c>
      <c r="F134" s="16">
        <v>1046</v>
      </c>
      <c r="G134" s="8">
        <f t="shared" si="8"/>
        <v>95.090909090909093</v>
      </c>
      <c r="H134" s="8">
        <f t="shared" si="9"/>
        <v>950.90909090909088</v>
      </c>
      <c r="I134" s="8">
        <f t="shared" si="10"/>
        <v>469.09090909090912</v>
      </c>
      <c r="J134" s="9">
        <f t="shared" si="11"/>
        <v>0.49330783938814537</v>
      </c>
      <c r="K134" s="7" t="s">
        <v>81</v>
      </c>
    </row>
    <row r="135" spans="1:11" x14ac:dyDescent="0.25">
      <c r="A135" s="7" t="s">
        <v>300</v>
      </c>
      <c r="B135" s="7" t="s">
        <v>328</v>
      </c>
      <c r="C135" s="7" t="s">
        <v>376</v>
      </c>
      <c r="D135" s="7" t="s">
        <v>330</v>
      </c>
      <c r="E135" s="16">
        <v>1420</v>
      </c>
      <c r="F135" s="16">
        <v>1046</v>
      </c>
      <c r="G135" s="8">
        <f t="shared" si="8"/>
        <v>95.090909090909093</v>
      </c>
      <c r="H135" s="8">
        <f t="shared" si="9"/>
        <v>950.90909090909088</v>
      </c>
      <c r="I135" s="8">
        <f t="shared" si="10"/>
        <v>469.09090909090912</v>
      </c>
      <c r="J135" s="9">
        <f t="shared" si="11"/>
        <v>0.49330783938814537</v>
      </c>
      <c r="K135" s="7" t="s">
        <v>81</v>
      </c>
    </row>
    <row r="136" spans="1:11" x14ac:dyDescent="0.25">
      <c r="A136" s="7" t="s">
        <v>300</v>
      </c>
      <c r="B136" s="7" t="s">
        <v>328</v>
      </c>
      <c r="C136" s="7" t="s">
        <v>377</v>
      </c>
      <c r="D136" s="7" t="s">
        <v>330</v>
      </c>
      <c r="E136" s="16">
        <v>1420</v>
      </c>
      <c r="F136" s="16">
        <v>1046</v>
      </c>
      <c r="G136" s="8">
        <f t="shared" si="8"/>
        <v>95.090909090909093</v>
      </c>
      <c r="H136" s="8">
        <f t="shared" si="9"/>
        <v>950.90909090909088</v>
      </c>
      <c r="I136" s="8">
        <f t="shared" si="10"/>
        <v>469.09090909090912</v>
      </c>
      <c r="J136" s="9">
        <f t="shared" si="11"/>
        <v>0.49330783938814537</v>
      </c>
      <c r="K136" s="7" t="s">
        <v>81</v>
      </c>
    </row>
    <row r="137" spans="1:11" x14ac:dyDescent="0.25">
      <c r="A137" s="7" t="s">
        <v>300</v>
      </c>
      <c r="B137" s="7" t="s">
        <v>328</v>
      </c>
      <c r="C137" s="7" t="s">
        <v>378</v>
      </c>
      <c r="D137" s="7" t="s">
        <v>330</v>
      </c>
      <c r="E137" s="16">
        <v>1420</v>
      </c>
      <c r="F137" s="16">
        <v>1046</v>
      </c>
      <c r="G137" s="8">
        <f t="shared" si="8"/>
        <v>95.090909090909093</v>
      </c>
      <c r="H137" s="8">
        <f t="shared" si="9"/>
        <v>950.90909090909088</v>
      </c>
      <c r="I137" s="8">
        <f t="shared" si="10"/>
        <v>469.09090909090912</v>
      </c>
      <c r="J137" s="9">
        <f t="shared" si="11"/>
        <v>0.49330783938814537</v>
      </c>
      <c r="K137" s="7" t="s">
        <v>81</v>
      </c>
    </row>
    <row r="138" spans="1:11" x14ac:dyDescent="0.25">
      <c r="A138" s="7" t="s">
        <v>300</v>
      </c>
      <c r="B138" s="7" t="s">
        <v>328</v>
      </c>
      <c r="C138" s="7" t="s">
        <v>379</v>
      </c>
      <c r="D138" s="7" t="s">
        <v>330</v>
      </c>
      <c r="E138" s="16">
        <v>1420</v>
      </c>
      <c r="F138" s="16">
        <v>1046</v>
      </c>
      <c r="G138" s="8">
        <f t="shared" si="8"/>
        <v>95.090909090909093</v>
      </c>
      <c r="H138" s="8">
        <f t="shared" si="9"/>
        <v>950.90909090909088</v>
      </c>
      <c r="I138" s="8">
        <f t="shared" si="10"/>
        <v>469.09090909090912</v>
      </c>
      <c r="J138" s="9">
        <f t="shared" si="11"/>
        <v>0.49330783938814537</v>
      </c>
      <c r="K138" s="7" t="s">
        <v>81</v>
      </c>
    </row>
    <row r="139" spans="1:11" x14ac:dyDescent="0.25">
      <c r="A139" s="7" t="s">
        <v>300</v>
      </c>
      <c r="B139" s="7" t="s">
        <v>328</v>
      </c>
      <c r="C139" s="7" t="s">
        <v>380</v>
      </c>
      <c r="D139" s="7" t="s">
        <v>330</v>
      </c>
      <c r="E139" s="16">
        <v>1420</v>
      </c>
      <c r="F139" s="16">
        <v>1046</v>
      </c>
      <c r="G139" s="8">
        <f t="shared" si="8"/>
        <v>95.090909090909093</v>
      </c>
      <c r="H139" s="8">
        <f t="shared" si="9"/>
        <v>950.90909090909088</v>
      </c>
      <c r="I139" s="8">
        <f t="shared" si="10"/>
        <v>469.09090909090912</v>
      </c>
      <c r="J139" s="9">
        <f t="shared" si="11"/>
        <v>0.49330783938814537</v>
      </c>
      <c r="K139" s="7" t="s">
        <v>81</v>
      </c>
    </row>
    <row r="140" spans="1:11" x14ac:dyDescent="0.25">
      <c r="A140" s="7" t="s">
        <v>300</v>
      </c>
      <c r="B140" s="7" t="s">
        <v>328</v>
      </c>
      <c r="C140" s="7" t="s">
        <v>381</v>
      </c>
      <c r="D140" s="7" t="s">
        <v>330</v>
      </c>
      <c r="E140" s="16">
        <v>1420</v>
      </c>
      <c r="F140" s="16">
        <v>1095</v>
      </c>
      <c r="G140" s="8">
        <f t="shared" si="8"/>
        <v>99.545454545454547</v>
      </c>
      <c r="H140" s="8">
        <f t="shared" si="9"/>
        <v>995.4545454545455</v>
      </c>
      <c r="I140" s="8">
        <f t="shared" si="10"/>
        <v>424.5454545454545</v>
      </c>
      <c r="J140" s="9">
        <f t="shared" si="11"/>
        <v>0.42648401826484011</v>
      </c>
      <c r="K140" s="7" t="s">
        <v>81</v>
      </c>
    </row>
    <row r="141" spans="1:11" x14ac:dyDescent="0.25">
      <c r="A141" s="7" t="s">
        <v>300</v>
      </c>
      <c r="B141" s="7" t="s">
        <v>328</v>
      </c>
      <c r="C141" s="7" t="s">
        <v>382</v>
      </c>
      <c r="D141" s="7" t="s">
        <v>330</v>
      </c>
      <c r="E141" s="16">
        <v>1420</v>
      </c>
      <c r="F141" s="16">
        <v>1095</v>
      </c>
      <c r="G141" s="8">
        <f t="shared" si="8"/>
        <v>99.545454545454547</v>
      </c>
      <c r="H141" s="8">
        <f t="shared" si="9"/>
        <v>995.4545454545455</v>
      </c>
      <c r="I141" s="8">
        <f t="shared" si="10"/>
        <v>424.5454545454545</v>
      </c>
      <c r="J141" s="9">
        <f t="shared" si="11"/>
        <v>0.42648401826484011</v>
      </c>
      <c r="K141" s="7" t="s">
        <v>81</v>
      </c>
    </row>
    <row r="142" spans="1:11" x14ac:dyDescent="0.25">
      <c r="A142" s="7" t="s">
        <v>300</v>
      </c>
      <c r="B142" s="7" t="s">
        <v>328</v>
      </c>
      <c r="C142" s="7" t="s">
        <v>383</v>
      </c>
      <c r="D142" s="7" t="s">
        <v>330</v>
      </c>
      <c r="E142" s="16">
        <v>1420</v>
      </c>
      <c r="F142" s="16">
        <v>1095</v>
      </c>
      <c r="G142" s="8">
        <f t="shared" si="8"/>
        <v>99.545454545454547</v>
      </c>
      <c r="H142" s="8">
        <f t="shared" si="9"/>
        <v>995.4545454545455</v>
      </c>
      <c r="I142" s="8">
        <f t="shared" si="10"/>
        <v>424.5454545454545</v>
      </c>
      <c r="J142" s="9">
        <f t="shared" si="11"/>
        <v>0.42648401826484011</v>
      </c>
      <c r="K142" s="7" t="s">
        <v>81</v>
      </c>
    </row>
    <row r="143" spans="1:11" x14ac:dyDescent="0.25">
      <c r="A143" s="7" t="s">
        <v>300</v>
      </c>
      <c r="B143" s="7" t="s">
        <v>328</v>
      </c>
      <c r="C143" s="7" t="s">
        <v>384</v>
      </c>
      <c r="D143" s="7" t="s">
        <v>330</v>
      </c>
      <c r="E143" s="16">
        <v>1420</v>
      </c>
      <c r="F143" s="16">
        <v>1095</v>
      </c>
      <c r="G143" s="8">
        <f t="shared" si="8"/>
        <v>99.545454545454547</v>
      </c>
      <c r="H143" s="8">
        <f t="shared" si="9"/>
        <v>995.4545454545455</v>
      </c>
      <c r="I143" s="8">
        <f t="shared" si="10"/>
        <v>424.5454545454545</v>
      </c>
      <c r="J143" s="9">
        <f t="shared" si="11"/>
        <v>0.42648401826484011</v>
      </c>
      <c r="K143" s="7" t="s">
        <v>81</v>
      </c>
    </row>
    <row r="144" spans="1:11" x14ac:dyDescent="0.25">
      <c r="A144" s="7" t="s">
        <v>300</v>
      </c>
      <c r="B144" s="7" t="s">
        <v>328</v>
      </c>
      <c r="C144" s="7" t="s">
        <v>385</v>
      </c>
      <c r="D144" s="7" t="s">
        <v>330</v>
      </c>
      <c r="E144" s="16">
        <v>1420</v>
      </c>
      <c r="F144" s="16">
        <v>1095</v>
      </c>
      <c r="G144" s="8">
        <f t="shared" si="8"/>
        <v>99.545454545454547</v>
      </c>
      <c r="H144" s="8">
        <f t="shared" si="9"/>
        <v>995.4545454545455</v>
      </c>
      <c r="I144" s="8">
        <f t="shared" si="10"/>
        <v>424.5454545454545</v>
      </c>
      <c r="J144" s="9">
        <f t="shared" si="11"/>
        <v>0.42648401826484011</v>
      </c>
      <c r="K144" s="7" t="s">
        <v>81</v>
      </c>
    </row>
    <row r="145" spans="1:11" x14ac:dyDescent="0.25">
      <c r="A145" s="7" t="s">
        <v>300</v>
      </c>
      <c r="B145" s="7" t="s">
        <v>328</v>
      </c>
      <c r="C145" s="7" t="s">
        <v>386</v>
      </c>
      <c r="D145" s="7" t="s">
        <v>330</v>
      </c>
      <c r="E145" s="16">
        <v>1420</v>
      </c>
      <c r="F145" s="16">
        <v>1095</v>
      </c>
      <c r="G145" s="8">
        <f t="shared" si="8"/>
        <v>99.545454545454547</v>
      </c>
      <c r="H145" s="8">
        <f t="shared" si="9"/>
        <v>995.4545454545455</v>
      </c>
      <c r="I145" s="8">
        <f t="shared" si="10"/>
        <v>424.5454545454545</v>
      </c>
      <c r="J145" s="9">
        <f t="shared" si="11"/>
        <v>0.42648401826484011</v>
      </c>
      <c r="K145" s="7" t="s">
        <v>81</v>
      </c>
    </row>
    <row r="146" spans="1:11" x14ac:dyDescent="0.25">
      <c r="A146" s="7" t="s">
        <v>300</v>
      </c>
      <c r="B146" s="7" t="s">
        <v>328</v>
      </c>
      <c r="C146" s="7" t="s">
        <v>387</v>
      </c>
      <c r="D146" s="7" t="s">
        <v>330</v>
      </c>
      <c r="E146" s="16">
        <v>1420</v>
      </c>
      <c r="F146" s="16">
        <v>1095</v>
      </c>
      <c r="G146" s="8">
        <f t="shared" si="8"/>
        <v>99.545454545454547</v>
      </c>
      <c r="H146" s="8">
        <f t="shared" si="9"/>
        <v>995.4545454545455</v>
      </c>
      <c r="I146" s="8">
        <f t="shared" si="10"/>
        <v>424.5454545454545</v>
      </c>
      <c r="J146" s="9">
        <f t="shared" si="11"/>
        <v>0.42648401826484011</v>
      </c>
      <c r="K146" s="7" t="s">
        <v>81</v>
      </c>
    </row>
    <row r="147" spans="1:11" x14ac:dyDescent="0.25">
      <c r="A147" s="7" t="s">
        <v>300</v>
      </c>
      <c r="B147" s="7" t="s">
        <v>328</v>
      </c>
      <c r="C147" s="7" t="s">
        <v>388</v>
      </c>
      <c r="D147" s="7" t="s">
        <v>330</v>
      </c>
      <c r="E147" s="16">
        <v>1420</v>
      </c>
      <c r="F147" s="16">
        <v>1095</v>
      </c>
      <c r="G147" s="8">
        <f t="shared" si="8"/>
        <v>99.545454545454547</v>
      </c>
      <c r="H147" s="8">
        <f t="shared" si="9"/>
        <v>995.4545454545455</v>
      </c>
      <c r="I147" s="8">
        <f t="shared" si="10"/>
        <v>424.5454545454545</v>
      </c>
      <c r="J147" s="9">
        <f t="shared" si="11"/>
        <v>0.42648401826484011</v>
      </c>
      <c r="K147" s="7" t="s">
        <v>81</v>
      </c>
    </row>
    <row r="148" spans="1:11" x14ac:dyDescent="0.25">
      <c r="A148" s="7" t="s">
        <v>300</v>
      </c>
      <c r="B148" s="7" t="s">
        <v>328</v>
      </c>
      <c r="C148" s="7" t="s">
        <v>389</v>
      </c>
      <c r="D148" s="7" t="s">
        <v>330</v>
      </c>
      <c r="E148" s="16">
        <v>1420</v>
      </c>
      <c r="F148" s="16">
        <v>1095</v>
      </c>
      <c r="G148" s="8">
        <f t="shared" si="8"/>
        <v>99.545454545454547</v>
      </c>
      <c r="H148" s="8">
        <f t="shared" si="9"/>
        <v>995.4545454545455</v>
      </c>
      <c r="I148" s="8">
        <f t="shared" si="10"/>
        <v>424.5454545454545</v>
      </c>
      <c r="J148" s="9">
        <f t="shared" si="11"/>
        <v>0.42648401826484011</v>
      </c>
      <c r="K148" s="7" t="s">
        <v>81</v>
      </c>
    </row>
    <row r="149" spans="1:11" x14ac:dyDescent="0.25">
      <c r="A149" s="7" t="s">
        <v>390</v>
      </c>
      <c r="B149" s="7" t="s">
        <v>70</v>
      </c>
      <c r="C149" s="7" t="s">
        <v>391</v>
      </c>
      <c r="D149" s="7" t="s">
        <v>15</v>
      </c>
      <c r="E149" s="16">
        <v>3700</v>
      </c>
      <c r="F149" s="16">
        <v>3072</v>
      </c>
      <c r="G149" s="8">
        <f t="shared" si="8"/>
        <v>279.27272727272725</v>
      </c>
      <c r="H149" s="8">
        <f t="shared" si="9"/>
        <v>2792.727272727273</v>
      </c>
      <c r="I149" s="8">
        <f t="shared" si="10"/>
        <v>907.27272727272702</v>
      </c>
      <c r="J149" s="9">
        <f t="shared" si="11"/>
        <v>0.32486979166666657</v>
      </c>
      <c r="K149" s="7" t="s">
        <v>81</v>
      </c>
    </row>
    <row r="150" spans="1:11" x14ac:dyDescent="0.25">
      <c r="A150" s="7" t="s">
        <v>390</v>
      </c>
      <c r="B150" s="7" t="s">
        <v>17</v>
      </c>
      <c r="C150" s="7" t="s">
        <v>392</v>
      </c>
      <c r="D150" s="7" t="s">
        <v>15</v>
      </c>
      <c r="E150" s="16">
        <v>11250</v>
      </c>
      <c r="F150" s="16">
        <v>7900.33</v>
      </c>
      <c r="G150" s="8">
        <f t="shared" si="8"/>
        <v>718.21181818181822</v>
      </c>
      <c r="H150" s="8">
        <f t="shared" si="9"/>
        <v>7182.1181818181813</v>
      </c>
      <c r="I150" s="8">
        <f t="shared" si="10"/>
        <v>4067.8818181818187</v>
      </c>
      <c r="J150" s="9">
        <f t="shared" si="11"/>
        <v>0.56639026471046161</v>
      </c>
      <c r="K150" s="7" t="s">
        <v>16</v>
      </c>
    </row>
    <row r="151" spans="1:11" x14ac:dyDescent="0.25">
      <c r="A151" s="7" t="s">
        <v>390</v>
      </c>
      <c r="B151" s="7" t="s">
        <v>439</v>
      </c>
      <c r="C151" s="7" t="s">
        <v>440</v>
      </c>
      <c r="D151" s="7" t="s">
        <v>15</v>
      </c>
      <c r="E151" s="16">
        <v>797</v>
      </c>
      <c r="F151" s="16">
        <v>841.5</v>
      </c>
      <c r="G151" s="8">
        <f t="shared" si="8"/>
        <v>76.5</v>
      </c>
      <c r="H151" s="8">
        <f t="shared" si="9"/>
        <v>765</v>
      </c>
      <c r="I151" s="8">
        <f t="shared" si="10"/>
        <v>32</v>
      </c>
      <c r="J151" s="9">
        <f t="shared" si="11"/>
        <v>4.1830065359477121E-2</v>
      </c>
      <c r="K151" s="7" t="s">
        <v>16</v>
      </c>
    </row>
    <row r="152" spans="1:11" x14ac:dyDescent="0.25">
      <c r="A152" s="7" t="s">
        <v>390</v>
      </c>
      <c r="B152" s="7" t="s">
        <v>441</v>
      </c>
      <c r="C152" s="7" t="s">
        <v>443</v>
      </c>
      <c r="D152" s="7" t="s">
        <v>15</v>
      </c>
      <c r="E152" s="16">
        <v>1200</v>
      </c>
      <c r="F152" s="16">
        <v>1142</v>
      </c>
      <c r="G152" s="8">
        <f t="shared" si="8"/>
        <v>103.81818181818181</v>
      </c>
      <c r="H152" s="8">
        <f t="shared" si="9"/>
        <v>1038.1818181818182</v>
      </c>
      <c r="I152" s="8">
        <f t="shared" si="10"/>
        <v>161.81818181818176</v>
      </c>
      <c r="J152" s="9">
        <f t="shared" si="11"/>
        <v>0.15586690017513127</v>
      </c>
      <c r="K152" s="7" t="s">
        <v>16</v>
      </c>
    </row>
    <row r="153" spans="1:11" x14ac:dyDescent="0.25">
      <c r="A153" s="7" t="s">
        <v>390</v>
      </c>
      <c r="B153" s="7" t="s">
        <v>441</v>
      </c>
      <c r="C153" s="7" t="s">
        <v>444</v>
      </c>
      <c r="D153" s="7" t="s">
        <v>15</v>
      </c>
      <c r="E153" s="16">
        <v>1200</v>
      </c>
      <c r="F153" s="16">
        <v>1142</v>
      </c>
      <c r="G153" s="8">
        <f t="shared" si="8"/>
        <v>103.81818181818181</v>
      </c>
      <c r="H153" s="8">
        <f t="shared" si="9"/>
        <v>1038.1818181818182</v>
      </c>
      <c r="I153" s="8">
        <f t="shared" si="10"/>
        <v>161.81818181818176</v>
      </c>
      <c r="J153" s="9">
        <f t="shared" si="11"/>
        <v>0.15586690017513127</v>
      </c>
      <c r="K153" s="7" t="s">
        <v>16</v>
      </c>
    </row>
    <row r="154" spans="1:11" x14ac:dyDescent="0.25">
      <c r="A154" s="7" t="s">
        <v>390</v>
      </c>
      <c r="B154" s="7" t="s">
        <v>441</v>
      </c>
      <c r="C154" s="7" t="s">
        <v>445</v>
      </c>
      <c r="D154" s="7" t="s">
        <v>15</v>
      </c>
      <c r="E154" s="16">
        <v>1200</v>
      </c>
      <c r="F154" s="16">
        <v>1142</v>
      </c>
      <c r="G154" s="8">
        <f t="shared" si="8"/>
        <v>103.81818181818181</v>
      </c>
      <c r="H154" s="8">
        <f t="shared" si="9"/>
        <v>1038.1818181818182</v>
      </c>
      <c r="I154" s="8">
        <f t="shared" si="10"/>
        <v>161.81818181818176</v>
      </c>
      <c r="J154" s="9">
        <f t="shared" si="11"/>
        <v>0.15586690017513127</v>
      </c>
      <c r="K154" s="7" t="s">
        <v>16</v>
      </c>
    </row>
    <row r="155" spans="1:11" x14ac:dyDescent="0.25">
      <c r="A155" s="7" t="s">
        <v>390</v>
      </c>
      <c r="B155" s="7" t="s">
        <v>441</v>
      </c>
      <c r="C155" s="7" t="s">
        <v>446</v>
      </c>
      <c r="D155" s="7" t="s">
        <v>15</v>
      </c>
      <c r="E155" s="16">
        <v>1200</v>
      </c>
      <c r="F155" s="16">
        <v>1142</v>
      </c>
      <c r="G155" s="8">
        <f t="shared" si="8"/>
        <v>103.81818181818181</v>
      </c>
      <c r="H155" s="8">
        <f t="shared" si="9"/>
        <v>1038.1818181818182</v>
      </c>
      <c r="I155" s="8">
        <f t="shared" si="10"/>
        <v>161.81818181818176</v>
      </c>
      <c r="J155" s="9">
        <f t="shared" si="11"/>
        <v>0.15586690017513127</v>
      </c>
      <c r="K155" s="7" t="s">
        <v>16</v>
      </c>
    </row>
    <row r="156" spans="1:11" x14ac:dyDescent="0.25">
      <c r="A156" s="7" t="s">
        <v>390</v>
      </c>
      <c r="B156" s="7" t="s">
        <v>448</v>
      </c>
      <c r="C156" s="7" t="s">
        <v>449</v>
      </c>
      <c r="D156" s="7" t="s">
        <v>15</v>
      </c>
      <c r="E156" s="16">
        <v>850</v>
      </c>
      <c r="F156" s="16">
        <v>901.14</v>
      </c>
      <c r="G156" s="8">
        <f t="shared" si="8"/>
        <v>81.921818181818182</v>
      </c>
      <c r="H156" s="8">
        <f t="shared" si="9"/>
        <v>819.21818181818185</v>
      </c>
      <c r="I156" s="8">
        <f t="shared" si="10"/>
        <v>30.781818181818153</v>
      </c>
      <c r="J156" s="9">
        <f t="shared" si="11"/>
        <v>3.757462769381003E-2</v>
      </c>
      <c r="K156" s="7" t="s">
        <v>16</v>
      </c>
    </row>
    <row r="157" spans="1:11" x14ac:dyDescent="0.25">
      <c r="A157" s="7" t="s">
        <v>390</v>
      </c>
      <c r="B157" s="7" t="s">
        <v>448</v>
      </c>
      <c r="C157" s="7" t="s">
        <v>450</v>
      </c>
      <c r="D157" s="7" t="s">
        <v>15</v>
      </c>
      <c r="E157" s="16">
        <v>850</v>
      </c>
      <c r="F157" s="16">
        <v>901.14</v>
      </c>
      <c r="G157" s="8">
        <f t="shared" si="8"/>
        <v>81.921818181818182</v>
      </c>
      <c r="H157" s="8">
        <f t="shared" si="9"/>
        <v>819.21818181818185</v>
      </c>
      <c r="I157" s="8">
        <f t="shared" si="10"/>
        <v>30.781818181818153</v>
      </c>
      <c r="J157" s="9">
        <f t="shared" si="11"/>
        <v>3.757462769381003E-2</v>
      </c>
      <c r="K157" s="7" t="s">
        <v>16</v>
      </c>
    </row>
    <row r="158" spans="1:11" x14ac:dyDescent="0.25">
      <c r="A158" s="7" t="s">
        <v>390</v>
      </c>
      <c r="B158" s="7" t="s">
        <v>448</v>
      </c>
      <c r="C158" s="7" t="s">
        <v>451</v>
      </c>
      <c r="D158" s="7" t="s">
        <v>15</v>
      </c>
      <c r="E158" s="16">
        <v>850</v>
      </c>
      <c r="F158" s="16">
        <v>901.14</v>
      </c>
      <c r="G158" s="8">
        <f t="shared" si="8"/>
        <v>81.921818181818182</v>
      </c>
      <c r="H158" s="8">
        <f t="shared" si="9"/>
        <v>819.21818181818185</v>
      </c>
      <c r="I158" s="8">
        <f t="shared" si="10"/>
        <v>30.781818181818153</v>
      </c>
      <c r="J158" s="9">
        <f t="shared" si="11"/>
        <v>3.757462769381003E-2</v>
      </c>
      <c r="K158" s="7" t="s">
        <v>16</v>
      </c>
    </row>
    <row r="159" spans="1:11" x14ac:dyDescent="0.25">
      <c r="A159" s="7" t="s">
        <v>390</v>
      </c>
      <c r="B159" s="7" t="s">
        <v>448</v>
      </c>
      <c r="C159" s="7" t="s">
        <v>452</v>
      </c>
      <c r="D159" s="7" t="s">
        <v>15</v>
      </c>
      <c r="E159" s="16">
        <v>1286</v>
      </c>
      <c r="F159" s="16">
        <v>901.14</v>
      </c>
      <c r="G159" s="8">
        <f t="shared" si="8"/>
        <v>81.921818181818182</v>
      </c>
      <c r="H159" s="8">
        <f t="shared" si="9"/>
        <v>819.21818181818185</v>
      </c>
      <c r="I159" s="8">
        <f t="shared" si="10"/>
        <v>466.78181818181815</v>
      </c>
      <c r="J159" s="9">
        <f t="shared" si="11"/>
        <v>0.56978937789910555</v>
      </c>
      <c r="K159" s="7" t="s">
        <v>16</v>
      </c>
    </row>
    <row r="160" spans="1:11" x14ac:dyDescent="0.25">
      <c r="A160" s="13" t="s">
        <v>390</v>
      </c>
      <c r="B160" s="13" t="s">
        <v>448</v>
      </c>
      <c r="C160" s="13" t="s">
        <v>453</v>
      </c>
      <c r="D160" s="13" t="s">
        <v>15</v>
      </c>
      <c r="E160" s="17">
        <v>850</v>
      </c>
      <c r="F160" s="17">
        <v>1544.65</v>
      </c>
      <c r="G160" s="14">
        <f t="shared" si="8"/>
        <v>140.42272727272729</v>
      </c>
      <c r="H160" s="14">
        <f t="shared" si="9"/>
        <v>1404.2272727272727</v>
      </c>
      <c r="I160" s="14">
        <f t="shared" si="10"/>
        <v>-554.22727272727275</v>
      </c>
      <c r="J160" s="15">
        <f t="shared" si="11"/>
        <v>-0.39468488006991875</v>
      </c>
      <c r="K160" s="13" t="s">
        <v>16</v>
      </c>
    </row>
    <row r="161" spans="1:11" x14ac:dyDescent="0.25">
      <c r="A161" s="7" t="s">
        <v>390</v>
      </c>
      <c r="B161" s="7" t="s">
        <v>448</v>
      </c>
      <c r="C161" s="7" t="s">
        <v>464</v>
      </c>
      <c r="D161" s="7" t="s">
        <v>15</v>
      </c>
      <c r="E161" s="16">
        <v>1286</v>
      </c>
      <c r="F161" s="16">
        <v>901.14</v>
      </c>
      <c r="G161" s="8">
        <f t="shared" si="8"/>
        <v>81.921818181818182</v>
      </c>
      <c r="H161" s="8">
        <f t="shared" si="9"/>
        <v>819.21818181818185</v>
      </c>
      <c r="I161" s="8">
        <f t="shared" si="10"/>
        <v>466.78181818181815</v>
      </c>
      <c r="J161" s="9">
        <f t="shared" si="11"/>
        <v>0.56978937789910555</v>
      </c>
      <c r="K161" s="7" t="s">
        <v>16</v>
      </c>
    </row>
    <row r="162" spans="1:11" x14ac:dyDescent="0.25">
      <c r="A162" s="7" t="s">
        <v>390</v>
      </c>
      <c r="B162" s="7" t="s">
        <v>448</v>
      </c>
      <c r="C162" s="7" t="s">
        <v>465</v>
      </c>
      <c r="D162" s="7" t="s">
        <v>15</v>
      </c>
      <c r="E162" s="16">
        <v>1286</v>
      </c>
      <c r="F162" s="16">
        <v>901.14</v>
      </c>
      <c r="G162" s="8">
        <f t="shared" si="8"/>
        <v>81.921818181818182</v>
      </c>
      <c r="H162" s="8">
        <f t="shared" si="9"/>
        <v>819.21818181818185</v>
      </c>
      <c r="I162" s="8">
        <f t="shared" si="10"/>
        <v>466.78181818181815</v>
      </c>
      <c r="J162" s="9">
        <f t="shared" si="11"/>
        <v>0.56978937789910555</v>
      </c>
      <c r="K162" s="7" t="s">
        <v>16</v>
      </c>
    </row>
    <row r="163" spans="1:11" x14ac:dyDescent="0.25">
      <c r="A163" s="7" t="s">
        <v>390</v>
      </c>
      <c r="B163" s="7" t="s">
        <v>448</v>
      </c>
      <c r="C163" s="7" t="s">
        <v>469</v>
      </c>
      <c r="D163" s="7" t="s">
        <v>15</v>
      </c>
      <c r="E163" s="16">
        <v>1470</v>
      </c>
      <c r="F163" s="16">
        <v>1544.66</v>
      </c>
      <c r="G163" s="8">
        <f t="shared" si="8"/>
        <v>140.42363636363638</v>
      </c>
      <c r="H163" s="8">
        <f t="shared" si="9"/>
        <v>1404.2363636363636</v>
      </c>
      <c r="I163" s="8">
        <f t="shared" si="10"/>
        <v>65.763636363636351</v>
      </c>
      <c r="J163" s="9">
        <f t="shared" si="11"/>
        <v>4.6832312612484293E-2</v>
      </c>
      <c r="K163" s="7" t="s">
        <v>16</v>
      </c>
    </row>
    <row r="164" spans="1:11" x14ac:dyDescent="0.25">
      <c r="A164" s="7" t="s">
        <v>390</v>
      </c>
      <c r="B164" s="7" t="s">
        <v>448</v>
      </c>
      <c r="C164" s="7" t="s">
        <v>470</v>
      </c>
      <c r="D164" s="7" t="s">
        <v>15</v>
      </c>
      <c r="E164" s="16">
        <v>1470</v>
      </c>
      <c r="F164" s="16">
        <v>1544.66</v>
      </c>
      <c r="G164" s="8">
        <f t="shared" si="8"/>
        <v>140.42363636363638</v>
      </c>
      <c r="H164" s="8">
        <f t="shared" si="9"/>
        <v>1404.2363636363636</v>
      </c>
      <c r="I164" s="8">
        <f t="shared" si="10"/>
        <v>65.763636363636351</v>
      </c>
      <c r="J164" s="9">
        <f t="shared" si="11"/>
        <v>4.6832312612484293E-2</v>
      </c>
      <c r="K164" s="7" t="s">
        <v>16</v>
      </c>
    </row>
    <row r="165" spans="1:11" x14ac:dyDescent="0.25">
      <c r="A165" s="7" t="s">
        <v>390</v>
      </c>
      <c r="B165" s="7" t="s">
        <v>448</v>
      </c>
      <c r="C165" s="7" t="s">
        <v>471</v>
      </c>
      <c r="D165" s="7" t="s">
        <v>15</v>
      </c>
      <c r="E165" s="16">
        <v>1470</v>
      </c>
      <c r="F165" s="16">
        <v>1544.66</v>
      </c>
      <c r="G165" s="8">
        <f t="shared" si="8"/>
        <v>140.42363636363638</v>
      </c>
      <c r="H165" s="8">
        <f t="shared" si="9"/>
        <v>1404.2363636363636</v>
      </c>
      <c r="I165" s="8">
        <f t="shared" si="10"/>
        <v>65.763636363636351</v>
      </c>
      <c r="J165" s="9">
        <f t="shared" si="11"/>
        <v>4.6832312612484293E-2</v>
      </c>
      <c r="K165" s="7" t="s">
        <v>16</v>
      </c>
    </row>
    <row r="166" spans="1:11" x14ac:dyDescent="0.25">
      <c r="A166" s="7" t="s">
        <v>390</v>
      </c>
      <c r="B166" s="7" t="s">
        <v>328</v>
      </c>
      <c r="C166" s="7" t="s">
        <v>472</v>
      </c>
      <c r="D166" s="7" t="s">
        <v>330</v>
      </c>
      <c r="E166" s="16">
        <v>1420</v>
      </c>
      <c r="F166" s="16">
        <v>963.87</v>
      </c>
      <c r="G166" s="8">
        <f t="shared" si="8"/>
        <v>87.624545454545455</v>
      </c>
      <c r="H166" s="8">
        <f t="shared" si="9"/>
        <v>876.24545454545455</v>
      </c>
      <c r="I166" s="8">
        <f t="shared" si="10"/>
        <v>543.75454545454545</v>
      </c>
      <c r="J166" s="9">
        <f t="shared" si="11"/>
        <v>0.62055048917385125</v>
      </c>
      <c r="K166" s="7" t="s">
        <v>81</v>
      </c>
    </row>
    <row r="167" spans="1:11" x14ac:dyDescent="0.25">
      <c r="A167" s="7" t="s">
        <v>390</v>
      </c>
      <c r="B167" s="7" t="s">
        <v>328</v>
      </c>
      <c r="C167" s="7" t="s">
        <v>473</v>
      </c>
      <c r="D167" s="7" t="s">
        <v>330</v>
      </c>
      <c r="E167" s="16">
        <v>1420</v>
      </c>
      <c r="F167" s="16">
        <v>963.87</v>
      </c>
      <c r="G167" s="8">
        <f t="shared" si="8"/>
        <v>87.624545454545455</v>
      </c>
      <c r="H167" s="8">
        <f t="shared" si="9"/>
        <v>876.24545454545455</v>
      </c>
      <c r="I167" s="8">
        <f t="shared" si="10"/>
        <v>543.75454545454545</v>
      </c>
      <c r="J167" s="9">
        <f t="shared" si="11"/>
        <v>0.62055048917385125</v>
      </c>
      <c r="K167" s="7" t="s">
        <v>81</v>
      </c>
    </row>
    <row r="168" spans="1:11" x14ac:dyDescent="0.25">
      <c r="A168" s="7" t="s">
        <v>390</v>
      </c>
      <c r="B168" s="7" t="s">
        <v>328</v>
      </c>
      <c r="C168" s="7" t="s">
        <v>474</v>
      </c>
      <c r="D168" s="7" t="s">
        <v>330</v>
      </c>
      <c r="E168" s="16">
        <v>1420</v>
      </c>
      <c r="F168" s="16">
        <v>963.87</v>
      </c>
      <c r="G168" s="8">
        <f t="shared" si="8"/>
        <v>87.624545454545455</v>
      </c>
      <c r="H168" s="8">
        <f t="shared" si="9"/>
        <v>876.24545454545455</v>
      </c>
      <c r="I168" s="8">
        <f t="shared" si="10"/>
        <v>543.75454545454545</v>
      </c>
      <c r="J168" s="9">
        <f t="shared" si="11"/>
        <v>0.62055048917385125</v>
      </c>
      <c r="K168" s="7" t="s">
        <v>81</v>
      </c>
    </row>
    <row r="169" spans="1:11" x14ac:dyDescent="0.25">
      <c r="A169" s="7" t="s">
        <v>390</v>
      </c>
      <c r="B169" s="7" t="s">
        <v>328</v>
      </c>
      <c r="C169" s="7" t="s">
        <v>475</v>
      </c>
      <c r="D169" s="7" t="s">
        <v>330</v>
      </c>
      <c r="E169" s="16">
        <v>1420</v>
      </c>
      <c r="F169" s="16">
        <v>963.87</v>
      </c>
      <c r="G169" s="8">
        <f t="shared" si="8"/>
        <v>87.624545454545455</v>
      </c>
      <c r="H169" s="8">
        <f t="shared" si="9"/>
        <v>876.24545454545455</v>
      </c>
      <c r="I169" s="8">
        <f t="shared" si="10"/>
        <v>543.75454545454545</v>
      </c>
      <c r="J169" s="9">
        <f t="shared" si="11"/>
        <v>0.62055048917385125</v>
      </c>
      <c r="K169" s="7" t="s">
        <v>81</v>
      </c>
    </row>
    <row r="170" spans="1:11" x14ac:dyDescent="0.25">
      <c r="A170" s="7" t="s">
        <v>478</v>
      </c>
      <c r="B170" s="7" t="s">
        <v>500</v>
      </c>
      <c r="C170" s="7" t="s">
        <v>501</v>
      </c>
      <c r="D170" s="7" t="s">
        <v>15</v>
      </c>
      <c r="E170" s="16">
        <v>1025</v>
      </c>
      <c r="F170" s="16">
        <v>743</v>
      </c>
      <c r="G170" s="8">
        <f t="shared" si="8"/>
        <v>67.545454545454547</v>
      </c>
      <c r="H170" s="8">
        <f t="shared" si="9"/>
        <v>675.4545454545455</v>
      </c>
      <c r="I170" s="8">
        <f t="shared" si="10"/>
        <v>349.5454545454545</v>
      </c>
      <c r="J170" s="9">
        <f t="shared" si="11"/>
        <v>0.51749663526244949</v>
      </c>
      <c r="K170" s="7" t="s">
        <v>81</v>
      </c>
    </row>
    <row r="171" spans="1:11" x14ac:dyDescent="0.25">
      <c r="A171" s="7" t="s">
        <v>478</v>
      </c>
      <c r="B171" s="7" t="s">
        <v>500</v>
      </c>
      <c r="C171" s="7" t="s">
        <v>502</v>
      </c>
      <c r="D171" s="7" t="s">
        <v>15</v>
      </c>
      <c r="E171" s="16">
        <v>1025</v>
      </c>
      <c r="F171" s="16">
        <v>743</v>
      </c>
      <c r="G171" s="8">
        <f t="shared" si="8"/>
        <v>67.545454545454547</v>
      </c>
      <c r="H171" s="8">
        <f t="shared" si="9"/>
        <v>675.4545454545455</v>
      </c>
      <c r="I171" s="8">
        <f t="shared" si="10"/>
        <v>349.5454545454545</v>
      </c>
      <c r="J171" s="9">
        <f t="shared" si="11"/>
        <v>0.51749663526244949</v>
      </c>
      <c r="K171" s="7" t="s">
        <v>81</v>
      </c>
    </row>
    <row r="172" spans="1:11" x14ac:dyDescent="0.25">
      <c r="A172" s="7" t="s">
        <v>478</v>
      </c>
      <c r="B172" s="7" t="s">
        <v>500</v>
      </c>
      <c r="C172" s="7" t="s">
        <v>503</v>
      </c>
      <c r="D172" s="7" t="s">
        <v>15</v>
      </c>
      <c r="E172" s="16">
        <v>1025</v>
      </c>
      <c r="F172" s="16">
        <v>743</v>
      </c>
      <c r="G172" s="8">
        <f t="shared" si="8"/>
        <v>67.545454545454547</v>
      </c>
      <c r="H172" s="8">
        <f t="shared" si="9"/>
        <v>675.4545454545455</v>
      </c>
      <c r="I172" s="8">
        <f t="shared" si="10"/>
        <v>349.5454545454545</v>
      </c>
      <c r="J172" s="9">
        <f t="shared" si="11"/>
        <v>0.51749663526244949</v>
      </c>
      <c r="K172" s="7" t="s">
        <v>81</v>
      </c>
    </row>
    <row r="173" spans="1:11" x14ac:dyDescent="0.25">
      <c r="A173" s="7" t="s">
        <v>478</v>
      </c>
      <c r="B173" s="7" t="s">
        <v>500</v>
      </c>
      <c r="C173" s="7" t="s">
        <v>504</v>
      </c>
      <c r="D173" s="7" t="s">
        <v>15</v>
      </c>
      <c r="E173" s="16">
        <v>1025</v>
      </c>
      <c r="F173" s="16">
        <v>743</v>
      </c>
      <c r="G173" s="8">
        <f t="shared" si="8"/>
        <v>67.545454545454547</v>
      </c>
      <c r="H173" s="8">
        <f t="shared" si="9"/>
        <v>675.4545454545455</v>
      </c>
      <c r="I173" s="8">
        <f t="shared" si="10"/>
        <v>349.5454545454545</v>
      </c>
      <c r="J173" s="9">
        <f t="shared" si="11"/>
        <v>0.51749663526244949</v>
      </c>
      <c r="K173" s="7" t="s">
        <v>81</v>
      </c>
    </row>
    <row r="174" spans="1:11" x14ac:dyDescent="0.25">
      <c r="A174" s="7" t="s">
        <v>478</v>
      </c>
      <c r="B174" s="7" t="s">
        <v>328</v>
      </c>
      <c r="C174" s="7" t="s">
        <v>505</v>
      </c>
      <c r="D174" s="7" t="s">
        <v>330</v>
      </c>
      <c r="E174" s="16">
        <v>1390</v>
      </c>
      <c r="F174" s="16">
        <v>963.87</v>
      </c>
      <c r="G174" s="8">
        <f t="shared" si="8"/>
        <v>87.624545454545455</v>
      </c>
      <c r="H174" s="8">
        <f t="shared" si="9"/>
        <v>876.24545454545455</v>
      </c>
      <c r="I174" s="8">
        <f t="shared" si="10"/>
        <v>513.75454545454545</v>
      </c>
      <c r="J174" s="9">
        <f t="shared" si="11"/>
        <v>0.5863135070082065</v>
      </c>
      <c r="K174" s="7" t="s">
        <v>81</v>
      </c>
    </row>
    <row r="175" spans="1:11" x14ac:dyDescent="0.25">
      <c r="A175" s="7" t="s">
        <v>478</v>
      </c>
      <c r="B175" s="7" t="s">
        <v>328</v>
      </c>
      <c r="C175" s="7" t="s">
        <v>506</v>
      </c>
      <c r="D175" s="7" t="s">
        <v>330</v>
      </c>
      <c r="E175" s="16">
        <v>1390</v>
      </c>
      <c r="F175" s="16">
        <v>963.87</v>
      </c>
      <c r="G175" s="8">
        <f t="shared" si="8"/>
        <v>87.624545454545455</v>
      </c>
      <c r="H175" s="8">
        <f t="shared" si="9"/>
        <v>876.24545454545455</v>
      </c>
      <c r="I175" s="8">
        <f t="shared" si="10"/>
        <v>513.75454545454545</v>
      </c>
      <c r="J175" s="9">
        <f t="shared" si="11"/>
        <v>0.5863135070082065</v>
      </c>
      <c r="K175" s="7" t="s">
        <v>81</v>
      </c>
    </row>
    <row r="176" spans="1:11" x14ac:dyDescent="0.25">
      <c r="A176" s="7" t="s">
        <v>478</v>
      </c>
      <c r="B176" s="7" t="s">
        <v>328</v>
      </c>
      <c r="C176" s="7" t="s">
        <v>507</v>
      </c>
      <c r="D176" s="7" t="s">
        <v>330</v>
      </c>
      <c r="E176" s="16">
        <v>1390</v>
      </c>
      <c r="F176" s="16">
        <v>963.87</v>
      </c>
      <c r="G176" s="8">
        <f t="shared" si="8"/>
        <v>87.624545454545455</v>
      </c>
      <c r="H176" s="8">
        <f t="shared" si="9"/>
        <v>876.24545454545455</v>
      </c>
      <c r="I176" s="8">
        <f t="shared" si="10"/>
        <v>513.75454545454545</v>
      </c>
      <c r="J176" s="9">
        <f t="shared" si="11"/>
        <v>0.5863135070082065</v>
      </c>
      <c r="K176" s="7" t="s">
        <v>81</v>
      </c>
    </row>
    <row r="177" spans="1:11" x14ac:dyDescent="0.25">
      <c r="A177" s="7" t="s">
        <v>478</v>
      </c>
      <c r="B177" s="7" t="s">
        <v>328</v>
      </c>
      <c r="C177" s="7" t="s">
        <v>508</v>
      </c>
      <c r="D177" s="7" t="s">
        <v>330</v>
      </c>
      <c r="E177" s="16">
        <v>1390</v>
      </c>
      <c r="F177" s="16">
        <v>963.87</v>
      </c>
      <c r="G177" s="8">
        <f t="shared" si="8"/>
        <v>87.624545454545455</v>
      </c>
      <c r="H177" s="8">
        <f t="shared" si="9"/>
        <v>876.24545454545455</v>
      </c>
      <c r="I177" s="8">
        <f t="shared" si="10"/>
        <v>513.75454545454545</v>
      </c>
      <c r="J177" s="9">
        <f t="shared" si="11"/>
        <v>0.5863135070082065</v>
      </c>
      <c r="K177" s="7" t="s">
        <v>81</v>
      </c>
    </row>
    <row r="178" spans="1:11" x14ac:dyDescent="0.25">
      <c r="A178" s="7" t="s">
        <v>478</v>
      </c>
      <c r="B178" s="7" t="s">
        <v>328</v>
      </c>
      <c r="C178" s="7" t="s">
        <v>509</v>
      </c>
      <c r="D178" s="7" t="s">
        <v>330</v>
      </c>
      <c r="E178" s="16">
        <v>1390</v>
      </c>
      <c r="F178" s="16">
        <v>963.87</v>
      </c>
      <c r="G178" s="8">
        <f t="shared" si="8"/>
        <v>87.624545454545455</v>
      </c>
      <c r="H178" s="8">
        <f t="shared" si="9"/>
        <v>876.24545454545455</v>
      </c>
      <c r="I178" s="8">
        <f t="shared" si="10"/>
        <v>513.75454545454545</v>
      </c>
      <c r="J178" s="9">
        <f t="shared" si="11"/>
        <v>0.5863135070082065</v>
      </c>
      <c r="K178" s="7" t="s">
        <v>81</v>
      </c>
    </row>
    <row r="179" spans="1:11" x14ac:dyDescent="0.25">
      <c r="A179" s="7" t="s">
        <v>478</v>
      </c>
      <c r="B179" s="7" t="s">
        <v>328</v>
      </c>
      <c r="C179" s="7" t="s">
        <v>510</v>
      </c>
      <c r="D179" s="7" t="s">
        <v>330</v>
      </c>
      <c r="E179" s="16">
        <v>1390</v>
      </c>
      <c r="F179" s="16">
        <v>963.87</v>
      </c>
      <c r="G179" s="8">
        <f t="shared" si="8"/>
        <v>87.624545454545455</v>
      </c>
      <c r="H179" s="8">
        <f t="shared" si="9"/>
        <v>876.24545454545455</v>
      </c>
      <c r="I179" s="8">
        <f t="shared" si="10"/>
        <v>513.75454545454545</v>
      </c>
      <c r="J179" s="9">
        <f t="shared" si="11"/>
        <v>0.5863135070082065</v>
      </c>
      <c r="K179" s="7" t="s">
        <v>81</v>
      </c>
    </row>
    <row r="180" spans="1:11" x14ac:dyDescent="0.25">
      <c r="A180" s="7" t="s">
        <v>478</v>
      </c>
      <c r="B180" s="7" t="s">
        <v>328</v>
      </c>
      <c r="C180" s="7" t="s">
        <v>511</v>
      </c>
      <c r="D180" s="7" t="s">
        <v>330</v>
      </c>
      <c r="E180" s="16">
        <v>1390</v>
      </c>
      <c r="F180" s="16">
        <v>963.87</v>
      </c>
      <c r="G180" s="8">
        <f t="shared" si="8"/>
        <v>87.624545454545455</v>
      </c>
      <c r="H180" s="8">
        <f t="shared" si="9"/>
        <v>876.24545454545455</v>
      </c>
      <c r="I180" s="8">
        <f t="shared" si="10"/>
        <v>513.75454545454545</v>
      </c>
      <c r="J180" s="9">
        <f t="shared" si="11"/>
        <v>0.5863135070082065</v>
      </c>
      <c r="K180" s="7" t="s">
        <v>81</v>
      </c>
    </row>
    <row r="181" spans="1:11" x14ac:dyDescent="0.25">
      <c r="A181" s="7" t="s">
        <v>478</v>
      </c>
      <c r="B181" s="7" t="s">
        <v>328</v>
      </c>
      <c r="C181" s="7" t="s">
        <v>512</v>
      </c>
      <c r="D181" s="7" t="s">
        <v>330</v>
      </c>
      <c r="E181" s="16">
        <v>1390</v>
      </c>
      <c r="F181" s="16">
        <v>963.87</v>
      </c>
      <c r="G181" s="8">
        <f t="shared" si="8"/>
        <v>87.624545454545455</v>
      </c>
      <c r="H181" s="8">
        <f t="shared" si="9"/>
        <v>876.24545454545455</v>
      </c>
      <c r="I181" s="8">
        <f t="shared" si="10"/>
        <v>513.75454545454545</v>
      </c>
      <c r="J181" s="9">
        <f t="shared" si="11"/>
        <v>0.5863135070082065</v>
      </c>
      <c r="K181" s="7" t="s">
        <v>81</v>
      </c>
    </row>
    <row r="182" spans="1:11" x14ac:dyDescent="0.25">
      <c r="A182" s="7" t="s">
        <v>478</v>
      </c>
      <c r="B182" s="7" t="s">
        <v>328</v>
      </c>
      <c r="C182" s="7" t="s">
        <v>513</v>
      </c>
      <c r="D182" s="7" t="s">
        <v>330</v>
      </c>
      <c r="E182" s="16">
        <v>1390</v>
      </c>
      <c r="F182" s="16">
        <v>963.87</v>
      </c>
      <c r="G182" s="8">
        <f t="shared" si="8"/>
        <v>87.624545454545455</v>
      </c>
      <c r="H182" s="8">
        <f t="shared" si="9"/>
        <v>876.24545454545455</v>
      </c>
      <c r="I182" s="8">
        <f t="shared" si="10"/>
        <v>513.75454545454545</v>
      </c>
      <c r="J182" s="9">
        <f t="shared" si="11"/>
        <v>0.5863135070082065</v>
      </c>
      <c r="K182" s="7" t="s">
        <v>81</v>
      </c>
    </row>
    <row r="183" spans="1:11" x14ac:dyDescent="0.25">
      <c r="A183" s="7" t="s">
        <v>478</v>
      </c>
      <c r="B183" s="7" t="s">
        <v>328</v>
      </c>
      <c r="C183" s="7" t="s">
        <v>514</v>
      </c>
      <c r="D183" s="7" t="s">
        <v>330</v>
      </c>
      <c r="E183" s="16">
        <v>1390</v>
      </c>
      <c r="F183" s="16">
        <v>963.87</v>
      </c>
      <c r="G183" s="8">
        <f t="shared" si="8"/>
        <v>87.624545454545455</v>
      </c>
      <c r="H183" s="8">
        <f t="shared" si="9"/>
        <v>876.24545454545455</v>
      </c>
      <c r="I183" s="8">
        <f t="shared" si="10"/>
        <v>513.75454545454545</v>
      </c>
      <c r="J183" s="9">
        <f t="shared" si="11"/>
        <v>0.5863135070082065</v>
      </c>
      <c r="K183" s="7" t="s">
        <v>81</v>
      </c>
    </row>
    <row r="184" spans="1:11" x14ac:dyDescent="0.25">
      <c r="A184" s="7" t="s">
        <v>478</v>
      </c>
      <c r="B184" s="7" t="s">
        <v>328</v>
      </c>
      <c r="C184" s="7" t="s">
        <v>515</v>
      </c>
      <c r="D184" s="7" t="s">
        <v>330</v>
      </c>
      <c r="E184" s="16">
        <v>1390</v>
      </c>
      <c r="F184" s="16">
        <v>963.87</v>
      </c>
      <c r="G184" s="8">
        <f t="shared" si="8"/>
        <v>87.624545454545455</v>
      </c>
      <c r="H184" s="8">
        <f t="shared" si="9"/>
        <v>876.24545454545455</v>
      </c>
      <c r="I184" s="8">
        <f t="shared" si="10"/>
        <v>513.75454545454545</v>
      </c>
      <c r="J184" s="9">
        <f t="shared" si="11"/>
        <v>0.5863135070082065</v>
      </c>
      <c r="K184" s="7" t="s">
        <v>81</v>
      </c>
    </row>
    <row r="185" spans="1:11" x14ac:dyDescent="0.25">
      <c r="A185" s="7" t="s">
        <v>478</v>
      </c>
      <c r="B185" s="7" t="s">
        <v>328</v>
      </c>
      <c r="C185" s="7" t="s">
        <v>516</v>
      </c>
      <c r="D185" s="7" t="s">
        <v>330</v>
      </c>
      <c r="E185" s="16">
        <v>1390</v>
      </c>
      <c r="F185" s="16">
        <v>963.87</v>
      </c>
      <c r="G185" s="8">
        <f t="shared" si="8"/>
        <v>87.624545454545455</v>
      </c>
      <c r="H185" s="8">
        <f t="shared" si="9"/>
        <v>876.24545454545455</v>
      </c>
      <c r="I185" s="8">
        <f t="shared" si="10"/>
        <v>513.75454545454545</v>
      </c>
      <c r="J185" s="9">
        <f t="shared" si="11"/>
        <v>0.5863135070082065</v>
      </c>
      <c r="K185" s="7" t="s">
        <v>81</v>
      </c>
    </row>
    <row r="186" spans="1:11" x14ac:dyDescent="0.25">
      <c r="A186" s="7" t="s">
        <v>478</v>
      </c>
      <c r="B186" s="7" t="s">
        <v>328</v>
      </c>
      <c r="C186" s="7" t="s">
        <v>517</v>
      </c>
      <c r="D186" s="7" t="s">
        <v>330</v>
      </c>
      <c r="E186" s="16">
        <v>1390</v>
      </c>
      <c r="F186" s="16">
        <v>963.87</v>
      </c>
      <c r="G186" s="8">
        <f t="shared" si="8"/>
        <v>87.624545454545455</v>
      </c>
      <c r="H186" s="8">
        <f t="shared" si="9"/>
        <v>876.24545454545455</v>
      </c>
      <c r="I186" s="8">
        <f t="shared" si="10"/>
        <v>513.75454545454545</v>
      </c>
      <c r="J186" s="9">
        <f t="shared" si="11"/>
        <v>0.5863135070082065</v>
      </c>
      <c r="K186" s="7" t="s">
        <v>81</v>
      </c>
    </row>
    <row r="187" spans="1:11" x14ac:dyDescent="0.25">
      <c r="A187" s="7" t="s">
        <v>478</v>
      </c>
      <c r="B187" s="7" t="s">
        <v>328</v>
      </c>
      <c r="C187" s="7" t="s">
        <v>518</v>
      </c>
      <c r="D187" s="7" t="s">
        <v>330</v>
      </c>
      <c r="E187" s="16">
        <v>1415</v>
      </c>
      <c r="F187" s="16">
        <v>963.87</v>
      </c>
      <c r="G187" s="8">
        <f t="shared" si="8"/>
        <v>87.624545454545455</v>
      </c>
      <c r="H187" s="8">
        <f t="shared" si="9"/>
        <v>876.24545454545455</v>
      </c>
      <c r="I187" s="8">
        <f t="shared" si="10"/>
        <v>538.75454545454545</v>
      </c>
      <c r="J187" s="9">
        <f t="shared" si="11"/>
        <v>0.61484432547957713</v>
      </c>
      <c r="K187" s="7" t="s">
        <v>81</v>
      </c>
    </row>
    <row r="188" spans="1:11" x14ac:dyDescent="0.25">
      <c r="A188" s="7" t="s">
        <v>478</v>
      </c>
      <c r="B188" s="7" t="s">
        <v>328</v>
      </c>
      <c r="C188" s="7" t="s">
        <v>519</v>
      </c>
      <c r="D188" s="7" t="s">
        <v>330</v>
      </c>
      <c r="E188" s="16">
        <v>1390</v>
      </c>
      <c r="F188" s="16">
        <v>963.87</v>
      </c>
      <c r="G188" s="8">
        <f t="shared" si="8"/>
        <v>87.624545454545455</v>
      </c>
      <c r="H188" s="8">
        <f t="shared" si="9"/>
        <v>876.24545454545455</v>
      </c>
      <c r="I188" s="8">
        <f t="shared" si="10"/>
        <v>513.75454545454545</v>
      </c>
      <c r="J188" s="9">
        <f t="shared" si="11"/>
        <v>0.5863135070082065</v>
      </c>
      <c r="K188" s="7" t="s">
        <v>81</v>
      </c>
    </row>
    <row r="189" spans="1:11" x14ac:dyDescent="0.25">
      <c r="A189" s="7" t="s">
        <v>478</v>
      </c>
      <c r="B189" s="7" t="s">
        <v>328</v>
      </c>
      <c r="C189" s="7" t="s">
        <v>520</v>
      </c>
      <c r="D189" s="7" t="s">
        <v>330</v>
      </c>
      <c r="E189" s="16">
        <v>1390</v>
      </c>
      <c r="F189" s="16">
        <v>963.87</v>
      </c>
      <c r="G189" s="8">
        <f t="shared" si="8"/>
        <v>87.624545454545455</v>
      </c>
      <c r="H189" s="8">
        <f t="shared" si="9"/>
        <v>876.24545454545455</v>
      </c>
      <c r="I189" s="8">
        <f t="shared" si="10"/>
        <v>513.75454545454545</v>
      </c>
      <c r="J189" s="9">
        <f t="shared" si="11"/>
        <v>0.5863135070082065</v>
      </c>
      <c r="K189" s="7" t="s">
        <v>81</v>
      </c>
    </row>
    <row r="190" spans="1:11" x14ac:dyDescent="0.25">
      <c r="A190" s="7" t="s">
        <v>478</v>
      </c>
      <c r="B190" s="7" t="s">
        <v>328</v>
      </c>
      <c r="C190" s="7" t="s">
        <v>521</v>
      </c>
      <c r="D190" s="7" t="s">
        <v>330</v>
      </c>
      <c r="E190" s="16">
        <v>1390</v>
      </c>
      <c r="F190" s="16">
        <v>963.87</v>
      </c>
      <c r="G190" s="8">
        <f t="shared" si="8"/>
        <v>87.624545454545455</v>
      </c>
      <c r="H190" s="8">
        <f t="shared" si="9"/>
        <v>876.24545454545455</v>
      </c>
      <c r="I190" s="8">
        <f t="shared" si="10"/>
        <v>513.75454545454545</v>
      </c>
      <c r="J190" s="9">
        <f t="shared" si="11"/>
        <v>0.5863135070082065</v>
      </c>
      <c r="K190" s="7" t="s">
        <v>81</v>
      </c>
    </row>
    <row r="191" spans="1:11" x14ac:dyDescent="0.25">
      <c r="A191" s="7" t="s">
        <v>478</v>
      </c>
      <c r="B191" s="7" t="s">
        <v>328</v>
      </c>
      <c r="C191" s="7" t="s">
        <v>522</v>
      </c>
      <c r="D191" s="7" t="s">
        <v>330</v>
      </c>
      <c r="E191" s="16">
        <v>1390</v>
      </c>
      <c r="F191" s="16">
        <v>963.87</v>
      </c>
      <c r="G191" s="8">
        <f t="shared" si="8"/>
        <v>87.624545454545455</v>
      </c>
      <c r="H191" s="8">
        <f t="shared" si="9"/>
        <v>876.24545454545455</v>
      </c>
      <c r="I191" s="8">
        <f t="shared" si="10"/>
        <v>513.75454545454545</v>
      </c>
      <c r="J191" s="9">
        <f t="shared" si="11"/>
        <v>0.5863135070082065</v>
      </c>
      <c r="K191" s="7" t="s">
        <v>81</v>
      </c>
    </row>
    <row r="192" spans="1:11" x14ac:dyDescent="0.25">
      <c r="A192" s="7" t="s">
        <v>478</v>
      </c>
      <c r="B192" s="7" t="s">
        <v>328</v>
      </c>
      <c r="C192" s="7" t="s">
        <v>523</v>
      </c>
      <c r="D192" s="7" t="s">
        <v>330</v>
      </c>
      <c r="E192" s="16">
        <v>1390</v>
      </c>
      <c r="F192" s="16">
        <v>963.87</v>
      </c>
      <c r="G192" s="8">
        <f t="shared" si="8"/>
        <v>87.624545454545455</v>
      </c>
      <c r="H192" s="8">
        <f t="shared" si="9"/>
        <v>876.24545454545455</v>
      </c>
      <c r="I192" s="8">
        <f t="shared" si="10"/>
        <v>513.75454545454545</v>
      </c>
      <c r="J192" s="9">
        <f t="shared" si="11"/>
        <v>0.5863135070082065</v>
      </c>
      <c r="K192" s="7" t="s">
        <v>81</v>
      </c>
    </row>
    <row r="193" spans="1:11" x14ac:dyDescent="0.25">
      <c r="A193" s="7" t="s">
        <v>478</v>
      </c>
      <c r="B193" s="7" t="s">
        <v>328</v>
      </c>
      <c r="C193" s="7" t="s">
        <v>524</v>
      </c>
      <c r="D193" s="7" t="s">
        <v>330</v>
      </c>
      <c r="E193" s="16">
        <v>1390</v>
      </c>
      <c r="F193" s="16">
        <v>963.87</v>
      </c>
      <c r="G193" s="8">
        <f t="shared" si="8"/>
        <v>87.624545454545455</v>
      </c>
      <c r="H193" s="8">
        <f t="shared" si="9"/>
        <v>876.24545454545455</v>
      </c>
      <c r="I193" s="8">
        <f t="shared" si="10"/>
        <v>513.75454545454545</v>
      </c>
      <c r="J193" s="9">
        <f t="shared" si="11"/>
        <v>0.5863135070082065</v>
      </c>
      <c r="K193" s="7" t="s">
        <v>81</v>
      </c>
    </row>
    <row r="194" spans="1:11" x14ac:dyDescent="0.25">
      <c r="A194" s="7" t="s">
        <v>478</v>
      </c>
      <c r="B194" s="7" t="s">
        <v>328</v>
      </c>
      <c r="C194" s="7" t="s">
        <v>525</v>
      </c>
      <c r="D194" s="7" t="s">
        <v>330</v>
      </c>
      <c r="E194" s="16">
        <v>1390</v>
      </c>
      <c r="F194" s="16">
        <v>963.87</v>
      </c>
      <c r="G194" s="8">
        <f t="shared" si="8"/>
        <v>87.624545454545455</v>
      </c>
      <c r="H194" s="8">
        <f t="shared" si="9"/>
        <v>876.24545454545455</v>
      </c>
      <c r="I194" s="8">
        <f t="shared" si="10"/>
        <v>513.75454545454545</v>
      </c>
      <c r="J194" s="9">
        <f t="shared" si="11"/>
        <v>0.5863135070082065</v>
      </c>
      <c r="K194" s="7" t="s">
        <v>81</v>
      </c>
    </row>
    <row r="195" spans="1:11" x14ac:dyDescent="0.25">
      <c r="A195" s="7" t="s">
        <v>478</v>
      </c>
      <c r="B195" s="7" t="s">
        <v>328</v>
      </c>
      <c r="C195" s="7" t="s">
        <v>526</v>
      </c>
      <c r="D195" s="7" t="s">
        <v>330</v>
      </c>
      <c r="E195" s="16">
        <v>1415</v>
      </c>
      <c r="F195" s="16">
        <v>963.87</v>
      </c>
      <c r="G195" s="8">
        <f t="shared" ref="G195:G258" si="12">F195/11</f>
        <v>87.624545454545455</v>
      </c>
      <c r="H195" s="8">
        <f t="shared" ref="H195:H258" si="13">F195-G195</f>
        <v>876.24545454545455</v>
      </c>
      <c r="I195" s="8">
        <f t="shared" ref="I195:I258" si="14">E195-H195</f>
        <v>538.75454545454545</v>
      </c>
      <c r="J195" s="9">
        <f t="shared" ref="J195:J258" si="15">(E195-H195)/H195</f>
        <v>0.61484432547957713</v>
      </c>
      <c r="K195" s="7" t="s">
        <v>81</v>
      </c>
    </row>
    <row r="196" spans="1:11" x14ac:dyDescent="0.25">
      <c r="A196" s="7" t="s">
        <v>478</v>
      </c>
      <c r="B196" s="7" t="s">
        <v>328</v>
      </c>
      <c r="C196" s="7" t="s">
        <v>527</v>
      </c>
      <c r="D196" s="7" t="s">
        <v>330</v>
      </c>
      <c r="E196" s="16">
        <v>1415</v>
      </c>
      <c r="F196" s="16">
        <v>963.87</v>
      </c>
      <c r="G196" s="8">
        <f t="shared" si="12"/>
        <v>87.624545454545455</v>
      </c>
      <c r="H196" s="8">
        <f t="shared" si="13"/>
        <v>876.24545454545455</v>
      </c>
      <c r="I196" s="8">
        <f t="shared" si="14"/>
        <v>538.75454545454545</v>
      </c>
      <c r="J196" s="9">
        <f t="shared" si="15"/>
        <v>0.61484432547957713</v>
      </c>
      <c r="K196" s="7" t="s">
        <v>81</v>
      </c>
    </row>
    <row r="197" spans="1:11" x14ac:dyDescent="0.25">
      <c r="A197" s="7" t="s">
        <v>478</v>
      </c>
      <c r="B197" s="7" t="s">
        <v>328</v>
      </c>
      <c r="C197" s="7" t="s">
        <v>528</v>
      </c>
      <c r="D197" s="7" t="s">
        <v>330</v>
      </c>
      <c r="E197" s="16">
        <v>1415</v>
      </c>
      <c r="F197" s="16">
        <v>963.87</v>
      </c>
      <c r="G197" s="8">
        <f t="shared" si="12"/>
        <v>87.624545454545455</v>
      </c>
      <c r="H197" s="8">
        <f t="shared" si="13"/>
        <v>876.24545454545455</v>
      </c>
      <c r="I197" s="8">
        <f t="shared" si="14"/>
        <v>538.75454545454545</v>
      </c>
      <c r="J197" s="9">
        <f t="shared" si="15"/>
        <v>0.61484432547957713</v>
      </c>
      <c r="K197" s="7" t="s">
        <v>81</v>
      </c>
    </row>
    <row r="198" spans="1:11" x14ac:dyDescent="0.25">
      <c r="A198" s="7" t="s">
        <v>478</v>
      </c>
      <c r="B198" s="7" t="s">
        <v>328</v>
      </c>
      <c r="C198" s="7" t="s">
        <v>529</v>
      </c>
      <c r="D198" s="7" t="s">
        <v>330</v>
      </c>
      <c r="E198" s="16">
        <v>1415</v>
      </c>
      <c r="F198" s="16">
        <v>963.87</v>
      </c>
      <c r="G198" s="8">
        <f t="shared" si="12"/>
        <v>87.624545454545455</v>
      </c>
      <c r="H198" s="8">
        <f t="shared" si="13"/>
        <v>876.24545454545455</v>
      </c>
      <c r="I198" s="8">
        <f t="shared" si="14"/>
        <v>538.75454545454545</v>
      </c>
      <c r="J198" s="9">
        <f t="shared" si="15"/>
        <v>0.61484432547957713</v>
      </c>
      <c r="K198" s="7" t="s">
        <v>81</v>
      </c>
    </row>
    <row r="199" spans="1:11" x14ac:dyDescent="0.25">
      <c r="A199" s="7" t="s">
        <v>478</v>
      </c>
      <c r="B199" s="7" t="s">
        <v>328</v>
      </c>
      <c r="C199" s="7" t="s">
        <v>530</v>
      </c>
      <c r="D199" s="7" t="s">
        <v>330</v>
      </c>
      <c r="E199" s="16">
        <v>1380</v>
      </c>
      <c r="F199" s="16">
        <v>963.87</v>
      </c>
      <c r="G199" s="8">
        <f t="shared" si="12"/>
        <v>87.624545454545455</v>
      </c>
      <c r="H199" s="8">
        <f t="shared" si="13"/>
        <v>876.24545454545455</v>
      </c>
      <c r="I199" s="8">
        <f t="shared" si="14"/>
        <v>503.75454545454545</v>
      </c>
      <c r="J199" s="9">
        <f t="shared" si="15"/>
        <v>0.57490117961965825</v>
      </c>
      <c r="K199" s="7" t="s">
        <v>81</v>
      </c>
    </row>
    <row r="200" spans="1:11" x14ac:dyDescent="0.25">
      <c r="A200" s="7" t="s">
        <v>478</v>
      </c>
      <c r="B200" s="7" t="s">
        <v>328</v>
      </c>
      <c r="C200" s="7" t="s">
        <v>531</v>
      </c>
      <c r="D200" s="7" t="s">
        <v>330</v>
      </c>
      <c r="E200" s="16">
        <v>1380</v>
      </c>
      <c r="F200" s="16">
        <v>963.87</v>
      </c>
      <c r="G200" s="8">
        <f t="shared" si="12"/>
        <v>87.624545454545455</v>
      </c>
      <c r="H200" s="8">
        <f t="shared" si="13"/>
        <v>876.24545454545455</v>
      </c>
      <c r="I200" s="8">
        <f t="shared" si="14"/>
        <v>503.75454545454545</v>
      </c>
      <c r="J200" s="9">
        <f t="shared" si="15"/>
        <v>0.57490117961965825</v>
      </c>
      <c r="K200" s="7" t="s">
        <v>81</v>
      </c>
    </row>
    <row r="201" spans="1:11" x14ac:dyDescent="0.25">
      <c r="A201" s="7" t="s">
        <v>478</v>
      </c>
      <c r="B201" s="7" t="s">
        <v>328</v>
      </c>
      <c r="C201" s="7" t="s">
        <v>532</v>
      </c>
      <c r="D201" s="7" t="s">
        <v>330</v>
      </c>
      <c r="E201" s="16">
        <v>1380</v>
      </c>
      <c r="F201" s="16">
        <v>963.87</v>
      </c>
      <c r="G201" s="8">
        <f t="shared" si="12"/>
        <v>87.624545454545455</v>
      </c>
      <c r="H201" s="8">
        <f t="shared" si="13"/>
        <v>876.24545454545455</v>
      </c>
      <c r="I201" s="8">
        <f t="shared" si="14"/>
        <v>503.75454545454545</v>
      </c>
      <c r="J201" s="9">
        <f t="shared" si="15"/>
        <v>0.57490117961965825</v>
      </c>
      <c r="K201" s="7" t="s">
        <v>81</v>
      </c>
    </row>
    <row r="202" spans="1:11" x14ac:dyDescent="0.25">
      <c r="A202" s="7" t="s">
        <v>478</v>
      </c>
      <c r="B202" s="7" t="s">
        <v>328</v>
      </c>
      <c r="C202" s="7" t="s">
        <v>533</v>
      </c>
      <c r="D202" s="7" t="s">
        <v>330</v>
      </c>
      <c r="E202" s="16">
        <v>1380</v>
      </c>
      <c r="F202" s="16">
        <v>963.87</v>
      </c>
      <c r="G202" s="8">
        <f t="shared" si="12"/>
        <v>87.624545454545455</v>
      </c>
      <c r="H202" s="8">
        <f t="shared" si="13"/>
        <v>876.24545454545455</v>
      </c>
      <c r="I202" s="8">
        <f t="shared" si="14"/>
        <v>503.75454545454545</v>
      </c>
      <c r="J202" s="9">
        <f t="shared" si="15"/>
        <v>0.57490117961965825</v>
      </c>
      <c r="K202" s="7" t="s">
        <v>81</v>
      </c>
    </row>
    <row r="203" spans="1:11" x14ac:dyDescent="0.25">
      <c r="A203" s="7" t="s">
        <v>478</v>
      </c>
      <c r="B203" s="7" t="s">
        <v>328</v>
      </c>
      <c r="C203" s="7" t="s">
        <v>534</v>
      </c>
      <c r="D203" s="7" t="s">
        <v>330</v>
      </c>
      <c r="E203" s="16">
        <v>1380</v>
      </c>
      <c r="F203" s="16">
        <v>963.87</v>
      </c>
      <c r="G203" s="8">
        <f t="shared" si="12"/>
        <v>87.624545454545455</v>
      </c>
      <c r="H203" s="8">
        <f t="shared" si="13"/>
        <v>876.24545454545455</v>
      </c>
      <c r="I203" s="8">
        <f t="shared" si="14"/>
        <v>503.75454545454545</v>
      </c>
      <c r="J203" s="9">
        <f t="shared" si="15"/>
        <v>0.57490117961965825</v>
      </c>
      <c r="K203" s="7" t="s">
        <v>81</v>
      </c>
    </row>
    <row r="204" spans="1:11" x14ac:dyDescent="0.25">
      <c r="A204" s="7" t="s">
        <v>478</v>
      </c>
      <c r="B204" s="7" t="s">
        <v>328</v>
      </c>
      <c r="C204" s="7" t="s">
        <v>535</v>
      </c>
      <c r="D204" s="7" t="s">
        <v>330</v>
      </c>
      <c r="E204" s="16">
        <v>1380</v>
      </c>
      <c r="F204" s="16">
        <v>963.87</v>
      </c>
      <c r="G204" s="8">
        <f t="shared" si="12"/>
        <v>87.624545454545455</v>
      </c>
      <c r="H204" s="8">
        <f t="shared" si="13"/>
        <v>876.24545454545455</v>
      </c>
      <c r="I204" s="8">
        <f t="shared" si="14"/>
        <v>503.75454545454545</v>
      </c>
      <c r="J204" s="9">
        <f t="shared" si="15"/>
        <v>0.57490117961965825</v>
      </c>
      <c r="K204" s="7" t="s">
        <v>81</v>
      </c>
    </row>
    <row r="205" spans="1:11" x14ac:dyDescent="0.25">
      <c r="A205" s="7" t="s">
        <v>478</v>
      </c>
      <c r="B205" s="7" t="s">
        <v>328</v>
      </c>
      <c r="C205" s="7" t="s">
        <v>536</v>
      </c>
      <c r="D205" s="7" t="s">
        <v>330</v>
      </c>
      <c r="E205" s="16">
        <v>1380</v>
      </c>
      <c r="F205" s="16">
        <v>963.87</v>
      </c>
      <c r="G205" s="8">
        <f t="shared" si="12"/>
        <v>87.624545454545455</v>
      </c>
      <c r="H205" s="8">
        <f t="shared" si="13"/>
        <v>876.24545454545455</v>
      </c>
      <c r="I205" s="8">
        <f t="shared" si="14"/>
        <v>503.75454545454545</v>
      </c>
      <c r="J205" s="9">
        <f t="shared" si="15"/>
        <v>0.57490117961965825</v>
      </c>
      <c r="K205" s="7" t="s">
        <v>81</v>
      </c>
    </row>
    <row r="206" spans="1:11" x14ac:dyDescent="0.25">
      <c r="A206" s="7" t="s">
        <v>478</v>
      </c>
      <c r="B206" s="7" t="s">
        <v>328</v>
      </c>
      <c r="C206" s="7" t="s">
        <v>537</v>
      </c>
      <c r="D206" s="7" t="s">
        <v>330</v>
      </c>
      <c r="E206" s="16">
        <v>1380</v>
      </c>
      <c r="F206" s="16">
        <v>963.87</v>
      </c>
      <c r="G206" s="8">
        <f t="shared" si="12"/>
        <v>87.624545454545455</v>
      </c>
      <c r="H206" s="8">
        <f t="shared" si="13"/>
        <v>876.24545454545455</v>
      </c>
      <c r="I206" s="8">
        <f t="shared" si="14"/>
        <v>503.75454545454545</v>
      </c>
      <c r="J206" s="9">
        <f t="shared" si="15"/>
        <v>0.57490117961965825</v>
      </c>
      <c r="K206" s="7" t="s">
        <v>81</v>
      </c>
    </row>
    <row r="207" spans="1:11" x14ac:dyDescent="0.25">
      <c r="A207" s="7" t="s">
        <v>478</v>
      </c>
      <c r="B207" s="7" t="s">
        <v>328</v>
      </c>
      <c r="C207" s="7" t="s">
        <v>538</v>
      </c>
      <c r="D207" s="7" t="s">
        <v>330</v>
      </c>
      <c r="E207" s="16">
        <v>1380</v>
      </c>
      <c r="F207" s="16">
        <v>963.87</v>
      </c>
      <c r="G207" s="8">
        <f t="shared" si="12"/>
        <v>87.624545454545455</v>
      </c>
      <c r="H207" s="8">
        <f t="shared" si="13"/>
        <v>876.24545454545455</v>
      </c>
      <c r="I207" s="8">
        <f t="shared" si="14"/>
        <v>503.75454545454545</v>
      </c>
      <c r="J207" s="9">
        <f t="shared" si="15"/>
        <v>0.57490117961965825</v>
      </c>
      <c r="K207" s="7" t="s">
        <v>81</v>
      </c>
    </row>
    <row r="208" spans="1:11" x14ac:dyDescent="0.25">
      <c r="A208" s="7" t="s">
        <v>478</v>
      </c>
      <c r="B208" s="7" t="s">
        <v>328</v>
      </c>
      <c r="C208" s="7" t="s">
        <v>539</v>
      </c>
      <c r="D208" s="7" t="s">
        <v>330</v>
      </c>
      <c r="E208" s="16">
        <v>1380</v>
      </c>
      <c r="F208" s="16">
        <v>963.87</v>
      </c>
      <c r="G208" s="8">
        <f t="shared" si="12"/>
        <v>87.624545454545455</v>
      </c>
      <c r="H208" s="8">
        <f t="shared" si="13"/>
        <v>876.24545454545455</v>
      </c>
      <c r="I208" s="8">
        <f t="shared" si="14"/>
        <v>503.75454545454545</v>
      </c>
      <c r="J208" s="9">
        <f t="shared" si="15"/>
        <v>0.57490117961965825</v>
      </c>
      <c r="K208" s="7" t="s">
        <v>81</v>
      </c>
    </row>
    <row r="209" spans="1:11" x14ac:dyDescent="0.25">
      <c r="A209" s="7" t="s">
        <v>478</v>
      </c>
      <c r="B209" s="7" t="s">
        <v>328</v>
      </c>
      <c r="C209" s="7" t="s">
        <v>540</v>
      </c>
      <c r="D209" s="7" t="s">
        <v>330</v>
      </c>
      <c r="E209" s="16">
        <v>1380</v>
      </c>
      <c r="F209" s="16">
        <v>963.87</v>
      </c>
      <c r="G209" s="8">
        <f t="shared" si="12"/>
        <v>87.624545454545455</v>
      </c>
      <c r="H209" s="8">
        <f t="shared" si="13"/>
        <v>876.24545454545455</v>
      </c>
      <c r="I209" s="8">
        <f t="shared" si="14"/>
        <v>503.75454545454545</v>
      </c>
      <c r="J209" s="9">
        <f t="shared" si="15"/>
        <v>0.57490117961965825</v>
      </c>
      <c r="K209" s="7" t="s">
        <v>81</v>
      </c>
    </row>
    <row r="210" spans="1:11" x14ac:dyDescent="0.25">
      <c r="A210" s="7" t="s">
        <v>478</v>
      </c>
      <c r="B210" s="7" t="s">
        <v>328</v>
      </c>
      <c r="C210" s="7" t="s">
        <v>541</v>
      </c>
      <c r="D210" s="7" t="s">
        <v>330</v>
      </c>
      <c r="E210" s="16">
        <v>1380</v>
      </c>
      <c r="F210" s="16">
        <v>963.87</v>
      </c>
      <c r="G210" s="8">
        <f t="shared" si="12"/>
        <v>87.624545454545455</v>
      </c>
      <c r="H210" s="8">
        <f t="shared" si="13"/>
        <v>876.24545454545455</v>
      </c>
      <c r="I210" s="8">
        <f t="shared" si="14"/>
        <v>503.75454545454545</v>
      </c>
      <c r="J210" s="9">
        <f t="shared" si="15"/>
        <v>0.57490117961965825</v>
      </c>
      <c r="K210" s="7" t="s">
        <v>81</v>
      </c>
    </row>
    <row r="211" spans="1:11" x14ac:dyDescent="0.25">
      <c r="A211" s="7" t="s">
        <v>478</v>
      </c>
      <c r="B211" s="7" t="s">
        <v>328</v>
      </c>
      <c r="C211" s="7" t="s">
        <v>542</v>
      </c>
      <c r="D211" s="7" t="s">
        <v>330</v>
      </c>
      <c r="E211" s="16">
        <v>1380</v>
      </c>
      <c r="F211" s="16">
        <v>963.87</v>
      </c>
      <c r="G211" s="8">
        <f t="shared" si="12"/>
        <v>87.624545454545455</v>
      </c>
      <c r="H211" s="8">
        <f t="shared" si="13"/>
        <v>876.24545454545455</v>
      </c>
      <c r="I211" s="8">
        <f t="shared" si="14"/>
        <v>503.75454545454545</v>
      </c>
      <c r="J211" s="9">
        <f t="shared" si="15"/>
        <v>0.57490117961965825</v>
      </c>
      <c r="K211" s="7" t="s">
        <v>81</v>
      </c>
    </row>
    <row r="212" spans="1:11" x14ac:dyDescent="0.25">
      <c r="A212" s="7" t="s">
        <v>478</v>
      </c>
      <c r="B212" s="7" t="s">
        <v>328</v>
      </c>
      <c r="C212" s="7" t="s">
        <v>543</v>
      </c>
      <c r="D212" s="7" t="s">
        <v>330</v>
      </c>
      <c r="E212" s="16">
        <v>1380</v>
      </c>
      <c r="F212" s="16">
        <v>963.87</v>
      </c>
      <c r="G212" s="8">
        <f t="shared" si="12"/>
        <v>87.624545454545455</v>
      </c>
      <c r="H212" s="8">
        <f t="shared" si="13"/>
        <v>876.24545454545455</v>
      </c>
      <c r="I212" s="8">
        <f t="shared" si="14"/>
        <v>503.75454545454545</v>
      </c>
      <c r="J212" s="9">
        <f t="shared" si="15"/>
        <v>0.57490117961965825</v>
      </c>
      <c r="K212" s="7" t="s">
        <v>81</v>
      </c>
    </row>
    <row r="213" spans="1:11" x14ac:dyDescent="0.25">
      <c r="A213" s="7" t="s">
        <v>478</v>
      </c>
      <c r="B213" s="7" t="s">
        <v>328</v>
      </c>
      <c r="C213" s="7" t="s">
        <v>544</v>
      </c>
      <c r="D213" s="7" t="s">
        <v>330</v>
      </c>
      <c r="E213" s="16">
        <v>1380</v>
      </c>
      <c r="F213" s="16">
        <v>963.87</v>
      </c>
      <c r="G213" s="8">
        <f t="shared" si="12"/>
        <v>87.624545454545455</v>
      </c>
      <c r="H213" s="8">
        <f t="shared" si="13"/>
        <v>876.24545454545455</v>
      </c>
      <c r="I213" s="8">
        <f t="shared" si="14"/>
        <v>503.75454545454545</v>
      </c>
      <c r="J213" s="9">
        <f t="shared" si="15"/>
        <v>0.57490117961965825</v>
      </c>
      <c r="K213" s="7" t="s">
        <v>81</v>
      </c>
    </row>
    <row r="214" spans="1:11" x14ac:dyDescent="0.25">
      <c r="A214" s="7" t="s">
        <v>545</v>
      </c>
      <c r="B214" s="7" t="s">
        <v>70</v>
      </c>
      <c r="C214" s="7" t="s">
        <v>546</v>
      </c>
      <c r="D214" s="7" t="s">
        <v>15</v>
      </c>
      <c r="E214" s="16">
        <v>3690</v>
      </c>
      <c r="F214" s="16">
        <v>2829.19</v>
      </c>
      <c r="G214" s="8">
        <f t="shared" si="12"/>
        <v>257.1990909090909</v>
      </c>
      <c r="H214" s="8">
        <f t="shared" si="13"/>
        <v>2571.9909090909091</v>
      </c>
      <c r="I214" s="8">
        <f t="shared" si="14"/>
        <v>1118.0090909090909</v>
      </c>
      <c r="J214" s="9">
        <f t="shared" si="15"/>
        <v>0.434686252955793</v>
      </c>
      <c r="K214" s="7" t="s">
        <v>16</v>
      </c>
    </row>
    <row r="215" spans="1:11" x14ac:dyDescent="0.25">
      <c r="A215" s="7" t="s">
        <v>545</v>
      </c>
      <c r="B215" s="7" t="s">
        <v>70</v>
      </c>
      <c r="C215" s="7" t="s">
        <v>547</v>
      </c>
      <c r="D215" s="7" t="s">
        <v>15</v>
      </c>
      <c r="E215" s="16">
        <v>3690</v>
      </c>
      <c r="F215" s="16">
        <v>2829.19</v>
      </c>
      <c r="G215" s="8">
        <f t="shared" si="12"/>
        <v>257.1990909090909</v>
      </c>
      <c r="H215" s="8">
        <f t="shared" si="13"/>
        <v>2571.9909090909091</v>
      </c>
      <c r="I215" s="8">
        <f t="shared" si="14"/>
        <v>1118.0090909090909</v>
      </c>
      <c r="J215" s="9">
        <f t="shared" si="15"/>
        <v>0.434686252955793</v>
      </c>
      <c r="K215" s="7" t="s">
        <v>16</v>
      </c>
    </row>
    <row r="216" spans="1:11" x14ac:dyDescent="0.25">
      <c r="A216" s="7" t="s">
        <v>545</v>
      </c>
      <c r="B216" s="7" t="s">
        <v>70</v>
      </c>
      <c r="C216" s="7" t="s">
        <v>548</v>
      </c>
      <c r="D216" s="7" t="s">
        <v>15</v>
      </c>
      <c r="E216" s="16">
        <v>3690</v>
      </c>
      <c r="F216" s="16">
        <v>2829.19</v>
      </c>
      <c r="G216" s="8">
        <f t="shared" si="12"/>
        <v>257.1990909090909</v>
      </c>
      <c r="H216" s="8">
        <f t="shared" si="13"/>
        <v>2571.9909090909091</v>
      </c>
      <c r="I216" s="8">
        <f t="shared" si="14"/>
        <v>1118.0090909090909</v>
      </c>
      <c r="J216" s="9">
        <f t="shared" si="15"/>
        <v>0.434686252955793</v>
      </c>
      <c r="K216" s="7" t="s">
        <v>16</v>
      </c>
    </row>
    <row r="217" spans="1:11" x14ac:dyDescent="0.25">
      <c r="A217" s="7" t="s">
        <v>545</v>
      </c>
      <c r="B217" s="7" t="s">
        <v>70</v>
      </c>
      <c r="C217" s="7" t="s">
        <v>549</v>
      </c>
      <c r="D217" s="7" t="s">
        <v>15</v>
      </c>
      <c r="E217" s="16">
        <v>3690</v>
      </c>
      <c r="F217" s="16">
        <v>2829.19</v>
      </c>
      <c r="G217" s="8">
        <f t="shared" si="12"/>
        <v>257.1990909090909</v>
      </c>
      <c r="H217" s="8">
        <f t="shared" si="13"/>
        <v>2571.9909090909091</v>
      </c>
      <c r="I217" s="8">
        <f t="shared" si="14"/>
        <v>1118.0090909090909</v>
      </c>
      <c r="J217" s="9">
        <f t="shared" si="15"/>
        <v>0.434686252955793</v>
      </c>
      <c r="K217" s="7" t="s">
        <v>16</v>
      </c>
    </row>
    <row r="218" spans="1:11" x14ac:dyDescent="0.25">
      <c r="A218" s="7" t="s">
        <v>545</v>
      </c>
      <c r="B218" s="7" t="s">
        <v>70</v>
      </c>
      <c r="C218" s="7" t="s">
        <v>550</v>
      </c>
      <c r="D218" s="7" t="s">
        <v>15</v>
      </c>
      <c r="E218" s="16">
        <v>3690</v>
      </c>
      <c r="F218" s="16">
        <v>2829.19</v>
      </c>
      <c r="G218" s="8">
        <f t="shared" si="12"/>
        <v>257.1990909090909</v>
      </c>
      <c r="H218" s="8">
        <f t="shared" si="13"/>
        <v>2571.9909090909091</v>
      </c>
      <c r="I218" s="8">
        <f t="shared" si="14"/>
        <v>1118.0090909090909</v>
      </c>
      <c r="J218" s="9">
        <f t="shared" si="15"/>
        <v>0.434686252955793</v>
      </c>
      <c r="K218" s="7" t="s">
        <v>16</v>
      </c>
    </row>
    <row r="219" spans="1:11" x14ac:dyDescent="0.25">
      <c r="A219" s="7" t="s">
        <v>545</v>
      </c>
      <c r="B219" s="7" t="s">
        <v>13</v>
      </c>
      <c r="C219" s="7" t="s">
        <v>551</v>
      </c>
      <c r="D219" s="7" t="s">
        <v>15</v>
      </c>
      <c r="E219" s="16">
        <v>2100</v>
      </c>
      <c r="F219" s="16">
        <v>1504.52</v>
      </c>
      <c r="G219" s="8">
        <f t="shared" si="12"/>
        <v>136.77454545454546</v>
      </c>
      <c r="H219" s="8">
        <f t="shared" si="13"/>
        <v>1367.7454545454545</v>
      </c>
      <c r="I219" s="8">
        <f t="shared" si="14"/>
        <v>732.25454545454545</v>
      </c>
      <c r="J219" s="9">
        <f t="shared" si="15"/>
        <v>0.53537340813016776</v>
      </c>
      <c r="K219" s="7" t="s">
        <v>16</v>
      </c>
    </row>
    <row r="220" spans="1:11" x14ac:dyDescent="0.25">
      <c r="A220" s="7" t="s">
        <v>545</v>
      </c>
      <c r="B220" s="7" t="s">
        <v>13</v>
      </c>
      <c r="C220" s="7" t="s">
        <v>552</v>
      </c>
      <c r="D220" s="7" t="s">
        <v>15</v>
      </c>
      <c r="E220" s="16">
        <v>2100</v>
      </c>
      <c r="F220" s="16">
        <v>1504.52</v>
      </c>
      <c r="G220" s="8">
        <f t="shared" si="12"/>
        <v>136.77454545454546</v>
      </c>
      <c r="H220" s="8">
        <f t="shared" si="13"/>
        <v>1367.7454545454545</v>
      </c>
      <c r="I220" s="8">
        <f t="shared" si="14"/>
        <v>732.25454545454545</v>
      </c>
      <c r="J220" s="9">
        <f t="shared" si="15"/>
        <v>0.53537340813016776</v>
      </c>
      <c r="K220" s="7" t="s">
        <v>16</v>
      </c>
    </row>
    <row r="221" spans="1:11" x14ac:dyDescent="0.25">
      <c r="A221" s="7" t="s">
        <v>545</v>
      </c>
      <c r="B221" s="7" t="s">
        <v>13</v>
      </c>
      <c r="C221" s="7" t="s">
        <v>553</v>
      </c>
      <c r="D221" s="7" t="s">
        <v>15</v>
      </c>
      <c r="E221" s="16">
        <v>2100</v>
      </c>
      <c r="F221" s="16">
        <v>1504.52</v>
      </c>
      <c r="G221" s="8">
        <f t="shared" si="12"/>
        <v>136.77454545454546</v>
      </c>
      <c r="H221" s="8">
        <f t="shared" si="13"/>
        <v>1367.7454545454545</v>
      </c>
      <c r="I221" s="8">
        <f t="shared" si="14"/>
        <v>732.25454545454545</v>
      </c>
      <c r="J221" s="9">
        <f t="shared" si="15"/>
        <v>0.53537340813016776</v>
      </c>
      <c r="K221" s="7" t="s">
        <v>16</v>
      </c>
    </row>
    <row r="222" spans="1:11" x14ac:dyDescent="0.25">
      <c r="A222" s="7" t="s">
        <v>545</v>
      </c>
      <c r="B222" s="7" t="s">
        <v>13</v>
      </c>
      <c r="C222" s="7" t="s">
        <v>554</v>
      </c>
      <c r="D222" s="7" t="s">
        <v>15</v>
      </c>
      <c r="E222" s="16">
        <v>2100</v>
      </c>
      <c r="F222" s="16">
        <v>1504.52</v>
      </c>
      <c r="G222" s="8">
        <f t="shared" si="12"/>
        <v>136.77454545454546</v>
      </c>
      <c r="H222" s="8">
        <f t="shared" si="13"/>
        <v>1367.7454545454545</v>
      </c>
      <c r="I222" s="8">
        <f t="shared" si="14"/>
        <v>732.25454545454545</v>
      </c>
      <c r="J222" s="9">
        <f t="shared" si="15"/>
        <v>0.53537340813016776</v>
      </c>
      <c r="K222" s="7" t="s">
        <v>16</v>
      </c>
    </row>
    <row r="223" spans="1:11" x14ac:dyDescent="0.25">
      <c r="A223" s="7" t="s">
        <v>545</v>
      </c>
      <c r="B223" s="7" t="s">
        <v>13</v>
      </c>
      <c r="C223" s="7" t="s">
        <v>555</v>
      </c>
      <c r="D223" s="7" t="s">
        <v>15</v>
      </c>
      <c r="E223" s="16">
        <v>2100</v>
      </c>
      <c r="F223" s="16">
        <v>1504.52</v>
      </c>
      <c r="G223" s="8">
        <f t="shared" si="12"/>
        <v>136.77454545454546</v>
      </c>
      <c r="H223" s="8">
        <f t="shared" si="13"/>
        <v>1367.7454545454545</v>
      </c>
      <c r="I223" s="8">
        <f t="shared" si="14"/>
        <v>732.25454545454545</v>
      </c>
      <c r="J223" s="9">
        <f t="shared" si="15"/>
        <v>0.53537340813016776</v>
      </c>
      <c r="K223" s="7" t="s">
        <v>16</v>
      </c>
    </row>
    <row r="224" spans="1:11" x14ac:dyDescent="0.25">
      <c r="A224" s="7" t="s">
        <v>545</v>
      </c>
      <c r="B224" s="7" t="s">
        <v>13</v>
      </c>
      <c r="C224" s="7" t="s">
        <v>556</v>
      </c>
      <c r="D224" s="7" t="s">
        <v>15</v>
      </c>
      <c r="E224" s="16">
        <v>2100</v>
      </c>
      <c r="F224" s="16">
        <v>1504.52</v>
      </c>
      <c r="G224" s="8">
        <f t="shared" si="12"/>
        <v>136.77454545454546</v>
      </c>
      <c r="H224" s="8">
        <f t="shared" si="13"/>
        <v>1367.7454545454545</v>
      </c>
      <c r="I224" s="8">
        <f t="shared" si="14"/>
        <v>732.25454545454545</v>
      </c>
      <c r="J224" s="9">
        <f t="shared" si="15"/>
        <v>0.53537340813016776</v>
      </c>
      <c r="K224" s="7" t="s">
        <v>16</v>
      </c>
    </row>
    <row r="225" spans="1:11" x14ac:dyDescent="0.25">
      <c r="A225" s="7" t="s">
        <v>545</v>
      </c>
      <c r="B225" s="7" t="s">
        <v>206</v>
      </c>
      <c r="C225" s="7" t="s">
        <v>567</v>
      </c>
      <c r="D225" s="7" t="s">
        <v>15</v>
      </c>
      <c r="E225" s="16">
        <v>3370</v>
      </c>
      <c r="F225" s="16">
        <v>3393</v>
      </c>
      <c r="G225" s="8">
        <f t="shared" si="12"/>
        <v>308.45454545454544</v>
      </c>
      <c r="H225" s="8">
        <f t="shared" si="13"/>
        <v>3084.5454545454545</v>
      </c>
      <c r="I225" s="8">
        <f t="shared" si="14"/>
        <v>285.4545454545455</v>
      </c>
      <c r="J225" s="9">
        <f t="shared" si="15"/>
        <v>9.25434718538167E-2</v>
      </c>
      <c r="K225" s="7" t="s">
        <v>81</v>
      </c>
    </row>
    <row r="226" spans="1:11" x14ac:dyDescent="0.25">
      <c r="A226" s="7" t="s">
        <v>545</v>
      </c>
      <c r="B226" s="7" t="s">
        <v>439</v>
      </c>
      <c r="C226" s="7" t="s">
        <v>584</v>
      </c>
      <c r="D226" s="7" t="s">
        <v>15</v>
      </c>
      <c r="E226" s="16">
        <v>770</v>
      </c>
      <c r="F226" s="16">
        <v>841.5</v>
      </c>
      <c r="G226" s="8">
        <f t="shared" si="12"/>
        <v>76.5</v>
      </c>
      <c r="H226" s="8">
        <f t="shared" si="13"/>
        <v>765</v>
      </c>
      <c r="I226" s="8">
        <f t="shared" si="14"/>
        <v>5</v>
      </c>
      <c r="J226" s="9">
        <f t="shared" si="15"/>
        <v>6.5359477124183009E-3</v>
      </c>
      <c r="K226" s="7" t="s">
        <v>16</v>
      </c>
    </row>
    <row r="227" spans="1:11" x14ac:dyDescent="0.25">
      <c r="A227" s="7" t="s">
        <v>545</v>
      </c>
      <c r="B227" s="7" t="s">
        <v>439</v>
      </c>
      <c r="C227" s="7" t="s">
        <v>585</v>
      </c>
      <c r="D227" s="7" t="s">
        <v>15</v>
      </c>
      <c r="E227" s="16">
        <v>770</v>
      </c>
      <c r="F227" s="16">
        <v>841.5</v>
      </c>
      <c r="G227" s="8">
        <f t="shared" si="12"/>
        <v>76.5</v>
      </c>
      <c r="H227" s="8">
        <f t="shared" si="13"/>
        <v>765</v>
      </c>
      <c r="I227" s="8">
        <f t="shared" si="14"/>
        <v>5</v>
      </c>
      <c r="J227" s="9">
        <f t="shared" si="15"/>
        <v>6.5359477124183009E-3</v>
      </c>
      <c r="K227" s="7" t="s">
        <v>16</v>
      </c>
    </row>
    <row r="228" spans="1:11" x14ac:dyDescent="0.25">
      <c r="A228" s="7" t="s">
        <v>545</v>
      </c>
      <c r="B228" s="7" t="s">
        <v>328</v>
      </c>
      <c r="C228" s="7" t="s">
        <v>589</v>
      </c>
      <c r="D228" s="7" t="s">
        <v>330</v>
      </c>
      <c r="E228" s="16">
        <v>1385</v>
      </c>
      <c r="F228" s="16">
        <v>1095</v>
      </c>
      <c r="G228" s="8">
        <f t="shared" si="12"/>
        <v>99.545454545454547</v>
      </c>
      <c r="H228" s="8">
        <f t="shared" si="13"/>
        <v>995.4545454545455</v>
      </c>
      <c r="I228" s="8">
        <f t="shared" si="14"/>
        <v>389.5454545454545</v>
      </c>
      <c r="J228" s="9">
        <f t="shared" si="15"/>
        <v>0.39132420091324194</v>
      </c>
      <c r="K228" s="7" t="s">
        <v>81</v>
      </c>
    </row>
    <row r="229" spans="1:11" x14ac:dyDescent="0.25">
      <c r="A229" s="7" t="s">
        <v>545</v>
      </c>
      <c r="B229" s="7" t="s">
        <v>328</v>
      </c>
      <c r="C229" s="7" t="s">
        <v>590</v>
      </c>
      <c r="D229" s="7" t="s">
        <v>330</v>
      </c>
      <c r="E229" s="16">
        <v>1385</v>
      </c>
      <c r="F229" s="16">
        <v>978.2</v>
      </c>
      <c r="G229" s="8">
        <f t="shared" si="12"/>
        <v>88.927272727272737</v>
      </c>
      <c r="H229" s="8">
        <f t="shared" si="13"/>
        <v>889.27272727272725</v>
      </c>
      <c r="I229" s="8">
        <f t="shared" si="14"/>
        <v>495.72727272727275</v>
      </c>
      <c r="J229" s="9">
        <f t="shared" si="15"/>
        <v>0.55745246370885304</v>
      </c>
      <c r="K229" s="7" t="s">
        <v>81</v>
      </c>
    </row>
    <row r="230" spans="1:11" x14ac:dyDescent="0.25">
      <c r="A230" s="7" t="s">
        <v>545</v>
      </c>
      <c r="B230" s="7" t="s">
        <v>328</v>
      </c>
      <c r="C230" s="7" t="s">
        <v>591</v>
      </c>
      <c r="D230" s="7" t="s">
        <v>330</v>
      </c>
      <c r="E230" s="16">
        <v>1385</v>
      </c>
      <c r="F230" s="16">
        <v>978.2</v>
      </c>
      <c r="G230" s="8">
        <f t="shared" si="12"/>
        <v>88.927272727272737</v>
      </c>
      <c r="H230" s="8">
        <f t="shared" si="13"/>
        <v>889.27272727272725</v>
      </c>
      <c r="I230" s="8">
        <f t="shared" si="14"/>
        <v>495.72727272727275</v>
      </c>
      <c r="J230" s="9">
        <f t="shared" si="15"/>
        <v>0.55745246370885304</v>
      </c>
      <c r="K230" s="7" t="s">
        <v>81</v>
      </c>
    </row>
    <row r="231" spans="1:11" x14ac:dyDescent="0.25">
      <c r="A231" s="7" t="s">
        <v>545</v>
      </c>
      <c r="B231" s="7" t="s">
        <v>328</v>
      </c>
      <c r="C231" s="7" t="s">
        <v>592</v>
      </c>
      <c r="D231" s="7" t="s">
        <v>330</v>
      </c>
      <c r="E231" s="16">
        <v>1385</v>
      </c>
      <c r="F231" s="16">
        <v>978.2</v>
      </c>
      <c r="G231" s="8">
        <f t="shared" si="12"/>
        <v>88.927272727272737</v>
      </c>
      <c r="H231" s="8">
        <f t="shared" si="13"/>
        <v>889.27272727272725</v>
      </c>
      <c r="I231" s="8">
        <f t="shared" si="14"/>
        <v>495.72727272727275</v>
      </c>
      <c r="J231" s="9">
        <f t="shared" si="15"/>
        <v>0.55745246370885304</v>
      </c>
      <c r="K231" s="7" t="s">
        <v>81</v>
      </c>
    </row>
    <row r="232" spans="1:11" x14ac:dyDescent="0.25">
      <c r="A232" s="7" t="s">
        <v>545</v>
      </c>
      <c r="B232" s="7" t="s">
        <v>328</v>
      </c>
      <c r="C232" s="7" t="s">
        <v>593</v>
      </c>
      <c r="D232" s="7" t="s">
        <v>330</v>
      </c>
      <c r="E232" s="16">
        <v>1385</v>
      </c>
      <c r="F232" s="16">
        <v>978.2</v>
      </c>
      <c r="G232" s="8">
        <f t="shared" si="12"/>
        <v>88.927272727272737</v>
      </c>
      <c r="H232" s="8">
        <f t="shared" si="13"/>
        <v>889.27272727272725</v>
      </c>
      <c r="I232" s="8">
        <f t="shared" si="14"/>
        <v>495.72727272727275</v>
      </c>
      <c r="J232" s="9">
        <f t="shared" si="15"/>
        <v>0.55745246370885304</v>
      </c>
      <c r="K232" s="7" t="s">
        <v>81</v>
      </c>
    </row>
    <row r="233" spans="1:11" x14ac:dyDescent="0.25">
      <c r="A233" s="7" t="s">
        <v>545</v>
      </c>
      <c r="B233" s="7" t="s">
        <v>328</v>
      </c>
      <c r="C233" s="7" t="s">
        <v>594</v>
      </c>
      <c r="D233" s="7" t="s">
        <v>330</v>
      </c>
      <c r="E233" s="16">
        <v>1385</v>
      </c>
      <c r="F233" s="16">
        <v>978.2</v>
      </c>
      <c r="G233" s="8">
        <f t="shared" si="12"/>
        <v>88.927272727272737</v>
      </c>
      <c r="H233" s="8">
        <f t="shared" si="13"/>
        <v>889.27272727272725</v>
      </c>
      <c r="I233" s="8">
        <f t="shared" si="14"/>
        <v>495.72727272727275</v>
      </c>
      <c r="J233" s="9">
        <f t="shared" si="15"/>
        <v>0.55745246370885304</v>
      </c>
      <c r="K233" s="7" t="s">
        <v>81</v>
      </c>
    </row>
    <row r="234" spans="1:11" x14ac:dyDescent="0.25">
      <c r="A234" s="7" t="s">
        <v>545</v>
      </c>
      <c r="B234" s="7" t="s">
        <v>328</v>
      </c>
      <c r="C234" s="7" t="s">
        <v>595</v>
      </c>
      <c r="D234" s="7" t="s">
        <v>330</v>
      </c>
      <c r="E234" s="16">
        <v>1385</v>
      </c>
      <c r="F234" s="16">
        <v>978.2</v>
      </c>
      <c r="G234" s="8">
        <f t="shared" si="12"/>
        <v>88.927272727272737</v>
      </c>
      <c r="H234" s="8">
        <f t="shared" si="13"/>
        <v>889.27272727272725</v>
      </c>
      <c r="I234" s="8">
        <f t="shared" si="14"/>
        <v>495.72727272727275</v>
      </c>
      <c r="J234" s="9">
        <f t="shared" si="15"/>
        <v>0.55745246370885304</v>
      </c>
      <c r="K234" s="7" t="s">
        <v>81</v>
      </c>
    </row>
    <row r="235" spans="1:11" x14ac:dyDescent="0.25">
      <c r="A235" s="7" t="s">
        <v>545</v>
      </c>
      <c r="B235" s="7" t="s">
        <v>328</v>
      </c>
      <c r="C235" s="7" t="s">
        <v>596</v>
      </c>
      <c r="D235" s="7" t="s">
        <v>330</v>
      </c>
      <c r="E235" s="16">
        <v>1385</v>
      </c>
      <c r="F235" s="16">
        <v>978.2</v>
      </c>
      <c r="G235" s="8">
        <f t="shared" si="12"/>
        <v>88.927272727272737</v>
      </c>
      <c r="H235" s="8">
        <f t="shared" si="13"/>
        <v>889.27272727272725</v>
      </c>
      <c r="I235" s="8">
        <f t="shared" si="14"/>
        <v>495.72727272727275</v>
      </c>
      <c r="J235" s="9">
        <f t="shared" si="15"/>
        <v>0.55745246370885304</v>
      </c>
      <c r="K235" s="7" t="s">
        <v>81</v>
      </c>
    </row>
    <row r="236" spans="1:11" x14ac:dyDescent="0.25">
      <c r="A236" s="7" t="s">
        <v>545</v>
      </c>
      <c r="B236" s="7" t="s">
        <v>328</v>
      </c>
      <c r="C236" s="7" t="s">
        <v>597</v>
      </c>
      <c r="D236" s="7" t="s">
        <v>330</v>
      </c>
      <c r="E236" s="16">
        <v>1385</v>
      </c>
      <c r="F236" s="16">
        <v>978.2</v>
      </c>
      <c r="G236" s="8">
        <f t="shared" si="12"/>
        <v>88.927272727272737</v>
      </c>
      <c r="H236" s="8">
        <f t="shared" si="13"/>
        <v>889.27272727272725</v>
      </c>
      <c r="I236" s="8">
        <f t="shared" si="14"/>
        <v>495.72727272727275</v>
      </c>
      <c r="J236" s="9">
        <f t="shared" si="15"/>
        <v>0.55745246370885304</v>
      </c>
      <c r="K236" s="7" t="s">
        <v>81</v>
      </c>
    </row>
    <row r="237" spans="1:11" x14ac:dyDescent="0.25">
      <c r="A237" s="7" t="s">
        <v>545</v>
      </c>
      <c r="B237" s="7" t="s">
        <v>328</v>
      </c>
      <c r="C237" s="7" t="s">
        <v>598</v>
      </c>
      <c r="D237" s="7" t="s">
        <v>330</v>
      </c>
      <c r="E237" s="16">
        <v>1385</v>
      </c>
      <c r="F237" s="16">
        <v>978.2</v>
      </c>
      <c r="G237" s="8">
        <f t="shared" si="12"/>
        <v>88.927272727272737</v>
      </c>
      <c r="H237" s="8">
        <f t="shared" si="13"/>
        <v>889.27272727272725</v>
      </c>
      <c r="I237" s="8">
        <f t="shared" si="14"/>
        <v>495.72727272727275</v>
      </c>
      <c r="J237" s="9">
        <f t="shared" si="15"/>
        <v>0.55745246370885304</v>
      </c>
      <c r="K237" s="7" t="s">
        <v>81</v>
      </c>
    </row>
    <row r="238" spans="1:11" x14ac:dyDescent="0.25">
      <c r="A238" s="7" t="s">
        <v>545</v>
      </c>
      <c r="B238" s="7" t="s">
        <v>328</v>
      </c>
      <c r="C238" s="7" t="s">
        <v>599</v>
      </c>
      <c r="D238" s="7" t="s">
        <v>330</v>
      </c>
      <c r="E238" s="16">
        <v>1385</v>
      </c>
      <c r="F238" s="16">
        <v>978.2</v>
      </c>
      <c r="G238" s="8">
        <f t="shared" si="12"/>
        <v>88.927272727272737</v>
      </c>
      <c r="H238" s="8">
        <f t="shared" si="13"/>
        <v>889.27272727272725</v>
      </c>
      <c r="I238" s="8">
        <f t="shared" si="14"/>
        <v>495.72727272727275</v>
      </c>
      <c r="J238" s="9">
        <f t="shared" si="15"/>
        <v>0.55745246370885304</v>
      </c>
      <c r="K238" s="7" t="s">
        <v>81</v>
      </c>
    </row>
    <row r="239" spans="1:11" x14ac:dyDescent="0.25">
      <c r="A239" s="7" t="s">
        <v>545</v>
      </c>
      <c r="B239" s="7" t="s">
        <v>328</v>
      </c>
      <c r="C239" s="7" t="s">
        <v>600</v>
      </c>
      <c r="D239" s="7" t="s">
        <v>330</v>
      </c>
      <c r="E239" s="16">
        <v>1385</v>
      </c>
      <c r="F239" s="16">
        <v>978.2</v>
      </c>
      <c r="G239" s="8">
        <f t="shared" si="12"/>
        <v>88.927272727272737</v>
      </c>
      <c r="H239" s="8">
        <f t="shared" si="13"/>
        <v>889.27272727272725</v>
      </c>
      <c r="I239" s="8">
        <f t="shared" si="14"/>
        <v>495.72727272727275</v>
      </c>
      <c r="J239" s="9">
        <f t="shared" si="15"/>
        <v>0.55745246370885304</v>
      </c>
      <c r="K239" s="7" t="s">
        <v>81</v>
      </c>
    </row>
    <row r="240" spans="1:11" x14ac:dyDescent="0.25">
      <c r="A240" s="7" t="s">
        <v>545</v>
      </c>
      <c r="B240" s="7" t="s">
        <v>328</v>
      </c>
      <c r="C240" s="7" t="s">
        <v>601</v>
      </c>
      <c r="D240" s="7" t="s">
        <v>330</v>
      </c>
      <c r="E240" s="16">
        <v>1385</v>
      </c>
      <c r="F240" s="16">
        <v>978.2</v>
      </c>
      <c r="G240" s="8">
        <f t="shared" si="12"/>
        <v>88.927272727272737</v>
      </c>
      <c r="H240" s="8">
        <f t="shared" si="13"/>
        <v>889.27272727272725</v>
      </c>
      <c r="I240" s="8">
        <f t="shared" si="14"/>
        <v>495.72727272727275</v>
      </c>
      <c r="J240" s="9">
        <f t="shared" si="15"/>
        <v>0.55745246370885304</v>
      </c>
      <c r="K240" s="7" t="s">
        <v>81</v>
      </c>
    </row>
    <row r="241" spans="1:11" x14ac:dyDescent="0.25">
      <c r="A241" s="7" t="s">
        <v>545</v>
      </c>
      <c r="B241" s="7" t="s">
        <v>328</v>
      </c>
      <c r="C241" s="7" t="s">
        <v>602</v>
      </c>
      <c r="D241" s="7" t="s">
        <v>330</v>
      </c>
      <c r="E241" s="16">
        <v>1385</v>
      </c>
      <c r="F241" s="16">
        <v>978.2</v>
      </c>
      <c r="G241" s="8">
        <f t="shared" si="12"/>
        <v>88.927272727272737</v>
      </c>
      <c r="H241" s="8">
        <f t="shared" si="13"/>
        <v>889.27272727272725</v>
      </c>
      <c r="I241" s="8">
        <f t="shared" si="14"/>
        <v>495.72727272727275</v>
      </c>
      <c r="J241" s="9">
        <f t="shared" si="15"/>
        <v>0.55745246370885304</v>
      </c>
      <c r="K241" s="7" t="s">
        <v>81</v>
      </c>
    </row>
    <row r="242" spans="1:11" x14ac:dyDescent="0.25">
      <c r="A242" s="7" t="s">
        <v>545</v>
      </c>
      <c r="B242" s="7" t="s">
        <v>328</v>
      </c>
      <c r="C242" s="7" t="s">
        <v>603</v>
      </c>
      <c r="D242" s="7" t="s">
        <v>330</v>
      </c>
      <c r="E242" s="16">
        <v>1385</v>
      </c>
      <c r="F242" s="16">
        <v>978.2</v>
      </c>
      <c r="G242" s="8">
        <f t="shared" si="12"/>
        <v>88.927272727272737</v>
      </c>
      <c r="H242" s="8">
        <f t="shared" si="13"/>
        <v>889.27272727272725</v>
      </c>
      <c r="I242" s="8">
        <f t="shared" si="14"/>
        <v>495.72727272727275</v>
      </c>
      <c r="J242" s="9">
        <f t="shared" si="15"/>
        <v>0.55745246370885304</v>
      </c>
      <c r="K242" s="7" t="s">
        <v>81</v>
      </c>
    </row>
    <row r="243" spans="1:11" x14ac:dyDescent="0.25">
      <c r="A243" s="7" t="s">
        <v>545</v>
      </c>
      <c r="B243" s="7" t="s">
        <v>328</v>
      </c>
      <c r="C243" s="7" t="s">
        <v>604</v>
      </c>
      <c r="D243" s="7" t="s">
        <v>330</v>
      </c>
      <c r="E243" s="16">
        <v>1385</v>
      </c>
      <c r="F243" s="16">
        <v>978.2</v>
      </c>
      <c r="G243" s="8">
        <f t="shared" si="12"/>
        <v>88.927272727272737</v>
      </c>
      <c r="H243" s="8">
        <f t="shared" si="13"/>
        <v>889.27272727272725</v>
      </c>
      <c r="I243" s="8">
        <f t="shared" si="14"/>
        <v>495.72727272727275</v>
      </c>
      <c r="J243" s="9">
        <f t="shared" si="15"/>
        <v>0.55745246370885304</v>
      </c>
      <c r="K243" s="7" t="s">
        <v>81</v>
      </c>
    </row>
    <row r="244" spans="1:11" x14ac:dyDescent="0.25">
      <c r="A244" s="7" t="s">
        <v>545</v>
      </c>
      <c r="B244" s="7" t="s">
        <v>328</v>
      </c>
      <c r="C244" s="7" t="s">
        <v>605</v>
      </c>
      <c r="D244" s="7" t="s">
        <v>330</v>
      </c>
      <c r="E244" s="16">
        <v>1385</v>
      </c>
      <c r="F244" s="16">
        <v>978.2</v>
      </c>
      <c r="G244" s="8">
        <f t="shared" si="12"/>
        <v>88.927272727272737</v>
      </c>
      <c r="H244" s="8">
        <f t="shared" si="13"/>
        <v>889.27272727272725</v>
      </c>
      <c r="I244" s="8">
        <f t="shared" si="14"/>
        <v>495.72727272727275</v>
      </c>
      <c r="J244" s="9">
        <f t="shared" si="15"/>
        <v>0.55745246370885304</v>
      </c>
      <c r="K244" s="7" t="s">
        <v>81</v>
      </c>
    </row>
    <row r="245" spans="1:11" x14ac:dyDescent="0.25">
      <c r="A245" s="7" t="s">
        <v>545</v>
      </c>
      <c r="B245" s="7" t="s">
        <v>328</v>
      </c>
      <c r="C245" s="7" t="s">
        <v>606</v>
      </c>
      <c r="D245" s="7" t="s">
        <v>330</v>
      </c>
      <c r="E245" s="16">
        <v>1385</v>
      </c>
      <c r="F245" s="16">
        <v>978.2</v>
      </c>
      <c r="G245" s="8">
        <f t="shared" si="12"/>
        <v>88.927272727272737</v>
      </c>
      <c r="H245" s="8">
        <f t="shared" si="13"/>
        <v>889.27272727272725</v>
      </c>
      <c r="I245" s="8">
        <f t="shared" si="14"/>
        <v>495.72727272727275</v>
      </c>
      <c r="J245" s="9">
        <f t="shared" si="15"/>
        <v>0.55745246370885304</v>
      </c>
      <c r="K245" s="7" t="s">
        <v>81</v>
      </c>
    </row>
    <row r="246" spans="1:11" x14ac:dyDescent="0.25">
      <c r="A246" s="7" t="s">
        <v>545</v>
      </c>
      <c r="B246" s="7" t="s">
        <v>328</v>
      </c>
      <c r="C246" s="7" t="s">
        <v>607</v>
      </c>
      <c r="D246" s="7" t="s">
        <v>330</v>
      </c>
      <c r="E246" s="16">
        <v>1385</v>
      </c>
      <c r="F246" s="16">
        <v>978.2</v>
      </c>
      <c r="G246" s="8">
        <f t="shared" si="12"/>
        <v>88.927272727272737</v>
      </c>
      <c r="H246" s="8">
        <f t="shared" si="13"/>
        <v>889.27272727272725</v>
      </c>
      <c r="I246" s="8">
        <f t="shared" si="14"/>
        <v>495.72727272727275</v>
      </c>
      <c r="J246" s="9">
        <f t="shared" si="15"/>
        <v>0.55745246370885304</v>
      </c>
      <c r="K246" s="7" t="s">
        <v>81</v>
      </c>
    </row>
    <row r="247" spans="1:11" x14ac:dyDescent="0.25">
      <c r="A247" s="7" t="s">
        <v>545</v>
      </c>
      <c r="B247" s="7" t="s">
        <v>328</v>
      </c>
      <c r="C247" s="7" t="s">
        <v>608</v>
      </c>
      <c r="D247" s="7" t="s">
        <v>330</v>
      </c>
      <c r="E247" s="16">
        <v>1385</v>
      </c>
      <c r="F247" s="16">
        <v>978.2</v>
      </c>
      <c r="G247" s="8">
        <f t="shared" si="12"/>
        <v>88.927272727272737</v>
      </c>
      <c r="H247" s="8">
        <f t="shared" si="13"/>
        <v>889.27272727272725</v>
      </c>
      <c r="I247" s="8">
        <f t="shared" si="14"/>
        <v>495.72727272727275</v>
      </c>
      <c r="J247" s="9">
        <f t="shared" si="15"/>
        <v>0.55745246370885304</v>
      </c>
      <c r="K247" s="7" t="s">
        <v>81</v>
      </c>
    </row>
    <row r="248" spans="1:11" x14ac:dyDescent="0.25">
      <c r="A248" s="7" t="s">
        <v>545</v>
      </c>
      <c r="B248" s="7" t="s">
        <v>328</v>
      </c>
      <c r="C248" s="7" t="s">
        <v>609</v>
      </c>
      <c r="D248" s="7" t="s">
        <v>330</v>
      </c>
      <c r="E248" s="16">
        <v>1385</v>
      </c>
      <c r="F248" s="16">
        <v>978.2</v>
      </c>
      <c r="G248" s="8">
        <f t="shared" si="12"/>
        <v>88.927272727272737</v>
      </c>
      <c r="H248" s="8">
        <f t="shared" si="13"/>
        <v>889.27272727272725</v>
      </c>
      <c r="I248" s="8">
        <f t="shared" si="14"/>
        <v>495.72727272727275</v>
      </c>
      <c r="J248" s="9">
        <f t="shared" si="15"/>
        <v>0.55745246370885304</v>
      </c>
      <c r="K248" s="7" t="s">
        <v>81</v>
      </c>
    </row>
    <row r="249" spans="1:11" x14ac:dyDescent="0.25">
      <c r="A249" s="7" t="s">
        <v>545</v>
      </c>
      <c r="B249" s="7" t="s">
        <v>328</v>
      </c>
      <c r="C249" s="7" t="s">
        <v>610</v>
      </c>
      <c r="D249" s="7" t="s">
        <v>330</v>
      </c>
      <c r="E249" s="16">
        <v>1385</v>
      </c>
      <c r="F249" s="16">
        <v>978.2</v>
      </c>
      <c r="G249" s="8">
        <f t="shared" si="12"/>
        <v>88.927272727272737</v>
      </c>
      <c r="H249" s="8">
        <f t="shared" si="13"/>
        <v>889.27272727272725</v>
      </c>
      <c r="I249" s="8">
        <f t="shared" si="14"/>
        <v>495.72727272727275</v>
      </c>
      <c r="J249" s="9">
        <f t="shared" si="15"/>
        <v>0.55745246370885304</v>
      </c>
      <c r="K249" s="7" t="s">
        <v>81</v>
      </c>
    </row>
    <row r="250" spans="1:11" x14ac:dyDescent="0.25">
      <c r="A250" s="7" t="s">
        <v>545</v>
      </c>
      <c r="B250" s="7" t="s">
        <v>328</v>
      </c>
      <c r="C250" s="7" t="s">
        <v>611</v>
      </c>
      <c r="D250" s="7" t="s">
        <v>330</v>
      </c>
      <c r="E250" s="16">
        <v>1385</v>
      </c>
      <c r="F250" s="16">
        <v>978.2</v>
      </c>
      <c r="G250" s="8">
        <f t="shared" si="12"/>
        <v>88.927272727272737</v>
      </c>
      <c r="H250" s="8">
        <f t="shared" si="13"/>
        <v>889.27272727272725</v>
      </c>
      <c r="I250" s="8">
        <f t="shared" si="14"/>
        <v>495.72727272727275</v>
      </c>
      <c r="J250" s="9">
        <f t="shared" si="15"/>
        <v>0.55745246370885304</v>
      </c>
      <c r="K250" s="7" t="s">
        <v>81</v>
      </c>
    </row>
    <row r="251" spans="1:11" x14ac:dyDescent="0.25">
      <c r="A251" s="7" t="s">
        <v>545</v>
      </c>
      <c r="B251" s="7" t="s">
        <v>328</v>
      </c>
      <c r="C251" s="7" t="s">
        <v>612</v>
      </c>
      <c r="D251" s="7" t="s">
        <v>330</v>
      </c>
      <c r="E251" s="16">
        <v>1385</v>
      </c>
      <c r="F251" s="16">
        <v>978.2</v>
      </c>
      <c r="G251" s="8">
        <f t="shared" si="12"/>
        <v>88.927272727272737</v>
      </c>
      <c r="H251" s="8">
        <f t="shared" si="13"/>
        <v>889.27272727272725</v>
      </c>
      <c r="I251" s="8">
        <f t="shared" si="14"/>
        <v>495.72727272727275</v>
      </c>
      <c r="J251" s="9">
        <f t="shared" si="15"/>
        <v>0.55745246370885304</v>
      </c>
      <c r="K251" s="7" t="s">
        <v>81</v>
      </c>
    </row>
    <row r="252" spans="1:11" x14ac:dyDescent="0.25">
      <c r="A252" s="7" t="s">
        <v>545</v>
      </c>
      <c r="B252" s="7" t="s">
        <v>328</v>
      </c>
      <c r="C252" s="7" t="s">
        <v>613</v>
      </c>
      <c r="D252" s="7" t="s">
        <v>330</v>
      </c>
      <c r="E252" s="16">
        <v>1385</v>
      </c>
      <c r="F252" s="16">
        <v>978.2</v>
      </c>
      <c r="G252" s="8">
        <f t="shared" si="12"/>
        <v>88.927272727272737</v>
      </c>
      <c r="H252" s="8">
        <f t="shared" si="13"/>
        <v>889.27272727272725</v>
      </c>
      <c r="I252" s="8">
        <f t="shared" si="14"/>
        <v>495.72727272727275</v>
      </c>
      <c r="J252" s="9">
        <f t="shared" si="15"/>
        <v>0.55745246370885304</v>
      </c>
      <c r="K252" s="7" t="s">
        <v>81</v>
      </c>
    </row>
    <row r="253" spans="1:11" x14ac:dyDescent="0.25">
      <c r="A253" s="7" t="s">
        <v>545</v>
      </c>
      <c r="B253" s="7" t="s">
        <v>328</v>
      </c>
      <c r="C253" s="7" t="s">
        <v>614</v>
      </c>
      <c r="D253" s="7" t="s">
        <v>330</v>
      </c>
      <c r="E253" s="16">
        <v>1415</v>
      </c>
      <c r="F253" s="16">
        <v>1007.29</v>
      </c>
      <c r="G253" s="8">
        <f t="shared" si="12"/>
        <v>91.571818181818173</v>
      </c>
      <c r="H253" s="8">
        <f t="shared" si="13"/>
        <v>915.71818181818185</v>
      </c>
      <c r="I253" s="8">
        <f t="shared" si="14"/>
        <v>499.28181818181815</v>
      </c>
      <c r="J253" s="9">
        <f t="shared" si="15"/>
        <v>0.54523523513585959</v>
      </c>
      <c r="K253" s="7" t="s">
        <v>81</v>
      </c>
    </row>
    <row r="254" spans="1:11" x14ac:dyDescent="0.25">
      <c r="A254" s="7" t="s">
        <v>545</v>
      </c>
      <c r="B254" s="7" t="s">
        <v>328</v>
      </c>
      <c r="C254" s="7" t="s">
        <v>615</v>
      </c>
      <c r="D254" s="7" t="s">
        <v>330</v>
      </c>
      <c r="E254" s="16">
        <v>1415</v>
      </c>
      <c r="F254" s="16">
        <v>1007.29</v>
      </c>
      <c r="G254" s="8">
        <f t="shared" si="12"/>
        <v>91.571818181818173</v>
      </c>
      <c r="H254" s="8">
        <f t="shared" si="13"/>
        <v>915.71818181818185</v>
      </c>
      <c r="I254" s="8">
        <f t="shared" si="14"/>
        <v>499.28181818181815</v>
      </c>
      <c r="J254" s="9">
        <f t="shared" si="15"/>
        <v>0.54523523513585959</v>
      </c>
      <c r="K254" s="7" t="s">
        <v>81</v>
      </c>
    </row>
    <row r="255" spans="1:11" x14ac:dyDescent="0.25">
      <c r="A255" s="7" t="s">
        <v>545</v>
      </c>
      <c r="B255" s="7" t="s">
        <v>328</v>
      </c>
      <c r="C255" s="7" t="s">
        <v>616</v>
      </c>
      <c r="D255" s="7" t="s">
        <v>330</v>
      </c>
      <c r="E255" s="16">
        <v>1415</v>
      </c>
      <c r="F255" s="16">
        <v>1007.29</v>
      </c>
      <c r="G255" s="8">
        <f t="shared" si="12"/>
        <v>91.571818181818173</v>
      </c>
      <c r="H255" s="8">
        <f t="shared" si="13"/>
        <v>915.71818181818185</v>
      </c>
      <c r="I255" s="8">
        <f t="shared" si="14"/>
        <v>499.28181818181815</v>
      </c>
      <c r="J255" s="9">
        <f t="shared" si="15"/>
        <v>0.54523523513585959</v>
      </c>
      <c r="K255" s="7" t="s">
        <v>81</v>
      </c>
    </row>
    <row r="256" spans="1:11" x14ac:dyDescent="0.25">
      <c r="A256" s="7" t="s">
        <v>545</v>
      </c>
      <c r="B256" s="7" t="s">
        <v>328</v>
      </c>
      <c r="C256" s="7" t="s">
        <v>617</v>
      </c>
      <c r="D256" s="7" t="s">
        <v>330</v>
      </c>
      <c r="E256" s="16">
        <v>1415</v>
      </c>
      <c r="F256" s="16">
        <v>1007.29</v>
      </c>
      <c r="G256" s="8">
        <f t="shared" si="12"/>
        <v>91.571818181818173</v>
      </c>
      <c r="H256" s="8">
        <f t="shared" si="13"/>
        <v>915.71818181818185</v>
      </c>
      <c r="I256" s="8">
        <f t="shared" si="14"/>
        <v>499.28181818181815</v>
      </c>
      <c r="J256" s="9">
        <f t="shared" si="15"/>
        <v>0.54523523513585959</v>
      </c>
      <c r="K256" s="7" t="s">
        <v>81</v>
      </c>
    </row>
    <row r="257" spans="1:11" x14ac:dyDescent="0.25">
      <c r="A257" s="7" t="s">
        <v>545</v>
      </c>
      <c r="B257" s="7" t="s">
        <v>328</v>
      </c>
      <c r="C257" s="7" t="s">
        <v>618</v>
      </c>
      <c r="D257" s="7" t="s">
        <v>330</v>
      </c>
      <c r="E257" s="16">
        <v>1415</v>
      </c>
      <c r="F257" s="16">
        <v>1007.29</v>
      </c>
      <c r="G257" s="8">
        <f t="shared" si="12"/>
        <v>91.571818181818173</v>
      </c>
      <c r="H257" s="8">
        <f t="shared" si="13"/>
        <v>915.71818181818185</v>
      </c>
      <c r="I257" s="8">
        <f t="shared" si="14"/>
        <v>499.28181818181815</v>
      </c>
      <c r="J257" s="9">
        <f t="shared" si="15"/>
        <v>0.54523523513585959</v>
      </c>
      <c r="K257" s="7" t="s">
        <v>81</v>
      </c>
    </row>
    <row r="258" spans="1:11" x14ac:dyDescent="0.25">
      <c r="A258" s="7" t="s">
        <v>545</v>
      </c>
      <c r="B258" s="7" t="s">
        <v>328</v>
      </c>
      <c r="C258" s="7" t="s">
        <v>619</v>
      </c>
      <c r="D258" s="7" t="s">
        <v>330</v>
      </c>
      <c r="E258" s="16">
        <v>1410</v>
      </c>
      <c r="F258" s="16">
        <v>1007.29</v>
      </c>
      <c r="G258" s="8">
        <f t="shared" si="12"/>
        <v>91.571818181818173</v>
      </c>
      <c r="H258" s="8">
        <f t="shared" si="13"/>
        <v>915.71818181818185</v>
      </c>
      <c r="I258" s="8">
        <f t="shared" si="14"/>
        <v>494.28181818181815</v>
      </c>
      <c r="J258" s="9">
        <f t="shared" si="15"/>
        <v>0.53977503995870102</v>
      </c>
      <c r="K258" s="7" t="s">
        <v>81</v>
      </c>
    </row>
    <row r="259" spans="1:11" x14ac:dyDescent="0.25">
      <c r="A259" s="7" t="s">
        <v>545</v>
      </c>
      <c r="B259" s="7" t="s">
        <v>328</v>
      </c>
      <c r="C259" s="7" t="s">
        <v>620</v>
      </c>
      <c r="D259" s="7" t="s">
        <v>330</v>
      </c>
      <c r="E259" s="16">
        <v>1410</v>
      </c>
      <c r="F259" s="16">
        <v>1007.29</v>
      </c>
      <c r="G259" s="8">
        <f t="shared" ref="G259:G322" si="16">F259/11</f>
        <v>91.571818181818173</v>
      </c>
      <c r="H259" s="8">
        <f t="shared" ref="H259:H322" si="17">F259-G259</f>
        <v>915.71818181818185</v>
      </c>
      <c r="I259" s="8">
        <f t="shared" ref="I259:I322" si="18">E259-H259</f>
        <v>494.28181818181815</v>
      </c>
      <c r="J259" s="9">
        <f t="shared" ref="J259:J322" si="19">(E259-H259)/H259</f>
        <v>0.53977503995870102</v>
      </c>
      <c r="K259" s="7" t="s">
        <v>81</v>
      </c>
    </row>
    <row r="260" spans="1:11" x14ac:dyDescent="0.25">
      <c r="A260" s="7" t="s">
        <v>545</v>
      </c>
      <c r="B260" s="7" t="s">
        <v>328</v>
      </c>
      <c r="C260" s="7" t="s">
        <v>621</v>
      </c>
      <c r="D260" s="7" t="s">
        <v>330</v>
      </c>
      <c r="E260" s="16">
        <v>1410</v>
      </c>
      <c r="F260" s="16">
        <v>1007.29</v>
      </c>
      <c r="G260" s="8">
        <f t="shared" si="16"/>
        <v>91.571818181818173</v>
      </c>
      <c r="H260" s="8">
        <f t="shared" si="17"/>
        <v>915.71818181818185</v>
      </c>
      <c r="I260" s="8">
        <f t="shared" si="18"/>
        <v>494.28181818181815</v>
      </c>
      <c r="J260" s="9">
        <f t="shared" si="19"/>
        <v>0.53977503995870102</v>
      </c>
      <c r="K260" s="7" t="s">
        <v>81</v>
      </c>
    </row>
    <row r="261" spans="1:11" x14ac:dyDescent="0.25">
      <c r="A261" s="7" t="s">
        <v>545</v>
      </c>
      <c r="B261" s="7" t="s">
        <v>328</v>
      </c>
      <c r="C261" s="7" t="s">
        <v>622</v>
      </c>
      <c r="D261" s="7" t="s">
        <v>330</v>
      </c>
      <c r="E261" s="16">
        <v>1410</v>
      </c>
      <c r="F261" s="16">
        <v>1007.29</v>
      </c>
      <c r="G261" s="8">
        <f t="shared" si="16"/>
        <v>91.571818181818173</v>
      </c>
      <c r="H261" s="8">
        <f t="shared" si="17"/>
        <v>915.71818181818185</v>
      </c>
      <c r="I261" s="8">
        <f t="shared" si="18"/>
        <v>494.28181818181815</v>
      </c>
      <c r="J261" s="9">
        <f t="shared" si="19"/>
        <v>0.53977503995870102</v>
      </c>
      <c r="K261" s="7" t="s">
        <v>81</v>
      </c>
    </row>
    <row r="262" spans="1:11" x14ac:dyDescent="0.25">
      <c r="A262" s="7" t="s">
        <v>623</v>
      </c>
      <c r="B262" s="7" t="s">
        <v>70</v>
      </c>
      <c r="C262" s="7" t="s">
        <v>636</v>
      </c>
      <c r="D262" s="7" t="s">
        <v>15</v>
      </c>
      <c r="E262" s="16">
        <v>3690</v>
      </c>
      <c r="F262" s="16">
        <v>2829.19</v>
      </c>
      <c r="G262" s="8">
        <f t="shared" si="16"/>
        <v>257.1990909090909</v>
      </c>
      <c r="H262" s="8">
        <f t="shared" si="17"/>
        <v>2571.9909090909091</v>
      </c>
      <c r="I262" s="8">
        <f t="shared" si="18"/>
        <v>1118.0090909090909</v>
      </c>
      <c r="J262" s="9">
        <f t="shared" si="19"/>
        <v>0.434686252955793</v>
      </c>
      <c r="K262" s="7" t="s">
        <v>16</v>
      </c>
    </row>
    <row r="263" spans="1:11" x14ac:dyDescent="0.25">
      <c r="A263" s="7" t="s">
        <v>623</v>
      </c>
      <c r="B263" s="7" t="s">
        <v>70</v>
      </c>
      <c r="C263" s="7" t="s">
        <v>637</v>
      </c>
      <c r="D263" s="7" t="s">
        <v>15</v>
      </c>
      <c r="E263" s="16">
        <v>3690</v>
      </c>
      <c r="F263" s="16">
        <v>2829.19</v>
      </c>
      <c r="G263" s="8">
        <f t="shared" si="16"/>
        <v>257.1990909090909</v>
      </c>
      <c r="H263" s="8">
        <f t="shared" si="17"/>
        <v>2571.9909090909091</v>
      </c>
      <c r="I263" s="8">
        <f t="shared" si="18"/>
        <v>1118.0090909090909</v>
      </c>
      <c r="J263" s="9">
        <f t="shared" si="19"/>
        <v>0.434686252955793</v>
      </c>
      <c r="K263" s="7" t="s">
        <v>16</v>
      </c>
    </row>
    <row r="264" spans="1:11" x14ac:dyDescent="0.25">
      <c r="A264" s="7" t="s">
        <v>623</v>
      </c>
      <c r="B264" s="7" t="s">
        <v>13</v>
      </c>
      <c r="C264" s="7" t="s">
        <v>638</v>
      </c>
      <c r="D264" s="7" t="s">
        <v>15</v>
      </c>
      <c r="E264" s="16">
        <v>2100</v>
      </c>
      <c r="F264" s="16">
        <v>1504.52</v>
      </c>
      <c r="G264" s="8">
        <f t="shared" si="16"/>
        <v>136.77454545454546</v>
      </c>
      <c r="H264" s="8">
        <f t="shared" si="17"/>
        <v>1367.7454545454545</v>
      </c>
      <c r="I264" s="8">
        <f t="shared" si="18"/>
        <v>732.25454545454545</v>
      </c>
      <c r="J264" s="9">
        <f t="shared" si="19"/>
        <v>0.53537340813016776</v>
      </c>
      <c r="K264" s="7" t="s">
        <v>16</v>
      </c>
    </row>
    <row r="265" spans="1:11" x14ac:dyDescent="0.25">
      <c r="A265" s="7" t="s">
        <v>623</v>
      </c>
      <c r="B265" s="7" t="s">
        <v>13</v>
      </c>
      <c r="C265" s="7" t="s">
        <v>639</v>
      </c>
      <c r="D265" s="7" t="s">
        <v>15</v>
      </c>
      <c r="E265" s="16">
        <v>2100</v>
      </c>
      <c r="F265" s="16">
        <v>1569</v>
      </c>
      <c r="G265" s="8">
        <f t="shared" si="16"/>
        <v>142.63636363636363</v>
      </c>
      <c r="H265" s="8">
        <f t="shared" si="17"/>
        <v>1426.3636363636365</v>
      </c>
      <c r="I265" s="8">
        <f t="shared" si="18"/>
        <v>673.63636363636351</v>
      </c>
      <c r="J265" s="9">
        <f t="shared" si="19"/>
        <v>0.47227533460803045</v>
      </c>
      <c r="K265" s="7" t="s">
        <v>81</v>
      </c>
    </row>
    <row r="266" spans="1:11" x14ac:dyDescent="0.25">
      <c r="A266" s="7" t="s">
        <v>623</v>
      </c>
      <c r="B266" s="7" t="s">
        <v>13</v>
      </c>
      <c r="C266" s="7" t="s">
        <v>640</v>
      </c>
      <c r="D266" s="7" t="s">
        <v>15</v>
      </c>
      <c r="E266" s="16">
        <v>2100</v>
      </c>
      <c r="F266" s="16">
        <v>1569</v>
      </c>
      <c r="G266" s="8">
        <f t="shared" si="16"/>
        <v>142.63636363636363</v>
      </c>
      <c r="H266" s="8">
        <f t="shared" si="17"/>
        <v>1426.3636363636365</v>
      </c>
      <c r="I266" s="8">
        <f t="shared" si="18"/>
        <v>673.63636363636351</v>
      </c>
      <c r="J266" s="9">
        <f t="shared" si="19"/>
        <v>0.47227533460803045</v>
      </c>
      <c r="K266" s="7" t="s">
        <v>81</v>
      </c>
    </row>
    <row r="267" spans="1:11" x14ac:dyDescent="0.25">
      <c r="A267" s="7" t="s">
        <v>623</v>
      </c>
      <c r="B267" s="7" t="s">
        <v>13</v>
      </c>
      <c r="C267" s="7" t="s">
        <v>641</v>
      </c>
      <c r="D267" s="7" t="s">
        <v>15</v>
      </c>
      <c r="E267" s="16">
        <v>2100</v>
      </c>
      <c r="F267" s="16">
        <v>1569</v>
      </c>
      <c r="G267" s="8">
        <f t="shared" si="16"/>
        <v>142.63636363636363</v>
      </c>
      <c r="H267" s="8">
        <f t="shared" si="17"/>
        <v>1426.3636363636365</v>
      </c>
      <c r="I267" s="8">
        <f t="shared" si="18"/>
        <v>673.63636363636351</v>
      </c>
      <c r="J267" s="9">
        <f t="shared" si="19"/>
        <v>0.47227533460803045</v>
      </c>
      <c r="K267" s="7" t="s">
        <v>81</v>
      </c>
    </row>
    <row r="268" spans="1:11" x14ac:dyDescent="0.25">
      <c r="A268" s="7" t="s">
        <v>623</v>
      </c>
      <c r="B268" s="7" t="s">
        <v>673</v>
      </c>
      <c r="C268" s="7" t="s">
        <v>675</v>
      </c>
      <c r="D268" s="7" t="s">
        <v>15</v>
      </c>
      <c r="E268" s="16">
        <v>1450</v>
      </c>
      <c r="F268" s="16">
        <v>1147.6600000000001</v>
      </c>
      <c r="G268" s="8">
        <f t="shared" si="16"/>
        <v>104.33272727272728</v>
      </c>
      <c r="H268" s="8">
        <f t="shared" si="17"/>
        <v>1043.3272727272729</v>
      </c>
      <c r="I268" s="8">
        <f t="shared" si="18"/>
        <v>406.67272727272712</v>
      </c>
      <c r="J268" s="9">
        <f t="shared" si="19"/>
        <v>0.3897844309290206</v>
      </c>
      <c r="K268" s="7" t="s">
        <v>16</v>
      </c>
    </row>
    <row r="269" spans="1:11" x14ac:dyDescent="0.25">
      <c r="A269" s="7" t="s">
        <v>623</v>
      </c>
      <c r="B269" s="7" t="s">
        <v>328</v>
      </c>
      <c r="C269" s="7" t="s">
        <v>676</v>
      </c>
      <c r="D269" s="7" t="s">
        <v>330</v>
      </c>
      <c r="E269" s="16">
        <v>1355</v>
      </c>
      <c r="F269" s="16">
        <v>1007.29</v>
      </c>
      <c r="G269" s="8">
        <f t="shared" si="16"/>
        <v>91.571818181818173</v>
      </c>
      <c r="H269" s="8">
        <f t="shared" si="17"/>
        <v>915.71818181818185</v>
      </c>
      <c r="I269" s="8">
        <f t="shared" si="18"/>
        <v>439.28181818181815</v>
      </c>
      <c r="J269" s="9">
        <f t="shared" si="19"/>
        <v>0.47971289300995734</v>
      </c>
      <c r="K269" s="7" t="s">
        <v>81</v>
      </c>
    </row>
    <row r="270" spans="1:11" x14ac:dyDescent="0.25">
      <c r="A270" s="7" t="s">
        <v>623</v>
      </c>
      <c r="B270" s="7" t="s">
        <v>328</v>
      </c>
      <c r="C270" s="7" t="s">
        <v>677</v>
      </c>
      <c r="D270" s="7" t="s">
        <v>330</v>
      </c>
      <c r="E270" s="16">
        <v>1355</v>
      </c>
      <c r="F270" s="16">
        <v>1007.29</v>
      </c>
      <c r="G270" s="8">
        <f t="shared" si="16"/>
        <v>91.571818181818173</v>
      </c>
      <c r="H270" s="8">
        <f t="shared" si="17"/>
        <v>915.71818181818185</v>
      </c>
      <c r="I270" s="8">
        <f t="shared" si="18"/>
        <v>439.28181818181815</v>
      </c>
      <c r="J270" s="9">
        <f t="shared" si="19"/>
        <v>0.47971289300995734</v>
      </c>
      <c r="K270" s="7" t="s">
        <v>81</v>
      </c>
    </row>
    <row r="271" spans="1:11" x14ac:dyDescent="0.25">
      <c r="A271" s="7" t="s">
        <v>623</v>
      </c>
      <c r="B271" s="7" t="s">
        <v>328</v>
      </c>
      <c r="C271" s="7" t="s">
        <v>678</v>
      </c>
      <c r="D271" s="7" t="s">
        <v>330</v>
      </c>
      <c r="E271" s="16">
        <v>1355</v>
      </c>
      <c r="F271" s="16">
        <v>1007.29</v>
      </c>
      <c r="G271" s="8">
        <f t="shared" si="16"/>
        <v>91.571818181818173</v>
      </c>
      <c r="H271" s="8">
        <f t="shared" si="17"/>
        <v>915.71818181818185</v>
      </c>
      <c r="I271" s="8">
        <f t="shared" si="18"/>
        <v>439.28181818181815</v>
      </c>
      <c r="J271" s="9">
        <f t="shared" si="19"/>
        <v>0.47971289300995734</v>
      </c>
      <c r="K271" s="7" t="s">
        <v>81</v>
      </c>
    </row>
    <row r="272" spans="1:11" x14ac:dyDescent="0.25">
      <c r="A272" s="7" t="s">
        <v>623</v>
      </c>
      <c r="B272" s="7" t="s">
        <v>328</v>
      </c>
      <c r="C272" s="7" t="s">
        <v>679</v>
      </c>
      <c r="D272" s="7" t="s">
        <v>330</v>
      </c>
      <c r="E272" s="16">
        <v>1355</v>
      </c>
      <c r="F272" s="16">
        <v>1007.29</v>
      </c>
      <c r="G272" s="8">
        <f t="shared" si="16"/>
        <v>91.571818181818173</v>
      </c>
      <c r="H272" s="8">
        <f t="shared" si="17"/>
        <v>915.71818181818185</v>
      </c>
      <c r="I272" s="8">
        <f t="shared" si="18"/>
        <v>439.28181818181815</v>
      </c>
      <c r="J272" s="9">
        <f t="shared" si="19"/>
        <v>0.47971289300995734</v>
      </c>
      <c r="K272" s="7" t="s">
        <v>81</v>
      </c>
    </row>
    <row r="273" spans="1:11" x14ac:dyDescent="0.25">
      <c r="A273" s="7" t="s">
        <v>623</v>
      </c>
      <c r="B273" s="7" t="s">
        <v>328</v>
      </c>
      <c r="C273" s="7" t="s">
        <v>680</v>
      </c>
      <c r="D273" s="7" t="s">
        <v>330</v>
      </c>
      <c r="E273" s="16">
        <v>1355</v>
      </c>
      <c r="F273" s="16">
        <v>1007.29</v>
      </c>
      <c r="G273" s="8">
        <f t="shared" si="16"/>
        <v>91.571818181818173</v>
      </c>
      <c r="H273" s="8">
        <f t="shared" si="17"/>
        <v>915.71818181818185</v>
      </c>
      <c r="I273" s="8">
        <f t="shared" si="18"/>
        <v>439.28181818181815</v>
      </c>
      <c r="J273" s="9">
        <f t="shared" si="19"/>
        <v>0.47971289300995734</v>
      </c>
      <c r="K273" s="7" t="s">
        <v>81</v>
      </c>
    </row>
    <row r="274" spans="1:11" x14ac:dyDescent="0.25">
      <c r="A274" s="7" t="s">
        <v>623</v>
      </c>
      <c r="B274" s="7" t="s">
        <v>328</v>
      </c>
      <c r="C274" s="7" t="s">
        <v>681</v>
      </c>
      <c r="D274" s="7" t="s">
        <v>330</v>
      </c>
      <c r="E274" s="16">
        <v>1355</v>
      </c>
      <c r="F274" s="16">
        <v>1007.29</v>
      </c>
      <c r="G274" s="8">
        <f t="shared" si="16"/>
        <v>91.571818181818173</v>
      </c>
      <c r="H274" s="8">
        <f t="shared" si="17"/>
        <v>915.71818181818185</v>
      </c>
      <c r="I274" s="8">
        <f t="shared" si="18"/>
        <v>439.28181818181815</v>
      </c>
      <c r="J274" s="9">
        <f t="shared" si="19"/>
        <v>0.47971289300995734</v>
      </c>
      <c r="K274" s="7" t="s">
        <v>81</v>
      </c>
    </row>
    <row r="275" spans="1:11" x14ac:dyDescent="0.25">
      <c r="A275" s="7" t="s">
        <v>623</v>
      </c>
      <c r="B275" s="7" t="s">
        <v>328</v>
      </c>
      <c r="C275" s="7" t="s">
        <v>682</v>
      </c>
      <c r="D275" s="7" t="s">
        <v>330</v>
      </c>
      <c r="E275" s="16">
        <v>1355</v>
      </c>
      <c r="F275" s="16">
        <v>1164.73</v>
      </c>
      <c r="G275" s="8">
        <f t="shared" si="16"/>
        <v>105.88454545454546</v>
      </c>
      <c r="H275" s="8">
        <f t="shared" si="17"/>
        <v>1058.8454545454545</v>
      </c>
      <c r="I275" s="8">
        <f t="shared" si="18"/>
        <v>296.15454545454554</v>
      </c>
      <c r="J275" s="9">
        <f t="shared" si="19"/>
        <v>0.27969572347239285</v>
      </c>
      <c r="K275" s="7" t="s">
        <v>81</v>
      </c>
    </row>
    <row r="276" spans="1:11" x14ac:dyDescent="0.25">
      <c r="A276" s="7" t="s">
        <v>623</v>
      </c>
      <c r="B276" s="7" t="s">
        <v>328</v>
      </c>
      <c r="C276" s="7" t="s">
        <v>683</v>
      </c>
      <c r="D276" s="7" t="s">
        <v>330</v>
      </c>
      <c r="E276" s="16">
        <v>1355</v>
      </c>
      <c r="F276" s="16">
        <v>1164.73</v>
      </c>
      <c r="G276" s="8">
        <f t="shared" si="16"/>
        <v>105.88454545454546</v>
      </c>
      <c r="H276" s="8">
        <f t="shared" si="17"/>
        <v>1058.8454545454545</v>
      </c>
      <c r="I276" s="8">
        <f t="shared" si="18"/>
        <v>296.15454545454554</v>
      </c>
      <c r="J276" s="9">
        <f t="shared" si="19"/>
        <v>0.27969572347239285</v>
      </c>
      <c r="K276" s="7" t="s">
        <v>81</v>
      </c>
    </row>
    <row r="277" spans="1:11" x14ac:dyDescent="0.25">
      <c r="A277" s="7" t="s">
        <v>623</v>
      </c>
      <c r="B277" s="7" t="s">
        <v>328</v>
      </c>
      <c r="C277" s="7" t="s">
        <v>684</v>
      </c>
      <c r="D277" s="7" t="s">
        <v>330</v>
      </c>
      <c r="E277" s="16">
        <v>1355</v>
      </c>
      <c r="F277" s="16">
        <v>1164.73</v>
      </c>
      <c r="G277" s="8">
        <f t="shared" si="16"/>
        <v>105.88454545454546</v>
      </c>
      <c r="H277" s="8">
        <f t="shared" si="17"/>
        <v>1058.8454545454545</v>
      </c>
      <c r="I277" s="8">
        <f t="shared" si="18"/>
        <v>296.15454545454554</v>
      </c>
      <c r="J277" s="9">
        <f t="shared" si="19"/>
        <v>0.27969572347239285</v>
      </c>
      <c r="K277" s="7" t="s">
        <v>81</v>
      </c>
    </row>
    <row r="278" spans="1:11" x14ac:dyDescent="0.25">
      <c r="A278" s="7" t="s">
        <v>623</v>
      </c>
      <c r="B278" s="7" t="s">
        <v>328</v>
      </c>
      <c r="C278" s="7" t="s">
        <v>685</v>
      </c>
      <c r="D278" s="7" t="s">
        <v>330</v>
      </c>
      <c r="E278" s="16">
        <v>1355</v>
      </c>
      <c r="F278" s="16">
        <v>1164.73</v>
      </c>
      <c r="G278" s="8">
        <f t="shared" si="16"/>
        <v>105.88454545454546</v>
      </c>
      <c r="H278" s="8">
        <f t="shared" si="17"/>
        <v>1058.8454545454545</v>
      </c>
      <c r="I278" s="8">
        <f t="shared" si="18"/>
        <v>296.15454545454554</v>
      </c>
      <c r="J278" s="9">
        <f t="shared" si="19"/>
        <v>0.27969572347239285</v>
      </c>
      <c r="K278" s="7" t="s">
        <v>81</v>
      </c>
    </row>
    <row r="279" spans="1:11" x14ac:dyDescent="0.25">
      <c r="A279" s="7" t="s">
        <v>623</v>
      </c>
      <c r="B279" s="7" t="s">
        <v>328</v>
      </c>
      <c r="C279" s="7" t="s">
        <v>686</v>
      </c>
      <c r="D279" s="7" t="s">
        <v>330</v>
      </c>
      <c r="E279" s="16">
        <v>1355</v>
      </c>
      <c r="F279" s="16">
        <v>1164.73</v>
      </c>
      <c r="G279" s="8">
        <f t="shared" si="16"/>
        <v>105.88454545454546</v>
      </c>
      <c r="H279" s="8">
        <f t="shared" si="17"/>
        <v>1058.8454545454545</v>
      </c>
      <c r="I279" s="8">
        <f t="shared" si="18"/>
        <v>296.15454545454554</v>
      </c>
      <c r="J279" s="9">
        <f t="shared" si="19"/>
        <v>0.27969572347239285</v>
      </c>
      <c r="K279" s="7" t="s">
        <v>81</v>
      </c>
    </row>
    <row r="280" spans="1:11" x14ac:dyDescent="0.25">
      <c r="A280" s="7" t="s">
        <v>623</v>
      </c>
      <c r="B280" s="7" t="s">
        <v>328</v>
      </c>
      <c r="C280" s="7" t="s">
        <v>687</v>
      </c>
      <c r="D280" s="7" t="s">
        <v>330</v>
      </c>
      <c r="E280" s="16">
        <v>1355</v>
      </c>
      <c r="F280" s="16">
        <v>1164.73</v>
      </c>
      <c r="G280" s="8">
        <f t="shared" si="16"/>
        <v>105.88454545454546</v>
      </c>
      <c r="H280" s="8">
        <f t="shared" si="17"/>
        <v>1058.8454545454545</v>
      </c>
      <c r="I280" s="8">
        <f t="shared" si="18"/>
        <v>296.15454545454554</v>
      </c>
      <c r="J280" s="9">
        <f t="shared" si="19"/>
        <v>0.27969572347239285</v>
      </c>
      <c r="K280" s="7" t="s">
        <v>81</v>
      </c>
    </row>
    <row r="281" spans="1:11" x14ac:dyDescent="0.25">
      <c r="A281" s="7" t="s">
        <v>623</v>
      </c>
      <c r="B281" s="7" t="s">
        <v>328</v>
      </c>
      <c r="C281" s="7" t="s">
        <v>688</v>
      </c>
      <c r="D281" s="7" t="s">
        <v>330</v>
      </c>
      <c r="E281" s="16">
        <v>1355</v>
      </c>
      <c r="F281" s="16">
        <v>1164.73</v>
      </c>
      <c r="G281" s="8">
        <f t="shared" si="16"/>
        <v>105.88454545454546</v>
      </c>
      <c r="H281" s="8">
        <f t="shared" si="17"/>
        <v>1058.8454545454545</v>
      </c>
      <c r="I281" s="8">
        <f t="shared" si="18"/>
        <v>296.15454545454554</v>
      </c>
      <c r="J281" s="9">
        <f t="shared" si="19"/>
        <v>0.27969572347239285</v>
      </c>
      <c r="K281" s="7" t="s">
        <v>81</v>
      </c>
    </row>
    <row r="282" spans="1:11" x14ac:dyDescent="0.25">
      <c r="A282" s="7" t="s">
        <v>623</v>
      </c>
      <c r="B282" s="7" t="s">
        <v>328</v>
      </c>
      <c r="C282" s="7" t="s">
        <v>689</v>
      </c>
      <c r="D282" s="7" t="s">
        <v>330</v>
      </c>
      <c r="E282" s="16">
        <v>1355</v>
      </c>
      <c r="F282" s="16">
        <v>1164.73</v>
      </c>
      <c r="G282" s="8">
        <f t="shared" si="16"/>
        <v>105.88454545454546</v>
      </c>
      <c r="H282" s="8">
        <f t="shared" si="17"/>
        <v>1058.8454545454545</v>
      </c>
      <c r="I282" s="8">
        <f t="shared" si="18"/>
        <v>296.15454545454554</v>
      </c>
      <c r="J282" s="9">
        <f t="shared" si="19"/>
        <v>0.27969572347239285</v>
      </c>
      <c r="K282" s="7" t="s">
        <v>81</v>
      </c>
    </row>
    <row r="283" spans="1:11" x14ac:dyDescent="0.25">
      <c r="A283" s="7" t="s">
        <v>623</v>
      </c>
      <c r="B283" s="7" t="s">
        <v>328</v>
      </c>
      <c r="C283" s="7" t="s">
        <v>690</v>
      </c>
      <c r="D283" s="7" t="s">
        <v>330</v>
      </c>
      <c r="E283" s="16">
        <v>1355</v>
      </c>
      <c r="F283" s="16">
        <v>1164.73</v>
      </c>
      <c r="G283" s="8">
        <f t="shared" si="16"/>
        <v>105.88454545454546</v>
      </c>
      <c r="H283" s="8">
        <f t="shared" si="17"/>
        <v>1058.8454545454545</v>
      </c>
      <c r="I283" s="8">
        <f t="shared" si="18"/>
        <v>296.15454545454554</v>
      </c>
      <c r="J283" s="9">
        <f t="shared" si="19"/>
        <v>0.27969572347239285</v>
      </c>
      <c r="K283" s="7" t="s">
        <v>81</v>
      </c>
    </row>
    <row r="284" spans="1:11" x14ac:dyDescent="0.25">
      <c r="A284" s="7" t="s">
        <v>623</v>
      </c>
      <c r="B284" s="7" t="s">
        <v>328</v>
      </c>
      <c r="C284" s="7" t="s">
        <v>691</v>
      </c>
      <c r="D284" s="7" t="s">
        <v>330</v>
      </c>
      <c r="E284" s="16">
        <v>1355</v>
      </c>
      <c r="F284" s="16">
        <v>1164.73</v>
      </c>
      <c r="G284" s="8">
        <f t="shared" si="16"/>
        <v>105.88454545454546</v>
      </c>
      <c r="H284" s="8">
        <f t="shared" si="17"/>
        <v>1058.8454545454545</v>
      </c>
      <c r="I284" s="8">
        <f t="shared" si="18"/>
        <v>296.15454545454554</v>
      </c>
      <c r="J284" s="9">
        <f t="shared" si="19"/>
        <v>0.27969572347239285</v>
      </c>
      <c r="K284" s="7" t="s">
        <v>81</v>
      </c>
    </row>
    <row r="285" spans="1:11" x14ac:dyDescent="0.25">
      <c r="A285" s="7" t="s">
        <v>623</v>
      </c>
      <c r="B285" s="7" t="s">
        <v>328</v>
      </c>
      <c r="C285" s="7" t="s">
        <v>692</v>
      </c>
      <c r="D285" s="7" t="s">
        <v>330</v>
      </c>
      <c r="E285" s="16">
        <v>1355</v>
      </c>
      <c r="F285" s="16">
        <v>1164.73</v>
      </c>
      <c r="G285" s="8">
        <f t="shared" si="16"/>
        <v>105.88454545454546</v>
      </c>
      <c r="H285" s="8">
        <f t="shared" si="17"/>
        <v>1058.8454545454545</v>
      </c>
      <c r="I285" s="8">
        <f t="shared" si="18"/>
        <v>296.15454545454554</v>
      </c>
      <c r="J285" s="9">
        <f t="shared" si="19"/>
        <v>0.27969572347239285</v>
      </c>
      <c r="K285" s="7" t="s">
        <v>81</v>
      </c>
    </row>
    <row r="286" spans="1:11" x14ac:dyDescent="0.25">
      <c r="A286" s="7" t="s">
        <v>623</v>
      </c>
      <c r="B286" s="7" t="s">
        <v>328</v>
      </c>
      <c r="C286" s="7" t="s">
        <v>693</v>
      </c>
      <c r="D286" s="7" t="s">
        <v>330</v>
      </c>
      <c r="E286" s="16">
        <v>1355</v>
      </c>
      <c r="F286" s="16">
        <v>1164.73</v>
      </c>
      <c r="G286" s="8">
        <f t="shared" si="16"/>
        <v>105.88454545454546</v>
      </c>
      <c r="H286" s="8">
        <f t="shared" si="17"/>
        <v>1058.8454545454545</v>
      </c>
      <c r="I286" s="8">
        <f t="shared" si="18"/>
        <v>296.15454545454554</v>
      </c>
      <c r="J286" s="9">
        <f t="shared" si="19"/>
        <v>0.27969572347239285</v>
      </c>
      <c r="K286" s="7" t="s">
        <v>81</v>
      </c>
    </row>
    <row r="287" spans="1:11" x14ac:dyDescent="0.25">
      <c r="A287" s="7" t="s">
        <v>623</v>
      </c>
      <c r="B287" s="7" t="s">
        <v>328</v>
      </c>
      <c r="C287" s="7" t="s">
        <v>694</v>
      </c>
      <c r="D287" s="7" t="s">
        <v>330</v>
      </c>
      <c r="E287" s="16">
        <v>1355</v>
      </c>
      <c r="F287" s="16">
        <v>1164.73</v>
      </c>
      <c r="G287" s="8">
        <f t="shared" si="16"/>
        <v>105.88454545454546</v>
      </c>
      <c r="H287" s="8">
        <f t="shared" si="17"/>
        <v>1058.8454545454545</v>
      </c>
      <c r="I287" s="8">
        <f t="shared" si="18"/>
        <v>296.15454545454554</v>
      </c>
      <c r="J287" s="9">
        <f t="shared" si="19"/>
        <v>0.27969572347239285</v>
      </c>
      <c r="K287" s="7" t="s">
        <v>81</v>
      </c>
    </row>
    <row r="288" spans="1:11" x14ac:dyDescent="0.25">
      <c r="A288" s="7" t="s">
        <v>623</v>
      </c>
      <c r="B288" s="7" t="s">
        <v>328</v>
      </c>
      <c r="C288" s="7" t="s">
        <v>695</v>
      </c>
      <c r="D288" s="7" t="s">
        <v>330</v>
      </c>
      <c r="E288" s="16">
        <v>1355</v>
      </c>
      <c r="F288" s="16">
        <v>1164.73</v>
      </c>
      <c r="G288" s="8">
        <f t="shared" si="16"/>
        <v>105.88454545454546</v>
      </c>
      <c r="H288" s="8">
        <f t="shared" si="17"/>
        <v>1058.8454545454545</v>
      </c>
      <c r="I288" s="8">
        <f t="shared" si="18"/>
        <v>296.15454545454554</v>
      </c>
      <c r="J288" s="9">
        <f t="shared" si="19"/>
        <v>0.27969572347239285</v>
      </c>
      <c r="K288" s="7" t="s">
        <v>81</v>
      </c>
    </row>
    <row r="289" spans="1:11" x14ac:dyDescent="0.25">
      <c r="A289" s="7" t="s">
        <v>623</v>
      </c>
      <c r="B289" s="7" t="s">
        <v>328</v>
      </c>
      <c r="C289" s="7" t="s">
        <v>696</v>
      </c>
      <c r="D289" s="7" t="s">
        <v>330</v>
      </c>
      <c r="E289" s="16">
        <v>1355</v>
      </c>
      <c r="F289" s="16">
        <v>1164.73</v>
      </c>
      <c r="G289" s="8">
        <f t="shared" si="16"/>
        <v>105.88454545454546</v>
      </c>
      <c r="H289" s="8">
        <f t="shared" si="17"/>
        <v>1058.8454545454545</v>
      </c>
      <c r="I289" s="8">
        <f t="shared" si="18"/>
        <v>296.15454545454554</v>
      </c>
      <c r="J289" s="9">
        <f t="shared" si="19"/>
        <v>0.27969572347239285</v>
      </c>
      <c r="K289" s="7" t="s">
        <v>81</v>
      </c>
    </row>
    <row r="290" spans="1:11" x14ac:dyDescent="0.25">
      <c r="A290" s="7" t="s">
        <v>623</v>
      </c>
      <c r="B290" s="7" t="s">
        <v>328</v>
      </c>
      <c r="C290" s="7" t="s">
        <v>697</v>
      </c>
      <c r="D290" s="7" t="s">
        <v>330</v>
      </c>
      <c r="E290" s="16">
        <v>1355</v>
      </c>
      <c r="F290" s="16">
        <v>1164.73</v>
      </c>
      <c r="G290" s="8">
        <f t="shared" si="16"/>
        <v>105.88454545454546</v>
      </c>
      <c r="H290" s="8">
        <f t="shared" si="17"/>
        <v>1058.8454545454545</v>
      </c>
      <c r="I290" s="8">
        <f t="shared" si="18"/>
        <v>296.15454545454554</v>
      </c>
      <c r="J290" s="9">
        <f t="shared" si="19"/>
        <v>0.27969572347239285</v>
      </c>
      <c r="K290" s="7" t="s">
        <v>81</v>
      </c>
    </row>
    <row r="291" spans="1:11" x14ac:dyDescent="0.25">
      <c r="A291" s="7" t="s">
        <v>623</v>
      </c>
      <c r="B291" s="7" t="s">
        <v>328</v>
      </c>
      <c r="C291" s="7" t="s">
        <v>698</v>
      </c>
      <c r="D291" s="7" t="s">
        <v>330</v>
      </c>
      <c r="E291" s="16">
        <v>1355</v>
      </c>
      <c r="F291" s="16">
        <v>1164.73</v>
      </c>
      <c r="G291" s="8">
        <f t="shared" si="16"/>
        <v>105.88454545454546</v>
      </c>
      <c r="H291" s="8">
        <f t="shared" si="17"/>
        <v>1058.8454545454545</v>
      </c>
      <c r="I291" s="8">
        <f t="shared" si="18"/>
        <v>296.15454545454554</v>
      </c>
      <c r="J291" s="9">
        <f t="shared" si="19"/>
        <v>0.27969572347239285</v>
      </c>
      <c r="K291" s="7" t="s">
        <v>81</v>
      </c>
    </row>
    <row r="292" spans="1:11" x14ac:dyDescent="0.25">
      <c r="A292" s="7" t="s">
        <v>623</v>
      </c>
      <c r="B292" s="7" t="s">
        <v>328</v>
      </c>
      <c r="C292" s="7" t="s">
        <v>699</v>
      </c>
      <c r="D292" s="7" t="s">
        <v>330</v>
      </c>
      <c r="E292" s="16">
        <v>1355</v>
      </c>
      <c r="F292" s="16">
        <v>1164.73</v>
      </c>
      <c r="G292" s="8">
        <f t="shared" si="16"/>
        <v>105.88454545454546</v>
      </c>
      <c r="H292" s="8">
        <f t="shared" si="17"/>
        <v>1058.8454545454545</v>
      </c>
      <c r="I292" s="8">
        <f t="shared" si="18"/>
        <v>296.15454545454554</v>
      </c>
      <c r="J292" s="9">
        <f t="shared" si="19"/>
        <v>0.27969572347239285</v>
      </c>
      <c r="K292" s="7" t="s">
        <v>81</v>
      </c>
    </row>
    <row r="293" spans="1:11" x14ac:dyDescent="0.25">
      <c r="A293" s="7" t="s">
        <v>623</v>
      </c>
      <c r="B293" s="7" t="s">
        <v>328</v>
      </c>
      <c r="C293" s="7" t="s">
        <v>700</v>
      </c>
      <c r="D293" s="7" t="s">
        <v>330</v>
      </c>
      <c r="E293" s="16">
        <v>1355</v>
      </c>
      <c r="F293" s="16">
        <v>1164.73</v>
      </c>
      <c r="G293" s="8">
        <f t="shared" si="16"/>
        <v>105.88454545454546</v>
      </c>
      <c r="H293" s="8">
        <f t="shared" si="17"/>
        <v>1058.8454545454545</v>
      </c>
      <c r="I293" s="8">
        <f t="shared" si="18"/>
        <v>296.15454545454554</v>
      </c>
      <c r="J293" s="9">
        <f t="shared" si="19"/>
        <v>0.27969572347239285</v>
      </c>
      <c r="K293" s="7" t="s">
        <v>81</v>
      </c>
    </row>
    <row r="294" spans="1:11" x14ac:dyDescent="0.25">
      <c r="A294" s="7" t="s">
        <v>623</v>
      </c>
      <c r="B294" s="7" t="s">
        <v>328</v>
      </c>
      <c r="C294" s="7" t="s">
        <v>701</v>
      </c>
      <c r="D294" s="7" t="s">
        <v>330</v>
      </c>
      <c r="E294" s="16">
        <v>1355</v>
      </c>
      <c r="F294" s="16">
        <v>1164.73</v>
      </c>
      <c r="G294" s="8">
        <f t="shared" si="16"/>
        <v>105.88454545454546</v>
      </c>
      <c r="H294" s="8">
        <f t="shared" si="17"/>
        <v>1058.8454545454545</v>
      </c>
      <c r="I294" s="8">
        <f t="shared" si="18"/>
        <v>296.15454545454554</v>
      </c>
      <c r="J294" s="9">
        <f t="shared" si="19"/>
        <v>0.27969572347239285</v>
      </c>
      <c r="K294" s="7" t="s">
        <v>81</v>
      </c>
    </row>
    <row r="295" spans="1:11" x14ac:dyDescent="0.25">
      <c r="A295" s="7" t="s">
        <v>623</v>
      </c>
      <c r="B295" s="7" t="s">
        <v>328</v>
      </c>
      <c r="C295" s="7" t="s">
        <v>702</v>
      </c>
      <c r="D295" s="7" t="s">
        <v>330</v>
      </c>
      <c r="E295" s="16">
        <v>1355</v>
      </c>
      <c r="F295" s="16">
        <v>1164.73</v>
      </c>
      <c r="G295" s="8">
        <f t="shared" si="16"/>
        <v>105.88454545454546</v>
      </c>
      <c r="H295" s="8">
        <f t="shared" si="17"/>
        <v>1058.8454545454545</v>
      </c>
      <c r="I295" s="8">
        <f t="shared" si="18"/>
        <v>296.15454545454554</v>
      </c>
      <c r="J295" s="9">
        <f t="shared" si="19"/>
        <v>0.27969572347239285</v>
      </c>
      <c r="K295" s="7" t="s">
        <v>81</v>
      </c>
    </row>
    <row r="296" spans="1:11" x14ac:dyDescent="0.25">
      <c r="A296" s="7" t="s">
        <v>623</v>
      </c>
      <c r="B296" s="7" t="s">
        <v>328</v>
      </c>
      <c r="C296" s="7" t="s">
        <v>703</v>
      </c>
      <c r="D296" s="7" t="s">
        <v>330</v>
      </c>
      <c r="E296" s="16">
        <v>1355</v>
      </c>
      <c r="F296" s="16">
        <v>1164.73</v>
      </c>
      <c r="G296" s="8">
        <f t="shared" si="16"/>
        <v>105.88454545454546</v>
      </c>
      <c r="H296" s="8">
        <f t="shared" si="17"/>
        <v>1058.8454545454545</v>
      </c>
      <c r="I296" s="8">
        <f t="shared" si="18"/>
        <v>296.15454545454554</v>
      </c>
      <c r="J296" s="9">
        <f t="shared" si="19"/>
        <v>0.27969572347239285</v>
      </c>
      <c r="K296" s="7" t="s">
        <v>81</v>
      </c>
    </row>
    <row r="297" spans="1:11" x14ac:dyDescent="0.25">
      <c r="A297" s="7" t="s">
        <v>623</v>
      </c>
      <c r="B297" s="7" t="s">
        <v>328</v>
      </c>
      <c r="C297" s="7" t="s">
        <v>704</v>
      </c>
      <c r="D297" s="7" t="s">
        <v>330</v>
      </c>
      <c r="E297" s="16">
        <v>1355</v>
      </c>
      <c r="F297" s="16">
        <v>1164.73</v>
      </c>
      <c r="G297" s="8">
        <f t="shared" si="16"/>
        <v>105.88454545454546</v>
      </c>
      <c r="H297" s="8">
        <f t="shared" si="17"/>
        <v>1058.8454545454545</v>
      </c>
      <c r="I297" s="8">
        <f t="shared" si="18"/>
        <v>296.15454545454554</v>
      </c>
      <c r="J297" s="9">
        <f t="shared" si="19"/>
        <v>0.27969572347239285</v>
      </c>
      <c r="K297" s="7" t="s">
        <v>81</v>
      </c>
    </row>
    <row r="298" spans="1:11" x14ac:dyDescent="0.25">
      <c r="A298" s="7" t="s">
        <v>623</v>
      </c>
      <c r="B298" s="7" t="s">
        <v>328</v>
      </c>
      <c r="C298" s="7" t="s">
        <v>705</v>
      </c>
      <c r="D298" s="7" t="s">
        <v>330</v>
      </c>
      <c r="E298" s="16">
        <v>1355</v>
      </c>
      <c r="F298" s="16">
        <v>1164.73</v>
      </c>
      <c r="G298" s="8">
        <f t="shared" si="16"/>
        <v>105.88454545454546</v>
      </c>
      <c r="H298" s="8">
        <f t="shared" si="17"/>
        <v>1058.8454545454545</v>
      </c>
      <c r="I298" s="8">
        <f t="shared" si="18"/>
        <v>296.15454545454554</v>
      </c>
      <c r="J298" s="9">
        <f t="shared" si="19"/>
        <v>0.27969572347239285</v>
      </c>
      <c r="K298" s="7" t="s">
        <v>81</v>
      </c>
    </row>
    <row r="299" spans="1:11" x14ac:dyDescent="0.25">
      <c r="A299" s="7" t="s">
        <v>623</v>
      </c>
      <c r="B299" s="7" t="s">
        <v>328</v>
      </c>
      <c r="C299" s="7" t="s">
        <v>706</v>
      </c>
      <c r="D299" s="7" t="s">
        <v>330</v>
      </c>
      <c r="E299" s="16">
        <v>1355</v>
      </c>
      <c r="F299" s="16">
        <v>1164.73</v>
      </c>
      <c r="G299" s="8">
        <f t="shared" si="16"/>
        <v>105.88454545454546</v>
      </c>
      <c r="H299" s="8">
        <f t="shared" si="17"/>
        <v>1058.8454545454545</v>
      </c>
      <c r="I299" s="8">
        <f t="shared" si="18"/>
        <v>296.15454545454554</v>
      </c>
      <c r="J299" s="9">
        <f t="shared" si="19"/>
        <v>0.27969572347239285</v>
      </c>
      <c r="K299" s="7" t="s">
        <v>81</v>
      </c>
    </row>
    <row r="300" spans="1:11" x14ac:dyDescent="0.25">
      <c r="A300" s="7" t="s">
        <v>623</v>
      </c>
      <c r="B300" s="7" t="s">
        <v>328</v>
      </c>
      <c r="C300" s="7" t="s">
        <v>707</v>
      </c>
      <c r="D300" s="7" t="s">
        <v>330</v>
      </c>
      <c r="E300" s="16">
        <v>1355</v>
      </c>
      <c r="F300" s="16">
        <v>1164.73</v>
      </c>
      <c r="G300" s="8">
        <f t="shared" si="16"/>
        <v>105.88454545454546</v>
      </c>
      <c r="H300" s="8">
        <f t="shared" si="17"/>
        <v>1058.8454545454545</v>
      </c>
      <c r="I300" s="8">
        <f t="shared" si="18"/>
        <v>296.15454545454554</v>
      </c>
      <c r="J300" s="9">
        <f t="shared" si="19"/>
        <v>0.27969572347239285</v>
      </c>
      <c r="K300" s="7" t="s">
        <v>81</v>
      </c>
    </row>
    <row r="301" spans="1:11" x14ac:dyDescent="0.25">
      <c r="A301" s="7" t="s">
        <v>623</v>
      </c>
      <c r="B301" s="7" t="s">
        <v>328</v>
      </c>
      <c r="C301" s="7" t="s">
        <v>708</v>
      </c>
      <c r="D301" s="7" t="s">
        <v>330</v>
      </c>
      <c r="E301" s="16">
        <v>1355</v>
      </c>
      <c r="F301" s="16">
        <v>1164.73</v>
      </c>
      <c r="G301" s="8">
        <f t="shared" si="16"/>
        <v>105.88454545454546</v>
      </c>
      <c r="H301" s="8">
        <f t="shared" si="17"/>
        <v>1058.8454545454545</v>
      </c>
      <c r="I301" s="8">
        <f t="shared" si="18"/>
        <v>296.15454545454554</v>
      </c>
      <c r="J301" s="9">
        <f t="shared" si="19"/>
        <v>0.27969572347239285</v>
      </c>
      <c r="K301" s="7" t="s">
        <v>81</v>
      </c>
    </row>
    <row r="302" spans="1:11" x14ac:dyDescent="0.25">
      <c r="A302" s="7" t="s">
        <v>623</v>
      </c>
      <c r="B302" s="7" t="s">
        <v>328</v>
      </c>
      <c r="C302" s="7" t="s">
        <v>709</v>
      </c>
      <c r="D302" s="7" t="s">
        <v>330</v>
      </c>
      <c r="E302" s="16">
        <v>1355</v>
      </c>
      <c r="F302" s="16">
        <v>1164.73</v>
      </c>
      <c r="G302" s="8">
        <f t="shared" si="16"/>
        <v>105.88454545454546</v>
      </c>
      <c r="H302" s="8">
        <f t="shared" si="17"/>
        <v>1058.8454545454545</v>
      </c>
      <c r="I302" s="8">
        <f t="shared" si="18"/>
        <v>296.15454545454554</v>
      </c>
      <c r="J302" s="9">
        <f t="shared" si="19"/>
        <v>0.27969572347239285</v>
      </c>
      <c r="K302" s="7" t="s">
        <v>81</v>
      </c>
    </row>
    <row r="303" spans="1:11" x14ac:dyDescent="0.25">
      <c r="A303" s="7" t="s">
        <v>623</v>
      </c>
      <c r="B303" s="7" t="s">
        <v>328</v>
      </c>
      <c r="C303" s="7" t="s">
        <v>710</v>
      </c>
      <c r="D303" s="7" t="s">
        <v>330</v>
      </c>
      <c r="E303" s="16">
        <v>1355</v>
      </c>
      <c r="F303" s="16">
        <v>1164.73</v>
      </c>
      <c r="G303" s="8">
        <f t="shared" si="16"/>
        <v>105.88454545454546</v>
      </c>
      <c r="H303" s="8">
        <f t="shared" si="17"/>
        <v>1058.8454545454545</v>
      </c>
      <c r="I303" s="8">
        <f t="shared" si="18"/>
        <v>296.15454545454554</v>
      </c>
      <c r="J303" s="9">
        <f t="shared" si="19"/>
        <v>0.27969572347239285</v>
      </c>
      <c r="K303" s="7" t="s">
        <v>81</v>
      </c>
    </row>
    <row r="304" spans="1:11" x14ac:dyDescent="0.25">
      <c r="A304" s="7" t="s">
        <v>623</v>
      </c>
      <c r="B304" s="7" t="s">
        <v>328</v>
      </c>
      <c r="C304" s="7" t="s">
        <v>711</v>
      </c>
      <c r="D304" s="7" t="s">
        <v>330</v>
      </c>
      <c r="E304" s="16">
        <v>1355</v>
      </c>
      <c r="F304" s="16">
        <v>1164.73</v>
      </c>
      <c r="G304" s="8">
        <f t="shared" si="16"/>
        <v>105.88454545454546</v>
      </c>
      <c r="H304" s="8">
        <f t="shared" si="17"/>
        <v>1058.8454545454545</v>
      </c>
      <c r="I304" s="8">
        <f t="shared" si="18"/>
        <v>296.15454545454554</v>
      </c>
      <c r="J304" s="9">
        <f t="shared" si="19"/>
        <v>0.27969572347239285</v>
      </c>
      <c r="K304" s="7" t="s">
        <v>81</v>
      </c>
    </row>
    <row r="305" spans="1:11" x14ac:dyDescent="0.25">
      <c r="A305" s="7" t="s">
        <v>623</v>
      </c>
      <c r="B305" s="7" t="s">
        <v>328</v>
      </c>
      <c r="C305" s="7" t="s">
        <v>712</v>
      </c>
      <c r="D305" s="7" t="s">
        <v>330</v>
      </c>
      <c r="E305" s="16">
        <v>1355</v>
      </c>
      <c r="F305" s="16">
        <v>1164.73</v>
      </c>
      <c r="G305" s="8">
        <f t="shared" si="16"/>
        <v>105.88454545454546</v>
      </c>
      <c r="H305" s="8">
        <f t="shared" si="17"/>
        <v>1058.8454545454545</v>
      </c>
      <c r="I305" s="8">
        <f t="shared" si="18"/>
        <v>296.15454545454554</v>
      </c>
      <c r="J305" s="9">
        <f t="shared" si="19"/>
        <v>0.27969572347239285</v>
      </c>
      <c r="K305" s="7" t="s">
        <v>81</v>
      </c>
    </row>
    <row r="306" spans="1:11" x14ac:dyDescent="0.25">
      <c r="A306" s="7" t="s">
        <v>623</v>
      </c>
      <c r="B306" s="7" t="s">
        <v>328</v>
      </c>
      <c r="C306" s="7" t="s">
        <v>713</v>
      </c>
      <c r="D306" s="7" t="s">
        <v>330</v>
      </c>
      <c r="E306" s="16">
        <v>1355</v>
      </c>
      <c r="F306" s="16">
        <v>1164.73</v>
      </c>
      <c r="G306" s="8">
        <f t="shared" si="16"/>
        <v>105.88454545454546</v>
      </c>
      <c r="H306" s="8">
        <f t="shared" si="17"/>
        <v>1058.8454545454545</v>
      </c>
      <c r="I306" s="8">
        <f t="shared" si="18"/>
        <v>296.15454545454554</v>
      </c>
      <c r="J306" s="9">
        <f t="shared" si="19"/>
        <v>0.27969572347239285</v>
      </c>
      <c r="K306" s="7" t="s">
        <v>81</v>
      </c>
    </row>
    <row r="307" spans="1:11" x14ac:dyDescent="0.25">
      <c r="A307" s="7" t="s">
        <v>623</v>
      </c>
      <c r="B307" s="7" t="s">
        <v>328</v>
      </c>
      <c r="C307" s="7" t="s">
        <v>714</v>
      </c>
      <c r="D307" s="7" t="s">
        <v>330</v>
      </c>
      <c r="E307" s="16">
        <v>1355</v>
      </c>
      <c r="F307" s="16">
        <v>1164.73</v>
      </c>
      <c r="G307" s="8">
        <f t="shared" si="16"/>
        <v>105.88454545454546</v>
      </c>
      <c r="H307" s="8">
        <f t="shared" si="17"/>
        <v>1058.8454545454545</v>
      </c>
      <c r="I307" s="8">
        <f t="shared" si="18"/>
        <v>296.15454545454554</v>
      </c>
      <c r="J307" s="9">
        <f t="shared" si="19"/>
        <v>0.27969572347239285</v>
      </c>
      <c r="K307" s="7" t="s">
        <v>81</v>
      </c>
    </row>
    <row r="308" spans="1:11" x14ac:dyDescent="0.25">
      <c r="A308" s="7" t="s">
        <v>623</v>
      </c>
      <c r="B308" s="7" t="s">
        <v>328</v>
      </c>
      <c r="C308" s="7" t="s">
        <v>715</v>
      </c>
      <c r="D308" s="7" t="s">
        <v>330</v>
      </c>
      <c r="E308" s="16">
        <v>1355</v>
      </c>
      <c r="F308" s="16">
        <v>1164.73</v>
      </c>
      <c r="G308" s="8">
        <f t="shared" si="16"/>
        <v>105.88454545454546</v>
      </c>
      <c r="H308" s="8">
        <f t="shared" si="17"/>
        <v>1058.8454545454545</v>
      </c>
      <c r="I308" s="8">
        <f t="shared" si="18"/>
        <v>296.15454545454554</v>
      </c>
      <c r="J308" s="9">
        <f t="shared" si="19"/>
        <v>0.27969572347239285</v>
      </c>
      <c r="K308" s="7" t="s">
        <v>81</v>
      </c>
    </row>
    <row r="309" spans="1:11" x14ac:dyDescent="0.25">
      <c r="A309" s="7" t="s">
        <v>623</v>
      </c>
      <c r="B309" s="7" t="s">
        <v>328</v>
      </c>
      <c r="C309" s="7" t="s">
        <v>716</v>
      </c>
      <c r="D309" s="7" t="s">
        <v>330</v>
      </c>
      <c r="E309" s="16">
        <v>1355</v>
      </c>
      <c r="F309" s="16">
        <v>1164.73</v>
      </c>
      <c r="G309" s="8">
        <f t="shared" si="16"/>
        <v>105.88454545454546</v>
      </c>
      <c r="H309" s="8">
        <f t="shared" si="17"/>
        <v>1058.8454545454545</v>
      </c>
      <c r="I309" s="8">
        <f t="shared" si="18"/>
        <v>296.15454545454554</v>
      </c>
      <c r="J309" s="9">
        <f t="shared" si="19"/>
        <v>0.27969572347239285</v>
      </c>
      <c r="K309" s="7" t="s">
        <v>81</v>
      </c>
    </row>
    <row r="310" spans="1:11" x14ac:dyDescent="0.25">
      <c r="A310" s="7" t="s">
        <v>623</v>
      </c>
      <c r="B310" s="7" t="s">
        <v>328</v>
      </c>
      <c r="C310" s="7" t="s">
        <v>717</v>
      </c>
      <c r="D310" s="7" t="s">
        <v>330</v>
      </c>
      <c r="E310" s="16">
        <v>1355</v>
      </c>
      <c r="F310" s="16">
        <v>1164.73</v>
      </c>
      <c r="G310" s="8">
        <f t="shared" si="16"/>
        <v>105.88454545454546</v>
      </c>
      <c r="H310" s="8">
        <f t="shared" si="17"/>
        <v>1058.8454545454545</v>
      </c>
      <c r="I310" s="8">
        <f t="shared" si="18"/>
        <v>296.15454545454554</v>
      </c>
      <c r="J310" s="9">
        <f t="shared" si="19"/>
        <v>0.27969572347239285</v>
      </c>
      <c r="K310" s="7" t="s">
        <v>81</v>
      </c>
    </row>
    <row r="311" spans="1:11" x14ac:dyDescent="0.25">
      <c r="A311" s="7" t="s">
        <v>623</v>
      </c>
      <c r="B311" s="7" t="s">
        <v>328</v>
      </c>
      <c r="C311" s="7" t="s">
        <v>718</v>
      </c>
      <c r="D311" s="7" t="s">
        <v>330</v>
      </c>
      <c r="E311" s="16">
        <v>1355</v>
      </c>
      <c r="F311" s="16">
        <v>1164.73</v>
      </c>
      <c r="G311" s="8">
        <f t="shared" si="16"/>
        <v>105.88454545454546</v>
      </c>
      <c r="H311" s="8">
        <f t="shared" si="17"/>
        <v>1058.8454545454545</v>
      </c>
      <c r="I311" s="8">
        <f t="shared" si="18"/>
        <v>296.15454545454554</v>
      </c>
      <c r="J311" s="9">
        <f t="shared" si="19"/>
        <v>0.27969572347239285</v>
      </c>
      <c r="K311" s="7" t="s">
        <v>81</v>
      </c>
    </row>
    <row r="312" spans="1:11" x14ac:dyDescent="0.25">
      <c r="A312" s="7" t="s">
        <v>623</v>
      </c>
      <c r="B312" s="7" t="s">
        <v>328</v>
      </c>
      <c r="C312" s="7" t="s">
        <v>719</v>
      </c>
      <c r="D312" s="7" t="s">
        <v>330</v>
      </c>
      <c r="E312" s="16">
        <v>1355</v>
      </c>
      <c r="F312" s="16">
        <v>1164.73</v>
      </c>
      <c r="G312" s="8">
        <f t="shared" si="16"/>
        <v>105.88454545454546</v>
      </c>
      <c r="H312" s="8">
        <f t="shared" si="17"/>
        <v>1058.8454545454545</v>
      </c>
      <c r="I312" s="8">
        <f t="shared" si="18"/>
        <v>296.15454545454554</v>
      </c>
      <c r="J312" s="9">
        <f t="shared" si="19"/>
        <v>0.27969572347239285</v>
      </c>
      <c r="K312" s="7" t="s">
        <v>81</v>
      </c>
    </row>
    <row r="313" spans="1:11" x14ac:dyDescent="0.25">
      <c r="A313" s="7" t="s">
        <v>623</v>
      </c>
      <c r="B313" s="7" t="s">
        <v>328</v>
      </c>
      <c r="C313" s="7" t="s">
        <v>720</v>
      </c>
      <c r="D313" s="7" t="s">
        <v>330</v>
      </c>
      <c r="E313" s="16">
        <v>1355</v>
      </c>
      <c r="F313" s="16">
        <v>1164.73</v>
      </c>
      <c r="G313" s="8">
        <f t="shared" si="16"/>
        <v>105.88454545454546</v>
      </c>
      <c r="H313" s="8">
        <f t="shared" si="17"/>
        <v>1058.8454545454545</v>
      </c>
      <c r="I313" s="8">
        <f t="shared" si="18"/>
        <v>296.15454545454554</v>
      </c>
      <c r="J313" s="9">
        <f t="shared" si="19"/>
        <v>0.27969572347239285</v>
      </c>
      <c r="K313" s="7" t="s">
        <v>81</v>
      </c>
    </row>
    <row r="314" spans="1:11" x14ac:dyDescent="0.25">
      <c r="A314" s="7" t="s">
        <v>623</v>
      </c>
      <c r="B314" s="7" t="s">
        <v>328</v>
      </c>
      <c r="C314" s="7" t="s">
        <v>721</v>
      </c>
      <c r="D314" s="7" t="s">
        <v>330</v>
      </c>
      <c r="E314" s="16">
        <v>1355</v>
      </c>
      <c r="F314" s="16">
        <v>1164.73</v>
      </c>
      <c r="G314" s="8">
        <f t="shared" si="16"/>
        <v>105.88454545454546</v>
      </c>
      <c r="H314" s="8">
        <f t="shared" si="17"/>
        <v>1058.8454545454545</v>
      </c>
      <c r="I314" s="8">
        <f t="shared" si="18"/>
        <v>296.15454545454554</v>
      </c>
      <c r="J314" s="9">
        <f t="shared" si="19"/>
        <v>0.27969572347239285</v>
      </c>
      <c r="K314" s="7" t="s">
        <v>81</v>
      </c>
    </row>
    <row r="315" spans="1:11" x14ac:dyDescent="0.25">
      <c r="A315" s="7" t="s">
        <v>623</v>
      </c>
      <c r="B315" s="7" t="s">
        <v>328</v>
      </c>
      <c r="C315" s="7" t="s">
        <v>722</v>
      </c>
      <c r="D315" s="7" t="s">
        <v>330</v>
      </c>
      <c r="E315" s="16">
        <v>1355</v>
      </c>
      <c r="F315" s="16">
        <v>1164.73</v>
      </c>
      <c r="G315" s="8">
        <f t="shared" si="16"/>
        <v>105.88454545454546</v>
      </c>
      <c r="H315" s="8">
        <f t="shared" si="17"/>
        <v>1058.8454545454545</v>
      </c>
      <c r="I315" s="8">
        <f t="shared" si="18"/>
        <v>296.15454545454554</v>
      </c>
      <c r="J315" s="9">
        <f t="shared" si="19"/>
        <v>0.27969572347239285</v>
      </c>
      <c r="K315" s="7" t="s">
        <v>81</v>
      </c>
    </row>
    <row r="316" spans="1:11" x14ac:dyDescent="0.25">
      <c r="A316" s="7" t="s">
        <v>623</v>
      </c>
      <c r="B316" s="7" t="s">
        <v>328</v>
      </c>
      <c r="C316" s="7" t="s">
        <v>723</v>
      </c>
      <c r="D316" s="7" t="s">
        <v>330</v>
      </c>
      <c r="E316" s="16">
        <v>1355</v>
      </c>
      <c r="F316" s="16">
        <v>1164.73</v>
      </c>
      <c r="G316" s="8">
        <f t="shared" si="16"/>
        <v>105.88454545454546</v>
      </c>
      <c r="H316" s="8">
        <f t="shared" si="17"/>
        <v>1058.8454545454545</v>
      </c>
      <c r="I316" s="8">
        <f t="shared" si="18"/>
        <v>296.15454545454554</v>
      </c>
      <c r="J316" s="9">
        <f t="shared" si="19"/>
        <v>0.27969572347239285</v>
      </c>
      <c r="K316" s="7" t="s">
        <v>81</v>
      </c>
    </row>
    <row r="317" spans="1:11" x14ac:dyDescent="0.25">
      <c r="A317" s="7" t="s">
        <v>623</v>
      </c>
      <c r="B317" s="7" t="s">
        <v>328</v>
      </c>
      <c r="C317" s="7" t="s">
        <v>724</v>
      </c>
      <c r="D317" s="7" t="s">
        <v>330</v>
      </c>
      <c r="E317" s="16">
        <v>1355</v>
      </c>
      <c r="F317" s="16">
        <v>1164.73</v>
      </c>
      <c r="G317" s="8">
        <f t="shared" si="16"/>
        <v>105.88454545454546</v>
      </c>
      <c r="H317" s="8">
        <f t="shared" si="17"/>
        <v>1058.8454545454545</v>
      </c>
      <c r="I317" s="8">
        <f t="shared" si="18"/>
        <v>296.15454545454554</v>
      </c>
      <c r="J317" s="9">
        <f t="shared" si="19"/>
        <v>0.27969572347239285</v>
      </c>
      <c r="K317" s="7" t="s">
        <v>81</v>
      </c>
    </row>
    <row r="318" spans="1:11" x14ac:dyDescent="0.25">
      <c r="A318" s="7" t="s">
        <v>623</v>
      </c>
      <c r="B318" s="7" t="s">
        <v>328</v>
      </c>
      <c r="C318" s="7" t="s">
        <v>725</v>
      </c>
      <c r="D318" s="7" t="s">
        <v>330</v>
      </c>
      <c r="E318" s="16">
        <v>1355</v>
      </c>
      <c r="F318" s="16">
        <v>1164.73</v>
      </c>
      <c r="G318" s="8">
        <f t="shared" si="16"/>
        <v>105.88454545454546</v>
      </c>
      <c r="H318" s="8">
        <f t="shared" si="17"/>
        <v>1058.8454545454545</v>
      </c>
      <c r="I318" s="8">
        <f t="shared" si="18"/>
        <v>296.15454545454554</v>
      </c>
      <c r="J318" s="9">
        <f t="shared" si="19"/>
        <v>0.27969572347239285</v>
      </c>
      <c r="K318" s="7" t="s">
        <v>81</v>
      </c>
    </row>
    <row r="319" spans="1:11" x14ac:dyDescent="0.25">
      <c r="A319" s="7" t="s">
        <v>726</v>
      </c>
      <c r="B319" s="7" t="s">
        <v>673</v>
      </c>
      <c r="C319" s="7" t="s">
        <v>757</v>
      </c>
      <c r="D319" s="7" t="s">
        <v>15</v>
      </c>
      <c r="E319" s="16">
        <v>1400</v>
      </c>
      <c r="F319" s="16">
        <v>1147.6600000000001</v>
      </c>
      <c r="G319" s="8">
        <f t="shared" si="16"/>
        <v>104.33272727272728</v>
      </c>
      <c r="H319" s="8">
        <f t="shared" si="17"/>
        <v>1043.3272727272729</v>
      </c>
      <c r="I319" s="8">
        <f t="shared" si="18"/>
        <v>356.67272727272712</v>
      </c>
      <c r="J319" s="9">
        <f t="shared" si="19"/>
        <v>0.3418608298625026</v>
      </c>
      <c r="K319" s="7" t="s">
        <v>16</v>
      </c>
    </row>
    <row r="320" spans="1:11" x14ac:dyDescent="0.25">
      <c r="A320" s="7" t="s">
        <v>726</v>
      </c>
      <c r="B320" s="7" t="s">
        <v>673</v>
      </c>
      <c r="C320" s="7" t="s">
        <v>758</v>
      </c>
      <c r="D320" s="7" t="s">
        <v>15</v>
      </c>
      <c r="E320" s="16">
        <v>1400</v>
      </c>
      <c r="F320" s="16">
        <v>1152.44</v>
      </c>
      <c r="G320" s="8">
        <f t="shared" si="16"/>
        <v>104.76727272727273</v>
      </c>
      <c r="H320" s="8">
        <f t="shared" si="17"/>
        <v>1047.6727272727273</v>
      </c>
      <c r="I320" s="8">
        <f t="shared" si="18"/>
        <v>352.32727272727266</v>
      </c>
      <c r="J320" s="9">
        <f t="shared" si="19"/>
        <v>0.33629516504113005</v>
      </c>
      <c r="K320" s="7" t="s">
        <v>16</v>
      </c>
    </row>
    <row r="321" spans="1:11" x14ac:dyDescent="0.25">
      <c r="A321" s="7" t="s">
        <v>726</v>
      </c>
      <c r="B321" s="7" t="s">
        <v>673</v>
      </c>
      <c r="C321" s="7" t="s">
        <v>759</v>
      </c>
      <c r="D321" s="7" t="s">
        <v>15</v>
      </c>
      <c r="E321" s="16">
        <v>1410</v>
      </c>
      <c r="F321" s="16">
        <v>1147.6600000000001</v>
      </c>
      <c r="G321" s="8">
        <f t="shared" si="16"/>
        <v>104.33272727272728</v>
      </c>
      <c r="H321" s="8">
        <f t="shared" si="17"/>
        <v>1043.3272727272729</v>
      </c>
      <c r="I321" s="8">
        <f t="shared" si="18"/>
        <v>366.67272727272712</v>
      </c>
      <c r="J321" s="9">
        <f t="shared" si="19"/>
        <v>0.35144555007580625</v>
      </c>
      <c r="K321" s="7" t="s">
        <v>16</v>
      </c>
    </row>
    <row r="322" spans="1:11" x14ac:dyDescent="0.25">
      <c r="A322" s="7" t="s">
        <v>726</v>
      </c>
      <c r="B322" s="7" t="s">
        <v>673</v>
      </c>
      <c r="C322" s="7" t="s">
        <v>760</v>
      </c>
      <c r="D322" s="7" t="s">
        <v>15</v>
      </c>
      <c r="E322" s="16">
        <v>1410</v>
      </c>
      <c r="F322" s="16">
        <v>1152.44</v>
      </c>
      <c r="G322" s="8">
        <f t="shared" si="16"/>
        <v>104.76727272727273</v>
      </c>
      <c r="H322" s="8">
        <f t="shared" si="17"/>
        <v>1047.6727272727273</v>
      </c>
      <c r="I322" s="8">
        <f t="shared" si="18"/>
        <v>362.32727272727266</v>
      </c>
      <c r="J322" s="9">
        <f t="shared" si="19"/>
        <v>0.34584013050570955</v>
      </c>
      <c r="K322" s="7" t="s">
        <v>16</v>
      </c>
    </row>
    <row r="323" spans="1:11" x14ac:dyDescent="0.25">
      <c r="A323" s="7" t="s">
        <v>726</v>
      </c>
      <c r="B323" s="7" t="s">
        <v>673</v>
      </c>
      <c r="C323" s="7" t="s">
        <v>761</v>
      </c>
      <c r="D323" s="7" t="s">
        <v>15</v>
      </c>
      <c r="E323" s="16">
        <v>1410</v>
      </c>
      <c r="F323" s="16">
        <v>1152.44</v>
      </c>
      <c r="G323" s="8">
        <f t="shared" ref="G323:G386" si="20">F323/11</f>
        <v>104.76727272727273</v>
      </c>
      <c r="H323" s="8">
        <f t="shared" ref="H323:H386" si="21">F323-G323</f>
        <v>1047.6727272727273</v>
      </c>
      <c r="I323" s="8">
        <f t="shared" ref="I323:I386" si="22">E323-H323</f>
        <v>362.32727272727266</v>
      </c>
      <c r="J323" s="9">
        <f t="shared" ref="J323:J386" si="23">(E323-H323)/H323</f>
        <v>0.34584013050570955</v>
      </c>
      <c r="K323" s="7" t="s">
        <v>16</v>
      </c>
    </row>
    <row r="324" spans="1:11" x14ac:dyDescent="0.25">
      <c r="A324" s="7" t="s">
        <v>726</v>
      </c>
      <c r="B324" s="7" t="s">
        <v>673</v>
      </c>
      <c r="C324" s="7" t="s">
        <v>762</v>
      </c>
      <c r="D324" s="7" t="s">
        <v>15</v>
      </c>
      <c r="E324" s="16">
        <v>1410</v>
      </c>
      <c r="F324" s="16">
        <v>1147.6600000000001</v>
      </c>
      <c r="G324" s="8">
        <f t="shared" si="20"/>
        <v>104.33272727272728</v>
      </c>
      <c r="H324" s="8">
        <f t="shared" si="21"/>
        <v>1043.3272727272729</v>
      </c>
      <c r="I324" s="8">
        <f t="shared" si="22"/>
        <v>366.67272727272712</v>
      </c>
      <c r="J324" s="9">
        <f t="shared" si="23"/>
        <v>0.35144555007580625</v>
      </c>
      <c r="K324" s="7" t="s">
        <v>16</v>
      </c>
    </row>
    <row r="325" spans="1:11" x14ac:dyDescent="0.25">
      <c r="A325" s="7" t="s">
        <v>726</v>
      </c>
      <c r="B325" s="7" t="s">
        <v>673</v>
      </c>
      <c r="C325" s="7" t="s">
        <v>763</v>
      </c>
      <c r="D325" s="7" t="s">
        <v>15</v>
      </c>
      <c r="E325" s="16">
        <v>1410</v>
      </c>
      <c r="F325" s="16">
        <v>1207.28</v>
      </c>
      <c r="G325" s="8">
        <f t="shared" si="20"/>
        <v>109.75272727272727</v>
      </c>
      <c r="H325" s="8">
        <f t="shared" si="21"/>
        <v>1097.5272727272727</v>
      </c>
      <c r="I325" s="8">
        <f t="shared" si="22"/>
        <v>312.4727272727273</v>
      </c>
      <c r="J325" s="9">
        <f t="shared" si="23"/>
        <v>0.28470611622821551</v>
      </c>
      <c r="K325" s="7" t="s">
        <v>16</v>
      </c>
    </row>
    <row r="326" spans="1:11" x14ac:dyDescent="0.25">
      <c r="A326" s="7" t="s">
        <v>726</v>
      </c>
      <c r="B326" s="7" t="s">
        <v>673</v>
      </c>
      <c r="C326" s="7" t="s">
        <v>764</v>
      </c>
      <c r="D326" s="7" t="s">
        <v>15</v>
      </c>
      <c r="E326" s="16">
        <v>1410</v>
      </c>
      <c r="F326" s="16">
        <v>1152.44</v>
      </c>
      <c r="G326" s="8">
        <f t="shared" si="20"/>
        <v>104.76727272727273</v>
      </c>
      <c r="H326" s="8">
        <f t="shared" si="21"/>
        <v>1047.6727272727273</v>
      </c>
      <c r="I326" s="8">
        <f t="shared" si="22"/>
        <v>362.32727272727266</v>
      </c>
      <c r="J326" s="9">
        <f t="shared" si="23"/>
        <v>0.34584013050570955</v>
      </c>
      <c r="K326" s="7" t="s">
        <v>16</v>
      </c>
    </row>
    <row r="327" spans="1:11" x14ac:dyDescent="0.25">
      <c r="A327" s="7" t="s">
        <v>726</v>
      </c>
      <c r="B327" s="7" t="s">
        <v>673</v>
      </c>
      <c r="C327" s="7" t="s">
        <v>765</v>
      </c>
      <c r="D327" s="7" t="s">
        <v>15</v>
      </c>
      <c r="E327" s="16">
        <v>1410</v>
      </c>
      <c r="F327" s="16">
        <v>1207.22</v>
      </c>
      <c r="G327" s="8">
        <f t="shared" si="20"/>
        <v>109.74727272727273</v>
      </c>
      <c r="H327" s="8">
        <f t="shared" si="21"/>
        <v>1097.4727272727273</v>
      </c>
      <c r="I327" s="8">
        <f t="shared" si="22"/>
        <v>312.5272727272727</v>
      </c>
      <c r="J327" s="9">
        <f t="shared" si="23"/>
        <v>0.28476996736303239</v>
      </c>
      <c r="K327" s="7" t="s">
        <v>16</v>
      </c>
    </row>
    <row r="328" spans="1:11" x14ac:dyDescent="0.25">
      <c r="A328" s="7" t="s">
        <v>726</v>
      </c>
      <c r="B328" s="7" t="s">
        <v>673</v>
      </c>
      <c r="C328" s="7" t="s">
        <v>766</v>
      </c>
      <c r="D328" s="7" t="s">
        <v>15</v>
      </c>
      <c r="E328" s="16">
        <v>1410</v>
      </c>
      <c r="F328" s="16">
        <v>1141.9000000000001</v>
      </c>
      <c r="G328" s="8">
        <f t="shared" si="20"/>
        <v>103.80909090909091</v>
      </c>
      <c r="H328" s="8">
        <f t="shared" si="21"/>
        <v>1038.0909090909092</v>
      </c>
      <c r="I328" s="8">
        <f t="shared" si="22"/>
        <v>371.90909090909076</v>
      </c>
      <c r="J328" s="9">
        <f t="shared" si="23"/>
        <v>0.35826254488133791</v>
      </c>
      <c r="K328" s="7" t="s">
        <v>16</v>
      </c>
    </row>
    <row r="329" spans="1:11" x14ac:dyDescent="0.25">
      <c r="A329" s="7" t="s">
        <v>726</v>
      </c>
      <c r="B329" s="7" t="s">
        <v>673</v>
      </c>
      <c r="C329" s="7" t="s">
        <v>767</v>
      </c>
      <c r="D329" s="7" t="s">
        <v>15</v>
      </c>
      <c r="E329" s="16">
        <v>1410</v>
      </c>
      <c r="F329" s="16">
        <v>1207.22</v>
      </c>
      <c r="G329" s="8">
        <f t="shared" si="20"/>
        <v>109.74727272727273</v>
      </c>
      <c r="H329" s="8">
        <f t="shared" si="21"/>
        <v>1097.4727272727273</v>
      </c>
      <c r="I329" s="8">
        <f t="shared" si="22"/>
        <v>312.5272727272727</v>
      </c>
      <c r="J329" s="9">
        <f t="shared" si="23"/>
        <v>0.28476996736303239</v>
      </c>
      <c r="K329" s="7" t="s">
        <v>16</v>
      </c>
    </row>
    <row r="330" spans="1:11" x14ac:dyDescent="0.25">
      <c r="A330" s="7" t="s">
        <v>726</v>
      </c>
      <c r="B330" s="7" t="s">
        <v>673</v>
      </c>
      <c r="C330" s="7" t="s">
        <v>768</v>
      </c>
      <c r="D330" s="7" t="s">
        <v>15</v>
      </c>
      <c r="E330" s="16">
        <v>1410</v>
      </c>
      <c r="F330" s="16">
        <v>1147.6600000000001</v>
      </c>
      <c r="G330" s="8">
        <f t="shared" si="20"/>
        <v>104.33272727272728</v>
      </c>
      <c r="H330" s="8">
        <f t="shared" si="21"/>
        <v>1043.3272727272729</v>
      </c>
      <c r="I330" s="8">
        <f t="shared" si="22"/>
        <v>366.67272727272712</v>
      </c>
      <c r="J330" s="9">
        <f t="shared" si="23"/>
        <v>0.35144555007580625</v>
      </c>
      <c r="K330" s="7" t="s">
        <v>16</v>
      </c>
    </row>
    <row r="331" spans="1:11" x14ac:dyDescent="0.25">
      <c r="A331" s="7" t="s">
        <v>726</v>
      </c>
      <c r="B331" s="7" t="s">
        <v>673</v>
      </c>
      <c r="C331" s="7" t="s">
        <v>769</v>
      </c>
      <c r="D331" s="7" t="s">
        <v>15</v>
      </c>
      <c r="E331" s="16">
        <v>1410</v>
      </c>
      <c r="F331" s="16">
        <v>1152.44</v>
      </c>
      <c r="G331" s="8">
        <f t="shared" si="20"/>
        <v>104.76727272727273</v>
      </c>
      <c r="H331" s="8">
        <f t="shared" si="21"/>
        <v>1047.6727272727273</v>
      </c>
      <c r="I331" s="8">
        <f t="shared" si="22"/>
        <v>362.32727272727266</v>
      </c>
      <c r="J331" s="9">
        <f t="shared" si="23"/>
        <v>0.34584013050570955</v>
      </c>
      <c r="K331" s="7" t="s">
        <v>16</v>
      </c>
    </row>
    <row r="332" spans="1:11" x14ac:dyDescent="0.25">
      <c r="A332" s="7" t="s">
        <v>726</v>
      </c>
      <c r="B332" s="7" t="s">
        <v>673</v>
      </c>
      <c r="C332" s="7" t="s">
        <v>770</v>
      </c>
      <c r="D332" s="7" t="s">
        <v>15</v>
      </c>
      <c r="E332" s="16">
        <v>1410</v>
      </c>
      <c r="F332" s="16">
        <v>1147.6600000000001</v>
      </c>
      <c r="G332" s="8">
        <f t="shared" si="20"/>
        <v>104.33272727272728</v>
      </c>
      <c r="H332" s="8">
        <f t="shared" si="21"/>
        <v>1043.3272727272729</v>
      </c>
      <c r="I332" s="8">
        <f t="shared" si="22"/>
        <v>366.67272727272712</v>
      </c>
      <c r="J332" s="9">
        <f t="shared" si="23"/>
        <v>0.35144555007580625</v>
      </c>
      <c r="K332" s="7" t="s">
        <v>16</v>
      </c>
    </row>
    <row r="333" spans="1:11" x14ac:dyDescent="0.25">
      <c r="A333" s="7" t="s">
        <v>726</v>
      </c>
      <c r="B333" s="7" t="s">
        <v>673</v>
      </c>
      <c r="C333" s="7" t="s">
        <v>771</v>
      </c>
      <c r="D333" s="7" t="s">
        <v>15</v>
      </c>
      <c r="E333" s="16">
        <v>1410</v>
      </c>
      <c r="F333" s="16">
        <v>1207.28</v>
      </c>
      <c r="G333" s="8">
        <f t="shared" si="20"/>
        <v>109.75272727272727</v>
      </c>
      <c r="H333" s="8">
        <f t="shared" si="21"/>
        <v>1097.5272727272727</v>
      </c>
      <c r="I333" s="8">
        <f t="shared" si="22"/>
        <v>312.4727272727273</v>
      </c>
      <c r="J333" s="9">
        <f t="shared" si="23"/>
        <v>0.28470611622821551</v>
      </c>
      <c r="K333" s="7" t="s">
        <v>16</v>
      </c>
    </row>
    <row r="334" spans="1:11" x14ac:dyDescent="0.25">
      <c r="A334" s="7" t="s">
        <v>726</v>
      </c>
      <c r="B334" s="7" t="s">
        <v>673</v>
      </c>
      <c r="C334" s="7" t="s">
        <v>772</v>
      </c>
      <c r="D334" s="7" t="s">
        <v>15</v>
      </c>
      <c r="E334" s="16">
        <v>1410</v>
      </c>
      <c r="F334" s="16">
        <v>1207.22</v>
      </c>
      <c r="G334" s="8">
        <f t="shared" si="20"/>
        <v>109.74727272727273</v>
      </c>
      <c r="H334" s="8">
        <f t="shared" si="21"/>
        <v>1097.4727272727273</v>
      </c>
      <c r="I334" s="8">
        <f t="shared" si="22"/>
        <v>312.5272727272727</v>
      </c>
      <c r="J334" s="9">
        <f t="shared" si="23"/>
        <v>0.28476996736303239</v>
      </c>
      <c r="K334" s="7" t="s">
        <v>16</v>
      </c>
    </row>
    <row r="335" spans="1:11" x14ac:dyDescent="0.25">
      <c r="A335" s="7" t="s">
        <v>726</v>
      </c>
      <c r="B335" s="7" t="s">
        <v>673</v>
      </c>
      <c r="C335" s="7" t="s">
        <v>773</v>
      </c>
      <c r="D335" s="7" t="s">
        <v>15</v>
      </c>
      <c r="E335" s="16">
        <v>1410</v>
      </c>
      <c r="F335" s="16">
        <v>1152.44</v>
      </c>
      <c r="G335" s="8">
        <f t="shared" si="20"/>
        <v>104.76727272727273</v>
      </c>
      <c r="H335" s="8">
        <f t="shared" si="21"/>
        <v>1047.6727272727273</v>
      </c>
      <c r="I335" s="8">
        <f t="shared" si="22"/>
        <v>362.32727272727266</v>
      </c>
      <c r="J335" s="9">
        <f t="shared" si="23"/>
        <v>0.34584013050570955</v>
      </c>
      <c r="K335" s="7" t="s">
        <v>16</v>
      </c>
    </row>
    <row r="336" spans="1:11" x14ac:dyDescent="0.25">
      <c r="A336" s="7" t="s">
        <v>726</v>
      </c>
      <c r="B336" s="7" t="s">
        <v>673</v>
      </c>
      <c r="C336" s="7" t="s">
        <v>774</v>
      </c>
      <c r="D336" s="7" t="s">
        <v>15</v>
      </c>
      <c r="E336" s="16">
        <v>1410</v>
      </c>
      <c r="F336" s="16">
        <v>1141.9000000000001</v>
      </c>
      <c r="G336" s="8">
        <f t="shared" si="20"/>
        <v>103.80909090909091</v>
      </c>
      <c r="H336" s="8">
        <f t="shared" si="21"/>
        <v>1038.0909090909092</v>
      </c>
      <c r="I336" s="8">
        <f t="shared" si="22"/>
        <v>371.90909090909076</v>
      </c>
      <c r="J336" s="9">
        <f t="shared" si="23"/>
        <v>0.35826254488133791</v>
      </c>
      <c r="K336" s="7" t="s">
        <v>16</v>
      </c>
    </row>
    <row r="337" spans="1:11" x14ac:dyDescent="0.25">
      <c r="A337" s="7" t="s">
        <v>726</v>
      </c>
      <c r="B337" s="7" t="s">
        <v>673</v>
      </c>
      <c r="C337" s="7" t="s">
        <v>775</v>
      </c>
      <c r="D337" s="7" t="s">
        <v>15</v>
      </c>
      <c r="E337" s="16">
        <v>1410</v>
      </c>
      <c r="F337" s="16">
        <v>1152.44</v>
      </c>
      <c r="G337" s="8">
        <f t="shared" si="20"/>
        <v>104.76727272727273</v>
      </c>
      <c r="H337" s="8">
        <f t="shared" si="21"/>
        <v>1047.6727272727273</v>
      </c>
      <c r="I337" s="8">
        <f t="shared" si="22"/>
        <v>362.32727272727266</v>
      </c>
      <c r="J337" s="9">
        <f t="shared" si="23"/>
        <v>0.34584013050570955</v>
      </c>
      <c r="K337" s="7" t="s">
        <v>16</v>
      </c>
    </row>
    <row r="338" spans="1:11" x14ac:dyDescent="0.25">
      <c r="A338" s="7" t="s">
        <v>726</v>
      </c>
      <c r="B338" s="7" t="s">
        <v>673</v>
      </c>
      <c r="C338" s="7" t="s">
        <v>776</v>
      </c>
      <c r="D338" s="7" t="s">
        <v>15</v>
      </c>
      <c r="E338" s="16">
        <v>1410</v>
      </c>
      <c r="F338" s="16">
        <v>1147.6600000000001</v>
      </c>
      <c r="G338" s="8">
        <f t="shared" si="20"/>
        <v>104.33272727272728</v>
      </c>
      <c r="H338" s="8">
        <f t="shared" si="21"/>
        <v>1043.3272727272729</v>
      </c>
      <c r="I338" s="8">
        <f t="shared" si="22"/>
        <v>366.67272727272712</v>
      </c>
      <c r="J338" s="9">
        <f t="shared" si="23"/>
        <v>0.35144555007580625</v>
      </c>
      <c r="K338" s="7" t="s">
        <v>16</v>
      </c>
    </row>
    <row r="339" spans="1:11" x14ac:dyDescent="0.25">
      <c r="A339" s="7" t="s">
        <v>726</v>
      </c>
      <c r="B339" s="7" t="s">
        <v>673</v>
      </c>
      <c r="C339" s="7" t="s">
        <v>777</v>
      </c>
      <c r="D339" s="7" t="s">
        <v>15</v>
      </c>
      <c r="E339" s="16">
        <v>1410</v>
      </c>
      <c r="F339" s="16">
        <v>1207.22</v>
      </c>
      <c r="G339" s="8">
        <f t="shared" si="20"/>
        <v>109.74727272727273</v>
      </c>
      <c r="H339" s="8">
        <f t="shared" si="21"/>
        <v>1097.4727272727273</v>
      </c>
      <c r="I339" s="8">
        <f t="shared" si="22"/>
        <v>312.5272727272727</v>
      </c>
      <c r="J339" s="9">
        <f t="shared" si="23"/>
        <v>0.28476996736303239</v>
      </c>
      <c r="K339" s="7" t="s">
        <v>16</v>
      </c>
    </row>
    <row r="340" spans="1:11" x14ac:dyDescent="0.25">
      <c r="A340" s="7" t="s">
        <v>726</v>
      </c>
      <c r="B340" s="7" t="s">
        <v>673</v>
      </c>
      <c r="C340" s="7" t="s">
        <v>778</v>
      </c>
      <c r="D340" s="7" t="s">
        <v>15</v>
      </c>
      <c r="E340" s="16">
        <v>1410</v>
      </c>
      <c r="F340" s="16">
        <v>1147.6600000000001</v>
      </c>
      <c r="G340" s="8">
        <f t="shared" si="20"/>
        <v>104.33272727272728</v>
      </c>
      <c r="H340" s="8">
        <f t="shared" si="21"/>
        <v>1043.3272727272729</v>
      </c>
      <c r="I340" s="8">
        <f t="shared" si="22"/>
        <v>366.67272727272712</v>
      </c>
      <c r="J340" s="9">
        <f t="shared" si="23"/>
        <v>0.35144555007580625</v>
      </c>
      <c r="K340" s="7" t="s">
        <v>16</v>
      </c>
    </row>
    <row r="341" spans="1:11" x14ac:dyDescent="0.25">
      <c r="A341" s="7" t="s">
        <v>726</v>
      </c>
      <c r="B341" s="7" t="s">
        <v>673</v>
      </c>
      <c r="C341" s="7" t="s">
        <v>779</v>
      </c>
      <c r="D341" s="7" t="s">
        <v>15</v>
      </c>
      <c r="E341" s="16">
        <v>1410</v>
      </c>
      <c r="F341" s="16">
        <v>1147.6600000000001</v>
      </c>
      <c r="G341" s="8">
        <f t="shared" si="20"/>
        <v>104.33272727272728</v>
      </c>
      <c r="H341" s="8">
        <f t="shared" si="21"/>
        <v>1043.3272727272729</v>
      </c>
      <c r="I341" s="8">
        <f t="shared" si="22"/>
        <v>366.67272727272712</v>
      </c>
      <c r="J341" s="9">
        <f t="shared" si="23"/>
        <v>0.35144555007580625</v>
      </c>
      <c r="K341" s="7" t="s">
        <v>16</v>
      </c>
    </row>
    <row r="342" spans="1:11" x14ac:dyDescent="0.25">
      <c r="A342" s="7" t="s">
        <v>726</v>
      </c>
      <c r="B342" s="7" t="s">
        <v>673</v>
      </c>
      <c r="C342" s="7" t="s">
        <v>780</v>
      </c>
      <c r="D342" s="7" t="s">
        <v>15</v>
      </c>
      <c r="E342" s="16">
        <v>1410</v>
      </c>
      <c r="F342" s="16">
        <v>1141.9000000000001</v>
      </c>
      <c r="G342" s="8">
        <f t="shared" si="20"/>
        <v>103.80909090909091</v>
      </c>
      <c r="H342" s="8">
        <f t="shared" si="21"/>
        <v>1038.0909090909092</v>
      </c>
      <c r="I342" s="8">
        <f t="shared" si="22"/>
        <v>371.90909090909076</v>
      </c>
      <c r="J342" s="9">
        <f t="shared" si="23"/>
        <v>0.35826254488133791</v>
      </c>
      <c r="K342" s="7" t="s">
        <v>16</v>
      </c>
    </row>
    <row r="343" spans="1:11" x14ac:dyDescent="0.25">
      <c r="A343" s="7" t="s">
        <v>726</v>
      </c>
      <c r="B343" s="7" t="s">
        <v>673</v>
      </c>
      <c r="C343" s="7" t="s">
        <v>781</v>
      </c>
      <c r="D343" s="7" t="s">
        <v>15</v>
      </c>
      <c r="E343" s="16">
        <v>1410</v>
      </c>
      <c r="F343" s="16">
        <v>1207.28</v>
      </c>
      <c r="G343" s="8">
        <f t="shared" si="20"/>
        <v>109.75272727272727</v>
      </c>
      <c r="H343" s="8">
        <f t="shared" si="21"/>
        <v>1097.5272727272727</v>
      </c>
      <c r="I343" s="8">
        <f t="shared" si="22"/>
        <v>312.4727272727273</v>
      </c>
      <c r="J343" s="9">
        <f t="shared" si="23"/>
        <v>0.28470611622821551</v>
      </c>
      <c r="K343" s="7" t="s">
        <v>16</v>
      </c>
    </row>
    <row r="344" spans="1:11" x14ac:dyDescent="0.25">
      <c r="A344" s="7" t="s">
        <v>726</v>
      </c>
      <c r="B344" s="7" t="s">
        <v>673</v>
      </c>
      <c r="C344" s="7" t="s">
        <v>782</v>
      </c>
      <c r="D344" s="7" t="s">
        <v>15</v>
      </c>
      <c r="E344" s="16">
        <v>1410</v>
      </c>
      <c r="F344" s="16">
        <v>1207.25</v>
      </c>
      <c r="G344" s="8">
        <f t="shared" si="20"/>
        <v>109.75</v>
      </c>
      <c r="H344" s="8">
        <f t="shared" si="21"/>
        <v>1097.5</v>
      </c>
      <c r="I344" s="8">
        <f t="shared" si="22"/>
        <v>312.5</v>
      </c>
      <c r="J344" s="9">
        <f t="shared" si="23"/>
        <v>0.2847380410022779</v>
      </c>
      <c r="K344" s="7" t="s">
        <v>16</v>
      </c>
    </row>
    <row r="345" spans="1:11" x14ac:dyDescent="0.25">
      <c r="A345" s="7" t="s">
        <v>726</v>
      </c>
      <c r="B345" s="7" t="s">
        <v>673</v>
      </c>
      <c r="C345" s="7" t="s">
        <v>783</v>
      </c>
      <c r="D345" s="7" t="s">
        <v>15</v>
      </c>
      <c r="E345" s="16">
        <v>1410</v>
      </c>
      <c r="F345" s="16">
        <v>1141.9000000000001</v>
      </c>
      <c r="G345" s="8">
        <f t="shared" si="20"/>
        <v>103.80909090909091</v>
      </c>
      <c r="H345" s="8">
        <f t="shared" si="21"/>
        <v>1038.0909090909092</v>
      </c>
      <c r="I345" s="8">
        <f t="shared" si="22"/>
        <v>371.90909090909076</v>
      </c>
      <c r="J345" s="9">
        <f t="shared" si="23"/>
        <v>0.35826254488133791</v>
      </c>
      <c r="K345" s="7" t="s">
        <v>16</v>
      </c>
    </row>
    <row r="346" spans="1:11" x14ac:dyDescent="0.25">
      <c r="A346" s="7" t="s">
        <v>726</v>
      </c>
      <c r="B346" s="7" t="s">
        <v>673</v>
      </c>
      <c r="C346" s="7" t="s">
        <v>784</v>
      </c>
      <c r="D346" s="7" t="s">
        <v>15</v>
      </c>
      <c r="E346" s="16">
        <v>1410</v>
      </c>
      <c r="F346" s="16">
        <v>1141.9000000000001</v>
      </c>
      <c r="G346" s="8">
        <f t="shared" si="20"/>
        <v>103.80909090909091</v>
      </c>
      <c r="H346" s="8">
        <f t="shared" si="21"/>
        <v>1038.0909090909092</v>
      </c>
      <c r="I346" s="8">
        <f t="shared" si="22"/>
        <v>371.90909090909076</v>
      </c>
      <c r="J346" s="9">
        <f t="shared" si="23"/>
        <v>0.35826254488133791</v>
      </c>
      <c r="K346" s="7" t="s">
        <v>16</v>
      </c>
    </row>
    <row r="347" spans="1:11" x14ac:dyDescent="0.25">
      <c r="A347" s="7" t="s">
        <v>726</v>
      </c>
      <c r="B347" s="7" t="s">
        <v>673</v>
      </c>
      <c r="C347" s="7" t="s">
        <v>785</v>
      </c>
      <c r="D347" s="7" t="s">
        <v>15</v>
      </c>
      <c r="E347" s="16">
        <v>1410</v>
      </c>
      <c r="F347" s="16">
        <v>1152.44</v>
      </c>
      <c r="G347" s="8">
        <f t="shared" si="20"/>
        <v>104.76727272727273</v>
      </c>
      <c r="H347" s="8">
        <f t="shared" si="21"/>
        <v>1047.6727272727273</v>
      </c>
      <c r="I347" s="8">
        <f t="shared" si="22"/>
        <v>362.32727272727266</v>
      </c>
      <c r="J347" s="9">
        <f t="shared" si="23"/>
        <v>0.34584013050570955</v>
      </c>
      <c r="K347" s="7" t="s">
        <v>16</v>
      </c>
    </row>
    <row r="348" spans="1:11" x14ac:dyDescent="0.25">
      <c r="A348" s="7" t="s">
        <v>726</v>
      </c>
      <c r="B348" s="7" t="s">
        <v>673</v>
      </c>
      <c r="C348" s="7" t="s">
        <v>786</v>
      </c>
      <c r="D348" s="7" t="s">
        <v>15</v>
      </c>
      <c r="E348" s="16">
        <v>1410</v>
      </c>
      <c r="F348" s="16">
        <v>1141.9000000000001</v>
      </c>
      <c r="G348" s="8">
        <f t="shared" si="20"/>
        <v>103.80909090909091</v>
      </c>
      <c r="H348" s="8">
        <f t="shared" si="21"/>
        <v>1038.0909090909092</v>
      </c>
      <c r="I348" s="8">
        <f t="shared" si="22"/>
        <v>371.90909090909076</v>
      </c>
      <c r="J348" s="9">
        <f t="shared" si="23"/>
        <v>0.35826254488133791</v>
      </c>
      <c r="K348" s="7" t="s">
        <v>16</v>
      </c>
    </row>
    <row r="349" spans="1:11" x14ac:dyDescent="0.25">
      <c r="A349" s="7" t="s">
        <v>726</v>
      </c>
      <c r="B349" s="7" t="s">
        <v>673</v>
      </c>
      <c r="C349" s="7" t="s">
        <v>787</v>
      </c>
      <c r="D349" s="7" t="s">
        <v>15</v>
      </c>
      <c r="E349" s="16">
        <v>1410</v>
      </c>
      <c r="F349" s="16">
        <v>1152.44</v>
      </c>
      <c r="G349" s="8">
        <f t="shared" si="20"/>
        <v>104.76727272727273</v>
      </c>
      <c r="H349" s="8">
        <f t="shared" si="21"/>
        <v>1047.6727272727273</v>
      </c>
      <c r="I349" s="8">
        <f t="shared" si="22"/>
        <v>362.32727272727266</v>
      </c>
      <c r="J349" s="9">
        <f t="shared" si="23"/>
        <v>0.34584013050570955</v>
      </c>
      <c r="K349" s="7" t="s">
        <v>16</v>
      </c>
    </row>
    <row r="350" spans="1:11" x14ac:dyDescent="0.25">
      <c r="A350" s="7" t="s">
        <v>726</v>
      </c>
      <c r="B350" s="7" t="s">
        <v>673</v>
      </c>
      <c r="C350" s="7" t="s">
        <v>788</v>
      </c>
      <c r="D350" s="7" t="s">
        <v>15</v>
      </c>
      <c r="E350" s="16">
        <v>1410</v>
      </c>
      <c r="F350" s="16">
        <v>1147.6600000000001</v>
      </c>
      <c r="G350" s="8">
        <f t="shared" si="20"/>
        <v>104.33272727272728</v>
      </c>
      <c r="H350" s="8">
        <f t="shared" si="21"/>
        <v>1043.3272727272729</v>
      </c>
      <c r="I350" s="8">
        <f t="shared" si="22"/>
        <v>366.67272727272712</v>
      </c>
      <c r="J350" s="9">
        <f t="shared" si="23"/>
        <v>0.35144555007580625</v>
      </c>
      <c r="K350" s="7" t="s">
        <v>16</v>
      </c>
    </row>
    <row r="351" spans="1:11" x14ac:dyDescent="0.25">
      <c r="A351" s="7" t="s">
        <v>726</v>
      </c>
      <c r="B351" s="7" t="s">
        <v>673</v>
      </c>
      <c r="C351" s="7" t="s">
        <v>789</v>
      </c>
      <c r="D351" s="7" t="s">
        <v>15</v>
      </c>
      <c r="E351" s="16">
        <v>1410</v>
      </c>
      <c r="F351" s="16">
        <v>1207.22</v>
      </c>
      <c r="G351" s="8">
        <f t="shared" si="20"/>
        <v>109.74727272727273</v>
      </c>
      <c r="H351" s="8">
        <f t="shared" si="21"/>
        <v>1097.4727272727273</v>
      </c>
      <c r="I351" s="8">
        <f t="shared" si="22"/>
        <v>312.5272727272727</v>
      </c>
      <c r="J351" s="9">
        <f t="shared" si="23"/>
        <v>0.28476996736303239</v>
      </c>
      <c r="K351" s="7" t="s">
        <v>16</v>
      </c>
    </row>
    <row r="352" spans="1:11" x14ac:dyDescent="0.25">
      <c r="A352" s="7" t="s">
        <v>726</v>
      </c>
      <c r="B352" s="7" t="s">
        <v>673</v>
      </c>
      <c r="C352" s="7" t="s">
        <v>790</v>
      </c>
      <c r="D352" s="7" t="s">
        <v>15</v>
      </c>
      <c r="E352" s="16">
        <v>1410</v>
      </c>
      <c r="F352" s="16">
        <v>1207.25</v>
      </c>
      <c r="G352" s="8">
        <f t="shared" si="20"/>
        <v>109.75</v>
      </c>
      <c r="H352" s="8">
        <f t="shared" si="21"/>
        <v>1097.5</v>
      </c>
      <c r="I352" s="8">
        <f t="shared" si="22"/>
        <v>312.5</v>
      </c>
      <c r="J352" s="9">
        <f t="shared" si="23"/>
        <v>0.2847380410022779</v>
      </c>
      <c r="K352" s="7" t="s">
        <v>16</v>
      </c>
    </row>
    <row r="353" spans="1:11" x14ac:dyDescent="0.25">
      <c r="A353" s="7" t="s">
        <v>726</v>
      </c>
      <c r="B353" s="7" t="s">
        <v>673</v>
      </c>
      <c r="C353" s="7" t="s">
        <v>791</v>
      </c>
      <c r="D353" s="7" t="s">
        <v>15</v>
      </c>
      <c r="E353" s="16">
        <v>1410</v>
      </c>
      <c r="F353" s="16">
        <v>1147.6600000000001</v>
      </c>
      <c r="G353" s="8">
        <f t="shared" si="20"/>
        <v>104.33272727272728</v>
      </c>
      <c r="H353" s="8">
        <f t="shared" si="21"/>
        <v>1043.3272727272729</v>
      </c>
      <c r="I353" s="8">
        <f t="shared" si="22"/>
        <v>366.67272727272712</v>
      </c>
      <c r="J353" s="9">
        <f t="shared" si="23"/>
        <v>0.35144555007580625</v>
      </c>
      <c r="K353" s="7" t="s">
        <v>16</v>
      </c>
    </row>
    <row r="354" spans="1:11" x14ac:dyDescent="0.25">
      <c r="A354" s="7" t="s">
        <v>726</v>
      </c>
      <c r="B354" s="7" t="s">
        <v>673</v>
      </c>
      <c r="C354" s="7" t="s">
        <v>792</v>
      </c>
      <c r="D354" s="7" t="s">
        <v>15</v>
      </c>
      <c r="E354" s="16">
        <v>1410</v>
      </c>
      <c r="F354" s="16">
        <v>1141.9000000000001</v>
      </c>
      <c r="G354" s="8">
        <f t="shared" si="20"/>
        <v>103.80909090909091</v>
      </c>
      <c r="H354" s="8">
        <f t="shared" si="21"/>
        <v>1038.0909090909092</v>
      </c>
      <c r="I354" s="8">
        <f t="shared" si="22"/>
        <v>371.90909090909076</v>
      </c>
      <c r="J354" s="9">
        <f t="shared" si="23"/>
        <v>0.35826254488133791</v>
      </c>
      <c r="K354" s="7" t="s">
        <v>16</v>
      </c>
    </row>
    <row r="355" spans="1:11" x14ac:dyDescent="0.25">
      <c r="A355" s="7" t="s">
        <v>726</v>
      </c>
      <c r="B355" s="7" t="s">
        <v>328</v>
      </c>
      <c r="C355" s="7" t="s">
        <v>793</v>
      </c>
      <c r="D355" s="7" t="s">
        <v>330</v>
      </c>
      <c r="E355" s="16">
        <v>1370</v>
      </c>
      <c r="F355" s="16">
        <v>1164.73</v>
      </c>
      <c r="G355" s="8">
        <f t="shared" si="20"/>
        <v>105.88454545454546</v>
      </c>
      <c r="H355" s="8">
        <f t="shared" si="21"/>
        <v>1058.8454545454545</v>
      </c>
      <c r="I355" s="8">
        <f t="shared" si="22"/>
        <v>311.15454545454554</v>
      </c>
      <c r="J355" s="9">
        <f t="shared" si="23"/>
        <v>0.29386209679496544</v>
      </c>
      <c r="K355" s="7" t="s">
        <v>81</v>
      </c>
    </row>
    <row r="356" spans="1:11" x14ac:dyDescent="0.25">
      <c r="A356" s="7" t="s">
        <v>726</v>
      </c>
      <c r="B356" s="7" t="s">
        <v>328</v>
      </c>
      <c r="C356" s="7" t="s">
        <v>794</v>
      </c>
      <c r="D356" s="7" t="s">
        <v>330</v>
      </c>
      <c r="E356" s="16">
        <v>1370</v>
      </c>
      <c r="F356" s="16">
        <v>1164.73</v>
      </c>
      <c r="G356" s="8">
        <f t="shared" si="20"/>
        <v>105.88454545454546</v>
      </c>
      <c r="H356" s="8">
        <f t="shared" si="21"/>
        <v>1058.8454545454545</v>
      </c>
      <c r="I356" s="8">
        <f t="shared" si="22"/>
        <v>311.15454545454554</v>
      </c>
      <c r="J356" s="9">
        <f t="shared" si="23"/>
        <v>0.29386209679496544</v>
      </c>
      <c r="K356" s="7" t="s">
        <v>81</v>
      </c>
    </row>
    <row r="357" spans="1:11" x14ac:dyDescent="0.25">
      <c r="A357" s="7" t="s">
        <v>726</v>
      </c>
      <c r="B357" s="7" t="s">
        <v>328</v>
      </c>
      <c r="C357" s="7" t="s">
        <v>795</v>
      </c>
      <c r="D357" s="7" t="s">
        <v>330</v>
      </c>
      <c r="E357" s="16">
        <v>1370</v>
      </c>
      <c r="F357" s="16">
        <v>1164.73</v>
      </c>
      <c r="G357" s="8">
        <f t="shared" si="20"/>
        <v>105.88454545454546</v>
      </c>
      <c r="H357" s="8">
        <f t="shared" si="21"/>
        <v>1058.8454545454545</v>
      </c>
      <c r="I357" s="8">
        <f t="shared" si="22"/>
        <v>311.15454545454554</v>
      </c>
      <c r="J357" s="9">
        <f t="shared" si="23"/>
        <v>0.29386209679496544</v>
      </c>
      <c r="K357" s="7" t="s">
        <v>81</v>
      </c>
    </row>
    <row r="358" spans="1:11" x14ac:dyDescent="0.25">
      <c r="A358" s="7" t="s">
        <v>726</v>
      </c>
      <c r="B358" s="7" t="s">
        <v>328</v>
      </c>
      <c r="C358" s="7" t="s">
        <v>796</v>
      </c>
      <c r="D358" s="7" t="s">
        <v>330</v>
      </c>
      <c r="E358" s="16">
        <v>1370</v>
      </c>
      <c r="F358" s="16">
        <v>1164.73</v>
      </c>
      <c r="G358" s="8">
        <f t="shared" si="20"/>
        <v>105.88454545454546</v>
      </c>
      <c r="H358" s="8">
        <f t="shared" si="21"/>
        <v>1058.8454545454545</v>
      </c>
      <c r="I358" s="8">
        <f t="shared" si="22"/>
        <v>311.15454545454554</v>
      </c>
      <c r="J358" s="9">
        <f t="shared" si="23"/>
        <v>0.29386209679496544</v>
      </c>
      <c r="K358" s="7" t="s">
        <v>81</v>
      </c>
    </row>
    <row r="359" spans="1:11" x14ac:dyDescent="0.25">
      <c r="A359" s="7" t="s">
        <v>726</v>
      </c>
      <c r="B359" s="7" t="s">
        <v>328</v>
      </c>
      <c r="C359" s="7" t="s">
        <v>797</v>
      </c>
      <c r="D359" s="7" t="s">
        <v>330</v>
      </c>
      <c r="E359" s="16">
        <v>1370</v>
      </c>
      <c r="F359" s="16">
        <v>1164.73</v>
      </c>
      <c r="G359" s="8">
        <f t="shared" si="20"/>
        <v>105.88454545454546</v>
      </c>
      <c r="H359" s="8">
        <f t="shared" si="21"/>
        <v>1058.8454545454545</v>
      </c>
      <c r="I359" s="8">
        <f t="shared" si="22"/>
        <v>311.15454545454554</v>
      </c>
      <c r="J359" s="9">
        <f t="shared" si="23"/>
        <v>0.29386209679496544</v>
      </c>
      <c r="K359" s="7" t="s">
        <v>81</v>
      </c>
    </row>
    <row r="360" spans="1:11" x14ac:dyDescent="0.25">
      <c r="A360" s="7" t="s">
        <v>726</v>
      </c>
      <c r="B360" s="7" t="s">
        <v>328</v>
      </c>
      <c r="C360" s="7" t="s">
        <v>798</v>
      </c>
      <c r="D360" s="7" t="s">
        <v>330</v>
      </c>
      <c r="E360" s="16">
        <v>1370</v>
      </c>
      <c r="F360" s="16">
        <v>1164.73</v>
      </c>
      <c r="G360" s="8">
        <f t="shared" si="20"/>
        <v>105.88454545454546</v>
      </c>
      <c r="H360" s="8">
        <f t="shared" si="21"/>
        <v>1058.8454545454545</v>
      </c>
      <c r="I360" s="8">
        <f t="shared" si="22"/>
        <v>311.15454545454554</v>
      </c>
      <c r="J360" s="9">
        <f t="shared" si="23"/>
        <v>0.29386209679496544</v>
      </c>
      <c r="K360" s="7" t="s">
        <v>81</v>
      </c>
    </row>
    <row r="361" spans="1:11" x14ac:dyDescent="0.25">
      <c r="A361" s="7" t="s">
        <v>726</v>
      </c>
      <c r="B361" s="7" t="s">
        <v>328</v>
      </c>
      <c r="C361" s="7" t="s">
        <v>799</v>
      </c>
      <c r="D361" s="7" t="s">
        <v>330</v>
      </c>
      <c r="E361" s="16">
        <v>1370</v>
      </c>
      <c r="F361" s="16">
        <v>1164.73</v>
      </c>
      <c r="G361" s="8">
        <f t="shared" si="20"/>
        <v>105.88454545454546</v>
      </c>
      <c r="H361" s="8">
        <f t="shared" si="21"/>
        <v>1058.8454545454545</v>
      </c>
      <c r="I361" s="8">
        <f t="shared" si="22"/>
        <v>311.15454545454554</v>
      </c>
      <c r="J361" s="9">
        <f t="shared" si="23"/>
        <v>0.29386209679496544</v>
      </c>
      <c r="K361" s="7" t="s">
        <v>81</v>
      </c>
    </row>
    <row r="362" spans="1:11" x14ac:dyDescent="0.25">
      <c r="A362" s="7" t="s">
        <v>726</v>
      </c>
      <c r="B362" s="7" t="s">
        <v>328</v>
      </c>
      <c r="C362" s="7" t="s">
        <v>800</v>
      </c>
      <c r="D362" s="7" t="s">
        <v>330</v>
      </c>
      <c r="E362" s="16">
        <v>1370</v>
      </c>
      <c r="F362" s="16">
        <v>1164.73</v>
      </c>
      <c r="G362" s="8">
        <f t="shared" si="20"/>
        <v>105.88454545454546</v>
      </c>
      <c r="H362" s="8">
        <f t="shared" si="21"/>
        <v>1058.8454545454545</v>
      </c>
      <c r="I362" s="8">
        <f t="shared" si="22"/>
        <v>311.15454545454554</v>
      </c>
      <c r="J362" s="9">
        <f t="shared" si="23"/>
        <v>0.29386209679496544</v>
      </c>
      <c r="K362" s="7" t="s">
        <v>81</v>
      </c>
    </row>
    <row r="363" spans="1:11" x14ac:dyDescent="0.25">
      <c r="A363" s="7" t="s">
        <v>726</v>
      </c>
      <c r="B363" s="7" t="s">
        <v>328</v>
      </c>
      <c r="C363" s="7" t="s">
        <v>801</v>
      </c>
      <c r="D363" s="7" t="s">
        <v>330</v>
      </c>
      <c r="E363" s="16">
        <v>1370</v>
      </c>
      <c r="F363" s="16">
        <v>1164.73</v>
      </c>
      <c r="G363" s="8">
        <f t="shared" si="20"/>
        <v>105.88454545454546</v>
      </c>
      <c r="H363" s="8">
        <f t="shared" si="21"/>
        <v>1058.8454545454545</v>
      </c>
      <c r="I363" s="8">
        <f t="shared" si="22"/>
        <v>311.15454545454554</v>
      </c>
      <c r="J363" s="9">
        <f t="shared" si="23"/>
        <v>0.29386209679496544</v>
      </c>
      <c r="K363" s="7" t="s">
        <v>81</v>
      </c>
    </row>
    <row r="364" spans="1:11" x14ac:dyDescent="0.25">
      <c r="A364" s="7" t="s">
        <v>726</v>
      </c>
      <c r="B364" s="7" t="s">
        <v>328</v>
      </c>
      <c r="C364" s="7" t="s">
        <v>802</v>
      </c>
      <c r="D364" s="7" t="s">
        <v>330</v>
      </c>
      <c r="E364" s="16">
        <v>1370</v>
      </c>
      <c r="F364" s="16">
        <v>1164.73</v>
      </c>
      <c r="G364" s="8">
        <f t="shared" si="20"/>
        <v>105.88454545454546</v>
      </c>
      <c r="H364" s="8">
        <f t="shared" si="21"/>
        <v>1058.8454545454545</v>
      </c>
      <c r="I364" s="8">
        <f t="shared" si="22"/>
        <v>311.15454545454554</v>
      </c>
      <c r="J364" s="9">
        <f t="shared" si="23"/>
        <v>0.29386209679496544</v>
      </c>
      <c r="K364" s="7" t="s">
        <v>81</v>
      </c>
    </row>
    <row r="365" spans="1:11" x14ac:dyDescent="0.25">
      <c r="A365" s="7" t="s">
        <v>726</v>
      </c>
      <c r="B365" s="7" t="s">
        <v>328</v>
      </c>
      <c r="C365" s="7" t="s">
        <v>803</v>
      </c>
      <c r="D365" s="7" t="s">
        <v>330</v>
      </c>
      <c r="E365" s="16">
        <v>1370</v>
      </c>
      <c r="F365" s="16">
        <v>1164.73</v>
      </c>
      <c r="G365" s="8">
        <f t="shared" si="20"/>
        <v>105.88454545454546</v>
      </c>
      <c r="H365" s="8">
        <f t="shared" si="21"/>
        <v>1058.8454545454545</v>
      </c>
      <c r="I365" s="8">
        <f t="shared" si="22"/>
        <v>311.15454545454554</v>
      </c>
      <c r="J365" s="9">
        <f t="shared" si="23"/>
        <v>0.29386209679496544</v>
      </c>
      <c r="K365" s="7" t="s">
        <v>81</v>
      </c>
    </row>
    <row r="366" spans="1:11" x14ac:dyDescent="0.25">
      <c r="A366" s="7" t="s">
        <v>726</v>
      </c>
      <c r="B366" s="7" t="s">
        <v>328</v>
      </c>
      <c r="C366" s="7" t="s">
        <v>804</v>
      </c>
      <c r="D366" s="7" t="s">
        <v>330</v>
      </c>
      <c r="E366" s="16">
        <v>1370</v>
      </c>
      <c r="F366" s="16">
        <v>1164.73</v>
      </c>
      <c r="G366" s="8">
        <f t="shared" si="20"/>
        <v>105.88454545454546</v>
      </c>
      <c r="H366" s="8">
        <f t="shared" si="21"/>
        <v>1058.8454545454545</v>
      </c>
      <c r="I366" s="8">
        <f t="shared" si="22"/>
        <v>311.15454545454554</v>
      </c>
      <c r="J366" s="9">
        <f t="shared" si="23"/>
        <v>0.29386209679496544</v>
      </c>
      <c r="K366" s="7" t="s">
        <v>81</v>
      </c>
    </row>
    <row r="367" spans="1:11" x14ac:dyDescent="0.25">
      <c r="A367" s="7" t="s">
        <v>726</v>
      </c>
      <c r="B367" s="7" t="s">
        <v>328</v>
      </c>
      <c r="C367" s="7" t="s">
        <v>805</v>
      </c>
      <c r="D367" s="7" t="s">
        <v>330</v>
      </c>
      <c r="E367" s="16">
        <v>1370</v>
      </c>
      <c r="F367" s="16">
        <v>1164.73</v>
      </c>
      <c r="G367" s="8">
        <f t="shared" si="20"/>
        <v>105.88454545454546</v>
      </c>
      <c r="H367" s="8">
        <f t="shared" si="21"/>
        <v>1058.8454545454545</v>
      </c>
      <c r="I367" s="8">
        <f t="shared" si="22"/>
        <v>311.15454545454554</v>
      </c>
      <c r="J367" s="9">
        <f t="shared" si="23"/>
        <v>0.29386209679496544</v>
      </c>
      <c r="K367" s="7" t="s">
        <v>81</v>
      </c>
    </row>
    <row r="368" spans="1:11" x14ac:dyDescent="0.25">
      <c r="A368" s="7" t="s">
        <v>726</v>
      </c>
      <c r="B368" s="7" t="s">
        <v>328</v>
      </c>
      <c r="C368" s="7" t="s">
        <v>806</v>
      </c>
      <c r="D368" s="7" t="s">
        <v>330</v>
      </c>
      <c r="E368" s="16">
        <v>1370</v>
      </c>
      <c r="F368" s="16">
        <v>1164.73</v>
      </c>
      <c r="G368" s="8">
        <f t="shared" si="20"/>
        <v>105.88454545454546</v>
      </c>
      <c r="H368" s="8">
        <f t="shared" si="21"/>
        <v>1058.8454545454545</v>
      </c>
      <c r="I368" s="8">
        <f t="shared" si="22"/>
        <v>311.15454545454554</v>
      </c>
      <c r="J368" s="9">
        <f t="shared" si="23"/>
        <v>0.29386209679496544</v>
      </c>
      <c r="K368" s="7" t="s">
        <v>81</v>
      </c>
    </row>
    <row r="369" spans="1:11" x14ac:dyDescent="0.25">
      <c r="A369" s="7" t="s">
        <v>726</v>
      </c>
      <c r="B369" s="7" t="s">
        <v>328</v>
      </c>
      <c r="C369" s="7" t="s">
        <v>807</v>
      </c>
      <c r="D369" s="7" t="s">
        <v>330</v>
      </c>
      <c r="E369" s="16">
        <v>1370</v>
      </c>
      <c r="F369" s="16">
        <v>1164.73</v>
      </c>
      <c r="G369" s="8">
        <f t="shared" si="20"/>
        <v>105.88454545454546</v>
      </c>
      <c r="H369" s="8">
        <f t="shared" si="21"/>
        <v>1058.8454545454545</v>
      </c>
      <c r="I369" s="8">
        <f t="shared" si="22"/>
        <v>311.15454545454554</v>
      </c>
      <c r="J369" s="9">
        <f t="shared" si="23"/>
        <v>0.29386209679496544</v>
      </c>
      <c r="K369" s="7" t="s">
        <v>81</v>
      </c>
    </row>
    <row r="370" spans="1:11" x14ac:dyDescent="0.25">
      <c r="A370" s="7" t="s">
        <v>726</v>
      </c>
      <c r="B370" s="7" t="s">
        <v>328</v>
      </c>
      <c r="C370" s="7" t="s">
        <v>808</v>
      </c>
      <c r="D370" s="7" t="s">
        <v>330</v>
      </c>
      <c r="E370" s="16">
        <v>1370</v>
      </c>
      <c r="F370" s="16">
        <v>1164.73</v>
      </c>
      <c r="G370" s="8">
        <f t="shared" si="20"/>
        <v>105.88454545454546</v>
      </c>
      <c r="H370" s="8">
        <f t="shared" si="21"/>
        <v>1058.8454545454545</v>
      </c>
      <c r="I370" s="8">
        <f t="shared" si="22"/>
        <v>311.15454545454554</v>
      </c>
      <c r="J370" s="9">
        <f t="shared" si="23"/>
        <v>0.29386209679496544</v>
      </c>
      <c r="K370" s="7" t="s">
        <v>81</v>
      </c>
    </row>
    <row r="371" spans="1:11" x14ac:dyDescent="0.25">
      <c r="A371" s="7" t="s">
        <v>726</v>
      </c>
      <c r="B371" s="7" t="s">
        <v>328</v>
      </c>
      <c r="C371" s="7" t="s">
        <v>809</v>
      </c>
      <c r="D371" s="7" t="s">
        <v>330</v>
      </c>
      <c r="E371" s="16">
        <v>1370</v>
      </c>
      <c r="F371" s="16">
        <v>1164.73</v>
      </c>
      <c r="G371" s="8">
        <f t="shared" si="20"/>
        <v>105.88454545454546</v>
      </c>
      <c r="H371" s="8">
        <f t="shared" si="21"/>
        <v>1058.8454545454545</v>
      </c>
      <c r="I371" s="8">
        <f t="shared" si="22"/>
        <v>311.15454545454554</v>
      </c>
      <c r="J371" s="9">
        <f t="shared" si="23"/>
        <v>0.29386209679496544</v>
      </c>
      <c r="K371" s="7" t="s">
        <v>81</v>
      </c>
    </row>
    <row r="372" spans="1:11" x14ac:dyDescent="0.25">
      <c r="A372" s="7" t="s">
        <v>726</v>
      </c>
      <c r="B372" s="7" t="s">
        <v>328</v>
      </c>
      <c r="C372" s="7" t="s">
        <v>810</v>
      </c>
      <c r="D372" s="7" t="s">
        <v>330</v>
      </c>
      <c r="E372" s="16">
        <v>1370</v>
      </c>
      <c r="F372" s="16">
        <v>1164.73</v>
      </c>
      <c r="G372" s="8">
        <f t="shared" si="20"/>
        <v>105.88454545454546</v>
      </c>
      <c r="H372" s="8">
        <f t="shared" si="21"/>
        <v>1058.8454545454545</v>
      </c>
      <c r="I372" s="8">
        <f t="shared" si="22"/>
        <v>311.15454545454554</v>
      </c>
      <c r="J372" s="9">
        <f t="shared" si="23"/>
        <v>0.29386209679496544</v>
      </c>
      <c r="K372" s="7" t="s">
        <v>81</v>
      </c>
    </row>
    <row r="373" spans="1:11" x14ac:dyDescent="0.25">
      <c r="A373" s="7" t="s">
        <v>726</v>
      </c>
      <c r="B373" s="7" t="s">
        <v>328</v>
      </c>
      <c r="C373" s="7" t="s">
        <v>811</v>
      </c>
      <c r="D373" s="7" t="s">
        <v>330</v>
      </c>
      <c r="E373" s="16">
        <v>1370</v>
      </c>
      <c r="F373" s="16">
        <v>1164.73</v>
      </c>
      <c r="G373" s="8">
        <f t="shared" si="20"/>
        <v>105.88454545454546</v>
      </c>
      <c r="H373" s="8">
        <f t="shared" si="21"/>
        <v>1058.8454545454545</v>
      </c>
      <c r="I373" s="8">
        <f t="shared" si="22"/>
        <v>311.15454545454554</v>
      </c>
      <c r="J373" s="9">
        <f t="shared" si="23"/>
        <v>0.29386209679496544</v>
      </c>
      <c r="K373" s="7" t="s">
        <v>81</v>
      </c>
    </row>
    <row r="374" spans="1:11" x14ac:dyDescent="0.25">
      <c r="A374" s="7" t="s">
        <v>726</v>
      </c>
      <c r="B374" s="7" t="s">
        <v>328</v>
      </c>
      <c r="C374" s="7" t="s">
        <v>812</v>
      </c>
      <c r="D374" s="7" t="s">
        <v>330</v>
      </c>
      <c r="E374" s="16">
        <v>1370</v>
      </c>
      <c r="F374" s="16">
        <v>1164.73</v>
      </c>
      <c r="G374" s="8">
        <f t="shared" si="20"/>
        <v>105.88454545454546</v>
      </c>
      <c r="H374" s="8">
        <f t="shared" si="21"/>
        <v>1058.8454545454545</v>
      </c>
      <c r="I374" s="8">
        <f t="shared" si="22"/>
        <v>311.15454545454554</v>
      </c>
      <c r="J374" s="9">
        <f t="shared" si="23"/>
        <v>0.29386209679496544</v>
      </c>
      <c r="K374" s="7" t="s">
        <v>81</v>
      </c>
    </row>
    <row r="375" spans="1:11" x14ac:dyDescent="0.25">
      <c r="A375" s="7" t="s">
        <v>726</v>
      </c>
      <c r="B375" s="7" t="s">
        <v>328</v>
      </c>
      <c r="C375" s="7" t="s">
        <v>813</v>
      </c>
      <c r="D375" s="7" t="s">
        <v>330</v>
      </c>
      <c r="E375" s="16">
        <v>1360</v>
      </c>
      <c r="F375" s="16">
        <v>1164.73</v>
      </c>
      <c r="G375" s="8">
        <f t="shared" si="20"/>
        <v>105.88454545454546</v>
      </c>
      <c r="H375" s="8">
        <f t="shared" si="21"/>
        <v>1058.8454545454545</v>
      </c>
      <c r="I375" s="8">
        <f t="shared" si="22"/>
        <v>301.15454545454554</v>
      </c>
      <c r="J375" s="9">
        <f t="shared" si="23"/>
        <v>0.28441784791325037</v>
      </c>
      <c r="K375" s="7" t="s">
        <v>81</v>
      </c>
    </row>
    <row r="376" spans="1:11" x14ac:dyDescent="0.25">
      <c r="A376" s="7" t="s">
        <v>726</v>
      </c>
      <c r="B376" s="7" t="s">
        <v>328</v>
      </c>
      <c r="C376" s="7" t="s">
        <v>814</v>
      </c>
      <c r="D376" s="7" t="s">
        <v>330</v>
      </c>
      <c r="E376" s="16">
        <v>1360</v>
      </c>
      <c r="F376" s="16">
        <v>1164.73</v>
      </c>
      <c r="G376" s="8">
        <f t="shared" si="20"/>
        <v>105.88454545454546</v>
      </c>
      <c r="H376" s="8">
        <f t="shared" si="21"/>
        <v>1058.8454545454545</v>
      </c>
      <c r="I376" s="8">
        <f t="shared" si="22"/>
        <v>301.15454545454554</v>
      </c>
      <c r="J376" s="9">
        <f t="shared" si="23"/>
        <v>0.28441784791325037</v>
      </c>
      <c r="K376" s="7" t="s">
        <v>81</v>
      </c>
    </row>
    <row r="377" spans="1:11" x14ac:dyDescent="0.25">
      <c r="A377" s="7" t="s">
        <v>726</v>
      </c>
      <c r="B377" s="7" t="s">
        <v>328</v>
      </c>
      <c r="C377" s="7" t="s">
        <v>815</v>
      </c>
      <c r="D377" s="7" t="s">
        <v>330</v>
      </c>
      <c r="E377" s="16">
        <v>1360</v>
      </c>
      <c r="F377" s="16">
        <v>1164.73</v>
      </c>
      <c r="G377" s="8">
        <f t="shared" si="20"/>
        <v>105.88454545454546</v>
      </c>
      <c r="H377" s="8">
        <f t="shared" si="21"/>
        <v>1058.8454545454545</v>
      </c>
      <c r="I377" s="8">
        <f t="shared" si="22"/>
        <v>301.15454545454554</v>
      </c>
      <c r="J377" s="9">
        <f t="shared" si="23"/>
        <v>0.28441784791325037</v>
      </c>
      <c r="K377" s="7" t="s">
        <v>81</v>
      </c>
    </row>
    <row r="378" spans="1:11" x14ac:dyDescent="0.25">
      <c r="A378" s="7" t="s">
        <v>726</v>
      </c>
      <c r="B378" s="7" t="s">
        <v>328</v>
      </c>
      <c r="C378" s="7" t="s">
        <v>816</v>
      </c>
      <c r="D378" s="7" t="s">
        <v>330</v>
      </c>
      <c r="E378" s="16">
        <v>1360</v>
      </c>
      <c r="F378" s="16">
        <v>1164.73</v>
      </c>
      <c r="G378" s="8">
        <f t="shared" si="20"/>
        <v>105.88454545454546</v>
      </c>
      <c r="H378" s="8">
        <f t="shared" si="21"/>
        <v>1058.8454545454545</v>
      </c>
      <c r="I378" s="8">
        <f t="shared" si="22"/>
        <v>301.15454545454554</v>
      </c>
      <c r="J378" s="9">
        <f t="shared" si="23"/>
        <v>0.28441784791325037</v>
      </c>
      <c r="K378" s="7" t="s">
        <v>81</v>
      </c>
    </row>
    <row r="379" spans="1:11" x14ac:dyDescent="0.25">
      <c r="A379" s="7" t="s">
        <v>726</v>
      </c>
      <c r="B379" s="7" t="s">
        <v>328</v>
      </c>
      <c r="C379" s="7" t="s">
        <v>817</v>
      </c>
      <c r="D379" s="7" t="s">
        <v>330</v>
      </c>
      <c r="E379" s="16">
        <v>1360</v>
      </c>
      <c r="F379" s="16">
        <v>1164.73</v>
      </c>
      <c r="G379" s="8">
        <f t="shared" si="20"/>
        <v>105.88454545454546</v>
      </c>
      <c r="H379" s="8">
        <f t="shared" si="21"/>
        <v>1058.8454545454545</v>
      </c>
      <c r="I379" s="8">
        <f t="shared" si="22"/>
        <v>301.15454545454554</v>
      </c>
      <c r="J379" s="9">
        <f t="shared" si="23"/>
        <v>0.28441784791325037</v>
      </c>
      <c r="K379" s="7" t="s">
        <v>81</v>
      </c>
    </row>
    <row r="380" spans="1:11" x14ac:dyDescent="0.25">
      <c r="A380" s="7" t="s">
        <v>726</v>
      </c>
      <c r="B380" s="7" t="s">
        <v>328</v>
      </c>
      <c r="C380" s="7" t="s">
        <v>818</v>
      </c>
      <c r="D380" s="7" t="s">
        <v>330</v>
      </c>
      <c r="E380" s="16">
        <v>1360</v>
      </c>
      <c r="F380" s="16">
        <v>1164.73</v>
      </c>
      <c r="G380" s="8">
        <f t="shared" si="20"/>
        <v>105.88454545454546</v>
      </c>
      <c r="H380" s="8">
        <f t="shared" si="21"/>
        <v>1058.8454545454545</v>
      </c>
      <c r="I380" s="8">
        <f t="shared" si="22"/>
        <v>301.15454545454554</v>
      </c>
      <c r="J380" s="9">
        <f t="shared" si="23"/>
        <v>0.28441784791325037</v>
      </c>
      <c r="K380" s="7" t="s">
        <v>81</v>
      </c>
    </row>
    <row r="381" spans="1:11" x14ac:dyDescent="0.25">
      <c r="A381" s="7" t="s">
        <v>726</v>
      </c>
      <c r="B381" s="7" t="s">
        <v>328</v>
      </c>
      <c r="C381" s="7" t="s">
        <v>819</v>
      </c>
      <c r="D381" s="7" t="s">
        <v>330</v>
      </c>
      <c r="E381" s="16">
        <v>1360</v>
      </c>
      <c r="F381" s="16">
        <v>1164.73</v>
      </c>
      <c r="G381" s="8">
        <f t="shared" si="20"/>
        <v>105.88454545454546</v>
      </c>
      <c r="H381" s="8">
        <f t="shared" si="21"/>
        <v>1058.8454545454545</v>
      </c>
      <c r="I381" s="8">
        <f t="shared" si="22"/>
        <v>301.15454545454554</v>
      </c>
      <c r="J381" s="9">
        <f t="shared" si="23"/>
        <v>0.28441784791325037</v>
      </c>
      <c r="K381" s="7" t="s">
        <v>81</v>
      </c>
    </row>
    <row r="382" spans="1:11" x14ac:dyDescent="0.25">
      <c r="A382" s="7" t="s">
        <v>726</v>
      </c>
      <c r="B382" s="7" t="s">
        <v>328</v>
      </c>
      <c r="C382" s="7" t="s">
        <v>820</v>
      </c>
      <c r="D382" s="7" t="s">
        <v>330</v>
      </c>
      <c r="E382" s="16">
        <v>1360</v>
      </c>
      <c r="F382" s="16">
        <v>1164.73</v>
      </c>
      <c r="G382" s="8">
        <f t="shared" si="20"/>
        <v>105.88454545454546</v>
      </c>
      <c r="H382" s="8">
        <f t="shared" si="21"/>
        <v>1058.8454545454545</v>
      </c>
      <c r="I382" s="8">
        <f t="shared" si="22"/>
        <v>301.15454545454554</v>
      </c>
      <c r="J382" s="9">
        <f t="shared" si="23"/>
        <v>0.28441784791325037</v>
      </c>
      <c r="K382" s="7" t="s">
        <v>81</v>
      </c>
    </row>
    <row r="383" spans="1:11" x14ac:dyDescent="0.25">
      <c r="A383" s="7" t="s">
        <v>726</v>
      </c>
      <c r="B383" s="7" t="s">
        <v>328</v>
      </c>
      <c r="C383" s="7" t="s">
        <v>821</v>
      </c>
      <c r="D383" s="7" t="s">
        <v>330</v>
      </c>
      <c r="E383" s="16">
        <v>1360</v>
      </c>
      <c r="F383" s="16">
        <v>1164.73</v>
      </c>
      <c r="G383" s="8">
        <f t="shared" si="20"/>
        <v>105.88454545454546</v>
      </c>
      <c r="H383" s="8">
        <f t="shared" si="21"/>
        <v>1058.8454545454545</v>
      </c>
      <c r="I383" s="8">
        <f t="shared" si="22"/>
        <v>301.15454545454554</v>
      </c>
      <c r="J383" s="9">
        <f t="shared" si="23"/>
        <v>0.28441784791325037</v>
      </c>
      <c r="K383" s="7" t="s">
        <v>81</v>
      </c>
    </row>
    <row r="384" spans="1:11" x14ac:dyDescent="0.25">
      <c r="A384" s="7" t="s">
        <v>726</v>
      </c>
      <c r="B384" s="7" t="s">
        <v>328</v>
      </c>
      <c r="C384" s="7" t="s">
        <v>822</v>
      </c>
      <c r="D384" s="7" t="s">
        <v>330</v>
      </c>
      <c r="E384" s="16">
        <v>1360</v>
      </c>
      <c r="F384" s="16">
        <v>1164.73</v>
      </c>
      <c r="G384" s="8">
        <f t="shared" si="20"/>
        <v>105.88454545454546</v>
      </c>
      <c r="H384" s="8">
        <f t="shared" si="21"/>
        <v>1058.8454545454545</v>
      </c>
      <c r="I384" s="8">
        <f t="shared" si="22"/>
        <v>301.15454545454554</v>
      </c>
      <c r="J384" s="9">
        <f t="shared" si="23"/>
        <v>0.28441784791325037</v>
      </c>
      <c r="K384" s="7" t="s">
        <v>81</v>
      </c>
    </row>
    <row r="385" spans="1:11" x14ac:dyDescent="0.25">
      <c r="A385" s="7" t="s">
        <v>726</v>
      </c>
      <c r="B385" s="7" t="s">
        <v>328</v>
      </c>
      <c r="C385" s="7" t="s">
        <v>823</v>
      </c>
      <c r="D385" s="7" t="s">
        <v>330</v>
      </c>
      <c r="E385" s="16">
        <v>1360</v>
      </c>
      <c r="F385" s="16">
        <v>1164.73</v>
      </c>
      <c r="G385" s="8">
        <f t="shared" si="20"/>
        <v>105.88454545454546</v>
      </c>
      <c r="H385" s="8">
        <f t="shared" si="21"/>
        <v>1058.8454545454545</v>
      </c>
      <c r="I385" s="8">
        <f t="shared" si="22"/>
        <v>301.15454545454554</v>
      </c>
      <c r="J385" s="9">
        <f t="shared" si="23"/>
        <v>0.28441784791325037</v>
      </c>
      <c r="K385" s="7" t="s">
        <v>81</v>
      </c>
    </row>
    <row r="386" spans="1:11" x14ac:dyDescent="0.25">
      <c r="A386" s="7" t="s">
        <v>726</v>
      </c>
      <c r="B386" s="7" t="s">
        <v>328</v>
      </c>
      <c r="C386" s="7" t="s">
        <v>824</v>
      </c>
      <c r="D386" s="7" t="s">
        <v>330</v>
      </c>
      <c r="E386" s="16">
        <v>1360</v>
      </c>
      <c r="F386" s="16">
        <v>1164.73</v>
      </c>
      <c r="G386" s="8">
        <f t="shared" si="20"/>
        <v>105.88454545454546</v>
      </c>
      <c r="H386" s="8">
        <f t="shared" si="21"/>
        <v>1058.8454545454545</v>
      </c>
      <c r="I386" s="8">
        <f t="shared" si="22"/>
        <v>301.15454545454554</v>
      </c>
      <c r="J386" s="9">
        <f t="shared" si="23"/>
        <v>0.28441784791325037</v>
      </c>
      <c r="K386" s="7" t="s">
        <v>81</v>
      </c>
    </row>
    <row r="387" spans="1:11" x14ac:dyDescent="0.25">
      <c r="A387" s="7" t="s">
        <v>726</v>
      </c>
      <c r="B387" s="7" t="s">
        <v>328</v>
      </c>
      <c r="C387" s="7" t="s">
        <v>825</v>
      </c>
      <c r="D387" s="7" t="s">
        <v>330</v>
      </c>
      <c r="E387" s="16">
        <v>1360</v>
      </c>
      <c r="F387" s="16">
        <v>1164.73</v>
      </c>
      <c r="G387" s="8">
        <f t="shared" ref="G387:G450" si="24">F387/11</f>
        <v>105.88454545454546</v>
      </c>
      <c r="H387" s="8">
        <f t="shared" ref="H387:H450" si="25">F387-G387</f>
        <v>1058.8454545454545</v>
      </c>
      <c r="I387" s="8">
        <f t="shared" ref="I387:I450" si="26">E387-H387</f>
        <v>301.15454545454554</v>
      </c>
      <c r="J387" s="9">
        <f t="shared" ref="J387:J450" si="27">(E387-H387)/H387</f>
        <v>0.28441784791325037</v>
      </c>
      <c r="K387" s="7" t="s">
        <v>81</v>
      </c>
    </row>
    <row r="388" spans="1:11" x14ac:dyDescent="0.25">
      <c r="A388" s="7" t="s">
        <v>726</v>
      </c>
      <c r="B388" s="7" t="s">
        <v>328</v>
      </c>
      <c r="C388" s="7" t="s">
        <v>826</v>
      </c>
      <c r="D388" s="7" t="s">
        <v>330</v>
      </c>
      <c r="E388" s="16">
        <v>1360</v>
      </c>
      <c r="F388" s="16">
        <v>1164.73</v>
      </c>
      <c r="G388" s="8">
        <f t="shared" si="24"/>
        <v>105.88454545454546</v>
      </c>
      <c r="H388" s="8">
        <f t="shared" si="25"/>
        <v>1058.8454545454545</v>
      </c>
      <c r="I388" s="8">
        <f t="shared" si="26"/>
        <v>301.15454545454554</v>
      </c>
      <c r="J388" s="9">
        <f t="shared" si="27"/>
        <v>0.28441784791325037</v>
      </c>
      <c r="K388" s="7" t="s">
        <v>81</v>
      </c>
    </row>
    <row r="389" spans="1:11" x14ac:dyDescent="0.25">
      <c r="A389" s="7" t="s">
        <v>726</v>
      </c>
      <c r="B389" s="7" t="s">
        <v>328</v>
      </c>
      <c r="C389" s="7" t="s">
        <v>827</v>
      </c>
      <c r="D389" s="7" t="s">
        <v>330</v>
      </c>
      <c r="E389" s="16">
        <v>1360</v>
      </c>
      <c r="F389" s="16">
        <v>1164.73</v>
      </c>
      <c r="G389" s="8">
        <f t="shared" si="24"/>
        <v>105.88454545454546</v>
      </c>
      <c r="H389" s="8">
        <f t="shared" si="25"/>
        <v>1058.8454545454545</v>
      </c>
      <c r="I389" s="8">
        <f t="shared" si="26"/>
        <v>301.15454545454554</v>
      </c>
      <c r="J389" s="9">
        <f t="shared" si="27"/>
        <v>0.28441784791325037</v>
      </c>
      <c r="K389" s="7" t="s">
        <v>81</v>
      </c>
    </row>
    <row r="390" spans="1:11" x14ac:dyDescent="0.25">
      <c r="A390" s="7" t="s">
        <v>726</v>
      </c>
      <c r="B390" s="7" t="s">
        <v>328</v>
      </c>
      <c r="C390" s="7" t="s">
        <v>828</v>
      </c>
      <c r="D390" s="7" t="s">
        <v>330</v>
      </c>
      <c r="E390" s="16">
        <v>1360</v>
      </c>
      <c r="F390" s="16">
        <v>1164.73</v>
      </c>
      <c r="G390" s="8">
        <f t="shared" si="24"/>
        <v>105.88454545454546</v>
      </c>
      <c r="H390" s="8">
        <f t="shared" si="25"/>
        <v>1058.8454545454545</v>
      </c>
      <c r="I390" s="8">
        <f t="shared" si="26"/>
        <v>301.15454545454554</v>
      </c>
      <c r="J390" s="9">
        <f t="shared" si="27"/>
        <v>0.28441784791325037</v>
      </c>
      <c r="K390" s="7" t="s">
        <v>81</v>
      </c>
    </row>
    <row r="391" spans="1:11" x14ac:dyDescent="0.25">
      <c r="A391" s="7" t="s">
        <v>726</v>
      </c>
      <c r="B391" s="7" t="s">
        <v>328</v>
      </c>
      <c r="C391" s="7" t="s">
        <v>829</v>
      </c>
      <c r="D391" s="7" t="s">
        <v>330</v>
      </c>
      <c r="E391" s="16">
        <v>1360</v>
      </c>
      <c r="F391" s="16">
        <v>1164.73</v>
      </c>
      <c r="G391" s="8">
        <f t="shared" si="24"/>
        <v>105.88454545454546</v>
      </c>
      <c r="H391" s="8">
        <f t="shared" si="25"/>
        <v>1058.8454545454545</v>
      </c>
      <c r="I391" s="8">
        <f t="shared" si="26"/>
        <v>301.15454545454554</v>
      </c>
      <c r="J391" s="9">
        <f t="shared" si="27"/>
        <v>0.28441784791325037</v>
      </c>
      <c r="K391" s="7" t="s">
        <v>81</v>
      </c>
    </row>
    <row r="392" spans="1:11" x14ac:dyDescent="0.25">
      <c r="A392" s="7" t="s">
        <v>726</v>
      </c>
      <c r="B392" s="7" t="s">
        <v>328</v>
      </c>
      <c r="C392" s="7" t="s">
        <v>830</v>
      </c>
      <c r="D392" s="7" t="s">
        <v>330</v>
      </c>
      <c r="E392" s="16">
        <v>1360</v>
      </c>
      <c r="F392" s="16">
        <v>1164.73</v>
      </c>
      <c r="G392" s="8">
        <f t="shared" si="24"/>
        <v>105.88454545454546</v>
      </c>
      <c r="H392" s="8">
        <f t="shared" si="25"/>
        <v>1058.8454545454545</v>
      </c>
      <c r="I392" s="8">
        <f t="shared" si="26"/>
        <v>301.15454545454554</v>
      </c>
      <c r="J392" s="9">
        <f t="shared" si="27"/>
        <v>0.28441784791325037</v>
      </c>
      <c r="K392" s="7" t="s">
        <v>81</v>
      </c>
    </row>
    <row r="393" spans="1:11" x14ac:dyDescent="0.25">
      <c r="A393" s="7" t="s">
        <v>726</v>
      </c>
      <c r="B393" s="7" t="s">
        <v>328</v>
      </c>
      <c r="C393" s="7" t="s">
        <v>831</v>
      </c>
      <c r="D393" s="7" t="s">
        <v>330</v>
      </c>
      <c r="E393" s="16">
        <v>1360</v>
      </c>
      <c r="F393" s="16">
        <v>1164.73</v>
      </c>
      <c r="G393" s="8">
        <f t="shared" si="24"/>
        <v>105.88454545454546</v>
      </c>
      <c r="H393" s="8">
        <f t="shared" si="25"/>
        <v>1058.8454545454545</v>
      </c>
      <c r="I393" s="8">
        <f t="shared" si="26"/>
        <v>301.15454545454554</v>
      </c>
      <c r="J393" s="9">
        <f t="shared" si="27"/>
        <v>0.28441784791325037</v>
      </c>
      <c r="K393" s="7" t="s">
        <v>81</v>
      </c>
    </row>
    <row r="394" spans="1:11" x14ac:dyDescent="0.25">
      <c r="A394" s="7" t="s">
        <v>726</v>
      </c>
      <c r="B394" s="7" t="s">
        <v>328</v>
      </c>
      <c r="C394" s="7" t="s">
        <v>832</v>
      </c>
      <c r="D394" s="7" t="s">
        <v>330</v>
      </c>
      <c r="E394" s="16">
        <v>1360</v>
      </c>
      <c r="F394" s="16">
        <v>1164.73</v>
      </c>
      <c r="G394" s="8">
        <f t="shared" si="24"/>
        <v>105.88454545454546</v>
      </c>
      <c r="H394" s="8">
        <f t="shared" si="25"/>
        <v>1058.8454545454545</v>
      </c>
      <c r="I394" s="8">
        <f t="shared" si="26"/>
        <v>301.15454545454554</v>
      </c>
      <c r="J394" s="9">
        <f t="shared" si="27"/>
        <v>0.28441784791325037</v>
      </c>
      <c r="K394" s="7" t="s">
        <v>81</v>
      </c>
    </row>
    <row r="395" spans="1:11" x14ac:dyDescent="0.25">
      <c r="A395" s="7" t="s">
        <v>726</v>
      </c>
      <c r="B395" s="7" t="s">
        <v>328</v>
      </c>
      <c r="C395" s="7" t="s">
        <v>833</v>
      </c>
      <c r="D395" s="7" t="s">
        <v>330</v>
      </c>
      <c r="E395" s="16">
        <v>1360</v>
      </c>
      <c r="F395" s="16">
        <v>1164.73</v>
      </c>
      <c r="G395" s="8">
        <f t="shared" si="24"/>
        <v>105.88454545454546</v>
      </c>
      <c r="H395" s="8">
        <f t="shared" si="25"/>
        <v>1058.8454545454545</v>
      </c>
      <c r="I395" s="8">
        <f t="shared" si="26"/>
        <v>301.15454545454554</v>
      </c>
      <c r="J395" s="9">
        <f t="shared" si="27"/>
        <v>0.28441784791325037</v>
      </c>
      <c r="K395" s="7" t="s">
        <v>81</v>
      </c>
    </row>
    <row r="396" spans="1:11" x14ac:dyDescent="0.25">
      <c r="A396" s="7" t="s">
        <v>726</v>
      </c>
      <c r="B396" s="7" t="s">
        <v>328</v>
      </c>
      <c r="C396" s="7" t="s">
        <v>834</v>
      </c>
      <c r="D396" s="7" t="s">
        <v>330</v>
      </c>
      <c r="E396" s="16">
        <v>1360</v>
      </c>
      <c r="F396" s="16">
        <v>1164.73</v>
      </c>
      <c r="G396" s="8">
        <f t="shared" si="24"/>
        <v>105.88454545454546</v>
      </c>
      <c r="H396" s="8">
        <f t="shared" si="25"/>
        <v>1058.8454545454545</v>
      </c>
      <c r="I396" s="8">
        <f t="shared" si="26"/>
        <v>301.15454545454554</v>
      </c>
      <c r="J396" s="9">
        <f t="shared" si="27"/>
        <v>0.28441784791325037</v>
      </c>
      <c r="K396" s="7" t="s">
        <v>81</v>
      </c>
    </row>
    <row r="397" spans="1:11" x14ac:dyDescent="0.25">
      <c r="A397" s="7" t="s">
        <v>726</v>
      </c>
      <c r="B397" s="7" t="s">
        <v>328</v>
      </c>
      <c r="C397" s="7" t="s">
        <v>835</v>
      </c>
      <c r="D397" s="7" t="s">
        <v>330</v>
      </c>
      <c r="E397" s="16">
        <v>1360</v>
      </c>
      <c r="F397" s="16">
        <v>1164.73</v>
      </c>
      <c r="G397" s="8">
        <f t="shared" si="24"/>
        <v>105.88454545454546</v>
      </c>
      <c r="H397" s="8">
        <f t="shared" si="25"/>
        <v>1058.8454545454545</v>
      </c>
      <c r="I397" s="8">
        <f t="shared" si="26"/>
        <v>301.15454545454554</v>
      </c>
      <c r="J397" s="9">
        <f t="shared" si="27"/>
        <v>0.28441784791325037</v>
      </c>
      <c r="K397" s="7" t="s">
        <v>81</v>
      </c>
    </row>
    <row r="398" spans="1:11" x14ac:dyDescent="0.25">
      <c r="A398" s="7" t="s">
        <v>726</v>
      </c>
      <c r="B398" s="7" t="s">
        <v>328</v>
      </c>
      <c r="C398" s="7" t="s">
        <v>836</v>
      </c>
      <c r="D398" s="7" t="s">
        <v>330</v>
      </c>
      <c r="E398" s="16">
        <v>1360</v>
      </c>
      <c r="F398" s="16">
        <v>1164.73</v>
      </c>
      <c r="G398" s="8">
        <f t="shared" si="24"/>
        <v>105.88454545454546</v>
      </c>
      <c r="H398" s="8">
        <f t="shared" si="25"/>
        <v>1058.8454545454545</v>
      </c>
      <c r="I398" s="8">
        <f t="shared" si="26"/>
        <v>301.15454545454554</v>
      </c>
      <c r="J398" s="9">
        <f t="shared" si="27"/>
        <v>0.28441784791325037</v>
      </c>
      <c r="K398" s="7" t="s">
        <v>81</v>
      </c>
    </row>
    <row r="399" spans="1:11" x14ac:dyDescent="0.25">
      <c r="A399" s="7" t="s">
        <v>726</v>
      </c>
      <c r="B399" s="7" t="s">
        <v>328</v>
      </c>
      <c r="C399" s="7" t="s">
        <v>837</v>
      </c>
      <c r="D399" s="7" t="s">
        <v>330</v>
      </c>
      <c r="E399" s="16">
        <v>1360</v>
      </c>
      <c r="F399" s="16">
        <v>1164.73</v>
      </c>
      <c r="G399" s="8">
        <f t="shared" si="24"/>
        <v>105.88454545454546</v>
      </c>
      <c r="H399" s="8">
        <f t="shared" si="25"/>
        <v>1058.8454545454545</v>
      </c>
      <c r="I399" s="8">
        <f t="shared" si="26"/>
        <v>301.15454545454554</v>
      </c>
      <c r="J399" s="9">
        <f t="shared" si="27"/>
        <v>0.28441784791325037</v>
      </c>
      <c r="K399" s="7" t="s">
        <v>81</v>
      </c>
    </row>
    <row r="400" spans="1:11" x14ac:dyDescent="0.25">
      <c r="A400" s="7" t="s">
        <v>726</v>
      </c>
      <c r="B400" s="7" t="s">
        <v>328</v>
      </c>
      <c r="C400" s="7" t="s">
        <v>838</v>
      </c>
      <c r="D400" s="7" t="s">
        <v>330</v>
      </c>
      <c r="E400" s="16">
        <v>1360</v>
      </c>
      <c r="F400" s="16">
        <v>1164.73</v>
      </c>
      <c r="G400" s="8">
        <f t="shared" si="24"/>
        <v>105.88454545454546</v>
      </c>
      <c r="H400" s="8">
        <f t="shared" si="25"/>
        <v>1058.8454545454545</v>
      </c>
      <c r="I400" s="8">
        <f t="shared" si="26"/>
        <v>301.15454545454554</v>
      </c>
      <c r="J400" s="9">
        <f t="shared" si="27"/>
        <v>0.28441784791325037</v>
      </c>
      <c r="K400" s="7" t="s">
        <v>81</v>
      </c>
    </row>
    <row r="401" spans="1:11" x14ac:dyDescent="0.25">
      <c r="A401" s="7" t="s">
        <v>726</v>
      </c>
      <c r="B401" s="7" t="s">
        <v>328</v>
      </c>
      <c r="C401" s="7" t="s">
        <v>839</v>
      </c>
      <c r="D401" s="7" t="s">
        <v>330</v>
      </c>
      <c r="E401" s="16">
        <v>1360</v>
      </c>
      <c r="F401" s="16">
        <v>1164.73</v>
      </c>
      <c r="G401" s="8">
        <f t="shared" si="24"/>
        <v>105.88454545454546</v>
      </c>
      <c r="H401" s="8">
        <f t="shared" si="25"/>
        <v>1058.8454545454545</v>
      </c>
      <c r="I401" s="8">
        <f t="shared" si="26"/>
        <v>301.15454545454554</v>
      </c>
      <c r="J401" s="9">
        <f t="shared" si="27"/>
        <v>0.28441784791325037</v>
      </c>
      <c r="K401" s="7" t="s">
        <v>81</v>
      </c>
    </row>
    <row r="402" spans="1:11" x14ac:dyDescent="0.25">
      <c r="A402" s="7" t="s">
        <v>726</v>
      </c>
      <c r="B402" s="7" t="s">
        <v>328</v>
      </c>
      <c r="C402" s="7" t="s">
        <v>840</v>
      </c>
      <c r="D402" s="7" t="s">
        <v>330</v>
      </c>
      <c r="E402" s="16">
        <v>1360</v>
      </c>
      <c r="F402" s="16">
        <v>1164.73</v>
      </c>
      <c r="G402" s="8">
        <f t="shared" si="24"/>
        <v>105.88454545454546</v>
      </c>
      <c r="H402" s="8">
        <f t="shared" si="25"/>
        <v>1058.8454545454545</v>
      </c>
      <c r="I402" s="8">
        <f t="shared" si="26"/>
        <v>301.15454545454554</v>
      </c>
      <c r="J402" s="9">
        <f t="shared" si="27"/>
        <v>0.28441784791325037</v>
      </c>
      <c r="K402" s="7" t="s">
        <v>81</v>
      </c>
    </row>
    <row r="403" spans="1:11" x14ac:dyDescent="0.25">
      <c r="A403" s="7" t="s">
        <v>726</v>
      </c>
      <c r="B403" s="7" t="s">
        <v>328</v>
      </c>
      <c r="C403" s="7" t="s">
        <v>841</v>
      </c>
      <c r="D403" s="7" t="s">
        <v>330</v>
      </c>
      <c r="E403" s="16">
        <v>1360</v>
      </c>
      <c r="F403" s="16">
        <v>1164.73</v>
      </c>
      <c r="G403" s="8">
        <f t="shared" si="24"/>
        <v>105.88454545454546</v>
      </c>
      <c r="H403" s="8">
        <f t="shared" si="25"/>
        <v>1058.8454545454545</v>
      </c>
      <c r="I403" s="8">
        <f t="shared" si="26"/>
        <v>301.15454545454554</v>
      </c>
      <c r="J403" s="9">
        <f t="shared" si="27"/>
        <v>0.28441784791325037</v>
      </c>
      <c r="K403" s="7" t="s">
        <v>81</v>
      </c>
    </row>
    <row r="404" spans="1:11" x14ac:dyDescent="0.25">
      <c r="A404" s="7" t="s">
        <v>726</v>
      </c>
      <c r="B404" s="7" t="s">
        <v>328</v>
      </c>
      <c r="C404" s="7" t="s">
        <v>842</v>
      </c>
      <c r="D404" s="7" t="s">
        <v>330</v>
      </c>
      <c r="E404" s="16">
        <v>1360</v>
      </c>
      <c r="F404" s="16">
        <v>1164.73</v>
      </c>
      <c r="G404" s="8">
        <f t="shared" si="24"/>
        <v>105.88454545454546</v>
      </c>
      <c r="H404" s="8">
        <f t="shared" si="25"/>
        <v>1058.8454545454545</v>
      </c>
      <c r="I404" s="8">
        <f t="shared" si="26"/>
        <v>301.15454545454554</v>
      </c>
      <c r="J404" s="9">
        <f t="shared" si="27"/>
        <v>0.28441784791325037</v>
      </c>
      <c r="K404" s="7" t="s">
        <v>81</v>
      </c>
    </row>
    <row r="405" spans="1:11" x14ac:dyDescent="0.25">
      <c r="A405" s="7" t="s">
        <v>726</v>
      </c>
      <c r="B405" s="7" t="s">
        <v>328</v>
      </c>
      <c r="C405" s="7" t="s">
        <v>843</v>
      </c>
      <c r="D405" s="7" t="s">
        <v>330</v>
      </c>
      <c r="E405" s="16">
        <v>1370</v>
      </c>
      <c r="F405" s="16">
        <v>1164.73</v>
      </c>
      <c r="G405" s="8">
        <f t="shared" si="24"/>
        <v>105.88454545454546</v>
      </c>
      <c r="H405" s="8">
        <f t="shared" si="25"/>
        <v>1058.8454545454545</v>
      </c>
      <c r="I405" s="8">
        <f t="shared" si="26"/>
        <v>311.15454545454554</v>
      </c>
      <c r="J405" s="9">
        <f t="shared" si="27"/>
        <v>0.29386209679496544</v>
      </c>
      <c r="K405" s="7" t="s">
        <v>81</v>
      </c>
    </row>
    <row r="406" spans="1:11" x14ac:dyDescent="0.25">
      <c r="A406" s="7" t="s">
        <v>726</v>
      </c>
      <c r="B406" s="7" t="s">
        <v>328</v>
      </c>
      <c r="C406" s="7" t="s">
        <v>844</v>
      </c>
      <c r="D406" s="7" t="s">
        <v>330</v>
      </c>
      <c r="E406" s="16">
        <v>1370</v>
      </c>
      <c r="F406" s="16">
        <v>1164.73</v>
      </c>
      <c r="G406" s="8">
        <f t="shared" si="24"/>
        <v>105.88454545454546</v>
      </c>
      <c r="H406" s="8">
        <f t="shared" si="25"/>
        <v>1058.8454545454545</v>
      </c>
      <c r="I406" s="8">
        <f t="shared" si="26"/>
        <v>311.15454545454554</v>
      </c>
      <c r="J406" s="9">
        <f t="shared" si="27"/>
        <v>0.29386209679496544</v>
      </c>
      <c r="K406" s="7" t="s">
        <v>81</v>
      </c>
    </row>
    <row r="407" spans="1:11" x14ac:dyDescent="0.25">
      <c r="A407" s="7" t="s">
        <v>726</v>
      </c>
      <c r="B407" s="7" t="s">
        <v>328</v>
      </c>
      <c r="C407" s="7" t="s">
        <v>845</v>
      </c>
      <c r="D407" s="7" t="s">
        <v>330</v>
      </c>
      <c r="E407" s="16">
        <v>1370</v>
      </c>
      <c r="F407" s="16">
        <v>1164.73</v>
      </c>
      <c r="G407" s="8">
        <f t="shared" si="24"/>
        <v>105.88454545454546</v>
      </c>
      <c r="H407" s="8">
        <f t="shared" si="25"/>
        <v>1058.8454545454545</v>
      </c>
      <c r="I407" s="8">
        <f t="shared" si="26"/>
        <v>311.15454545454554</v>
      </c>
      <c r="J407" s="9">
        <f t="shared" si="27"/>
        <v>0.29386209679496544</v>
      </c>
      <c r="K407" s="7" t="s">
        <v>81</v>
      </c>
    </row>
    <row r="408" spans="1:11" x14ac:dyDescent="0.25">
      <c r="A408" s="7" t="s">
        <v>726</v>
      </c>
      <c r="B408" s="7" t="s">
        <v>328</v>
      </c>
      <c r="C408" s="7" t="s">
        <v>846</v>
      </c>
      <c r="D408" s="7" t="s">
        <v>330</v>
      </c>
      <c r="E408" s="16">
        <v>1370</v>
      </c>
      <c r="F408" s="16">
        <v>1164.73</v>
      </c>
      <c r="G408" s="8">
        <f t="shared" si="24"/>
        <v>105.88454545454546</v>
      </c>
      <c r="H408" s="8">
        <f t="shared" si="25"/>
        <v>1058.8454545454545</v>
      </c>
      <c r="I408" s="8">
        <f t="shared" si="26"/>
        <v>311.15454545454554</v>
      </c>
      <c r="J408" s="9">
        <f t="shared" si="27"/>
        <v>0.29386209679496544</v>
      </c>
      <c r="K408" s="7" t="s">
        <v>81</v>
      </c>
    </row>
    <row r="409" spans="1:11" x14ac:dyDescent="0.25">
      <c r="A409" s="7" t="s">
        <v>726</v>
      </c>
      <c r="B409" s="7" t="s">
        <v>328</v>
      </c>
      <c r="C409" s="7" t="s">
        <v>847</v>
      </c>
      <c r="D409" s="7" t="s">
        <v>330</v>
      </c>
      <c r="E409" s="16">
        <v>1370</v>
      </c>
      <c r="F409" s="16">
        <v>1164.73</v>
      </c>
      <c r="G409" s="8">
        <f t="shared" si="24"/>
        <v>105.88454545454546</v>
      </c>
      <c r="H409" s="8">
        <f t="shared" si="25"/>
        <v>1058.8454545454545</v>
      </c>
      <c r="I409" s="8">
        <f t="shared" si="26"/>
        <v>311.15454545454554</v>
      </c>
      <c r="J409" s="9">
        <f t="shared" si="27"/>
        <v>0.29386209679496544</v>
      </c>
      <c r="K409" s="7" t="s">
        <v>81</v>
      </c>
    </row>
    <row r="410" spans="1:11" x14ac:dyDescent="0.25">
      <c r="A410" s="7" t="s">
        <v>726</v>
      </c>
      <c r="B410" s="7" t="s">
        <v>328</v>
      </c>
      <c r="C410" s="7" t="s">
        <v>848</v>
      </c>
      <c r="D410" s="7" t="s">
        <v>330</v>
      </c>
      <c r="E410" s="16">
        <v>1370</v>
      </c>
      <c r="F410" s="16">
        <v>1164.73</v>
      </c>
      <c r="G410" s="8">
        <f t="shared" si="24"/>
        <v>105.88454545454546</v>
      </c>
      <c r="H410" s="8">
        <f t="shared" si="25"/>
        <v>1058.8454545454545</v>
      </c>
      <c r="I410" s="8">
        <f t="shared" si="26"/>
        <v>311.15454545454554</v>
      </c>
      <c r="J410" s="9">
        <f t="shared" si="27"/>
        <v>0.29386209679496544</v>
      </c>
      <c r="K410" s="7" t="s">
        <v>81</v>
      </c>
    </row>
    <row r="411" spans="1:11" x14ac:dyDescent="0.25">
      <c r="A411" s="7" t="s">
        <v>726</v>
      </c>
      <c r="B411" s="7" t="s">
        <v>328</v>
      </c>
      <c r="C411" s="7" t="s">
        <v>849</v>
      </c>
      <c r="D411" s="7" t="s">
        <v>330</v>
      </c>
      <c r="E411" s="16">
        <v>1370</v>
      </c>
      <c r="F411" s="16">
        <v>1164.73</v>
      </c>
      <c r="G411" s="8">
        <f t="shared" si="24"/>
        <v>105.88454545454546</v>
      </c>
      <c r="H411" s="8">
        <f t="shared" si="25"/>
        <v>1058.8454545454545</v>
      </c>
      <c r="I411" s="8">
        <f t="shared" si="26"/>
        <v>311.15454545454554</v>
      </c>
      <c r="J411" s="9">
        <f t="shared" si="27"/>
        <v>0.29386209679496544</v>
      </c>
      <c r="K411" s="7" t="s">
        <v>81</v>
      </c>
    </row>
    <row r="412" spans="1:11" x14ac:dyDescent="0.25">
      <c r="A412" s="13" t="s">
        <v>857</v>
      </c>
      <c r="B412" s="13" t="s">
        <v>858</v>
      </c>
      <c r="C412" s="13" t="s">
        <v>859</v>
      </c>
      <c r="D412" s="13" t="s">
        <v>15</v>
      </c>
      <c r="E412" s="17">
        <v>450</v>
      </c>
      <c r="F412" s="17">
        <v>629</v>
      </c>
      <c r="G412" s="14">
        <f t="shared" si="24"/>
        <v>57.18181818181818</v>
      </c>
      <c r="H412" s="14">
        <f t="shared" si="25"/>
        <v>571.81818181818187</v>
      </c>
      <c r="I412" s="14">
        <f t="shared" si="26"/>
        <v>-121.81818181818187</v>
      </c>
      <c r="J412" s="15">
        <f t="shared" si="27"/>
        <v>-0.21303656597774251</v>
      </c>
      <c r="K412" s="13" t="s">
        <v>81</v>
      </c>
    </row>
    <row r="413" spans="1:11" x14ac:dyDescent="0.25">
      <c r="A413" s="13" t="s">
        <v>857</v>
      </c>
      <c r="B413" s="13" t="s">
        <v>858</v>
      </c>
      <c r="C413" s="13" t="s">
        <v>860</v>
      </c>
      <c r="D413" s="13" t="s">
        <v>15</v>
      </c>
      <c r="E413" s="17">
        <v>450</v>
      </c>
      <c r="F413" s="17">
        <v>629</v>
      </c>
      <c r="G413" s="14">
        <f t="shared" si="24"/>
        <v>57.18181818181818</v>
      </c>
      <c r="H413" s="14">
        <f t="shared" si="25"/>
        <v>571.81818181818187</v>
      </c>
      <c r="I413" s="14">
        <f t="shared" si="26"/>
        <v>-121.81818181818187</v>
      </c>
      <c r="J413" s="15">
        <f t="shared" si="27"/>
        <v>-0.21303656597774251</v>
      </c>
      <c r="K413" s="13" t="s">
        <v>81</v>
      </c>
    </row>
    <row r="414" spans="1:11" x14ac:dyDescent="0.25">
      <c r="A414" s="13" t="s">
        <v>857</v>
      </c>
      <c r="B414" s="13" t="s">
        <v>858</v>
      </c>
      <c r="C414" s="13" t="s">
        <v>861</v>
      </c>
      <c r="D414" s="13" t="s">
        <v>15</v>
      </c>
      <c r="E414" s="17">
        <v>450</v>
      </c>
      <c r="F414" s="17">
        <v>629</v>
      </c>
      <c r="G414" s="14">
        <f t="shared" si="24"/>
        <v>57.18181818181818</v>
      </c>
      <c r="H414" s="14">
        <f t="shared" si="25"/>
        <v>571.81818181818187</v>
      </c>
      <c r="I414" s="14">
        <f t="shared" si="26"/>
        <v>-121.81818181818187</v>
      </c>
      <c r="J414" s="15">
        <f t="shared" si="27"/>
        <v>-0.21303656597774251</v>
      </c>
      <c r="K414" s="13" t="s">
        <v>81</v>
      </c>
    </row>
    <row r="415" spans="1:11" x14ac:dyDescent="0.25">
      <c r="A415" s="7" t="s">
        <v>857</v>
      </c>
      <c r="B415" s="7" t="s">
        <v>925</v>
      </c>
      <c r="C415" s="7" t="s">
        <v>926</v>
      </c>
      <c r="D415" s="7" t="s">
        <v>15</v>
      </c>
      <c r="E415" s="16">
        <v>250</v>
      </c>
      <c r="F415" s="16">
        <v>252.63</v>
      </c>
      <c r="G415" s="8">
        <f t="shared" si="24"/>
        <v>22.966363636363635</v>
      </c>
      <c r="H415" s="8">
        <f t="shared" si="25"/>
        <v>229.66363636363636</v>
      </c>
      <c r="I415" s="8">
        <f t="shared" si="26"/>
        <v>20.336363636363643</v>
      </c>
      <c r="J415" s="9">
        <f t="shared" si="27"/>
        <v>8.8548470094604786E-2</v>
      </c>
      <c r="K415" s="7" t="s">
        <v>16</v>
      </c>
    </row>
    <row r="416" spans="1:11" x14ac:dyDescent="0.25">
      <c r="A416" s="7" t="s">
        <v>857</v>
      </c>
      <c r="B416" s="7" t="s">
        <v>925</v>
      </c>
      <c r="C416" s="7" t="s">
        <v>927</v>
      </c>
      <c r="D416" s="7" t="s">
        <v>15</v>
      </c>
      <c r="E416" s="16">
        <v>250</v>
      </c>
      <c r="F416" s="16">
        <v>252.63</v>
      </c>
      <c r="G416" s="8">
        <f t="shared" si="24"/>
        <v>22.966363636363635</v>
      </c>
      <c r="H416" s="8">
        <f t="shared" si="25"/>
        <v>229.66363636363636</v>
      </c>
      <c r="I416" s="8">
        <f t="shared" si="26"/>
        <v>20.336363636363643</v>
      </c>
      <c r="J416" s="9">
        <f t="shared" si="27"/>
        <v>8.8548470094604786E-2</v>
      </c>
      <c r="K416" s="7" t="s">
        <v>16</v>
      </c>
    </row>
    <row r="417" spans="1:11" x14ac:dyDescent="0.25">
      <c r="A417" s="7" t="s">
        <v>857</v>
      </c>
      <c r="B417" s="7" t="s">
        <v>931</v>
      </c>
      <c r="C417" s="7" t="s">
        <v>932</v>
      </c>
      <c r="D417" s="7" t="s">
        <v>15</v>
      </c>
      <c r="E417" s="16">
        <v>1650</v>
      </c>
      <c r="F417" s="16">
        <v>1658</v>
      </c>
      <c r="G417" s="8">
        <f t="shared" si="24"/>
        <v>150.72727272727272</v>
      </c>
      <c r="H417" s="8">
        <f t="shared" si="25"/>
        <v>1507.2727272727273</v>
      </c>
      <c r="I417" s="8">
        <f t="shared" si="26"/>
        <v>142.72727272727275</v>
      </c>
      <c r="J417" s="9">
        <f t="shared" si="27"/>
        <v>9.4692400482509057E-2</v>
      </c>
      <c r="K417" s="7" t="s">
        <v>16</v>
      </c>
    </row>
    <row r="418" spans="1:11" x14ac:dyDescent="0.25">
      <c r="A418" s="7" t="s">
        <v>857</v>
      </c>
      <c r="B418" s="7" t="s">
        <v>931</v>
      </c>
      <c r="C418" s="7" t="s">
        <v>933</v>
      </c>
      <c r="D418" s="7" t="s">
        <v>15</v>
      </c>
      <c r="E418" s="16">
        <v>1650</v>
      </c>
      <c r="F418" s="16">
        <v>1658</v>
      </c>
      <c r="G418" s="8">
        <f t="shared" si="24"/>
        <v>150.72727272727272</v>
      </c>
      <c r="H418" s="8">
        <f t="shared" si="25"/>
        <v>1507.2727272727273</v>
      </c>
      <c r="I418" s="8">
        <f t="shared" si="26"/>
        <v>142.72727272727275</v>
      </c>
      <c r="J418" s="9">
        <f t="shared" si="27"/>
        <v>9.4692400482509057E-2</v>
      </c>
      <c r="K418" s="7" t="s">
        <v>16</v>
      </c>
    </row>
    <row r="419" spans="1:11" x14ac:dyDescent="0.25">
      <c r="A419" s="7" t="s">
        <v>857</v>
      </c>
      <c r="B419" s="7" t="s">
        <v>328</v>
      </c>
      <c r="C419" s="7" t="s">
        <v>940</v>
      </c>
      <c r="D419" s="7" t="s">
        <v>330</v>
      </c>
      <c r="E419" s="16">
        <v>1365</v>
      </c>
      <c r="F419" s="16">
        <v>1164.73</v>
      </c>
      <c r="G419" s="8">
        <f t="shared" si="24"/>
        <v>105.88454545454546</v>
      </c>
      <c r="H419" s="8">
        <f t="shared" si="25"/>
        <v>1058.8454545454545</v>
      </c>
      <c r="I419" s="8">
        <f t="shared" si="26"/>
        <v>306.15454545454554</v>
      </c>
      <c r="J419" s="9">
        <f t="shared" si="27"/>
        <v>0.28913997235410793</v>
      </c>
      <c r="K419" s="7" t="s">
        <v>81</v>
      </c>
    </row>
    <row r="420" spans="1:11" x14ac:dyDescent="0.25">
      <c r="A420" s="7" t="s">
        <v>857</v>
      </c>
      <c r="B420" s="7" t="s">
        <v>328</v>
      </c>
      <c r="C420" s="7" t="s">
        <v>941</v>
      </c>
      <c r="D420" s="7" t="s">
        <v>330</v>
      </c>
      <c r="E420" s="16">
        <v>1365</v>
      </c>
      <c r="F420" s="16">
        <v>1164.73</v>
      </c>
      <c r="G420" s="8">
        <f t="shared" si="24"/>
        <v>105.88454545454546</v>
      </c>
      <c r="H420" s="8">
        <f t="shared" si="25"/>
        <v>1058.8454545454545</v>
      </c>
      <c r="I420" s="8">
        <f t="shared" si="26"/>
        <v>306.15454545454554</v>
      </c>
      <c r="J420" s="9">
        <f t="shared" si="27"/>
        <v>0.28913997235410793</v>
      </c>
      <c r="K420" s="7" t="s">
        <v>81</v>
      </c>
    </row>
    <row r="421" spans="1:11" x14ac:dyDescent="0.25">
      <c r="A421" s="7" t="s">
        <v>857</v>
      </c>
      <c r="B421" s="7" t="s">
        <v>328</v>
      </c>
      <c r="C421" s="7" t="s">
        <v>942</v>
      </c>
      <c r="D421" s="7" t="s">
        <v>330</v>
      </c>
      <c r="E421" s="16">
        <v>1365</v>
      </c>
      <c r="F421" s="16">
        <v>1164.73</v>
      </c>
      <c r="G421" s="8">
        <f t="shared" si="24"/>
        <v>105.88454545454546</v>
      </c>
      <c r="H421" s="8">
        <f t="shared" si="25"/>
        <v>1058.8454545454545</v>
      </c>
      <c r="I421" s="8">
        <f t="shared" si="26"/>
        <v>306.15454545454554</v>
      </c>
      <c r="J421" s="9">
        <f t="shared" si="27"/>
        <v>0.28913997235410793</v>
      </c>
      <c r="K421" s="7" t="s">
        <v>81</v>
      </c>
    </row>
    <row r="422" spans="1:11" x14ac:dyDescent="0.25">
      <c r="A422" s="7" t="s">
        <v>857</v>
      </c>
      <c r="B422" s="7" t="s">
        <v>328</v>
      </c>
      <c r="C422" s="7" t="s">
        <v>943</v>
      </c>
      <c r="D422" s="7" t="s">
        <v>330</v>
      </c>
      <c r="E422" s="16">
        <v>1365</v>
      </c>
      <c r="F422" s="16">
        <v>1164.73</v>
      </c>
      <c r="G422" s="8">
        <f t="shared" si="24"/>
        <v>105.88454545454546</v>
      </c>
      <c r="H422" s="8">
        <f t="shared" si="25"/>
        <v>1058.8454545454545</v>
      </c>
      <c r="I422" s="8">
        <f t="shared" si="26"/>
        <v>306.15454545454554</v>
      </c>
      <c r="J422" s="9">
        <f t="shared" si="27"/>
        <v>0.28913997235410793</v>
      </c>
      <c r="K422" s="7" t="s">
        <v>81</v>
      </c>
    </row>
    <row r="423" spans="1:11" x14ac:dyDescent="0.25">
      <c r="A423" s="7" t="s">
        <v>857</v>
      </c>
      <c r="B423" s="7" t="s">
        <v>328</v>
      </c>
      <c r="C423" s="7" t="s">
        <v>944</v>
      </c>
      <c r="D423" s="7" t="s">
        <v>330</v>
      </c>
      <c r="E423" s="16">
        <v>1365</v>
      </c>
      <c r="F423" s="16">
        <v>1164.73</v>
      </c>
      <c r="G423" s="8">
        <f t="shared" si="24"/>
        <v>105.88454545454546</v>
      </c>
      <c r="H423" s="8">
        <f t="shared" si="25"/>
        <v>1058.8454545454545</v>
      </c>
      <c r="I423" s="8">
        <f t="shared" si="26"/>
        <v>306.15454545454554</v>
      </c>
      <c r="J423" s="9">
        <f t="shared" si="27"/>
        <v>0.28913997235410793</v>
      </c>
      <c r="K423" s="7" t="s">
        <v>81</v>
      </c>
    </row>
    <row r="424" spans="1:11" x14ac:dyDescent="0.25">
      <c r="A424" s="7" t="s">
        <v>857</v>
      </c>
      <c r="B424" s="7" t="s">
        <v>328</v>
      </c>
      <c r="C424" s="7" t="s">
        <v>945</v>
      </c>
      <c r="D424" s="7" t="s">
        <v>330</v>
      </c>
      <c r="E424" s="16">
        <v>1365</v>
      </c>
      <c r="F424" s="16">
        <v>1164.73</v>
      </c>
      <c r="G424" s="8">
        <f t="shared" si="24"/>
        <v>105.88454545454546</v>
      </c>
      <c r="H424" s="8">
        <f t="shared" si="25"/>
        <v>1058.8454545454545</v>
      </c>
      <c r="I424" s="8">
        <f t="shared" si="26"/>
        <v>306.15454545454554</v>
      </c>
      <c r="J424" s="9">
        <f t="shared" si="27"/>
        <v>0.28913997235410793</v>
      </c>
      <c r="K424" s="7" t="s">
        <v>81</v>
      </c>
    </row>
    <row r="425" spans="1:11" x14ac:dyDescent="0.25">
      <c r="A425" s="7" t="s">
        <v>857</v>
      </c>
      <c r="B425" s="7" t="s">
        <v>328</v>
      </c>
      <c r="C425" s="7" t="s">
        <v>946</v>
      </c>
      <c r="D425" s="7" t="s">
        <v>330</v>
      </c>
      <c r="E425" s="16">
        <v>1365</v>
      </c>
      <c r="F425" s="16">
        <v>1164.73</v>
      </c>
      <c r="G425" s="8">
        <f t="shared" si="24"/>
        <v>105.88454545454546</v>
      </c>
      <c r="H425" s="8">
        <f t="shared" si="25"/>
        <v>1058.8454545454545</v>
      </c>
      <c r="I425" s="8">
        <f t="shared" si="26"/>
        <v>306.15454545454554</v>
      </c>
      <c r="J425" s="9">
        <f t="shared" si="27"/>
        <v>0.28913997235410793</v>
      </c>
      <c r="K425" s="7" t="s">
        <v>81</v>
      </c>
    </row>
    <row r="426" spans="1:11" x14ac:dyDescent="0.25">
      <c r="A426" s="7" t="s">
        <v>857</v>
      </c>
      <c r="B426" s="7" t="s">
        <v>328</v>
      </c>
      <c r="C426" s="7" t="s">
        <v>947</v>
      </c>
      <c r="D426" s="7" t="s">
        <v>330</v>
      </c>
      <c r="E426" s="16">
        <v>1365</v>
      </c>
      <c r="F426" s="16">
        <v>1164.73</v>
      </c>
      <c r="G426" s="8">
        <f t="shared" si="24"/>
        <v>105.88454545454546</v>
      </c>
      <c r="H426" s="8">
        <f t="shared" si="25"/>
        <v>1058.8454545454545</v>
      </c>
      <c r="I426" s="8">
        <f t="shared" si="26"/>
        <v>306.15454545454554</v>
      </c>
      <c r="J426" s="9">
        <f t="shared" si="27"/>
        <v>0.28913997235410793</v>
      </c>
      <c r="K426" s="7" t="s">
        <v>81</v>
      </c>
    </row>
    <row r="427" spans="1:11" x14ac:dyDescent="0.25">
      <c r="A427" s="7" t="s">
        <v>857</v>
      </c>
      <c r="B427" s="7" t="s">
        <v>328</v>
      </c>
      <c r="C427" s="7" t="s">
        <v>948</v>
      </c>
      <c r="D427" s="7" t="s">
        <v>330</v>
      </c>
      <c r="E427" s="16">
        <v>1365</v>
      </c>
      <c r="F427" s="16">
        <v>1164.73</v>
      </c>
      <c r="G427" s="8">
        <f t="shared" si="24"/>
        <v>105.88454545454546</v>
      </c>
      <c r="H427" s="8">
        <f t="shared" si="25"/>
        <v>1058.8454545454545</v>
      </c>
      <c r="I427" s="8">
        <f t="shared" si="26"/>
        <v>306.15454545454554</v>
      </c>
      <c r="J427" s="9">
        <f t="shared" si="27"/>
        <v>0.28913997235410793</v>
      </c>
      <c r="K427" s="7" t="s">
        <v>81</v>
      </c>
    </row>
    <row r="428" spans="1:11" x14ac:dyDescent="0.25">
      <c r="A428" s="7" t="s">
        <v>857</v>
      </c>
      <c r="B428" s="7" t="s">
        <v>328</v>
      </c>
      <c r="C428" s="7" t="s">
        <v>949</v>
      </c>
      <c r="D428" s="7" t="s">
        <v>330</v>
      </c>
      <c r="E428" s="16">
        <v>1360</v>
      </c>
      <c r="F428" s="16">
        <v>1164.73</v>
      </c>
      <c r="G428" s="8">
        <f t="shared" si="24"/>
        <v>105.88454545454546</v>
      </c>
      <c r="H428" s="8">
        <f t="shared" si="25"/>
        <v>1058.8454545454545</v>
      </c>
      <c r="I428" s="8">
        <f t="shared" si="26"/>
        <v>301.15454545454554</v>
      </c>
      <c r="J428" s="9">
        <f t="shared" si="27"/>
        <v>0.28441784791325037</v>
      </c>
      <c r="K428" s="7" t="s">
        <v>81</v>
      </c>
    </row>
    <row r="429" spans="1:11" x14ac:dyDescent="0.25">
      <c r="A429" s="7" t="s">
        <v>857</v>
      </c>
      <c r="B429" s="7" t="s">
        <v>328</v>
      </c>
      <c r="C429" s="7" t="s">
        <v>950</v>
      </c>
      <c r="D429" s="7" t="s">
        <v>330</v>
      </c>
      <c r="E429" s="16">
        <v>1360</v>
      </c>
      <c r="F429" s="16">
        <v>1164.73</v>
      </c>
      <c r="G429" s="8">
        <f t="shared" si="24"/>
        <v>105.88454545454546</v>
      </c>
      <c r="H429" s="8">
        <f t="shared" si="25"/>
        <v>1058.8454545454545</v>
      </c>
      <c r="I429" s="8">
        <f t="shared" si="26"/>
        <v>301.15454545454554</v>
      </c>
      <c r="J429" s="9">
        <f t="shared" si="27"/>
        <v>0.28441784791325037</v>
      </c>
      <c r="K429" s="7" t="s">
        <v>81</v>
      </c>
    </row>
    <row r="430" spans="1:11" x14ac:dyDescent="0.25">
      <c r="A430" s="7" t="s">
        <v>857</v>
      </c>
      <c r="B430" s="7" t="s">
        <v>328</v>
      </c>
      <c r="C430" s="7" t="s">
        <v>951</v>
      </c>
      <c r="D430" s="7" t="s">
        <v>330</v>
      </c>
      <c r="E430" s="16">
        <v>1360</v>
      </c>
      <c r="F430" s="16">
        <v>1164.73</v>
      </c>
      <c r="G430" s="8">
        <f t="shared" si="24"/>
        <v>105.88454545454546</v>
      </c>
      <c r="H430" s="8">
        <f t="shared" si="25"/>
        <v>1058.8454545454545</v>
      </c>
      <c r="I430" s="8">
        <f t="shared" si="26"/>
        <v>301.15454545454554</v>
      </c>
      <c r="J430" s="9">
        <f t="shared" si="27"/>
        <v>0.28441784791325037</v>
      </c>
      <c r="K430" s="7" t="s">
        <v>81</v>
      </c>
    </row>
    <row r="431" spans="1:11" x14ac:dyDescent="0.25">
      <c r="A431" s="7" t="s">
        <v>857</v>
      </c>
      <c r="B431" s="7" t="s">
        <v>328</v>
      </c>
      <c r="C431" s="7" t="s">
        <v>952</v>
      </c>
      <c r="D431" s="7" t="s">
        <v>330</v>
      </c>
      <c r="E431" s="16">
        <v>1360</v>
      </c>
      <c r="F431" s="16">
        <v>1164.73</v>
      </c>
      <c r="G431" s="8">
        <f t="shared" si="24"/>
        <v>105.88454545454546</v>
      </c>
      <c r="H431" s="8">
        <f t="shared" si="25"/>
        <v>1058.8454545454545</v>
      </c>
      <c r="I431" s="8">
        <f t="shared" si="26"/>
        <v>301.15454545454554</v>
      </c>
      <c r="J431" s="9">
        <f t="shared" si="27"/>
        <v>0.28441784791325037</v>
      </c>
      <c r="K431" s="7" t="s">
        <v>81</v>
      </c>
    </row>
    <row r="432" spans="1:11" x14ac:dyDescent="0.25">
      <c r="A432" s="7" t="s">
        <v>857</v>
      </c>
      <c r="B432" s="7" t="s">
        <v>328</v>
      </c>
      <c r="C432" s="7" t="s">
        <v>953</v>
      </c>
      <c r="D432" s="7" t="s">
        <v>330</v>
      </c>
      <c r="E432" s="16">
        <v>1360</v>
      </c>
      <c r="F432" s="16">
        <v>1164.73</v>
      </c>
      <c r="G432" s="8">
        <f t="shared" si="24"/>
        <v>105.88454545454546</v>
      </c>
      <c r="H432" s="8">
        <f t="shared" si="25"/>
        <v>1058.8454545454545</v>
      </c>
      <c r="I432" s="8">
        <f t="shared" si="26"/>
        <v>301.15454545454554</v>
      </c>
      <c r="J432" s="9">
        <f t="shared" si="27"/>
        <v>0.28441784791325037</v>
      </c>
      <c r="K432" s="7" t="s">
        <v>81</v>
      </c>
    </row>
    <row r="433" spans="1:11" x14ac:dyDescent="0.25">
      <c r="A433" s="7" t="s">
        <v>857</v>
      </c>
      <c r="B433" s="7" t="s">
        <v>328</v>
      </c>
      <c r="C433" s="7" t="s">
        <v>954</v>
      </c>
      <c r="D433" s="7" t="s">
        <v>330</v>
      </c>
      <c r="E433" s="16">
        <v>1360</v>
      </c>
      <c r="F433" s="16">
        <v>1164.73</v>
      </c>
      <c r="G433" s="8">
        <f t="shared" si="24"/>
        <v>105.88454545454546</v>
      </c>
      <c r="H433" s="8">
        <f t="shared" si="25"/>
        <v>1058.8454545454545</v>
      </c>
      <c r="I433" s="8">
        <f t="shared" si="26"/>
        <v>301.15454545454554</v>
      </c>
      <c r="J433" s="9">
        <f t="shared" si="27"/>
        <v>0.28441784791325037</v>
      </c>
      <c r="K433" s="7" t="s">
        <v>81</v>
      </c>
    </row>
    <row r="434" spans="1:11" x14ac:dyDescent="0.25">
      <c r="A434" s="7" t="s">
        <v>857</v>
      </c>
      <c r="B434" s="7" t="s">
        <v>328</v>
      </c>
      <c r="C434" s="7" t="s">
        <v>955</v>
      </c>
      <c r="D434" s="7" t="s">
        <v>330</v>
      </c>
      <c r="E434" s="16">
        <v>1360</v>
      </c>
      <c r="F434" s="16">
        <v>1164.73</v>
      </c>
      <c r="G434" s="8">
        <f t="shared" si="24"/>
        <v>105.88454545454546</v>
      </c>
      <c r="H434" s="8">
        <f t="shared" si="25"/>
        <v>1058.8454545454545</v>
      </c>
      <c r="I434" s="8">
        <f t="shared" si="26"/>
        <v>301.15454545454554</v>
      </c>
      <c r="J434" s="9">
        <f t="shared" si="27"/>
        <v>0.28441784791325037</v>
      </c>
      <c r="K434" s="7" t="s">
        <v>81</v>
      </c>
    </row>
    <row r="435" spans="1:11" x14ac:dyDescent="0.25">
      <c r="A435" s="7" t="s">
        <v>857</v>
      </c>
      <c r="B435" s="7" t="s">
        <v>328</v>
      </c>
      <c r="C435" s="7" t="s">
        <v>956</v>
      </c>
      <c r="D435" s="7" t="s">
        <v>330</v>
      </c>
      <c r="E435" s="16">
        <v>1360</v>
      </c>
      <c r="F435" s="16">
        <v>1164.73</v>
      </c>
      <c r="G435" s="8">
        <f t="shared" si="24"/>
        <v>105.88454545454546</v>
      </c>
      <c r="H435" s="8">
        <f t="shared" si="25"/>
        <v>1058.8454545454545</v>
      </c>
      <c r="I435" s="8">
        <f t="shared" si="26"/>
        <v>301.15454545454554</v>
      </c>
      <c r="J435" s="9">
        <f t="shared" si="27"/>
        <v>0.28441784791325037</v>
      </c>
      <c r="K435" s="7" t="s">
        <v>81</v>
      </c>
    </row>
    <row r="436" spans="1:11" x14ac:dyDescent="0.25">
      <c r="A436" s="7" t="s">
        <v>857</v>
      </c>
      <c r="B436" s="7" t="s">
        <v>328</v>
      </c>
      <c r="C436" s="7" t="s">
        <v>957</v>
      </c>
      <c r="D436" s="7" t="s">
        <v>330</v>
      </c>
      <c r="E436" s="16">
        <v>1360</v>
      </c>
      <c r="F436" s="16">
        <v>1164.73</v>
      </c>
      <c r="G436" s="8">
        <f t="shared" si="24"/>
        <v>105.88454545454546</v>
      </c>
      <c r="H436" s="8">
        <f t="shared" si="25"/>
        <v>1058.8454545454545</v>
      </c>
      <c r="I436" s="8">
        <f t="shared" si="26"/>
        <v>301.15454545454554</v>
      </c>
      <c r="J436" s="9">
        <f t="shared" si="27"/>
        <v>0.28441784791325037</v>
      </c>
      <c r="K436" s="7" t="s">
        <v>81</v>
      </c>
    </row>
    <row r="437" spans="1:11" x14ac:dyDescent="0.25">
      <c r="A437" s="7" t="s">
        <v>857</v>
      </c>
      <c r="B437" s="7" t="s">
        <v>328</v>
      </c>
      <c r="C437" s="7" t="s">
        <v>958</v>
      </c>
      <c r="D437" s="7" t="s">
        <v>330</v>
      </c>
      <c r="E437" s="16">
        <v>1360</v>
      </c>
      <c r="F437" s="16">
        <v>1164.73</v>
      </c>
      <c r="G437" s="8">
        <f t="shared" si="24"/>
        <v>105.88454545454546</v>
      </c>
      <c r="H437" s="8">
        <f t="shared" si="25"/>
        <v>1058.8454545454545</v>
      </c>
      <c r="I437" s="8">
        <f t="shared" si="26"/>
        <v>301.15454545454554</v>
      </c>
      <c r="J437" s="9">
        <f t="shared" si="27"/>
        <v>0.28441784791325037</v>
      </c>
      <c r="K437" s="7" t="s">
        <v>81</v>
      </c>
    </row>
    <row r="438" spans="1:11" x14ac:dyDescent="0.25">
      <c r="A438" s="7" t="s">
        <v>857</v>
      </c>
      <c r="B438" s="7" t="s">
        <v>328</v>
      </c>
      <c r="C438" s="7" t="s">
        <v>959</v>
      </c>
      <c r="D438" s="7" t="s">
        <v>330</v>
      </c>
      <c r="E438" s="16">
        <v>1360</v>
      </c>
      <c r="F438" s="16">
        <v>1164.73</v>
      </c>
      <c r="G438" s="8">
        <f t="shared" si="24"/>
        <v>105.88454545454546</v>
      </c>
      <c r="H438" s="8">
        <f t="shared" si="25"/>
        <v>1058.8454545454545</v>
      </c>
      <c r="I438" s="8">
        <f t="shared" si="26"/>
        <v>301.15454545454554</v>
      </c>
      <c r="J438" s="9">
        <f t="shared" si="27"/>
        <v>0.28441784791325037</v>
      </c>
      <c r="K438" s="7" t="s">
        <v>81</v>
      </c>
    </row>
    <row r="439" spans="1:11" x14ac:dyDescent="0.25">
      <c r="A439" s="7" t="s">
        <v>857</v>
      </c>
      <c r="B439" s="7" t="s">
        <v>328</v>
      </c>
      <c r="C439" s="7" t="s">
        <v>960</v>
      </c>
      <c r="D439" s="7" t="s">
        <v>330</v>
      </c>
      <c r="E439" s="16">
        <v>1360</v>
      </c>
      <c r="F439" s="16">
        <v>1164.73</v>
      </c>
      <c r="G439" s="8">
        <f t="shared" si="24"/>
        <v>105.88454545454546</v>
      </c>
      <c r="H439" s="8">
        <f t="shared" si="25"/>
        <v>1058.8454545454545</v>
      </c>
      <c r="I439" s="8">
        <f t="shared" si="26"/>
        <v>301.15454545454554</v>
      </c>
      <c r="J439" s="9">
        <f t="shared" si="27"/>
        <v>0.28441784791325037</v>
      </c>
      <c r="K439" s="7" t="s">
        <v>81</v>
      </c>
    </row>
    <row r="440" spans="1:11" x14ac:dyDescent="0.25">
      <c r="A440" s="7" t="s">
        <v>857</v>
      </c>
      <c r="B440" s="7" t="s">
        <v>328</v>
      </c>
      <c r="C440" s="7" t="s">
        <v>961</v>
      </c>
      <c r="D440" s="7" t="s">
        <v>330</v>
      </c>
      <c r="E440" s="16">
        <v>1360</v>
      </c>
      <c r="F440" s="16">
        <v>1164.73</v>
      </c>
      <c r="G440" s="8">
        <f t="shared" si="24"/>
        <v>105.88454545454546</v>
      </c>
      <c r="H440" s="8">
        <f t="shared" si="25"/>
        <v>1058.8454545454545</v>
      </c>
      <c r="I440" s="8">
        <f t="shared" si="26"/>
        <v>301.15454545454554</v>
      </c>
      <c r="J440" s="9">
        <f t="shared" si="27"/>
        <v>0.28441784791325037</v>
      </c>
      <c r="K440" s="7" t="s">
        <v>81</v>
      </c>
    </row>
    <row r="441" spans="1:11" x14ac:dyDescent="0.25">
      <c r="A441" s="7" t="s">
        <v>857</v>
      </c>
      <c r="B441" s="7" t="s">
        <v>328</v>
      </c>
      <c r="C441" s="7" t="s">
        <v>962</v>
      </c>
      <c r="D441" s="7" t="s">
        <v>330</v>
      </c>
      <c r="E441" s="16">
        <v>1360</v>
      </c>
      <c r="F441" s="16">
        <v>1164.73</v>
      </c>
      <c r="G441" s="8">
        <f t="shared" si="24"/>
        <v>105.88454545454546</v>
      </c>
      <c r="H441" s="8">
        <f t="shared" si="25"/>
        <v>1058.8454545454545</v>
      </c>
      <c r="I441" s="8">
        <f t="shared" si="26"/>
        <v>301.15454545454554</v>
      </c>
      <c r="J441" s="9">
        <f t="shared" si="27"/>
        <v>0.28441784791325037</v>
      </c>
      <c r="K441" s="7" t="s">
        <v>81</v>
      </c>
    </row>
    <row r="442" spans="1:11" x14ac:dyDescent="0.25">
      <c r="A442" s="7" t="s">
        <v>857</v>
      </c>
      <c r="B442" s="7" t="s">
        <v>328</v>
      </c>
      <c r="C442" s="7" t="s">
        <v>963</v>
      </c>
      <c r="D442" s="7" t="s">
        <v>330</v>
      </c>
      <c r="E442" s="16">
        <v>1360</v>
      </c>
      <c r="F442" s="16">
        <v>1164.73</v>
      </c>
      <c r="G442" s="8">
        <f t="shared" si="24"/>
        <v>105.88454545454546</v>
      </c>
      <c r="H442" s="8">
        <f t="shared" si="25"/>
        <v>1058.8454545454545</v>
      </c>
      <c r="I442" s="8">
        <f t="shared" si="26"/>
        <v>301.15454545454554</v>
      </c>
      <c r="J442" s="9">
        <f t="shared" si="27"/>
        <v>0.28441784791325037</v>
      </c>
      <c r="K442" s="7" t="s">
        <v>81</v>
      </c>
    </row>
    <row r="443" spans="1:11" x14ac:dyDescent="0.25">
      <c r="A443" s="7" t="s">
        <v>857</v>
      </c>
      <c r="B443" s="7" t="s">
        <v>328</v>
      </c>
      <c r="C443" s="7" t="s">
        <v>964</v>
      </c>
      <c r="D443" s="7" t="s">
        <v>330</v>
      </c>
      <c r="E443" s="16">
        <v>1360</v>
      </c>
      <c r="F443" s="16">
        <v>1164.73</v>
      </c>
      <c r="G443" s="8">
        <f t="shared" si="24"/>
        <v>105.88454545454546</v>
      </c>
      <c r="H443" s="8">
        <f t="shared" si="25"/>
        <v>1058.8454545454545</v>
      </c>
      <c r="I443" s="8">
        <f t="shared" si="26"/>
        <v>301.15454545454554</v>
      </c>
      <c r="J443" s="9">
        <f t="shared" si="27"/>
        <v>0.28441784791325037</v>
      </c>
      <c r="K443" s="7" t="s">
        <v>81</v>
      </c>
    </row>
    <row r="444" spans="1:11" x14ac:dyDescent="0.25">
      <c r="A444" s="7" t="s">
        <v>857</v>
      </c>
      <c r="B444" s="7" t="s">
        <v>328</v>
      </c>
      <c r="C444" s="7" t="s">
        <v>965</v>
      </c>
      <c r="D444" s="7" t="s">
        <v>330</v>
      </c>
      <c r="E444" s="16">
        <v>1360</v>
      </c>
      <c r="F444" s="16">
        <v>1164.73</v>
      </c>
      <c r="G444" s="8">
        <f t="shared" si="24"/>
        <v>105.88454545454546</v>
      </c>
      <c r="H444" s="8">
        <f t="shared" si="25"/>
        <v>1058.8454545454545</v>
      </c>
      <c r="I444" s="8">
        <f t="shared" si="26"/>
        <v>301.15454545454554</v>
      </c>
      <c r="J444" s="9">
        <f t="shared" si="27"/>
        <v>0.28441784791325037</v>
      </c>
      <c r="K444" s="7" t="s">
        <v>81</v>
      </c>
    </row>
    <row r="445" spans="1:11" x14ac:dyDescent="0.25">
      <c r="A445" s="7" t="s">
        <v>857</v>
      </c>
      <c r="B445" s="7" t="s">
        <v>328</v>
      </c>
      <c r="C445" s="7" t="s">
        <v>966</v>
      </c>
      <c r="D445" s="7" t="s">
        <v>330</v>
      </c>
      <c r="E445" s="16">
        <v>1360</v>
      </c>
      <c r="F445" s="16">
        <v>1164.73</v>
      </c>
      <c r="G445" s="8">
        <f t="shared" si="24"/>
        <v>105.88454545454546</v>
      </c>
      <c r="H445" s="8">
        <f t="shared" si="25"/>
        <v>1058.8454545454545</v>
      </c>
      <c r="I445" s="8">
        <f t="shared" si="26"/>
        <v>301.15454545454554</v>
      </c>
      <c r="J445" s="9">
        <f t="shared" si="27"/>
        <v>0.28441784791325037</v>
      </c>
      <c r="K445" s="7" t="s">
        <v>81</v>
      </c>
    </row>
    <row r="446" spans="1:11" x14ac:dyDescent="0.25">
      <c r="A446" s="7" t="s">
        <v>857</v>
      </c>
      <c r="B446" s="7" t="s">
        <v>328</v>
      </c>
      <c r="C446" s="7" t="s">
        <v>967</v>
      </c>
      <c r="D446" s="7" t="s">
        <v>330</v>
      </c>
      <c r="E446" s="16">
        <v>1360</v>
      </c>
      <c r="F446" s="16">
        <v>1164.73</v>
      </c>
      <c r="G446" s="8">
        <f t="shared" si="24"/>
        <v>105.88454545454546</v>
      </c>
      <c r="H446" s="8">
        <f t="shared" si="25"/>
        <v>1058.8454545454545</v>
      </c>
      <c r="I446" s="8">
        <f t="shared" si="26"/>
        <v>301.15454545454554</v>
      </c>
      <c r="J446" s="9">
        <f t="shared" si="27"/>
        <v>0.28441784791325037</v>
      </c>
      <c r="K446" s="7" t="s">
        <v>81</v>
      </c>
    </row>
    <row r="447" spans="1:11" x14ac:dyDescent="0.25">
      <c r="A447" s="7" t="s">
        <v>857</v>
      </c>
      <c r="B447" s="7" t="s">
        <v>328</v>
      </c>
      <c r="C447" s="7" t="s">
        <v>968</v>
      </c>
      <c r="D447" s="7" t="s">
        <v>330</v>
      </c>
      <c r="E447" s="16">
        <v>1360</v>
      </c>
      <c r="F447" s="16">
        <v>1164.73</v>
      </c>
      <c r="G447" s="8">
        <f t="shared" si="24"/>
        <v>105.88454545454546</v>
      </c>
      <c r="H447" s="8">
        <f t="shared" si="25"/>
        <v>1058.8454545454545</v>
      </c>
      <c r="I447" s="8">
        <f t="shared" si="26"/>
        <v>301.15454545454554</v>
      </c>
      <c r="J447" s="9">
        <f t="shared" si="27"/>
        <v>0.28441784791325037</v>
      </c>
      <c r="K447" s="7" t="s">
        <v>81</v>
      </c>
    </row>
    <row r="448" spans="1:11" x14ac:dyDescent="0.25">
      <c r="A448" s="7" t="s">
        <v>857</v>
      </c>
      <c r="B448" s="7" t="s">
        <v>328</v>
      </c>
      <c r="C448" s="7" t="s">
        <v>969</v>
      </c>
      <c r="D448" s="7" t="s">
        <v>330</v>
      </c>
      <c r="E448" s="16">
        <v>1360</v>
      </c>
      <c r="F448" s="16">
        <v>1164.73</v>
      </c>
      <c r="G448" s="8">
        <f t="shared" si="24"/>
        <v>105.88454545454546</v>
      </c>
      <c r="H448" s="8">
        <f t="shared" si="25"/>
        <v>1058.8454545454545</v>
      </c>
      <c r="I448" s="8">
        <f t="shared" si="26"/>
        <v>301.15454545454554</v>
      </c>
      <c r="J448" s="9">
        <f t="shared" si="27"/>
        <v>0.28441784791325037</v>
      </c>
      <c r="K448" s="7" t="s">
        <v>81</v>
      </c>
    </row>
    <row r="449" spans="1:11" x14ac:dyDescent="0.25">
      <c r="A449" s="7" t="s">
        <v>857</v>
      </c>
      <c r="B449" s="7" t="s">
        <v>328</v>
      </c>
      <c r="C449" s="7" t="s">
        <v>970</v>
      </c>
      <c r="D449" s="7" t="s">
        <v>330</v>
      </c>
      <c r="E449" s="16">
        <v>1360</v>
      </c>
      <c r="F449" s="16">
        <v>1164.73</v>
      </c>
      <c r="G449" s="8">
        <f t="shared" si="24"/>
        <v>105.88454545454546</v>
      </c>
      <c r="H449" s="8">
        <f t="shared" si="25"/>
        <v>1058.8454545454545</v>
      </c>
      <c r="I449" s="8">
        <f t="shared" si="26"/>
        <v>301.15454545454554</v>
      </c>
      <c r="J449" s="9">
        <f t="shared" si="27"/>
        <v>0.28441784791325037</v>
      </c>
      <c r="K449" s="7" t="s">
        <v>81</v>
      </c>
    </row>
    <row r="450" spans="1:11" x14ac:dyDescent="0.25">
      <c r="A450" s="7" t="s">
        <v>857</v>
      </c>
      <c r="B450" s="7" t="s">
        <v>328</v>
      </c>
      <c r="C450" s="7" t="s">
        <v>971</v>
      </c>
      <c r="D450" s="7" t="s">
        <v>330</v>
      </c>
      <c r="E450" s="16">
        <v>1360</v>
      </c>
      <c r="F450" s="16">
        <v>1164.73</v>
      </c>
      <c r="G450" s="8">
        <f t="shared" si="24"/>
        <v>105.88454545454546</v>
      </c>
      <c r="H450" s="8">
        <f t="shared" si="25"/>
        <v>1058.8454545454545</v>
      </c>
      <c r="I450" s="8">
        <f t="shared" si="26"/>
        <v>301.15454545454554</v>
      </c>
      <c r="J450" s="9">
        <f t="shared" si="27"/>
        <v>0.28441784791325037</v>
      </c>
      <c r="K450" s="7" t="s">
        <v>81</v>
      </c>
    </row>
    <row r="451" spans="1:11" x14ac:dyDescent="0.25">
      <c r="A451" s="7" t="s">
        <v>857</v>
      </c>
      <c r="B451" s="7" t="s">
        <v>328</v>
      </c>
      <c r="C451" s="7" t="s">
        <v>972</v>
      </c>
      <c r="D451" s="7" t="s">
        <v>330</v>
      </c>
      <c r="E451" s="16">
        <v>1360</v>
      </c>
      <c r="F451" s="16">
        <v>1164.73</v>
      </c>
      <c r="G451" s="8">
        <f t="shared" ref="G451:G514" si="28">F451/11</f>
        <v>105.88454545454546</v>
      </c>
      <c r="H451" s="8">
        <f t="shared" ref="H451:H514" si="29">F451-G451</f>
        <v>1058.8454545454545</v>
      </c>
      <c r="I451" s="8">
        <f t="shared" ref="I451:I514" si="30">E451-H451</f>
        <v>301.15454545454554</v>
      </c>
      <c r="J451" s="9">
        <f t="shared" ref="J451:J514" si="31">(E451-H451)/H451</f>
        <v>0.28441784791325037</v>
      </c>
      <c r="K451" s="7" t="s">
        <v>81</v>
      </c>
    </row>
    <row r="452" spans="1:11" x14ac:dyDescent="0.25">
      <c r="A452" s="7" t="s">
        <v>857</v>
      </c>
      <c r="B452" s="7" t="s">
        <v>328</v>
      </c>
      <c r="C452" s="7" t="s">
        <v>973</v>
      </c>
      <c r="D452" s="7" t="s">
        <v>330</v>
      </c>
      <c r="E452" s="16">
        <v>1360</v>
      </c>
      <c r="F452" s="16">
        <v>1164.73</v>
      </c>
      <c r="G452" s="8">
        <f t="shared" si="28"/>
        <v>105.88454545454546</v>
      </c>
      <c r="H452" s="8">
        <f t="shared" si="29"/>
        <v>1058.8454545454545</v>
      </c>
      <c r="I452" s="8">
        <f t="shared" si="30"/>
        <v>301.15454545454554</v>
      </c>
      <c r="J452" s="9">
        <f t="shared" si="31"/>
        <v>0.28441784791325037</v>
      </c>
      <c r="K452" s="7" t="s">
        <v>81</v>
      </c>
    </row>
    <row r="453" spans="1:11" x14ac:dyDescent="0.25">
      <c r="A453" s="7" t="s">
        <v>857</v>
      </c>
      <c r="B453" s="7" t="s">
        <v>328</v>
      </c>
      <c r="C453" s="7" t="s">
        <v>974</v>
      </c>
      <c r="D453" s="7" t="s">
        <v>330</v>
      </c>
      <c r="E453" s="16">
        <v>1360</v>
      </c>
      <c r="F453" s="16">
        <v>1164.73</v>
      </c>
      <c r="G453" s="8">
        <f t="shared" si="28"/>
        <v>105.88454545454546</v>
      </c>
      <c r="H453" s="8">
        <f t="shared" si="29"/>
        <v>1058.8454545454545</v>
      </c>
      <c r="I453" s="8">
        <f t="shared" si="30"/>
        <v>301.15454545454554</v>
      </c>
      <c r="J453" s="9">
        <f t="shared" si="31"/>
        <v>0.28441784791325037</v>
      </c>
      <c r="K453" s="7" t="s">
        <v>81</v>
      </c>
    </row>
    <row r="454" spans="1:11" x14ac:dyDescent="0.25">
      <c r="A454" s="7" t="s">
        <v>857</v>
      </c>
      <c r="B454" s="7" t="s">
        <v>328</v>
      </c>
      <c r="C454" s="7" t="s">
        <v>975</v>
      </c>
      <c r="D454" s="7" t="s">
        <v>330</v>
      </c>
      <c r="E454" s="16">
        <v>1360</v>
      </c>
      <c r="F454" s="16">
        <v>1164.73</v>
      </c>
      <c r="G454" s="8">
        <f t="shared" si="28"/>
        <v>105.88454545454546</v>
      </c>
      <c r="H454" s="8">
        <f t="shared" si="29"/>
        <v>1058.8454545454545</v>
      </c>
      <c r="I454" s="8">
        <f t="shared" si="30"/>
        <v>301.15454545454554</v>
      </c>
      <c r="J454" s="9">
        <f t="shared" si="31"/>
        <v>0.28441784791325037</v>
      </c>
      <c r="K454" s="7" t="s">
        <v>81</v>
      </c>
    </row>
    <row r="455" spans="1:11" x14ac:dyDescent="0.25">
      <c r="A455" s="7" t="s">
        <v>857</v>
      </c>
      <c r="B455" s="7" t="s">
        <v>328</v>
      </c>
      <c r="C455" s="7" t="s">
        <v>976</v>
      </c>
      <c r="D455" s="7" t="s">
        <v>330</v>
      </c>
      <c r="E455" s="16">
        <v>1360</v>
      </c>
      <c r="F455" s="16">
        <v>1164.73</v>
      </c>
      <c r="G455" s="8">
        <f t="shared" si="28"/>
        <v>105.88454545454546</v>
      </c>
      <c r="H455" s="8">
        <f t="shared" si="29"/>
        <v>1058.8454545454545</v>
      </c>
      <c r="I455" s="8">
        <f t="shared" si="30"/>
        <v>301.15454545454554</v>
      </c>
      <c r="J455" s="9">
        <f t="shared" si="31"/>
        <v>0.28441784791325037</v>
      </c>
      <c r="K455" s="7" t="s">
        <v>81</v>
      </c>
    </row>
    <row r="456" spans="1:11" x14ac:dyDescent="0.25">
      <c r="A456" s="7" t="s">
        <v>857</v>
      </c>
      <c r="B456" s="7" t="s">
        <v>328</v>
      </c>
      <c r="C456" s="7" t="s">
        <v>977</v>
      </c>
      <c r="D456" s="7" t="s">
        <v>330</v>
      </c>
      <c r="E456" s="16">
        <v>1360</v>
      </c>
      <c r="F456" s="16">
        <v>1164.73</v>
      </c>
      <c r="G456" s="8">
        <f t="shared" si="28"/>
        <v>105.88454545454546</v>
      </c>
      <c r="H456" s="8">
        <f t="shared" si="29"/>
        <v>1058.8454545454545</v>
      </c>
      <c r="I456" s="8">
        <f t="shared" si="30"/>
        <v>301.15454545454554</v>
      </c>
      <c r="J456" s="9">
        <f t="shared" si="31"/>
        <v>0.28441784791325037</v>
      </c>
      <c r="K456" s="7" t="s">
        <v>81</v>
      </c>
    </row>
    <row r="457" spans="1:11" x14ac:dyDescent="0.25">
      <c r="A457" s="7" t="s">
        <v>857</v>
      </c>
      <c r="B457" s="7" t="s">
        <v>328</v>
      </c>
      <c r="C457" s="7" t="s">
        <v>978</v>
      </c>
      <c r="D457" s="7" t="s">
        <v>330</v>
      </c>
      <c r="E457" s="16">
        <v>1360</v>
      </c>
      <c r="F457" s="16">
        <v>1164.73</v>
      </c>
      <c r="G457" s="8">
        <f t="shared" si="28"/>
        <v>105.88454545454546</v>
      </c>
      <c r="H457" s="8">
        <f t="shared" si="29"/>
        <v>1058.8454545454545</v>
      </c>
      <c r="I457" s="8">
        <f t="shared" si="30"/>
        <v>301.15454545454554</v>
      </c>
      <c r="J457" s="9">
        <f t="shared" si="31"/>
        <v>0.28441784791325037</v>
      </c>
      <c r="K457" s="7" t="s">
        <v>81</v>
      </c>
    </row>
    <row r="458" spans="1:11" x14ac:dyDescent="0.25">
      <c r="A458" s="7" t="s">
        <v>857</v>
      </c>
      <c r="B458" s="7" t="s">
        <v>328</v>
      </c>
      <c r="C458" s="7" t="s">
        <v>979</v>
      </c>
      <c r="D458" s="7" t="s">
        <v>330</v>
      </c>
      <c r="E458" s="16">
        <v>1360</v>
      </c>
      <c r="F458" s="16">
        <v>1164.73</v>
      </c>
      <c r="G458" s="8">
        <f t="shared" si="28"/>
        <v>105.88454545454546</v>
      </c>
      <c r="H458" s="8">
        <f t="shared" si="29"/>
        <v>1058.8454545454545</v>
      </c>
      <c r="I458" s="8">
        <f t="shared" si="30"/>
        <v>301.15454545454554</v>
      </c>
      <c r="J458" s="9">
        <f t="shared" si="31"/>
        <v>0.28441784791325037</v>
      </c>
      <c r="K458" s="7" t="s">
        <v>81</v>
      </c>
    </row>
    <row r="459" spans="1:11" x14ac:dyDescent="0.25">
      <c r="A459" s="7" t="s">
        <v>857</v>
      </c>
      <c r="B459" s="7" t="s">
        <v>328</v>
      </c>
      <c r="C459" s="7" t="s">
        <v>980</v>
      </c>
      <c r="D459" s="7" t="s">
        <v>330</v>
      </c>
      <c r="E459" s="16">
        <v>1360</v>
      </c>
      <c r="F459" s="16">
        <v>1164.73</v>
      </c>
      <c r="G459" s="8">
        <f t="shared" si="28"/>
        <v>105.88454545454546</v>
      </c>
      <c r="H459" s="8">
        <f t="shared" si="29"/>
        <v>1058.8454545454545</v>
      </c>
      <c r="I459" s="8">
        <f t="shared" si="30"/>
        <v>301.15454545454554</v>
      </c>
      <c r="J459" s="9">
        <f t="shared" si="31"/>
        <v>0.28441784791325037</v>
      </c>
      <c r="K459" s="7" t="s">
        <v>81</v>
      </c>
    </row>
    <row r="460" spans="1:11" x14ac:dyDescent="0.25">
      <c r="A460" s="7" t="s">
        <v>857</v>
      </c>
      <c r="B460" s="7" t="s">
        <v>328</v>
      </c>
      <c r="C460" s="7" t="s">
        <v>981</v>
      </c>
      <c r="D460" s="7" t="s">
        <v>330</v>
      </c>
      <c r="E460" s="16">
        <v>1360</v>
      </c>
      <c r="F460" s="16">
        <v>1164.73</v>
      </c>
      <c r="G460" s="8">
        <f t="shared" si="28"/>
        <v>105.88454545454546</v>
      </c>
      <c r="H460" s="8">
        <f t="shared" si="29"/>
        <v>1058.8454545454545</v>
      </c>
      <c r="I460" s="8">
        <f t="shared" si="30"/>
        <v>301.15454545454554</v>
      </c>
      <c r="J460" s="9">
        <f t="shared" si="31"/>
        <v>0.28441784791325037</v>
      </c>
      <c r="K460" s="7" t="s">
        <v>81</v>
      </c>
    </row>
    <row r="461" spans="1:11" x14ac:dyDescent="0.25">
      <c r="A461" s="7" t="s">
        <v>857</v>
      </c>
      <c r="B461" s="7" t="s">
        <v>328</v>
      </c>
      <c r="C461" s="7" t="s">
        <v>982</v>
      </c>
      <c r="D461" s="7" t="s">
        <v>330</v>
      </c>
      <c r="E461" s="16">
        <v>1360</v>
      </c>
      <c r="F461" s="16">
        <v>1164.73</v>
      </c>
      <c r="G461" s="8">
        <f t="shared" si="28"/>
        <v>105.88454545454546</v>
      </c>
      <c r="H461" s="8">
        <f t="shared" si="29"/>
        <v>1058.8454545454545</v>
      </c>
      <c r="I461" s="8">
        <f t="shared" si="30"/>
        <v>301.15454545454554</v>
      </c>
      <c r="J461" s="9">
        <f t="shared" si="31"/>
        <v>0.28441784791325037</v>
      </c>
      <c r="K461" s="7" t="s">
        <v>81</v>
      </c>
    </row>
    <row r="462" spans="1:11" x14ac:dyDescent="0.25">
      <c r="A462" s="7" t="s">
        <v>857</v>
      </c>
      <c r="B462" s="7" t="s">
        <v>328</v>
      </c>
      <c r="C462" s="7" t="s">
        <v>983</v>
      </c>
      <c r="D462" s="7" t="s">
        <v>330</v>
      </c>
      <c r="E462" s="16">
        <v>1360</v>
      </c>
      <c r="F462" s="16">
        <v>1164.73</v>
      </c>
      <c r="G462" s="8">
        <f t="shared" si="28"/>
        <v>105.88454545454546</v>
      </c>
      <c r="H462" s="8">
        <f t="shared" si="29"/>
        <v>1058.8454545454545</v>
      </c>
      <c r="I462" s="8">
        <f t="shared" si="30"/>
        <v>301.15454545454554</v>
      </c>
      <c r="J462" s="9">
        <f t="shared" si="31"/>
        <v>0.28441784791325037</v>
      </c>
      <c r="K462" s="7" t="s">
        <v>81</v>
      </c>
    </row>
    <row r="463" spans="1:11" x14ac:dyDescent="0.25">
      <c r="A463" s="7" t="s">
        <v>857</v>
      </c>
      <c r="B463" s="7" t="s">
        <v>328</v>
      </c>
      <c r="C463" s="7" t="s">
        <v>984</v>
      </c>
      <c r="D463" s="7" t="s">
        <v>330</v>
      </c>
      <c r="E463" s="16">
        <v>1360</v>
      </c>
      <c r="F463" s="16">
        <v>1164.73</v>
      </c>
      <c r="G463" s="8">
        <f t="shared" si="28"/>
        <v>105.88454545454546</v>
      </c>
      <c r="H463" s="8">
        <f t="shared" si="29"/>
        <v>1058.8454545454545</v>
      </c>
      <c r="I463" s="8">
        <f t="shared" si="30"/>
        <v>301.15454545454554</v>
      </c>
      <c r="J463" s="9">
        <f t="shared" si="31"/>
        <v>0.28441784791325037</v>
      </c>
      <c r="K463" s="7" t="s">
        <v>81</v>
      </c>
    </row>
    <row r="464" spans="1:11" x14ac:dyDescent="0.25">
      <c r="A464" s="7" t="s">
        <v>857</v>
      </c>
      <c r="B464" s="7" t="s">
        <v>328</v>
      </c>
      <c r="C464" s="7" t="s">
        <v>985</v>
      </c>
      <c r="D464" s="7" t="s">
        <v>330</v>
      </c>
      <c r="E464" s="16">
        <v>1360</v>
      </c>
      <c r="F464" s="16">
        <v>1164.73</v>
      </c>
      <c r="G464" s="8">
        <f t="shared" si="28"/>
        <v>105.88454545454546</v>
      </c>
      <c r="H464" s="8">
        <f t="shared" si="29"/>
        <v>1058.8454545454545</v>
      </c>
      <c r="I464" s="8">
        <f t="shared" si="30"/>
        <v>301.15454545454554</v>
      </c>
      <c r="J464" s="9">
        <f t="shared" si="31"/>
        <v>0.28441784791325037</v>
      </c>
      <c r="K464" s="7" t="s">
        <v>81</v>
      </c>
    </row>
    <row r="465" spans="1:11" x14ac:dyDescent="0.25">
      <c r="A465" s="7" t="s">
        <v>857</v>
      </c>
      <c r="B465" s="7" t="s">
        <v>328</v>
      </c>
      <c r="C465" s="7" t="s">
        <v>986</v>
      </c>
      <c r="D465" s="7" t="s">
        <v>330</v>
      </c>
      <c r="E465" s="16">
        <v>1360</v>
      </c>
      <c r="F465" s="16">
        <v>1164.73</v>
      </c>
      <c r="G465" s="8">
        <f t="shared" si="28"/>
        <v>105.88454545454546</v>
      </c>
      <c r="H465" s="8">
        <f t="shared" si="29"/>
        <v>1058.8454545454545</v>
      </c>
      <c r="I465" s="8">
        <f t="shared" si="30"/>
        <v>301.15454545454554</v>
      </c>
      <c r="J465" s="9">
        <f t="shared" si="31"/>
        <v>0.28441784791325037</v>
      </c>
      <c r="K465" s="7" t="s">
        <v>81</v>
      </c>
    </row>
    <row r="466" spans="1:11" x14ac:dyDescent="0.25">
      <c r="A466" s="7" t="s">
        <v>857</v>
      </c>
      <c r="B466" s="7" t="s">
        <v>328</v>
      </c>
      <c r="C466" s="7" t="s">
        <v>987</v>
      </c>
      <c r="D466" s="7" t="s">
        <v>330</v>
      </c>
      <c r="E466" s="16">
        <v>1360</v>
      </c>
      <c r="F466" s="16">
        <v>1164.73</v>
      </c>
      <c r="G466" s="8">
        <f t="shared" si="28"/>
        <v>105.88454545454546</v>
      </c>
      <c r="H466" s="8">
        <f t="shared" si="29"/>
        <v>1058.8454545454545</v>
      </c>
      <c r="I466" s="8">
        <f t="shared" si="30"/>
        <v>301.15454545454554</v>
      </c>
      <c r="J466" s="9">
        <f t="shared" si="31"/>
        <v>0.28441784791325037</v>
      </c>
      <c r="K466" s="7" t="s">
        <v>81</v>
      </c>
    </row>
    <row r="467" spans="1:11" x14ac:dyDescent="0.25">
      <c r="A467" s="7" t="s">
        <v>857</v>
      </c>
      <c r="B467" s="7" t="s">
        <v>328</v>
      </c>
      <c r="C467" s="7" t="s">
        <v>988</v>
      </c>
      <c r="D467" s="7" t="s">
        <v>330</v>
      </c>
      <c r="E467" s="16">
        <v>1360</v>
      </c>
      <c r="F467" s="16">
        <v>1164.73</v>
      </c>
      <c r="G467" s="8">
        <f t="shared" si="28"/>
        <v>105.88454545454546</v>
      </c>
      <c r="H467" s="8">
        <f t="shared" si="29"/>
        <v>1058.8454545454545</v>
      </c>
      <c r="I467" s="8">
        <f t="shared" si="30"/>
        <v>301.15454545454554</v>
      </c>
      <c r="J467" s="9">
        <f t="shared" si="31"/>
        <v>0.28441784791325037</v>
      </c>
      <c r="K467" s="7" t="s">
        <v>81</v>
      </c>
    </row>
    <row r="468" spans="1:11" x14ac:dyDescent="0.25">
      <c r="A468" s="7" t="s">
        <v>857</v>
      </c>
      <c r="B468" s="7" t="s">
        <v>328</v>
      </c>
      <c r="C468" s="7" t="s">
        <v>989</v>
      </c>
      <c r="D468" s="7" t="s">
        <v>330</v>
      </c>
      <c r="E468" s="16">
        <v>1360</v>
      </c>
      <c r="F468" s="16">
        <v>1164.73</v>
      </c>
      <c r="G468" s="8">
        <f t="shared" si="28"/>
        <v>105.88454545454546</v>
      </c>
      <c r="H468" s="8">
        <f t="shared" si="29"/>
        <v>1058.8454545454545</v>
      </c>
      <c r="I468" s="8">
        <f t="shared" si="30"/>
        <v>301.15454545454554</v>
      </c>
      <c r="J468" s="9">
        <f t="shared" si="31"/>
        <v>0.28441784791325037</v>
      </c>
      <c r="K468" s="7" t="s">
        <v>81</v>
      </c>
    </row>
    <row r="469" spans="1:11" x14ac:dyDescent="0.25">
      <c r="A469" s="7" t="s">
        <v>857</v>
      </c>
      <c r="B469" s="7" t="s">
        <v>328</v>
      </c>
      <c r="C469" s="7" t="s">
        <v>990</v>
      </c>
      <c r="D469" s="7" t="s">
        <v>330</v>
      </c>
      <c r="E469" s="16">
        <v>1360</v>
      </c>
      <c r="F469" s="16">
        <v>1164.73</v>
      </c>
      <c r="G469" s="8">
        <f t="shared" si="28"/>
        <v>105.88454545454546</v>
      </c>
      <c r="H469" s="8">
        <f t="shared" si="29"/>
        <v>1058.8454545454545</v>
      </c>
      <c r="I469" s="8">
        <f t="shared" si="30"/>
        <v>301.15454545454554</v>
      </c>
      <c r="J469" s="9">
        <f t="shared" si="31"/>
        <v>0.28441784791325037</v>
      </c>
      <c r="K469" s="7" t="s">
        <v>81</v>
      </c>
    </row>
    <row r="470" spans="1:11" x14ac:dyDescent="0.25">
      <c r="A470" s="7" t="s">
        <v>857</v>
      </c>
      <c r="B470" s="7" t="s">
        <v>328</v>
      </c>
      <c r="C470" s="7" t="s">
        <v>991</v>
      </c>
      <c r="D470" s="7" t="s">
        <v>330</v>
      </c>
      <c r="E470" s="16">
        <v>1360</v>
      </c>
      <c r="F470" s="16">
        <v>1164.73</v>
      </c>
      <c r="G470" s="8">
        <f t="shared" si="28"/>
        <v>105.88454545454546</v>
      </c>
      <c r="H470" s="8">
        <f t="shared" si="29"/>
        <v>1058.8454545454545</v>
      </c>
      <c r="I470" s="8">
        <f t="shared" si="30"/>
        <v>301.15454545454554</v>
      </c>
      <c r="J470" s="9">
        <f t="shared" si="31"/>
        <v>0.28441784791325037</v>
      </c>
      <c r="K470" s="7" t="s">
        <v>81</v>
      </c>
    </row>
    <row r="471" spans="1:11" x14ac:dyDescent="0.25">
      <c r="A471" s="7" t="s">
        <v>857</v>
      </c>
      <c r="B471" s="7" t="s">
        <v>328</v>
      </c>
      <c r="C471" s="7" t="s">
        <v>992</v>
      </c>
      <c r="D471" s="7" t="s">
        <v>330</v>
      </c>
      <c r="E471" s="16">
        <v>1360</v>
      </c>
      <c r="F471" s="16">
        <v>1164.73</v>
      </c>
      <c r="G471" s="8">
        <f t="shared" si="28"/>
        <v>105.88454545454546</v>
      </c>
      <c r="H471" s="8">
        <f t="shared" si="29"/>
        <v>1058.8454545454545</v>
      </c>
      <c r="I471" s="8">
        <f t="shared" si="30"/>
        <v>301.15454545454554</v>
      </c>
      <c r="J471" s="9">
        <f t="shared" si="31"/>
        <v>0.28441784791325037</v>
      </c>
      <c r="K471" s="7" t="s">
        <v>81</v>
      </c>
    </row>
    <row r="472" spans="1:11" x14ac:dyDescent="0.25">
      <c r="A472" s="7" t="s">
        <v>857</v>
      </c>
      <c r="B472" s="7" t="s">
        <v>328</v>
      </c>
      <c r="C472" s="7" t="s">
        <v>993</v>
      </c>
      <c r="D472" s="7" t="s">
        <v>330</v>
      </c>
      <c r="E472" s="16">
        <v>1360</v>
      </c>
      <c r="F472" s="16">
        <v>1164.73</v>
      </c>
      <c r="G472" s="8">
        <f t="shared" si="28"/>
        <v>105.88454545454546</v>
      </c>
      <c r="H472" s="8">
        <f t="shared" si="29"/>
        <v>1058.8454545454545</v>
      </c>
      <c r="I472" s="8">
        <f t="shared" si="30"/>
        <v>301.15454545454554</v>
      </c>
      <c r="J472" s="9">
        <f t="shared" si="31"/>
        <v>0.28441784791325037</v>
      </c>
      <c r="K472" s="7" t="s">
        <v>81</v>
      </c>
    </row>
    <row r="473" spans="1:11" x14ac:dyDescent="0.25">
      <c r="A473" s="7" t="s">
        <v>857</v>
      </c>
      <c r="B473" s="7" t="s">
        <v>328</v>
      </c>
      <c r="C473" s="7" t="s">
        <v>994</v>
      </c>
      <c r="D473" s="7" t="s">
        <v>330</v>
      </c>
      <c r="E473" s="16">
        <v>1360</v>
      </c>
      <c r="F473" s="16">
        <v>1164.73</v>
      </c>
      <c r="G473" s="8">
        <f t="shared" si="28"/>
        <v>105.88454545454546</v>
      </c>
      <c r="H473" s="8">
        <f t="shared" si="29"/>
        <v>1058.8454545454545</v>
      </c>
      <c r="I473" s="8">
        <f t="shared" si="30"/>
        <v>301.15454545454554</v>
      </c>
      <c r="J473" s="9">
        <f t="shared" si="31"/>
        <v>0.28441784791325037</v>
      </c>
      <c r="K473" s="7" t="s">
        <v>81</v>
      </c>
    </row>
    <row r="474" spans="1:11" x14ac:dyDescent="0.25">
      <c r="A474" s="7" t="s">
        <v>857</v>
      </c>
      <c r="B474" s="7" t="s">
        <v>328</v>
      </c>
      <c r="C474" s="7" t="s">
        <v>995</v>
      </c>
      <c r="D474" s="7" t="s">
        <v>330</v>
      </c>
      <c r="E474" s="16">
        <v>1360</v>
      </c>
      <c r="F474" s="16">
        <v>1164.73</v>
      </c>
      <c r="G474" s="8">
        <f t="shared" si="28"/>
        <v>105.88454545454546</v>
      </c>
      <c r="H474" s="8">
        <f t="shared" si="29"/>
        <v>1058.8454545454545</v>
      </c>
      <c r="I474" s="8">
        <f t="shared" si="30"/>
        <v>301.15454545454554</v>
      </c>
      <c r="J474" s="9">
        <f t="shared" si="31"/>
        <v>0.28441784791325037</v>
      </c>
      <c r="K474" s="7" t="s">
        <v>81</v>
      </c>
    </row>
    <row r="475" spans="1:11" x14ac:dyDescent="0.25">
      <c r="A475" s="7" t="s">
        <v>857</v>
      </c>
      <c r="B475" s="7" t="s">
        <v>328</v>
      </c>
      <c r="C475" s="7" t="s">
        <v>996</v>
      </c>
      <c r="D475" s="7" t="s">
        <v>330</v>
      </c>
      <c r="E475" s="16">
        <v>1360</v>
      </c>
      <c r="F475" s="16">
        <v>1164.73</v>
      </c>
      <c r="G475" s="8">
        <f t="shared" si="28"/>
        <v>105.88454545454546</v>
      </c>
      <c r="H475" s="8">
        <f t="shared" si="29"/>
        <v>1058.8454545454545</v>
      </c>
      <c r="I475" s="8">
        <f t="shared" si="30"/>
        <v>301.15454545454554</v>
      </c>
      <c r="J475" s="9">
        <f t="shared" si="31"/>
        <v>0.28441784791325037</v>
      </c>
      <c r="K475" s="7" t="s">
        <v>81</v>
      </c>
    </row>
    <row r="476" spans="1:11" x14ac:dyDescent="0.25">
      <c r="A476" s="7" t="s">
        <v>857</v>
      </c>
      <c r="B476" s="7" t="s">
        <v>328</v>
      </c>
      <c r="C476" s="7" t="s">
        <v>997</v>
      </c>
      <c r="D476" s="7" t="s">
        <v>330</v>
      </c>
      <c r="E476" s="16">
        <v>1360</v>
      </c>
      <c r="F476" s="16">
        <v>1164.73</v>
      </c>
      <c r="G476" s="8">
        <f t="shared" si="28"/>
        <v>105.88454545454546</v>
      </c>
      <c r="H476" s="8">
        <f t="shared" si="29"/>
        <v>1058.8454545454545</v>
      </c>
      <c r="I476" s="8">
        <f t="shared" si="30"/>
        <v>301.15454545454554</v>
      </c>
      <c r="J476" s="9">
        <f t="shared" si="31"/>
        <v>0.28441784791325037</v>
      </c>
      <c r="K476" s="7" t="s">
        <v>81</v>
      </c>
    </row>
    <row r="477" spans="1:11" x14ac:dyDescent="0.25">
      <c r="A477" s="7" t="s">
        <v>857</v>
      </c>
      <c r="B477" s="7" t="s">
        <v>328</v>
      </c>
      <c r="C477" s="7" t="s">
        <v>998</v>
      </c>
      <c r="D477" s="7" t="s">
        <v>330</v>
      </c>
      <c r="E477" s="16">
        <v>1360</v>
      </c>
      <c r="F477" s="16">
        <v>1164.73</v>
      </c>
      <c r="G477" s="8">
        <f t="shared" si="28"/>
        <v>105.88454545454546</v>
      </c>
      <c r="H477" s="8">
        <f t="shared" si="29"/>
        <v>1058.8454545454545</v>
      </c>
      <c r="I477" s="8">
        <f t="shared" si="30"/>
        <v>301.15454545454554</v>
      </c>
      <c r="J477" s="9">
        <f t="shared" si="31"/>
        <v>0.28441784791325037</v>
      </c>
      <c r="K477" s="7" t="s">
        <v>81</v>
      </c>
    </row>
    <row r="478" spans="1:11" x14ac:dyDescent="0.25">
      <c r="A478" s="13" t="s">
        <v>999</v>
      </c>
      <c r="B478" s="13" t="s">
        <v>1000</v>
      </c>
      <c r="C478" s="13" t="s">
        <v>1001</v>
      </c>
      <c r="D478" s="13" t="s">
        <v>15</v>
      </c>
      <c r="E478" s="17">
        <v>1150</v>
      </c>
      <c r="F478" s="17">
        <v>1314.3</v>
      </c>
      <c r="G478" s="14">
        <f t="shared" si="28"/>
        <v>119.48181818181818</v>
      </c>
      <c r="H478" s="14">
        <f t="shared" si="29"/>
        <v>1194.8181818181818</v>
      </c>
      <c r="I478" s="14">
        <f t="shared" si="30"/>
        <v>-44.818181818181756</v>
      </c>
      <c r="J478" s="15">
        <f t="shared" si="31"/>
        <v>-3.7510461842806007E-2</v>
      </c>
      <c r="K478" s="13" t="s">
        <v>16</v>
      </c>
    </row>
    <row r="479" spans="1:11" x14ac:dyDescent="0.25">
      <c r="A479" s="7" t="s">
        <v>999</v>
      </c>
      <c r="B479" s="7" t="s">
        <v>1002</v>
      </c>
      <c r="C479" s="7" t="s">
        <v>1003</v>
      </c>
      <c r="D479" s="7" t="s">
        <v>15</v>
      </c>
      <c r="E479" s="16">
        <v>1680</v>
      </c>
      <c r="F479" s="7">
        <v>1831.4</v>
      </c>
      <c r="G479" s="8">
        <f t="shared" si="28"/>
        <v>166.4909090909091</v>
      </c>
      <c r="H479" s="8">
        <f t="shared" si="29"/>
        <v>1664.909090909091</v>
      </c>
      <c r="I479" s="8">
        <f t="shared" si="30"/>
        <v>15.090909090909008</v>
      </c>
      <c r="J479" s="9">
        <f t="shared" si="31"/>
        <v>9.0641039641803575E-3</v>
      </c>
      <c r="K479" s="7" t="s">
        <v>16</v>
      </c>
    </row>
    <row r="480" spans="1:11" x14ac:dyDescent="0.25">
      <c r="A480" s="7" t="s">
        <v>999</v>
      </c>
      <c r="B480" s="7" t="s">
        <v>1002</v>
      </c>
      <c r="C480" s="7" t="s">
        <v>1004</v>
      </c>
      <c r="D480" s="7" t="s">
        <v>15</v>
      </c>
      <c r="E480" s="16">
        <v>1680</v>
      </c>
      <c r="F480" s="7">
        <v>1831.4</v>
      </c>
      <c r="G480" s="8">
        <f t="shared" si="28"/>
        <v>166.4909090909091</v>
      </c>
      <c r="H480" s="8">
        <f t="shared" si="29"/>
        <v>1664.909090909091</v>
      </c>
      <c r="I480" s="8">
        <f t="shared" si="30"/>
        <v>15.090909090909008</v>
      </c>
      <c r="J480" s="9">
        <f t="shared" si="31"/>
        <v>9.0641039641803575E-3</v>
      </c>
      <c r="K480" s="7" t="s">
        <v>16</v>
      </c>
    </row>
    <row r="481" spans="1:11" x14ac:dyDescent="0.25">
      <c r="A481" s="7" t="s">
        <v>999</v>
      </c>
      <c r="B481" s="7" t="s">
        <v>1002</v>
      </c>
      <c r="C481" s="7" t="s">
        <v>1005</v>
      </c>
      <c r="D481" s="7" t="s">
        <v>15</v>
      </c>
      <c r="E481" s="16">
        <v>1680</v>
      </c>
      <c r="F481" s="7">
        <v>1831.4</v>
      </c>
      <c r="G481" s="8">
        <f t="shared" si="28"/>
        <v>166.4909090909091</v>
      </c>
      <c r="H481" s="8">
        <f t="shared" si="29"/>
        <v>1664.909090909091</v>
      </c>
      <c r="I481" s="8">
        <f t="shared" si="30"/>
        <v>15.090909090909008</v>
      </c>
      <c r="J481" s="9">
        <f t="shared" si="31"/>
        <v>9.0641039641803575E-3</v>
      </c>
      <c r="K481" s="7" t="s">
        <v>16</v>
      </c>
    </row>
    <row r="482" spans="1:11" x14ac:dyDescent="0.25">
      <c r="A482" s="13" t="s">
        <v>999</v>
      </c>
      <c r="B482" s="13" t="s">
        <v>1002</v>
      </c>
      <c r="C482" s="13" t="s">
        <v>1006</v>
      </c>
      <c r="D482" s="13" t="s">
        <v>15</v>
      </c>
      <c r="E482" s="17">
        <v>1630</v>
      </c>
      <c r="F482" s="13">
        <v>1831.4</v>
      </c>
      <c r="G482" s="14">
        <f t="shared" si="28"/>
        <v>166.4909090909091</v>
      </c>
      <c r="H482" s="14">
        <f t="shared" si="29"/>
        <v>1664.909090909091</v>
      </c>
      <c r="I482" s="14">
        <f t="shared" si="30"/>
        <v>-34.909090909090992</v>
      </c>
      <c r="J482" s="15">
        <f t="shared" si="31"/>
        <v>-2.0967565796658344E-2</v>
      </c>
      <c r="K482" s="13" t="s">
        <v>16</v>
      </c>
    </row>
    <row r="483" spans="1:11" x14ac:dyDescent="0.25">
      <c r="A483" s="7" t="s">
        <v>999</v>
      </c>
      <c r="B483" s="7" t="s">
        <v>328</v>
      </c>
      <c r="C483" s="7" t="s">
        <v>1013</v>
      </c>
      <c r="D483" s="7" t="s">
        <v>330</v>
      </c>
      <c r="E483" s="16">
        <v>1365</v>
      </c>
      <c r="F483" s="16">
        <v>1164.73</v>
      </c>
      <c r="G483" s="8">
        <f t="shared" si="28"/>
        <v>105.88454545454546</v>
      </c>
      <c r="H483" s="8">
        <f t="shared" si="29"/>
        <v>1058.8454545454545</v>
      </c>
      <c r="I483" s="8">
        <f t="shared" si="30"/>
        <v>306.15454545454554</v>
      </c>
      <c r="J483" s="9">
        <f t="shared" si="31"/>
        <v>0.28913997235410793</v>
      </c>
      <c r="K483" s="7" t="s">
        <v>81</v>
      </c>
    </row>
    <row r="484" spans="1:11" x14ac:dyDescent="0.25">
      <c r="A484" s="7" t="s">
        <v>999</v>
      </c>
      <c r="B484" s="7" t="s">
        <v>328</v>
      </c>
      <c r="C484" s="7" t="s">
        <v>1014</v>
      </c>
      <c r="D484" s="7" t="s">
        <v>330</v>
      </c>
      <c r="E484" s="16">
        <v>1365</v>
      </c>
      <c r="F484" s="16">
        <v>1164.73</v>
      </c>
      <c r="G484" s="8">
        <f t="shared" si="28"/>
        <v>105.88454545454546</v>
      </c>
      <c r="H484" s="8">
        <f t="shared" si="29"/>
        <v>1058.8454545454545</v>
      </c>
      <c r="I484" s="8">
        <f t="shared" si="30"/>
        <v>306.15454545454554</v>
      </c>
      <c r="J484" s="9">
        <f t="shared" si="31"/>
        <v>0.28913997235410793</v>
      </c>
      <c r="K484" s="7" t="s">
        <v>81</v>
      </c>
    </row>
    <row r="485" spans="1:11" x14ac:dyDescent="0.25">
      <c r="A485" s="7" t="s">
        <v>999</v>
      </c>
      <c r="B485" s="7" t="s">
        <v>328</v>
      </c>
      <c r="C485" s="7" t="s">
        <v>1015</v>
      </c>
      <c r="D485" s="7" t="s">
        <v>330</v>
      </c>
      <c r="E485" s="16">
        <v>1365</v>
      </c>
      <c r="F485" s="16">
        <v>1164.73</v>
      </c>
      <c r="G485" s="8">
        <f t="shared" si="28"/>
        <v>105.88454545454546</v>
      </c>
      <c r="H485" s="8">
        <f t="shared" si="29"/>
        <v>1058.8454545454545</v>
      </c>
      <c r="I485" s="8">
        <f t="shared" si="30"/>
        <v>306.15454545454554</v>
      </c>
      <c r="J485" s="9">
        <f t="shared" si="31"/>
        <v>0.28913997235410793</v>
      </c>
      <c r="K485" s="7" t="s">
        <v>81</v>
      </c>
    </row>
    <row r="486" spans="1:11" x14ac:dyDescent="0.25">
      <c r="A486" s="7" t="s">
        <v>999</v>
      </c>
      <c r="B486" s="7" t="s">
        <v>328</v>
      </c>
      <c r="C486" s="7" t="s">
        <v>1016</v>
      </c>
      <c r="D486" s="7" t="s">
        <v>330</v>
      </c>
      <c r="E486" s="16">
        <v>1365</v>
      </c>
      <c r="F486" s="16">
        <v>1164.73</v>
      </c>
      <c r="G486" s="8">
        <f t="shared" si="28"/>
        <v>105.88454545454546</v>
      </c>
      <c r="H486" s="8">
        <f t="shared" si="29"/>
        <v>1058.8454545454545</v>
      </c>
      <c r="I486" s="8">
        <f t="shared" si="30"/>
        <v>306.15454545454554</v>
      </c>
      <c r="J486" s="9">
        <f t="shared" si="31"/>
        <v>0.28913997235410793</v>
      </c>
      <c r="K486" s="7" t="s">
        <v>81</v>
      </c>
    </row>
    <row r="487" spans="1:11" x14ac:dyDescent="0.25">
      <c r="A487" s="7" t="s">
        <v>999</v>
      </c>
      <c r="B487" s="7" t="s">
        <v>328</v>
      </c>
      <c r="C487" s="7" t="s">
        <v>1017</v>
      </c>
      <c r="D487" s="7" t="s">
        <v>330</v>
      </c>
      <c r="E487" s="16">
        <v>1365</v>
      </c>
      <c r="F487" s="16">
        <v>1164.73</v>
      </c>
      <c r="G487" s="8">
        <f t="shared" si="28"/>
        <v>105.88454545454546</v>
      </c>
      <c r="H487" s="8">
        <f t="shared" si="29"/>
        <v>1058.8454545454545</v>
      </c>
      <c r="I487" s="8">
        <f t="shared" si="30"/>
        <v>306.15454545454554</v>
      </c>
      <c r="J487" s="9">
        <f t="shared" si="31"/>
        <v>0.28913997235410793</v>
      </c>
      <c r="K487" s="7" t="s">
        <v>81</v>
      </c>
    </row>
    <row r="488" spans="1:11" x14ac:dyDescent="0.25">
      <c r="A488" s="7" t="s">
        <v>999</v>
      </c>
      <c r="B488" s="7" t="s">
        <v>328</v>
      </c>
      <c r="C488" s="7" t="s">
        <v>1018</v>
      </c>
      <c r="D488" s="7" t="s">
        <v>330</v>
      </c>
      <c r="E488" s="16">
        <v>1365</v>
      </c>
      <c r="F488" s="16">
        <v>1164.73</v>
      </c>
      <c r="G488" s="8">
        <f t="shared" si="28"/>
        <v>105.88454545454546</v>
      </c>
      <c r="H488" s="8">
        <f t="shared" si="29"/>
        <v>1058.8454545454545</v>
      </c>
      <c r="I488" s="8">
        <f t="shared" si="30"/>
        <v>306.15454545454554</v>
      </c>
      <c r="J488" s="9">
        <f t="shared" si="31"/>
        <v>0.28913997235410793</v>
      </c>
      <c r="K488" s="7" t="s">
        <v>81</v>
      </c>
    </row>
    <row r="489" spans="1:11" x14ac:dyDescent="0.25">
      <c r="A489" s="7" t="s">
        <v>999</v>
      </c>
      <c r="B489" s="7" t="s">
        <v>328</v>
      </c>
      <c r="C489" s="7" t="s">
        <v>1019</v>
      </c>
      <c r="D489" s="7" t="s">
        <v>330</v>
      </c>
      <c r="E489" s="16">
        <v>1365</v>
      </c>
      <c r="F489" s="16">
        <v>1164.73</v>
      </c>
      <c r="G489" s="8">
        <f t="shared" si="28"/>
        <v>105.88454545454546</v>
      </c>
      <c r="H489" s="8">
        <f t="shared" si="29"/>
        <v>1058.8454545454545</v>
      </c>
      <c r="I489" s="8">
        <f t="shared" si="30"/>
        <v>306.15454545454554</v>
      </c>
      <c r="J489" s="9">
        <f t="shared" si="31"/>
        <v>0.28913997235410793</v>
      </c>
      <c r="K489" s="7" t="s">
        <v>81</v>
      </c>
    </row>
    <row r="490" spans="1:11" x14ac:dyDescent="0.25">
      <c r="A490" s="7" t="s">
        <v>999</v>
      </c>
      <c r="B490" s="7" t="s">
        <v>328</v>
      </c>
      <c r="C490" s="7" t="s">
        <v>1020</v>
      </c>
      <c r="D490" s="7" t="s">
        <v>330</v>
      </c>
      <c r="E490" s="16">
        <v>1365</v>
      </c>
      <c r="F490" s="16">
        <v>1164.73</v>
      </c>
      <c r="G490" s="8">
        <f t="shared" si="28"/>
        <v>105.88454545454546</v>
      </c>
      <c r="H490" s="8">
        <f t="shared" si="29"/>
        <v>1058.8454545454545</v>
      </c>
      <c r="I490" s="8">
        <f t="shared" si="30"/>
        <v>306.15454545454554</v>
      </c>
      <c r="J490" s="9">
        <f t="shared" si="31"/>
        <v>0.28913997235410793</v>
      </c>
      <c r="K490" s="7" t="s">
        <v>81</v>
      </c>
    </row>
    <row r="491" spans="1:11" x14ac:dyDescent="0.25">
      <c r="A491" s="7" t="s">
        <v>999</v>
      </c>
      <c r="B491" s="7" t="s">
        <v>328</v>
      </c>
      <c r="C491" s="7" t="s">
        <v>1021</v>
      </c>
      <c r="D491" s="7" t="s">
        <v>330</v>
      </c>
      <c r="E491" s="16">
        <v>1365</v>
      </c>
      <c r="F491" s="16">
        <v>1164.73</v>
      </c>
      <c r="G491" s="8">
        <f t="shared" si="28"/>
        <v>105.88454545454546</v>
      </c>
      <c r="H491" s="8">
        <f t="shared" si="29"/>
        <v>1058.8454545454545</v>
      </c>
      <c r="I491" s="8">
        <f t="shared" si="30"/>
        <v>306.15454545454554</v>
      </c>
      <c r="J491" s="9">
        <f t="shared" si="31"/>
        <v>0.28913997235410793</v>
      </c>
      <c r="K491" s="7" t="s">
        <v>81</v>
      </c>
    </row>
    <row r="492" spans="1:11" x14ac:dyDescent="0.25">
      <c r="A492" s="7" t="s">
        <v>999</v>
      </c>
      <c r="B492" s="7" t="s">
        <v>328</v>
      </c>
      <c r="C492" s="7" t="s">
        <v>1022</v>
      </c>
      <c r="D492" s="7" t="s">
        <v>330</v>
      </c>
      <c r="E492" s="16">
        <v>1365</v>
      </c>
      <c r="F492" s="16">
        <v>1164.73</v>
      </c>
      <c r="G492" s="8">
        <f t="shared" si="28"/>
        <v>105.88454545454546</v>
      </c>
      <c r="H492" s="8">
        <f t="shared" si="29"/>
        <v>1058.8454545454545</v>
      </c>
      <c r="I492" s="8">
        <f t="shared" si="30"/>
        <v>306.15454545454554</v>
      </c>
      <c r="J492" s="9">
        <f t="shared" si="31"/>
        <v>0.28913997235410793</v>
      </c>
      <c r="K492" s="7" t="s">
        <v>81</v>
      </c>
    </row>
    <row r="493" spans="1:11" x14ac:dyDescent="0.25">
      <c r="A493" s="7" t="s">
        <v>999</v>
      </c>
      <c r="B493" s="7" t="s">
        <v>328</v>
      </c>
      <c r="C493" s="7" t="s">
        <v>1023</v>
      </c>
      <c r="D493" s="7" t="s">
        <v>330</v>
      </c>
      <c r="E493" s="16">
        <v>1390</v>
      </c>
      <c r="F493" s="16">
        <v>1164.73</v>
      </c>
      <c r="G493" s="8">
        <f t="shared" si="28"/>
        <v>105.88454545454546</v>
      </c>
      <c r="H493" s="8">
        <f t="shared" si="29"/>
        <v>1058.8454545454545</v>
      </c>
      <c r="I493" s="8">
        <f t="shared" si="30"/>
        <v>331.15454545454554</v>
      </c>
      <c r="J493" s="9">
        <f t="shared" si="31"/>
        <v>0.3127505945583956</v>
      </c>
      <c r="K493" s="7" t="s">
        <v>81</v>
      </c>
    </row>
    <row r="494" spans="1:11" x14ac:dyDescent="0.25">
      <c r="A494" s="7" t="s">
        <v>999</v>
      </c>
      <c r="B494" s="7" t="s">
        <v>328</v>
      </c>
      <c r="C494" s="7" t="s">
        <v>1024</v>
      </c>
      <c r="D494" s="7" t="s">
        <v>330</v>
      </c>
      <c r="E494" s="16">
        <v>1390</v>
      </c>
      <c r="F494" s="16">
        <v>1164.73</v>
      </c>
      <c r="G494" s="8">
        <f t="shared" si="28"/>
        <v>105.88454545454546</v>
      </c>
      <c r="H494" s="8">
        <f t="shared" si="29"/>
        <v>1058.8454545454545</v>
      </c>
      <c r="I494" s="8">
        <f t="shared" si="30"/>
        <v>331.15454545454554</v>
      </c>
      <c r="J494" s="9">
        <f t="shared" si="31"/>
        <v>0.3127505945583956</v>
      </c>
      <c r="K494" s="7" t="s">
        <v>81</v>
      </c>
    </row>
    <row r="495" spans="1:11" x14ac:dyDescent="0.25">
      <c r="A495" s="7" t="s">
        <v>999</v>
      </c>
      <c r="B495" s="7" t="s">
        <v>328</v>
      </c>
      <c r="C495" s="7" t="s">
        <v>1025</v>
      </c>
      <c r="D495" s="7" t="s">
        <v>330</v>
      </c>
      <c r="E495" s="16">
        <v>1390</v>
      </c>
      <c r="F495" s="16">
        <v>1164.73</v>
      </c>
      <c r="G495" s="8">
        <f t="shared" si="28"/>
        <v>105.88454545454546</v>
      </c>
      <c r="H495" s="8">
        <f t="shared" si="29"/>
        <v>1058.8454545454545</v>
      </c>
      <c r="I495" s="8">
        <f t="shared" si="30"/>
        <v>331.15454545454554</v>
      </c>
      <c r="J495" s="9">
        <f t="shared" si="31"/>
        <v>0.3127505945583956</v>
      </c>
      <c r="K495" s="7" t="s">
        <v>81</v>
      </c>
    </row>
    <row r="496" spans="1:11" x14ac:dyDescent="0.25">
      <c r="A496" s="7" t="s">
        <v>999</v>
      </c>
      <c r="B496" s="7" t="s">
        <v>328</v>
      </c>
      <c r="C496" s="7" t="s">
        <v>1026</v>
      </c>
      <c r="D496" s="7" t="s">
        <v>330</v>
      </c>
      <c r="E496" s="16">
        <v>1390</v>
      </c>
      <c r="F496" s="16">
        <v>1164.73</v>
      </c>
      <c r="G496" s="8">
        <f t="shared" si="28"/>
        <v>105.88454545454546</v>
      </c>
      <c r="H496" s="8">
        <f t="shared" si="29"/>
        <v>1058.8454545454545</v>
      </c>
      <c r="I496" s="8">
        <f t="shared" si="30"/>
        <v>331.15454545454554</v>
      </c>
      <c r="J496" s="9">
        <f t="shared" si="31"/>
        <v>0.3127505945583956</v>
      </c>
      <c r="K496" s="7" t="s">
        <v>81</v>
      </c>
    </row>
    <row r="497" spans="1:11" x14ac:dyDescent="0.25">
      <c r="A497" s="7" t="s">
        <v>999</v>
      </c>
      <c r="B497" s="7" t="s">
        <v>328</v>
      </c>
      <c r="C497" s="7" t="s">
        <v>1027</v>
      </c>
      <c r="D497" s="7" t="s">
        <v>330</v>
      </c>
      <c r="E497" s="16">
        <v>1390</v>
      </c>
      <c r="F497" s="16">
        <v>1164.73</v>
      </c>
      <c r="G497" s="8">
        <f t="shared" si="28"/>
        <v>105.88454545454546</v>
      </c>
      <c r="H497" s="8">
        <f t="shared" si="29"/>
        <v>1058.8454545454545</v>
      </c>
      <c r="I497" s="8">
        <f t="shared" si="30"/>
        <v>331.15454545454554</v>
      </c>
      <c r="J497" s="9">
        <f t="shared" si="31"/>
        <v>0.3127505945583956</v>
      </c>
      <c r="K497" s="7" t="s">
        <v>81</v>
      </c>
    </row>
    <row r="498" spans="1:11" x14ac:dyDescent="0.25">
      <c r="A498" s="7" t="s">
        <v>999</v>
      </c>
      <c r="B498" s="7" t="s">
        <v>328</v>
      </c>
      <c r="C498" s="7" t="s">
        <v>1028</v>
      </c>
      <c r="D498" s="7" t="s">
        <v>330</v>
      </c>
      <c r="E498" s="16">
        <v>1390</v>
      </c>
      <c r="F498" s="16">
        <v>1164.73</v>
      </c>
      <c r="G498" s="8">
        <f t="shared" si="28"/>
        <v>105.88454545454546</v>
      </c>
      <c r="H498" s="8">
        <f t="shared" si="29"/>
        <v>1058.8454545454545</v>
      </c>
      <c r="I498" s="8">
        <f t="shared" si="30"/>
        <v>331.15454545454554</v>
      </c>
      <c r="J498" s="9">
        <f t="shared" si="31"/>
        <v>0.3127505945583956</v>
      </c>
      <c r="K498" s="7" t="s">
        <v>81</v>
      </c>
    </row>
    <row r="499" spans="1:11" x14ac:dyDescent="0.25">
      <c r="A499" s="7" t="s">
        <v>999</v>
      </c>
      <c r="B499" s="7" t="s">
        <v>328</v>
      </c>
      <c r="C499" s="7" t="s">
        <v>1029</v>
      </c>
      <c r="D499" s="7" t="s">
        <v>330</v>
      </c>
      <c r="E499" s="16">
        <v>1390</v>
      </c>
      <c r="F499" s="16">
        <v>1164.73</v>
      </c>
      <c r="G499" s="8">
        <f t="shared" si="28"/>
        <v>105.88454545454546</v>
      </c>
      <c r="H499" s="8">
        <f t="shared" si="29"/>
        <v>1058.8454545454545</v>
      </c>
      <c r="I499" s="8">
        <f t="shared" si="30"/>
        <v>331.15454545454554</v>
      </c>
      <c r="J499" s="9">
        <f t="shared" si="31"/>
        <v>0.3127505945583956</v>
      </c>
      <c r="K499" s="7" t="s">
        <v>81</v>
      </c>
    </row>
    <row r="500" spans="1:11" x14ac:dyDescent="0.25">
      <c r="A500" s="7" t="s">
        <v>999</v>
      </c>
      <c r="B500" s="7" t="s">
        <v>328</v>
      </c>
      <c r="C500" s="7" t="s">
        <v>1030</v>
      </c>
      <c r="D500" s="7" t="s">
        <v>330</v>
      </c>
      <c r="E500" s="16">
        <v>1390</v>
      </c>
      <c r="F500" s="16">
        <v>1164.73</v>
      </c>
      <c r="G500" s="8">
        <f t="shared" si="28"/>
        <v>105.88454545454546</v>
      </c>
      <c r="H500" s="8">
        <f t="shared" si="29"/>
        <v>1058.8454545454545</v>
      </c>
      <c r="I500" s="8">
        <f t="shared" si="30"/>
        <v>331.15454545454554</v>
      </c>
      <c r="J500" s="9">
        <f t="shared" si="31"/>
        <v>0.3127505945583956</v>
      </c>
      <c r="K500" s="7" t="s">
        <v>81</v>
      </c>
    </row>
    <row r="501" spans="1:11" x14ac:dyDescent="0.25">
      <c r="A501" s="7" t="s">
        <v>999</v>
      </c>
      <c r="B501" s="7" t="s">
        <v>328</v>
      </c>
      <c r="C501" s="7" t="s">
        <v>1031</v>
      </c>
      <c r="D501" s="7" t="s">
        <v>330</v>
      </c>
      <c r="E501" s="16">
        <v>1390</v>
      </c>
      <c r="F501" s="16">
        <v>1164.73</v>
      </c>
      <c r="G501" s="8">
        <f t="shared" si="28"/>
        <v>105.88454545454546</v>
      </c>
      <c r="H501" s="8">
        <f t="shared" si="29"/>
        <v>1058.8454545454545</v>
      </c>
      <c r="I501" s="8">
        <f t="shared" si="30"/>
        <v>331.15454545454554</v>
      </c>
      <c r="J501" s="9">
        <f t="shared" si="31"/>
        <v>0.3127505945583956</v>
      </c>
      <c r="K501" s="7" t="s">
        <v>81</v>
      </c>
    </row>
    <row r="502" spans="1:11" x14ac:dyDescent="0.25">
      <c r="A502" s="7" t="s">
        <v>999</v>
      </c>
      <c r="B502" s="7" t="s">
        <v>328</v>
      </c>
      <c r="C502" s="7" t="s">
        <v>1032</v>
      </c>
      <c r="D502" s="7" t="s">
        <v>330</v>
      </c>
      <c r="E502" s="16">
        <v>1390</v>
      </c>
      <c r="F502" s="16">
        <v>1164.73</v>
      </c>
      <c r="G502" s="8">
        <f t="shared" si="28"/>
        <v>105.88454545454546</v>
      </c>
      <c r="H502" s="8">
        <f t="shared" si="29"/>
        <v>1058.8454545454545</v>
      </c>
      <c r="I502" s="8">
        <f t="shared" si="30"/>
        <v>331.15454545454554</v>
      </c>
      <c r="J502" s="9">
        <f t="shared" si="31"/>
        <v>0.3127505945583956</v>
      </c>
      <c r="K502" s="7" t="s">
        <v>81</v>
      </c>
    </row>
    <row r="503" spans="1:11" x14ac:dyDescent="0.25">
      <c r="A503" s="7" t="s">
        <v>999</v>
      </c>
      <c r="B503" s="7" t="s">
        <v>328</v>
      </c>
      <c r="C503" s="7" t="s">
        <v>1033</v>
      </c>
      <c r="D503" s="7" t="s">
        <v>330</v>
      </c>
      <c r="E503" s="16">
        <v>1360</v>
      </c>
      <c r="F503" s="16">
        <v>1164.73</v>
      </c>
      <c r="G503" s="8">
        <f t="shared" si="28"/>
        <v>105.88454545454546</v>
      </c>
      <c r="H503" s="8">
        <f t="shared" si="29"/>
        <v>1058.8454545454545</v>
      </c>
      <c r="I503" s="8">
        <f t="shared" si="30"/>
        <v>301.15454545454554</v>
      </c>
      <c r="J503" s="9">
        <f t="shared" si="31"/>
        <v>0.28441784791325037</v>
      </c>
      <c r="K503" s="7" t="s">
        <v>81</v>
      </c>
    </row>
    <row r="504" spans="1:11" x14ac:dyDescent="0.25">
      <c r="A504" s="7" t="s">
        <v>999</v>
      </c>
      <c r="B504" s="7" t="s">
        <v>328</v>
      </c>
      <c r="C504" s="7" t="s">
        <v>1034</v>
      </c>
      <c r="D504" s="7" t="s">
        <v>330</v>
      </c>
      <c r="E504" s="16">
        <v>1360</v>
      </c>
      <c r="F504" s="16">
        <v>1164.73</v>
      </c>
      <c r="G504" s="8">
        <f t="shared" si="28"/>
        <v>105.88454545454546</v>
      </c>
      <c r="H504" s="8">
        <f t="shared" si="29"/>
        <v>1058.8454545454545</v>
      </c>
      <c r="I504" s="8">
        <f t="shared" si="30"/>
        <v>301.15454545454554</v>
      </c>
      <c r="J504" s="9">
        <f t="shared" si="31"/>
        <v>0.28441784791325037</v>
      </c>
      <c r="K504" s="7" t="s">
        <v>81</v>
      </c>
    </row>
    <row r="505" spans="1:11" x14ac:dyDescent="0.25">
      <c r="A505" s="7" t="s">
        <v>999</v>
      </c>
      <c r="B505" s="7" t="s">
        <v>328</v>
      </c>
      <c r="C505" s="7" t="s">
        <v>1035</v>
      </c>
      <c r="D505" s="7" t="s">
        <v>330</v>
      </c>
      <c r="E505" s="16">
        <v>1360</v>
      </c>
      <c r="F505" s="16">
        <v>1164.73</v>
      </c>
      <c r="G505" s="8">
        <f t="shared" si="28"/>
        <v>105.88454545454546</v>
      </c>
      <c r="H505" s="8">
        <f t="shared" si="29"/>
        <v>1058.8454545454545</v>
      </c>
      <c r="I505" s="8">
        <f t="shared" si="30"/>
        <v>301.15454545454554</v>
      </c>
      <c r="J505" s="9">
        <f t="shared" si="31"/>
        <v>0.28441784791325037</v>
      </c>
      <c r="K505" s="7" t="s">
        <v>81</v>
      </c>
    </row>
    <row r="506" spans="1:11" x14ac:dyDescent="0.25">
      <c r="A506" s="7" t="s">
        <v>999</v>
      </c>
      <c r="B506" s="7" t="s">
        <v>328</v>
      </c>
      <c r="C506" s="7" t="s">
        <v>1036</v>
      </c>
      <c r="D506" s="7" t="s">
        <v>330</v>
      </c>
      <c r="E506" s="16">
        <v>1360</v>
      </c>
      <c r="F506" s="16">
        <v>1164.73</v>
      </c>
      <c r="G506" s="8">
        <f t="shared" si="28"/>
        <v>105.88454545454546</v>
      </c>
      <c r="H506" s="8">
        <f t="shared" si="29"/>
        <v>1058.8454545454545</v>
      </c>
      <c r="I506" s="8">
        <f t="shared" si="30"/>
        <v>301.15454545454554</v>
      </c>
      <c r="J506" s="9">
        <f t="shared" si="31"/>
        <v>0.28441784791325037</v>
      </c>
      <c r="K506" s="7" t="s">
        <v>81</v>
      </c>
    </row>
    <row r="507" spans="1:11" x14ac:dyDescent="0.25">
      <c r="A507" s="7" t="s">
        <v>999</v>
      </c>
      <c r="B507" s="7" t="s">
        <v>328</v>
      </c>
      <c r="C507" s="7" t="s">
        <v>1037</v>
      </c>
      <c r="D507" s="7" t="s">
        <v>330</v>
      </c>
      <c r="E507" s="16">
        <v>1360</v>
      </c>
      <c r="F507" s="16">
        <v>1164.73</v>
      </c>
      <c r="G507" s="8">
        <f t="shared" si="28"/>
        <v>105.88454545454546</v>
      </c>
      <c r="H507" s="8">
        <f t="shared" si="29"/>
        <v>1058.8454545454545</v>
      </c>
      <c r="I507" s="8">
        <f t="shared" si="30"/>
        <v>301.15454545454554</v>
      </c>
      <c r="J507" s="9">
        <f t="shared" si="31"/>
        <v>0.28441784791325037</v>
      </c>
      <c r="K507" s="7" t="s">
        <v>81</v>
      </c>
    </row>
    <row r="508" spans="1:11" x14ac:dyDescent="0.25">
      <c r="A508" s="7" t="s">
        <v>999</v>
      </c>
      <c r="B508" s="7" t="s">
        <v>328</v>
      </c>
      <c r="C508" s="7" t="s">
        <v>1038</v>
      </c>
      <c r="D508" s="7" t="s">
        <v>330</v>
      </c>
      <c r="E508" s="16">
        <v>1360</v>
      </c>
      <c r="F508" s="16">
        <v>1164.73</v>
      </c>
      <c r="G508" s="8">
        <f t="shared" si="28"/>
        <v>105.88454545454546</v>
      </c>
      <c r="H508" s="8">
        <f t="shared" si="29"/>
        <v>1058.8454545454545</v>
      </c>
      <c r="I508" s="8">
        <f t="shared" si="30"/>
        <v>301.15454545454554</v>
      </c>
      <c r="J508" s="9">
        <f t="shared" si="31"/>
        <v>0.28441784791325037</v>
      </c>
      <c r="K508" s="7" t="s">
        <v>81</v>
      </c>
    </row>
    <row r="509" spans="1:11" x14ac:dyDescent="0.25">
      <c r="A509" s="7" t="s">
        <v>999</v>
      </c>
      <c r="B509" s="7" t="s">
        <v>328</v>
      </c>
      <c r="C509" s="7" t="s">
        <v>1039</v>
      </c>
      <c r="D509" s="7" t="s">
        <v>330</v>
      </c>
      <c r="E509" s="16">
        <v>1360</v>
      </c>
      <c r="F509" s="16">
        <v>1164.73</v>
      </c>
      <c r="G509" s="8">
        <f t="shared" si="28"/>
        <v>105.88454545454546</v>
      </c>
      <c r="H509" s="8">
        <f t="shared" si="29"/>
        <v>1058.8454545454545</v>
      </c>
      <c r="I509" s="8">
        <f t="shared" si="30"/>
        <v>301.15454545454554</v>
      </c>
      <c r="J509" s="9">
        <f t="shared" si="31"/>
        <v>0.28441784791325037</v>
      </c>
      <c r="K509" s="7" t="s">
        <v>81</v>
      </c>
    </row>
    <row r="510" spans="1:11" x14ac:dyDescent="0.25">
      <c r="A510" s="7" t="s">
        <v>999</v>
      </c>
      <c r="B510" s="7" t="s">
        <v>328</v>
      </c>
      <c r="C510" s="7" t="s">
        <v>1040</v>
      </c>
      <c r="D510" s="7" t="s">
        <v>330</v>
      </c>
      <c r="E510" s="16">
        <v>1360</v>
      </c>
      <c r="F510" s="16">
        <v>1164.73</v>
      </c>
      <c r="G510" s="8">
        <f t="shared" si="28"/>
        <v>105.88454545454546</v>
      </c>
      <c r="H510" s="8">
        <f t="shared" si="29"/>
        <v>1058.8454545454545</v>
      </c>
      <c r="I510" s="8">
        <f t="shared" si="30"/>
        <v>301.15454545454554</v>
      </c>
      <c r="J510" s="9">
        <f t="shared" si="31"/>
        <v>0.28441784791325037</v>
      </c>
      <c r="K510" s="7" t="s">
        <v>81</v>
      </c>
    </row>
    <row r="511" spans="1:11" x14ac:dyDescent="0.25">
      <c r="A511" s="7" t="s">
        <v>999</v>
      </c>
      <c r="B511" s="7" t="s">
        <v>328</v>
      </c>
      <c r="C511" s="7" t="s">
        <v>1041</v>
      </c>
      <c r="D511" s="7" t="s">
        <v>330</v>
      </c>
      <c r="E511" s="16">
        <v>1360</v>
      </c>
      <c r="F511" s="16">
        <v>1164.73</v>
      </c>
      <c r="G511" s="8">
        <f t="shared" si="28"/>
        <v>105.88454545454546</v>
      </c>
      <c r="H511" s="8">
        <f t="shared" si="29"/>
        <v>1058.8454545454545</v>
      </c>
      <c r="I511" s="8">
        <f t="shared" si="30"/>
        <v>301.15454545454554</v>
      </c>
      <c r="J511" s="9">
        <f t="shared" si="31"/>
        <v>0.28441784791325037</v>
      </c>
      <c r="K511" s="7" t="s">
        <v>81</v>
      </c>
    </row>
    <row r="512" spans="1:11" x14ac:dyDescent="0.25">
      <c r="A512" s="7" t="s">
        <v>999</v>
      </c>
      <c r="B512" s="7" t="s">
        <v>328</v>
      </c>
      <c r="C512" s="7" t="s">
        <v>1042</v>
      </c>
      <c r="D512" s="7" t="s">
        <v>330</v>
      </c>
      <c r="E512" s="16">
        <v>1360</v>
      </c>
      <c r="F512" s="16">
        <v>1164.73</v>
      </c>
      <c r="G512" s="8">
        <f t="shared" si="28"/>
        <v>105.88454545454546</v>
      </c>
      <c r="H512" s="8">
        <f t="shared" si="29"/>
        <v>1058.8454545454545</v>
      </c>
      <c r="I512" s="8">
        <f t="shared" si="30"/>
        <v>301.15454545454554</v>
      </c>
      <c r="J512" s="9">
        <f t="shared" si="31"/>
        <v>0.28441784791325037</v>
      </c>
      <c r="K512" s="7" t="s">
        <v>81</v>
      </c>
    </row>
    <row r="513" spans="1:11" x14ac:dyDescent="0.25">
      <c r="A513" s="7" t="s">
        <v>999</v>
      </c>
      <c r="B513" s="7" t="s">
        <v>328</v>
      </c>
      <c r="C513" s="7" t="s">
        <v>1043</v>
      </c>
      <c r="D513" s="7" t="s">
        <v>330</v>
      </c>
      <c r="E513" s="16">
        <v>1365</v>
      </c>
      <c r="F513" s="16">
        <v>1164.73</v>
      </c>
      <c r="G513" s="8">
        <f t="shared" si="28"/>
        <v>105.88454545454546</v>
      </c>
      <c r="H513" s="8">
        <f t="shared" si="29"/>
        <v>1058.8454545454545</v>
      </c>
      <c r="I513" s="8">
        <f t="shared" si="30"/>
        <v>306.15454545454554</v>
      </c>
      <c r="J513" s="9">
        <f t="shared" si="31"/>
        <v>0.28913997235410793</v>
      </c>
      <c r="K513" s="7" t="s">
        <v>81</v>
      </c>
    </row>
    <row r="514" spans="1:11" x14ac:dyDescent="0.25">
      <c r="A514" s="7" t="s">
        <v>999</v>
      </c>
      <c r="B514" s="7" t="s">
        <v>328</v>
      </c>
      <c r="C514" s="7" t="s">
        <v>1044</v>
      </c>
      <c r="D514" s="7" t="s">
        <v>330</v>
      </c>
      <c r="E514" s="16">
        <v>1365</v>
      </c>
      <c r="F514" s="16">
        <v>1164.73</v>
      </c>
      <c r="G514" s="8">
        <f t="shared" si="28"/>
        <v>105.88454545454546</v>
      </c>
      <c r="H514" s="8">
        <f t="shared" si="29"/>
        <v>1058.8454545454545</v>
      </c>
      <c r="I514" s="8">
        <f t="shared" si="30"/>
        <v>306.15454545454554</v>
      </c>
      <c r="J514" s="9">
        <f t="shared" si="31"/>
        <v>0.28913997235410793</v>
      </c>
      <c r="K514" s="7" t="s">
        <v>81</v>
      </c>
    </row>
    <row r="515" spans="1:11" x14ac:dyDescent="0.25">
      <c r="A515" s="7" t="s">
        <v>999</v>
      </c>
      <c r="B515" s="7" t="s">
        <v>328</v>
      </c>
      <c r="C515" s="7" t="s">
        <v>1045</v>
      </c>
      <c r="D515" s="7" t="s">
        <v>330</v>
      </c>
      <c r="E515" s="16">
        <v>1365</v>
      </c>
      <c r="F515" s="16">
        <v>1164.73</v>
      </c>
      <c r="G515" s="8">
        <f t="shared" ref="G515:G578" si="32">F515/11</f>
        <v>105.88454545454546</v>
      </c>
      <c r="H515" s="8">
        <f t="shared" ref="H515:H578" si="33">F515-G515</f>
        <v>1058.8454545454545</v>
      </c>
      <c r="I515" s="8">
        <f t="shared" ref="I515:I578" si="34">E515-H515</f>
        <v>306.15454545454554</v>
      </c>
      <c r="J515" s="9">
        <f t="shared" ref="J515:J578" si="35">(E515-H515)/H515</f>
        <v>0.28913997235410793</v>
      </c>
      <c r="K515" s="7" t="s">
        <v>81</v>
      </c>
    </row>
    <row r="516" spans="1:11" x14ac:dyDescent="0.25">
      <c r="A516" s="7" t="s">
        <v>999</v>
      </c>
      <c r="B516" s="7" t="s">
        <v>328</v>
      </c>
      <c r="C516" s="7" t="s">
        <v>1046</v>
      </c>
      <c r="D516" s="7" t="s">
        <v>330</v>
      </c>
      <c r="E516" s="16">
        <v>1365</v>
      </c>
      <c r="F516" s="16">
        <v>1164.73</v>
      </c>
      <c r="G516" s="8">
        <f t="shared" si="32"/>
        <v>105.88454545454546</v>
      </c>
      <c r="H516" s="8">
        <f t="shared" si="33"/>
        <v>1058.8454545454545</v>
      </c>
      <c r="I516" s="8">
        <f t="shared" si="34"/>
        <v>306.15454545454554</v>
      </c>
      <c r="J516" s="9">
        <f t="shared" si="35"/>
        <v>0.28913997235410793</v>
      </c>
      <c r="K516" s="7" t="s">
        <v>81</v>
      </c>
    </row>
    <row r="517" spans="1:11" x14ac:dyDescent="0.25">
      <c r="A517" s="7" t="s">
        <v>999</v>
      </c>
      <c r="B517" s="7" t="s">
        <v>328</v>
      </c>
      <c r="C517" s="7" t="s">
        <v>1047</v>
      </c>
      <c r="D517" s="7" t="s">
        <v>330</v>
      </c>
      <c r="E517" s="16">
        <v>1365</v>
      </c>
      <c r="F517" s="16">
        <v>1164.73</v>
      </c>
      <c r="G517" s="8">
        <f t="shared" si="32"/>
        <v>105.88454545454546</v>
      </c>
      <c r="H517" s="8">
        <f t="shared" si="33"/>
        <v>1058.8454545454545</v>
      </c>
      <c r="I517" s="8">
        <f t="shared" si="34"/>
        <v>306.15454545454554</v>
      </c>
      <c r="J517" s="9">
        <f t="shared" si="35"/>
        <v>0.28913997235410793</v>
      </c>
      <c r="K517" s="7" t="s">
        <v>81</v>
      </c>
    </row>
    <row r="518" spans="1:11" x14ac:dyDescent="0.25">
      <c r="A518" s="7" t="s">
        <v>999</v>
      </c>
      <c r="B518" s="7" t="s">
        <v>328</v>
      </c>
      <c r="C518" s="7" t="s">
        <v>1048</v>
      </c>
      <c r="D518" s="7" t="s">
        <v>330</v>
      </c>
      <c r="E518" s="16">
        <v>1365</v>
      </c>
      <c r="F518" s="16">
        <v>1164.73</v>
      </c>
      <c r="G518" s="8">
        <f t="shared" si="32"/>
        <v>105.88454545454546</v>
      </c>
      <c r="H518" s="8">
        <f t="shared" si="33"/>
        <v>1058.8454545454545</v>
      </c>
      <c r="I518" s="8">
        <f t="shared" si="34"/>
        <v>306.15454545454554</v>
      </c>
      <c r="J518" s="9">
        <f t="shared" si="35"/>
        <v>0.28913997235410793</v>
      </c>
      <c r="K518" s="7" t="s">
        <v>81</v>
      </c>
    </row>
    <row r="519" spans="1:11" x14ac:dyDescent="0.25">
      <c r="A519" s="7" t="s">
        <v>999</v>
      </c>
      <c r="B519" s="7" t="s">
        <v>328</v>
      </c>
      <c r="C519" s="7" t="s">
        <v>1049</v>
      </c>
      <c r="D519" s="7" t="s">
        <v>330</v>
      </c>
      <c r="E519" s="16">
        <v>1365</v>
      </c>
      <c r="F519" s="16">
        <v>1164.73</v>
      </c>
      <c r="G519" s="8">
        <f t="shared" si="32"/>
        <v>105.88454545454546</v>
      </c>
      <c r="H519" s="8">
        <f t="shared" si="33"/>
        <v>1058.8454545454545</v>
      </c>
      <c r="I519" s="8">
        <f t="shared" si="34"/>
        <v>306.15454545454554</v>
      </c>
      <c r="J519" s="9">
        <f t="shared" si="35"/>
        <v>0.28913997235410793</v>
      </c>
      <c r="K519" s="7" t="s">
        <v>81</v>
      </c>
    </row>
    <row r="520" spans="1:11" x14ac:dyDescent="0.25">
      <c r="A520" s="7" t="s">
        <v>999</v>
      </c>
      <c r="B520" s="7" t="s">
        <v>328</v>
      </c>
      <c r="C520" s="7" t="s">
        <v>1050</v>
      </c>
      <c r="D520" s="7" t="s">
        <v>330</v>
      </c>
      <c r="E520" s="16">
        <v>1365</v>
      </c>
      <c r="F520" s="16">
        <v>1164.73</v>
      </c>
      <c r="G520" s="8">
        <f t="shared" si="32"/>
        <v>105.88454545454546</v>
      </c>
      <c r="H520" s="8">
        <f t="shared" si="33"/>
        <v>1058.8454545454545</v>
      </c>
      <c r="I520" s="8">
        <f t="shared" si="34"/>
        <v>306.15454545454554</v>
      </c>
      <c r="J520" s="9">
        <f t="shared" si="35"/>
        <v>0.28913997235410793</v>
      </c>
      <c r="K520" s="7" t="s">
        <v>81</v>
      </c>
    </row>
    <row r="521" spans="1:11" x14ac:dyDescent="0.25">
      <c r="A521" s="7" t="s">
        <v>999</v>
      </c>
      <c r="B521" s="7" t="s">
        <v>328</v>
      </c>
      <c r="C521" s="7" t="s">
        <v>1051</v>
      </c>
      <c r="D521" s="7" t="s">
        <v>330</v>
      </c>
      <c r="E521" s="16">
        <v>1365</v>
      </c>
      <c r="F521" s="16">
        <v>1164.73</v>
      </c>
      <c r="G521" s="8">
        <f t="shared" si="32"/>
        <v>105.88454545454546</v>
      </c>
      <c r="H521" s="8">
        <f t="shared" si="33"/>
        <v>1058.8454545454545</v>
      </c>
      <c r="I521" s="8">
        <f t="shared" si="34"/>
        <v>306.15454545454554</v>
      </c>
      <c r="J521" s="9">
        <f t="shared" si="35"/>
        <v>0.28913997235410793</v>
      </c>
      <c r="K521" s="7" t="s">
        <v>81</v>
      </c>
    </row>
    <row r="522" spans="1:11" x14ac:dyDescent="0.25">
      <c r="A522" s="7" t="s">
        <v>999</v>
      </c>
      <c r="B522" s="7" t="s">
        <v>328</v>
      </c>
      <c r="C522" s="7" t="s">
        <v>1052</v>
      </c>
      <c r="D522" s="7" t="s">
        <v>330</v>
      </c>
      <c r="E522" s="16">
        <v>1365</v>
      </c>
      <c r="F522" s="16">
        <v>1164.73</v>
      </c>
      <c r="G522" s="8">
        <f t="shared" si="32"/>
        <v>105.88454545454546</v>
      </c>
      <c r="H522" s="8">
        <f t="shared" si="33"/>
        <v>1058.8454545454545</v>
      </c>
      <c r="I522" s="8">
        <f t="shared" si="34"/>
        <v>306.15454545454554</v>
      </c>
      <c r="J522" s="9">
        <f t="shared" si="35"/>
        <v>0.28913997235410793</v>
      </c>
      <c r="K522" s="7" t="s">
        <v>81</v>
      </c>
    </row>
    <row r="523" spans="1:11" x14ac:dyDescent="0.25">
      <c r="A523" s="7" t="s">
        <v>999</v>
      </c>
      <c r="B523" s="7" t="s">
        <v>328</v>
      </c>
      <c r="C523" s="7" t="s">
        <v>1053</v>
      </c>
      <c r="D523" s="7" t="s">
        <v>330</v>
      </c>
      <c r="E523" s="16">
        <v>1365</v>
      </c>
      <c r="F523" s="16">
        <v>1164.73</v>
      </c>
      <c r="G523" s="8">
        <f t="shared" si="32"/>
        <v>105.88454545454546</v>
      </c>
      <c r="H523" s="8">
        <f t="shared" si="33"/>
        <v>1058.8454545454545</v>
      </c>
      <c r="I523" s="8">
        <f t="shared" si="34"/>
        <v>306.15454545454554</v>
      </c>
      <c r="J523" s="9">
        <f t="shared" si="35"/>
        <v>0.28913997235410793</v>
      </c>
      <c r="K523" s="7" t="s">
        <v>81</v>
      </c>
    </row>
    <row r="524" spans="1:11" x14ac:dyDescent="0.25">
      <c r="A524" s="7" t="s">
        <v>999</v>
      </c>
      <c r="B524" s="7" t="s">
        <v>328</v>
      </c>
      <c r="C524" s="7" t="s">
        <v>1054</v>
      </c>
      <c r="D524" s="7" t="s">
        <v>330</v>
      </c>
      <c r="E524" s="16">
        <v>1365</v>
      </c>
      <c r="F524" s="16">
        <v>1164.73</v>
      </c>
      <c r="G524" s="8">
        <f t="shared" si="32"/>
        <v>105.88454545454546</v>
      </c>
      <c r="H524" s="8">
        <f t="shared" si="33"/>
        <v>1058.8454545454545</v>
      </c>
      <c r="I524" s="8">
        <f t="shared" si="34"/>
        <v>306.15454545454554</v>
      </c>
      <c r="J524" s="9">
        <f t="shared" si="35"/>
        <v>0.28913997235410793</v>
      </c>
      <c r="K524" s="7" t="s">
        <v>81</v>
      </c>
    </row>
    <row r="525" spans="1:11" x14ac:dyDescent="0.25">
      <c r="A525" s="7" t="s">
        <v>999</v>
      </c>
      <c r="B525" s="7" t="s">
        <v>328</v>
      </c>
      <c r="C525" s="7" t="s">
        <v>1055</v>
      </c>
      <c r="D525" s="7" t="s">
        <v>330</v>
      </c>
      <c r="E525" s="16">
        <v>1365</v>
      </c>
      <c r="F525" s="16">
        <v>1164.73</v>
      </c>
      <c r="G525" s="8">
        <f t="shared" si="32"/>
        <v>105.88454545454546</v>
      </c>
      <c r="H525" s="8">
        <f t="shared" si="33"/>
        <v>1058.8454545454545</v>
      </c>
      <c r="I525" s="8">
        <f t="shared" si="34"/>
        <v>306.15454545454554</v>
      </c>
      <c r="J525" s="9">
        <f t="shared" si="35"/>
        <v>0.28913997235410793</v>
      </c>
      <c r="K525" s="7" t="s">
        <v>81</v>
      </c>
    </row>
    <row r="526" spans="1:11" x14ac:dyDescent="0.25">
      <c r="A526" s="7" t="s">
        <v>999</v>
      </c>
      <c r="B526" s="7" t="s">
        <v>328</v>
      </c>
      <c r="C526" s="7" t="s">
        <v>1056</v>
      </c>
      <c r="D526" s="7" t="s">
        <v>330</v>
      </c>
      <c r="E526" s="16">
        <v>1365</v>
      </c>
      <c r="F526" s="16">
        <v>1164.73</v>
      </c>
      <c r="G526" s="8">
        <f t="shared" si="32"/>
        <v>105.88454545454546</v>
      </c>
      <c r="H526" s="8">
        <f t="shared" si="33"/>
        <v>1058.8454545454545</v>
      </c>
      <c r="I526" s="8">
        <f t="shared" si="34"/>
        <v>306.15454545454554</v>
      </c>
      <c r="J526" s="9">
        <f t="shared" si="35"/>
        <v>0.28913997235410793</v>
      </c>
      <c r="K526" s="7" t="s">
        <v>81</v>
      </c>
    </row>
    <row r="527" spans="1:11" x14ac:dyDescent="0.25">
      <c r="A527" s="7" t="s">
        <v>999</v>
      </c>
      <c r="B527" s="7" t="s">
        <v>328</v>
      </c>
      <c r="C527" s="7" t="s">
        <v>1057</v>
      </c>
      <c r="D527" s="7" t="s">
        <v>330</v>
      </c>
      <c r="E527" s="16">
        <v>1365</v>
      </c>
      <c r="F527" s="16">
        <v>1164.73</v>
      </c>
      <c r="G527" s="8">
        <f t="shared" si="32"/>
        <v>105.88454545454546</v>
      </c>
      <c r="H527" s="8">
        <f t="shared" si="33"/>
        <v>1058.8454545454545</v>
      </c>
      <c r="I527" s="8">
        <f t="shared" si="34"/>
        <v>306.15454545454554</v>
      </c>
      <c r="J527" s="9">
        <f t="shared" si="35"/>
        <v>0.28913997235410793</v>
      </c>
      <c r="K527" s="7" t="s">
        <v>81</v>
      </c>
    </row>
    <row r="528" spans="1:11" x14ac:dyDescent="0.25">
      <c r="A528" s="7" t="s">
        <v>999</v>
      </c>
      <c r="B528" s="7" t="s">
        <v>328</v>
      </c>
      <c r="C528" s="7" t="s">
        <v>1058</v>
      </c>
      <c r="D528" s="7" t="s">
        <v>330</v>
      </c>
      <c r="E528" s="16">
        <v>1365</v>
      </c>
      <c r="F528" s="16">
        <v>1164.73</v>
      </c>
      <c r="G528" s="8">
        <f t="shared" si="32"/>
        <v>105.88454545454546</v>
      </c>
      <c r="H528" s="8">
        <f t="shared" si="33"/>
        <v>1058.8454545454545</v>
      </c>
      <c r="I528" s="8">
        <f t="shared" si="34"/>
        <v>306.15454545454554</v>
      </c>
      <c r="J528" s="9">
        <f t="shared" si="35"/>
        <v>0.28913997235410793</v>
      </c>
      <c r="K528" s="7" t="s">
        <v>81</v>
      </c>
    </row>
    <row r="529" spans="1:11" x14ac:dyDescent="0.25">
      <c r="A529" s="7" t="s">
        <v>999</v>
      </c>
      <c r="B529" s="7" t="s">
        <v>328</v>
      </c>
      <c r="C529" s="7" t="s">
        <v>1059</v>
      </c>
      <c r="D529" s="7" t="s">
        <v>330</v>
      </c>
      <c r="E529" s="16">
        <v>1365</v>
      </c>
      <c r="F529" s="16">
        <v>1164.73</v>
      </c>
      <c r="G529" s="8">
        <f t="shared" si="32"/>
        <v>105.88454545454546</v>
      </c>
      <c r="H529" s="8">
        <f t="shared" si="33"/>
        <v>1058.8454545454545</v>
      </c>
      <c r="I529" s="8">
        <f t="shared" si="34"/>
        <v>306.15454545454554</v>
      </c>
      <c r="J529" s="9">
        <f t="shared" si="35"/>
        <v>0.28913997235410793</v>
      </c>
      <c r="K529" s="7" t="s">
        <v>81</v>
      </c>
    </row>
    <row r="530" spans="1:11" x14ac:dyDescent="0.25">
      <c r="A530" s="7" t="s">
        <v>999</v>
      </c>
      <c r="B530" s="7" t="s">
        <v>328</v>
      </c>
      <c r="C530" s="7" t="s">
        <v>1060</v>
      </c>
      <c r="D530" s="7" t="s">
        <v>330</v>
      </c>
      <c r="E530" s="16">
        <v>1365</v>
      </c>
      <c r="F530" s="16">
        <v>1164.73</v>
      </c>
      <c r="G530" s="8">
        <f t="shared" si="32"/>
        <v>105.88454545454546</v>
      </c>
      <c r="H530" s="8">
        <f t="shared" si="33"/>
        <v>1058.8454545454545</v>
      </c>
      <c r="I530" s="8">
        <f t="shared" si="34"/>
        <v>306.15454545454554</v>
      </c>
      <c r="J530" s="9">
        <f t="shared" si="35"/>
        <v>0.28913997235410793</v>
      </c>
      <c r="K530" s="7" t="s">
        <v>81</v>
      </c>
    </row>
    <row r="531" spans="1:11" x14ac:dyDescent="0.25">
      <c r="A531" s="7" t="s">
        <v>999</v>
      </c>
      <c r="B531" s="7" t="s">
        <v>328</v>
      </c>
      <c r="C531" s="7" t="s">
        <v>1061</v>
      </c>
      <c r="D531" s="7" t="s">
        <v>330</v>
      </c>
      <c r="E531" s="16">
        <v>1365</v>
      </c>
      <c r="F531" s="16">
        <v>1164.73</v>
      </c>
      <c r="G531" s="8">
        <f t="shared" si="32"/>
        <v>105.88454545454546</v>
      </c>
      <c r="H531" s="8">
        <f t="shared" si="33"/>
        <v>1058.8454545454545</v>
      </c>
      <c r="I531" s="8">
        <f t="shared" si="34"/>
        <v>306.15454545454554</v>
      </c>
      <c r="J531" s="9">
        <f t="shared" si="35"/>
        <v>0.28913997235410793</v>
      </c>
      <c r="K531" s="7" t="s">
        <v>81</v>
      </c>
    </row>
    <row r="532" spans="1:11" x14ac:dyDescent="0.25">
      <c r="A532" s="7" t="s">
        <v>999</v>
      </c>
      <c r="B532" s="7" t="s">
        <v>328</v>
      </c>
      <c r="C532" s="7" t="s">
        <v>1062</v>
      </c>
      <c r="D532" s="7" t="s">
        <v>330</v>
      </c>
      <c r="E532" s="16">
        <v>1365</v>
      </c>
      <c r="F532" s="16">
        <v>1164.73</v>
      </c>
      <c r="G532" s="8">
        <f t="shared" si="32"/>
        <v>105.88454545454546</v>
      </c>
      <c r="H532" s="8">
        <f t="shared" si="33"/>
        <v>1058.8454545454545</v>
      </c>
      <c r="I532" s="8">
        <f t="shared" si="34"/>
        <v>306.15454545454554</v>
      </c>
      <c r="J532" s="9">
        <f t="shared" si="35"/>
        <v>0.28913997235410793</v>
      </c>
      <c r="K532" s="7" t="s">
        <v>81</v>
      </c>
    </row>
    <row r="533" spans="1:11" x14ac:dyDescent="0.25">
      <c r="A533" s="7" t="s">
        <v>1063</v>
      </c>
      <c r="B533" s="7" t="s">
        <v>328</v>
      </c>
      <c r="C533" s="7" t="s">
        <v>1081</v>
      </c>
      <c r="D533" s="7" t="s">
        <v>330</v>
      </c>
      <c r="E533" s="16">
        <v>1335</v>
      </c>
      <c r="F533" s="16">
        <v>1164.73</v>
      </c>
      <c r="G533" s="8">
        <f t="shared" si="32"/>
        <v>105.88454545454546</v>
      </c>
      <c r="H533" s="8">
        <f t="shared" si="33"/>
        <v>1058.8454545454545</v>
      </c>
      <c r="I533" s="8">
        <f t="shared" si="34"/>
        <v>276.15454545454554</v>
      </c>
      <c r="J533" s="9">
        <f t="shared" si="35"/>
        <v>0.2608072257089627</v>
      </c>
      <c r="K533" s="7" t="s">
        <v>81</v>
      </c>
    </row>
    <row r="534" spans="1:11" x14ac:dyDescent="0.25">
      <c r="A534" s="7" t="s">
        <v>1063</v>
      </c>
      <c r="B534" s="7" t="s">
        <v>328</v>
      </c>
      <c r="C534" s="7" t="s">
        <v>1082</v>
      </c>
      <c r="D534" s="7" t="s">
        <v>330</v>
      </c>
      <c r="E534" s="16">
        <v>1335</v>
      </c>
      <c r="F534" s="16">
        <v>1164.73</v>
      </c>
      <c r="G534" s="8">
        <f t="shared" si="32"/>
        <v>105.88454545454546</v>
      </c>
      <c r="H534" s="8">
        <f t="shared" si="33"/>
        <v>1058.8454545454545</v>
      </c>
      <c r="I534" s="8">
        <f t="shared" si="34"/>
        <v>276.15454545454554</v>
      </c>
      <c r="J534" s="9">
        <f t="shared" si="35"/>
        <v>0.2608072257089627</v>
      </c>
      <c r="K534" s="7" t="s">
        <v>81</v>
      </c>
    </row>
    <row r="535" spans="1:11" x14ac:dyDescent="0.25">
      <c r="A535" s="7" t="s">
        <v>1063</v>
      </c>
      <c r="B535" s="7" t="s">
        <v>328</v>
      </c>
      <c r="C535" s="7" t="s">
        <v>1083</v>
      </c>
      <c r="D535" s="7" t="s">
        <v>330</v>
      </c>
      <c r="E535" s="16">
        <v>1335</v>
      </c>
      <c r="F535" s="16">
        <v>1164.73</v>
      </c>
      <c r="G535" s="8">
        <f t="shared" si="32"/>
        <v>105.88454545454546</v>
      </c>
      <c r="H535" s="8">
        <f t="shared" si="33"/>
        <v>1058.8454545454545</v>
      </c>
      <c r="I535" s="8">
        <f t="shared" si="34"/>
        <v>276.15454545454554</v>
      </c>
      <c r="J535" s="9">
        <f t="shared" si="35"/>
        <v>0.2608072257089627</v>
      </c>
      <c r="K535" s="7" t="s">
        <v>81</v>
      </c>
    </row>
    <row r="536" spans="1:11" x14ac:dyDescent="0.25">
      <c r="A536" s="7" t="s">
        <v>1063</v>
      </c>
      <c r="B536" s="7" t="s">
        <v>328</v>
      </c>
      <c r="C536" s="7" t="s">
        <v>1084</v>
      </c>
      <c r="D536" s="7" t="s">
        <v>15</v>
      </c>
      <c r="E536" s="16">
        <v>1335</v>
      </c>
      <c r="F536" s="16">
        <v>1164.76</v>
      </c>
      <c r="G536" s="8">
        <f t="shared" si="32"/>
        <v>105.88727272727273</v>
      </c>
      <c r="H536" s="8">
        <f t="shared" si="33"/>
        <v>1058.8727272727272</v>
      </c>
      <c r="I536" s="8">
        <f t="shared" si="34"/>
        <v>276.12727272727284</v>
      </c>
      <c r="J536" s="9">
        <f t="shared" si="35"/>
        <v>0.26077475188021582</v>
      </c>
      <c r="K536" s="7" t="s">
        <v>81</v>
      </c>
    </row>
    <row r="537" spans="1:11" x14ac:dyDescent="0.25">
      <c r="A537" s="7" t="s">
        <v>1063</v>
      </c>
      <c r="B537" s="7" t="s">
        <v>328</v>
      </c>
      <c r="C537" s="7" t="s">
        <v>1085</v>
      </c>
      <c r="D537" s="7" t="s">
        <v>15</v>
      </c>
      <c r="E537" s="16">
        <v>1335</v>
      </c>
      <c r="F537" s="16">
        <v>1164.76</v>
      </c>
      <c r="G537" s="8">
        <f t="shared" si="32"/>
        <v>105.88727272727273</v>
      </c>
      <c r="H537" s="8">
        <f t="shared" si="33"/>
        <v>1058.8727272727272</v>
      </c>
      <c r="I537" s="8">
        <f t="shared" si="34"/>
        <v>276.12727272727284</v>
      </c>
      <c r="J537" s="9">
        <f t="shared" si="35"/>
        <v>0.26077475188021582</v>
      </c>
      <c r="K537" s="7" t="s">
        <v>81</v>
      </c>
    </row>
    <row r="538" spans="1:11" x14ac:dyDescent="0.25">
      <c r="A538" s="7" t="s">
        <v>1063</v>
      </c>
      <c r="B538" s="7" t="s">
        <v>328</v>
      </c>
      <c r="C538" s="7" t="s">
        <v>1086</v>
      </c>
      <c r="D538" s="7" t="s">
        <v>15</v>
      </c>
      <c r="E538" s="16">
        <v>1335</v>
      </c>
      <c r="F538" s="16">
        <v>1164.76</v>
      </c>
      <c r="G538" s="8">
        <f t="shared" si="32"/>
        <v>105.88727272727273</v>
      </c>
      <c r="H538" s="8">
        <f t="shared" si="33"/>
        <v>1058.8727272727272</v>
      </c>
      <c r="I538" s="8">
        <f t="shared" si="34"/>
        <v>276.12727272727284</v>
      </c>
      <c r="J538" s="9">
        <f t="shared" si="35"/>
        <v>0.26077475188021582</v>
      </c>
      <c r="K538" s="7" t="s">
        <v>81</v>
      </c>
    </row>
    <row r="539" spans="1:11" x14ac:dyDescent="0.25">
      <c r="A539" s="7" t="s">
        <v>1063</v>
      </c>
      <c r="B539" s="7" t="s">
        <v>328</v>
      </c>
      <c r="C539" s="7" t="s">
        <v>1087</v>
      </c>
      <c r="D539" s="7" t="s">
        <v>15</v>
      </c>
      <c r="E539" s="16">
        <v>1335</v>
      </c>
      <c r="F539" s="16">
        <v>1164.76</v>
      </c>
      <c r="G539" s="8">
        <f t="shared" si="32"/>
        <v>105.88727272727273</v>
      </c>
      <c r="H539" s="8">
        <f t="shared" si="33"/>
        <v>1058.8727272727272</v>
      </c>
      <c r="I539" s="8">
        <f t="shared" si="34"/>
        <v>276.12727272727284</v>
      </c>
      <c r="J539" s="9">
        <f t="shared" si="35"/>
        <v>0.26077475188021582</v>
      </c>
      <c r="K539" s="7" t="s">
        <v>81</v>
      </c>
    </row>
    <row r="540" spans="1:11" x14ac:dyDescent="0.25">
      <c r="A540" s="7" t="s">
        <v>1063</v>
      </c>
      <c r="B540" s="7" t="s">
        <v>328</v>
      </c>
      <c r="C540" s="7" t="s">
        <v>1088</v>
      </c>
      <c r="D540" s="7" t="s">
        <v>15</v>
      </c>
      <c r="E540" s="16">
        <v>1335</v>
      </c>
      <c r="F540" s="16">
        <v>1164.76</v>
      </c>
      <c r="G540" s="8">
        <f t="shared" si="32"/>
        <v>105.88727272727273</v>
      </c>
      <c r="H540" s="8">
        <f t="shared" si="33"/>
        <v>1058.8727272727272</v>
      </c>
      <c r="I540" s="8">
        <f t="shared" si="34"/>
        <v>276.12727272727284</v>
      </c>
      <c r="J540" s="9">
        <f t="shared" si="35"/>
        <v>0.26077475188021582</v>
      </c>
      <c r="K540" s="7" t="s">
        <v>81</v>
      </c>
    </row>
    <row r="541" spans="1:11" x14ac:dyDescent="0.25">
      <c r="A541" s="7" t="s">
        <v>1063</v>
      </c>
      <c r="B541" s="7" t="s">
        <v>328</v>
      </c>
      <c r="C541" s="7" t="s">
        <v>1089</v>
      </c>
      <c r="D541" s="7" t="s">
        <v>15</v>
      </c>
      <c r="E541" s="16">
        <v>1335</v>
      </c>
      <c r="F541" s="16">
        <v>1164.76</v>
      </c>
      <c r="G541" s="8">
        <f t="shared" si="32"/>
        <v>105.88727272727273</v>
      </c>
      <c r="H541" s="8">
        <f t="shared" si="33"/>
        <v>1058.8727272727272</v>
      </c>
      <c r="I541" s="8">
        <f t="shared" si="34"/>
        <v>276.12727272727284</v>
      </c>
      <c r="J541" s="9">
        <f t="shared" si="35"/>
        <v>0.26077475188021582</v>
      </c>
      <c r="K541" s="7" t="s">
        <v>81</v>
      </c>
    </row>
    <row r="542" spans="1:11" x14ac:dyDescent="0.25">
      <c r="A542" s="7" t="s">
        <v>1063</v>
      </c>
      <c r="B542" s="7" t="s">
        <v>328</v>
      </c>
      <c r="C542" s="7" t="s">
        <v>1090</v>
      </c>
      <c r="D542" s="7" t="s">
        <v>15</v>
      </c>
      <c r="E542" s="16">
        <v>1335</v>
      </c>
      <c r="F542" s="16">
        <v>1164.76</v>
      </c>
      <c r="G542" s="8">
        <f t="shared" si="32"/>
        <v>105.88727272727273</v>
      </c>
      <c r="H542" s="8">
        <f t="shared" si="33"/>
        <v>1058.8727272727272</v>
      </c>
      <c r="I542" s="8">
        <f t="shared" si="34"/>
        <v>276.12727272727284</v>
      </c>
      <c r="J542" s="9">
        <f t="shared" si="35"/>
        <v>0.26077475188021582</v>
      </c>
      <c r="K542" s="7" t="s">
        <v>81</v>
      </c>
    </row>
    <row r="543" spans="1:11" x14ac:dyDescent="0.25">
      <c r="A543" s="7" t="s">
        <v>1063</v>
      </c>
      <c r="B543" s="7" t="s">
        <v>328</v>
      </c>
      <c r="C543" s="7" t="s">
        <v>1091</v>
      </c>
      <c r="D543" s="7" t="s">
        <v>15</v>
      </c>
      <c r="E543" s="16">
        <v>1335</v>
      </c>
      <c r="F543" s="16">
        <v>1164.76</v>
      </c>
      <c r="G543" s="8">
        <f t="shared" si="32"/>
        <v>105.88727272727273</v>
      </c>
      <c r="H543" s="8">
        <f t="shared" si="33"/>
        <v>1058.8727272727272</v>
      </c>
      <c r="I543" s="8">
        <f t="shared" si="34"/>
        <v>276.12727272727284</v>
      </c>
      <c r="J543" s="9">
        <f t="shared" si="35"/>
        <v>0.26077475188021582</v>
      </c>
      <c r="K543" s="7" t="s">
        <v>81</v>
      </c>
    </row>
    <row r="544" spans="1:11" x14ac:dyDescent="0.25">
      <c r="A544" s="7" t="s">
        <v>1063</v>
      </c>
      <c r="B544" s="7" t="s">
        <v>328</v>
      </c>
      <c r="C544" s="7" t="s">
        <v>1092</v>
      </c>
      <c r="D544" s="7" t="s">
        <v>15</v>
      </c>
      <c r="E544" s="16">
        <v>1335</v>
      </c>
      <c r="F544" s="16">
        <v>1164.76</v>
      </c>
      <c r="G544" s="8">
        <f t="shared" si="32"/>
        <v>105.88727272727273</v>
      </c>
      <c r="H544" s="8">
        <f t="shared" si="33"/>
        <v>1058.8727272727272</v>
      </c>
      <c r="I544" s="8">
        <f t="shared" si="34"/>
        <v>276.12727272727284</v>
      </c>
      <c r="J544" s="9">
        <f t="shared" si="35"/>
        <v>0.26077475188021582</v>
      </c>
      <c r="K544" s="7" t="s">
        <v>81</v>
      </c>
    </row>
    <row r="545" spans="1:11" x14ac:dyDescent="0.25">
      <c r="A545" s="7" t="s">
        <v>1063</v>
      </c>
      <c r="B545" s="7" t="s">
        <v>328</v>
      </c>
      <c r="C545" s="7" t="s">
        <v>1093</v>
      </c>
      <c r="D545" s="7" t="s">
        <v>15</v>
      </c>
      <c r="E545" s="16">
        <v>1335</v>
      </c>
      <c r="F545" s="16">
        <v>1164.76</v>
      </c>
      <c r="G545" s="8">
        <f t="shared" si="32"/>
        <v>105.88727272727273</v>
      </c>
      <c r="H545" s="8">
        <f t="shared" si="33"/>
        <v>1058.8727272727272</v>
      </c>
      <c r="I545" s="8">
        <f t="shared" si="34"/>
        <v>276.12727272727284</v>
      </c>
      <c r="J545" s="9">
        <f t="shared" si="35"/>
        <v>0.26077475188021582</v>
      </c>
      <c r="K545" s="7" t="s">
        <v>81</v>
      </c>
    </row>
    <row r="546" spans="1:11" x14ac:dyDescent="0.25">
      <c r="A546" s="7" t="s">
        <v>1063</v>
      </c>
      <c r="B546" s="7" t="s">
        <v>328</v>
      </c>
      <c r="C546" s="7" t="s">
        <v>1094</v>
      </c>
      <c r="D546" s="7" t="s">
        <v>15</v>
      </c>
      <c r="E546" s="16">
        <v>1335</v>
      </c>
      <c r="F546" s="16">
        <v>1164.76</v>
      </c>
      <c r="G546" s="8">
        <f t="shared" si="32"/>
        <v>105.88727272727273</v>
      </c>
      <c r="H546" s="8">
        <f t="shared" si="33"/>
        <v>1058.8727272727272</v>
      </c>
      <c r="I546" s="8">
        <f t="shared" si="34"/>
        <v>276.12727272727284</v>
      </c>
      <c r="J546" s="9">
        <f t="shared" si="35"/>
        <v>0.26077475188021582</v>
      </c>
      <c r="K546" s="7" t="s">
        <v>81</v>
      </c>
    </row>
    <row r="547" spans="1:11" x14ac:dyDescent="0.25">
      <c r="A547" s="7" t="s">
        <v>1063</v>
      </c>
      <c r="B547" s="7" t="s">
        <v>328</v>
      </c>
      <c r="C547" s="7" t="s">
        <v>1095</v>
      </c>
      <c r="D547" s="7" t="s">
        <v>15</v>
      </c>
      <c r="E547" s="16">
        <v>1335</v>
      </c>
      <c r="F547" s="16">
        <v>1164.76</v>
      </c>
      <c r="G547" s="8">
        <f t="shared" si="32"/>
        <v>105.88727272727273</v>
      </c>
      <c r="H547" s="8">
        <f t="shared" si="33"/>
        <v>1058.8727272727272</v>
      </c>
      <c r="I547" s="8">
        <f t="shared" si="34"/>
        <v>276.12727272727284</v>
      </c>
      <c r="J547" s="9">
        <f t="shared" si="35"/>
        <v>0.26077475188021582</v>
      </c>
      <c r="K547" s="7" t="s">
        <v>81</v>
      </c>
    </row>
    <row r="548" spans="1:11" x14ac:dyDescent="0.25">
      <c r="A548" s="7" t="s">
        <v>1063</v>
      </c>
      <c r="B548" s="7" t="s">
        <v>328</v>
      </c>
      <c r="C548" s="7" t="s">
        <v>1096</v>
      </c>
      <c r="D548" s="7" t="s">
        <v>15</v>
      </c>
      <c r="E548" s="16">
        <v>1335</v>
      </c>
      <c r="F548" s="16">
        <v>1164.76</v>
      </c>
      <c r="G548" s="8">
        <f t="shared" si="32"/>
        <v>105.88727272727273</v>
      </c>
      <c r="H548" s="8">
        <f t="shared" si="33"/>
        <v>1058.8727272727272</v>
      </c>
      <c r="I548" s="8">
        <f t="shared" si="34"/>
        <v>276.12727272727284</v>
      </c>
      <c r="J548" s="9">
        <f t="shared" si="35"/>
        <v>0.26077475188021582</v>
      </c>
      <c r="K548" s="7" t="s">
        <v>81</v>
      </c>
    </row>
    <row r="549" spans="1:11" x14ac:dyDescent="0.25">
      <c r="A549" s="7" t="s">
        <v>1063</v>
      </c>
      <c r="B549" s="7" t="s">
        <v>328</v>
      </c>
      <c r="C549" s="7" t="s">
        <v>1097</v>
      </c>
      <c r="D549" s="7" t="s">
        <v>15</v>
      </c>
      <c r="E549" s="16">
        <v>1335</v>
      </c>
      <c r="F549" s="16">
        <v>1164.76</v>
      </c>
      <c r="G549" s="8">
        <f t="shared" si="32"/>
        <v>105.88727272727273</v>
      </c>
      <c r="H549" s="8">
        <f t="shared" si="33"/>
        <v>1058.8727272727272</v>
      </c>
      <c r="I549" s="8">
        <f t="shared" si="34"/>
        <v>276.12727272727284</v>
      </c>
      <c r="J549" s="9">
        <f t="shared" si="35"/>
        <v>0.26077475188021582</v>
      </c>
      <c r="K549" s="7" t="s">
        <v>81</v>
      </c>
    </row>
    <row r="550" spans="1:11" x14ac:dyDescent="0.25">
      <c r="A550" s="7" t="s">
        <v>1063</v>
      </c>
      <c r="B550" s="7" t="s">
        <v>328</v>
      </c>
      <c r="C550" s="7" t="s">
        <v>1098</v>
      </c>
      <c r="D550" s="7" t="s">
        <v>15</v>
      </c>
      <c r="E550" s="16">
        <v>1335</v>
      </c>
      <c r="F550" s="16">
        <v>1164.76</v>
      </c>
      <c r="G550" s="8">
        <f t="shared" si="32"/>
        <v>105.88727272727273</v>
      </c>
      <c r="H550" s="8">
        <f t="shared" si="33"/>
        <v>1058.8727272727272</v>
      </c>
      <c r="I550" s="8">
        <f t="shared" si="34"/>
        <v>276.12727272727284</v>
      </c>
      <c r="J550" s="9">
        <f t="shared" si="35"/>
        <v>0.26077475188021582</v>
      </c>
      <c r="K550" s="7" t="s">
        <v>81</v>
      </c>
    </row>
    <row r="551" spans="1:11" x14ac:dyDescent="0.25">
      <c r="A551" s="7" t="s">
        <v>1063</v>
      </c>
      <c r="B551" s="7" t="s">
        <v>328</v>
      </c>
      <c r="C551" s="7" t="s">
        <v>1099</v>
      </c>
      <c r="D551" s="7" t="s">
        <v>15</v>
      </c>
      <c r="E551" s="16">
        <v>1335</v>
      </c>
      <c r="F551" s="16">
        <v>1164.76</v>
      </c>
      <c r="G551" s="8">
        <f t="shared" si="32"/>
        <v>105.88727272727273</v>
      </c>
      <c r="H551" s="8">
        <f t="shared" si="33"/>
        <v>1058.8727272727272</v>
      </c>
      <c r="I551" s="8">
        <f t="shared" si="34"/>
        <v>276.12727272727284</v>
      </c>
      <c r="J551" s="9">
        <f t="shared" si="35"/>
        <v>0.26077475188021582</v>
      </c>
      <c r="K551" s="7" t="s">
        <v>81</v>
      </c>
    </row>
    <row r="552" spans="1:11" x14ac:dyDescent="0.25">
      <c r="A552" s="7" t="s">
        <v>1063</v>
      </c>
      <c r="B552" s="7" t="s">
        <v>328</v>
      </c>
      <c r="C552" s="7" t="s">
        <v>1100</v>
      </c>
      <c r="D552" s="7" t="s">
        <v>15</v>
      </c>
      <c r="E552" s="16">
        <v>1335</v>
      </c>
      <c r="F552" s="16">
        <v>1164.76</v>
      </c>
      <c r="G552" s="8">
        <f t="shared" si="32"/>
        <v>105.88727272727273</v>
      </c>
      <c r="H552" s="8">
        <f t="shared" si="33"/>
        <v>1058.8727272727272</v>
      </c>
      <c r="I552" s="8">
        <f t="shared" si="34"/>
        <v>276.12727272727284</v>
      </c>
      <c r="J552" s="9">
        <f t="shared" si="35"/>
        <v>0.26077475188021582</v>
      </c>
      <c r="K552" s="7" t="s">
        <v>81</v>
      </c>
    </row>
    <row r="553" spans="1:11" x14ac:dyDescent="0.25">
      <c r="A553" s="7" t="s">
        <v>1063</v>
      </c>
      <c r="B553" s="7" t="s">
        <v>328</v>
      </c>
      <c r="C553" s="7" t="s">
        <v>1101</v>
      </c>
      <c r="D553" s="7" t="s">
        <v>15</v>
      </c>
      <c r="E553" s="16">
        <v>1335</v>
      </c>
      <c r="F553" s="16">
        <v>1164.76</v>
      </c>
      <c r="G553" s="8">
        <f t="shared" si="32"/>
        <v>105.88727272727273</v>
      </c>
      <c r="H553" s="8">
        <f t="shared" si="33"/>
        <v>1058.8727272727272</v>
      </c>
      <c r="I553" s="8">
        <f t="shared" si="34"/>
        <v>276.12727272727284</v>
      </c>
      <c r="J553" s="9">
        <f t="shared" si="35"/>
        <v>0.26077475188021582</v>
      </c>
      <c r="K553" s="7" t="s">
        <v>81</v>
      </c>
    </row>
    <row r="554" spans="1:11" x14ac:dyDescent="0.25">
      <c r="A554" s="7" t="s">
        <v>1063</v>
      </c>
      <c r="B554" s="7" t="s">
        <v>328</v>
      </c>
      <c r="C554" s="7" t="s">
        <v>1102</v>
      </c>
      <c r="D554" s="7" t="s">
        <v>15</v>
      </c>
      <c r="E554" s="16">
        <v>1335</v>
      </c>
      <c r="F554" s="16">
        <v>1164.76</v>
      </c>
      <c r="G554" s="8">
        <f t="shared" si="32"/>
        <v>105.88727272727273</v>
      </c>
      <c r="H554" s="8">
        <f t="shared" si="33"/>
        <v>1058.8727272727272</v>
      </c>
      <c r="I554" s="8">
        <f t="shared" si="34"/>
        <v>276.12727272727284</v>
      </c>
      <c r="J554" s="9">
        <f t="shared" si="35"/>
        <v>0.26077475188021582</v>
      </c>
      <c r="K554" s="7" t="s">
        <v>81</v>
      </c>
    </row>
    <row r="555" spans="1:11" x14ac:dyDescent="0.25">
      <c r="A555" s="7" t="s">
        <v>1063</v>
      </c>
      <c r="B555" s="7" t="s">
        <v>328</v>
      </c>
      <c r="C555" s="7" t="s">
        <v>1103</v>
      </c>
      <c r="D555" s="7" t="s">
        <v>15</v>
      </c>
      <c r="E555" s="16">
        <v>1335</v>
      </c>
      <c r="F555" s="16">
        <v>1164.76</v>
      </c>
      <c r="G555" s="8">
        <f t="shared" si="32"/>
        <v>105.88727272727273</v>
      </c>
      <c r="H555" s="8">
        <f t="shared" si="33"/>
        <v>1058.8727272727272</v>
      </c>
      <c r="I555" s="8">
        <f t="shared" si="34"/>
        <v>276.12727272727284</v>
      </c>
      <c r="J555" s="9">
        <f t="shared" si="35"/>
        <v>0.26077475188021582</v>
      </c>
      <c r="K555" s="7" t="s">
        <v>81</v>
      </c>
    </row>
    <row r="556" spans="1:11" x14ac:dyDescent="0.25">
      <c r="A556" s="7" t="s">
        <v>1063</v>
      </c>
      <c r="B556" s="7" t="s">
        <v>328</v>
      </c>
      <c r="C556" s="7" t="s">
        <v>1104</v>
      </c>
      <c r="D556" s="7" t="s">
        <v>15</v>
      </c>
      <c r="E556" s="16">
        <v>1335</v>
      </c>
      <c r="F556" s="16">
        <v>1164.76</v>
      </c>
      <c r="G556" s="8">
        <f t="shared" si="32"/>
        <v>105.88727272727273</v>
      </c>
      <c r="H556" s="8">
        <f t="shared" si="33"/>
        <v>1058.8727272727272</v>
      </c>
      <c r="I556" s="8">
        <f t="shared" si="34"/>
        <v>276.12727272727284</v>
      </c>
      <c r="J556" s="9">
        <f t="shared" si="35"/>
        <v>0.26077475188021582</v>
      </c>
      <c r="K556" s="7" t="s">
        <v>81</v>
      </c>
    </row>
    <row r="557" spans="1:11" x14ac:dyDescent="0.25">
      <c r="A557" s="7" t="s">
        <v>1063</v>
      </c>
      <c r="B557" s="7" t="s">
        <v>328</v>
      </c>
      <c r="C557" s="7" t="s">
        <v>1105</v>
      </c>
      <c r="D557" s="7" t="s">
        <v>15</v>
      </c>
      <c r="E557" s="16">
        <v>1335</v>
      </c>
      <c r="F557" s="16">
        <v>1164.76</v>
      </c>
      <c r="G557" s="8">
        <f t="shared" si="32"/>
        <v>105.88727272727273</v>
      </c>
      <c r="H557" s="8">
        <f t="shared" si="33"/>
        <v>1058.8727272727272</v>
      </c>
      <c r="I557" s="8">
        <f t="shared" si="34"/>
        <v>276.12727272727284</v>
      </c>
      <c r="J557" s="9">
        <f t="shared" si="35"/>
        <v>0.26077475188021582</v>
      </c>
      <c r="K557" s="7" t="s">
        <v>81</v>
      </c>
    </row>
    <row r="558" spans="1:11" x14ac:dyDescent="0.25">
      <c r="A558" s="7" t="s">
        <v>1063</v>
      </c>
      <c r="B558" s="7" t="s">
        <v>328</v>
      </c>
      <c r="C558" s="7" t="s">
        <v>1106</v>
      </c>
      <c r="D558" s="7" t="s">
        <v>15</v>
      </c>
      <c r="E558" s="16">
        <v>1335</v>
      </c>
      <c r="F558" s="16">
        <v>1164.76</v>
      </c>
      <c r="G558" s="8">
        <f t="shared" si="32"/>
        <v>105.88727272727273</v>
      </c>
      <c r="H558" s="8">
        <f t="shared" si="33"/>
        <v>1058.8727272727272</v>
      </c>
      <c r="I558" s="8">
        <f t="shared" si="34"/>
        <v>276.12727272727284</v>
      </c>
      <c r="J558" s="9">
        <f t="shared" si="35"/>
        <v>0.26077475188021582</v>
      </c>
      <c r="K558" s="7" t="s">
        <v>81</v>
      </c>
    </row>
    <row r="559" spans="1:11" x14ac:dyDescent="0.25">
      <c r="A559" s="7" t="s">
        <v>1063</v>
      </c>
      <c r="B559" s="7" t="s">
        <v>328</v>
      </c>
      <c r="C559" s="7" t="s">
        <v>1107</v>
      </c>
      <c r="D559" s="7" t="s">
        <v>15</v>
      </c>
      <c r="E559" s="16">
        <v>1335</v>
      </c>
      <c r="F559" s="16">
        <v>1164.76</v>
      </c>
      <c r="G559" s="8">
        <f t="shared" si="32"/>
        <v>105.88727272727273</v>
      </c>
      <c r="H559" s="8">
        <f t="shared" si="33"/>
        <v>1058.8727272727272</v>
      </c>
      <c r="I559" s="8">
        <f t="shared" si="34"/>
        <v>276.12727272727284</v>
      </c>
      <c r="J559" s="9">
        <f t="shared" si="35"/>
        <v>0.26077475188021582</v>
      </c>
      <c r="K559" s="7" t="s">
        <v>81</v>
      </c>
    </row>
    <row r="560" spans="1:11" x14ac:dyDescent="0.25">
      <c r="A560" s="7" t="s">
        <v>1063</v>
      </c>
      <c r="B560" s="7" t="s">
        <v>328</v>
      </c>
      <c r="C560" s="7" t="s">
        <v>1108</v>
      </c>
      <c r="D560" s="7" t="s">
        <v>15</v>
      </c>
      <c r="E560" s="16">
        <v>1335</v>
      </c>
      <c r="F560" s="16">
        <v>1164.76</v>
      </c>
      <c r="G560" s="8">
        <f t="shared" si="32"/>
        <v>105.88727272727273</v>
      </c>
      <c r="H560" s="8">
        <f t="shared" si="33"/>
        <v>1058.8727272727272</v>
      </c>
      <c r="I560" s="8">
        <f t="shared" si="34"/>
        <v>276.12727272727284</v>
      </c>
      <c r="J560" s="9">
        <f t="shared" si="35"/>
        <v>0.26077475188021582</v>
      </c>
      <c r="K560" s="7" t="s">
        <v>81</v>
      </c>
    </row>
    <row r="561" spans="1:11" x14ac:dyDescent="0.25">
      <c r="A561" s="7" t="s">
        <v>1063</v>
      </c>
      <c r="B561" s="7" t="s">
        <v>328</v>
      </c>
      <c r="C561" s="7" t="s">
        <v>1109</v>
      </c>
      <c r="D561" s="7" t="s">
        <v>15</v>
      </c>
      <c r="E561" s="16">
        <v>1335</v>
      </c>
      <c r="F561" s="16">
        <v>1164.76</v>
      </c>
      <c r="G561" s="8">
        <f t="shared" si="32"/>
        <v>105.88727272727273</v>
      </c>
      <c r="H561" s="8">
        <f t="shared" si="33"/>
        <v>1058.8727272727272</v>
      </c>
      <c r="I561" s="8">
        <f t="shared" si="34"/>
        <v>276.12727272727284</v>
      </c>
      <c r="J561" s="9">
        <f t="shared" si="35"/>
        <v>0.26077475188021582</v>
      </c>
      <c r="K561" s="7" t="s">
        <v>81</v>
      </c>
    </row>
    <row r="562" spans="1:11" x14ac:dyDescent="0.25">
      <c r="A562" s="7" t="s">
        <v>1063</v>
      </c>
      <c r="B562" s="7" t="s">
        <v>328</v>
      </c>
      <c r="C562" s="7" t="s">
        <v>1110</v>
      </c>
      <c r="D562" s="7" t="s">
        <v>15</v>
      </c>
      <c r="E562" s="16">
        <v>1335</v>
      </c>
      <c r="F562" s="16">
        <v>1164.76</v>
      </c>
      <c r="G562" s="8">
        <f t="shared" si="32"/>
        <v>105.88727272727273</v>
      </c>
      <c r="H562" s="8">
        <f t="shared" si="33"/>
        <v>1058.8727272727272</v>
      </c>
      <c r="I562" s="8">
        <f t="shared" si="34"/>
        <v>276.12727272727284</v>
      </c>
      <c r="J562" s="9">
        <f t="shared" si="35"/>
        <v>0.26077475188021582</v>
      </c>
      <c r="K562" s="7" t="s">
        <v>81</v>
      </c>
    </row>
    <row r="563" spans="1:11" x14ac:dyDescent="0.25">
      <c r="A563" s="7" t="s">
        <v>1063</v>
      </c>
      <c r="B563" s="7" t="s">
        <v>328</v>
      </c>
      <c r="C563" s="7" t="s">
        <v>1111</v>
      </c>
      <c r="D563" s="7" t="s">
        <v>15</v>
      </c>
      <c r="E563" s="16">
        <v>1335</v>
      </c>
      <c r="F563" s="16">
        <v>1164.76</v>
      </c>
      <c r="G563" s="8">
        <f t="shared" si="32"/>
        <v>105.88727272727273</v>
      </c>
      <c r="H563" s="8">
        <f t="shared" si="33"/>
        <v>1058.8727272727272</v>
      </c>
      <c r="I563" s="8">
        <f t="shared" si="34"/>
        <v>276.12727272727284</v>
      </c>
      <c r="J563" s="9">
        <f t="shared" si="35"/>
        <v>0.26077475188021582</v>
      </c>
      <c r="K563" s="7" t="s">
        <v>81</v>
      </c>
    </row>
    <row r="564" spans="1:11" x14ac:dyDescent="0.25">
      <c r="A564" s="7" t="s">
        <v>1063</v>
      </c>
      <c r="B564" s="7" t="s">
        <v>328</v>
      </c>
      <c r="C564" s="7" t="s">
        <v>1112</v>
      </c>
      <c r="D564" s="7" t="s">
        <v>15</v>
      </c>
      <c r="E564" s="16">
        <v>1335</v>
      </c>
      <c r="F564" s="16">
        <v>1164.76</v>
      </c>
      <c r="G564" s="8">
        <f t="shared" si="32"/>
        <v>105.88727272727273</v>
      </c>
      <c r="H564" s="8">
        <f t="shared" si="33"/>
        <v>1058.8727272727272</v>
      </c>
      <c r="I564" s="8">
        <f t="shared" si="34"/>
        <v>276.12727272727284</v>
      </c>
      <c r="J564" s="9">
        <f t="shared" si="35"/>
        <v>0.26077475188021582</v>
      </c>
      <c r="K564" s="7" t="s">
        <v>81</v>
      </c>
    </row>
    <row r="565" spans="1:11" x14ac:dyDescent="0.25">
      <c r="A565" s="7" t="s">
        <v>1063</v>
      </c>
      <c r="B565" s="7" t="s">
        <v>328</v>
      </c>
      <c r="C565" s="7" t="s">
        <v>1113</v>
      </c>
      <c r="D565" s="7" t="s">
        <v>15</v>
      </c>
      <c r="E565" s="16">
        <v>1335</v>
      </c>
      <c r="F565" s="16">
        <v>1164.76</v>
      </c>
      <c r="G565" s="8">
        <f t="shared" si="32"/>
        <v>105.88727272727273</v>
      </c>
      <c r="H565" s="8">
        <f t="shared" si="33"/>
        <v>1058.8727272727272</v>
      </c>
      <c r="I565" s="8">
        <f t="shared" si="34"/>
        <v>276.12727272727284</v>
      </c>
      <c r="J565" s="9">
        <f t="shared" si="35"/>
        <v>0.26077475188021582</v>
      </c>
      <c r="K565" s="7" t="s">
        <v>81</v>
      </c>
    </row>
    <row r="566" spans="1:11" x14ac:dyDescent="0.25">
      <c r="A566" s="7" t="s">
        <v>1063</v>
      </c>
      <c r="B566" s="7" t="s">
        <v>328</v>
      </c>
      <c r="C566" s="7" t="s">
        <v>1114</v>
      </c>
      <c r="D566" s="7" t="s">
        <v>15</v>
      </c>
      <c r="E566" s="16">
        <v>1335</v>
      </c>
      <c r="F566" s="16">
        <v>1164.76</v>
      </c>
      <c r="G566" s="8">
        <f t="shared" si="32"/>
        <v>105.88727272727273</v>
      </c>
      <c r="H566" s="8">
        <f t="shared" si="33"/>
        <v>1058.8727272727272</v>
      </c>
      <c r="I566" s="8">
        <f t="shared" si="34"/>
        <v>276.12727272727284</v>
      </c>
      <c r="J566" s="9">
        <f t="shared" si="35"/>
        <v>0.26077475188021582</v>
      </c>
      <c r="K566" s="7" t="s">
        <v>81</v>
      </c>
    </row>
    <row r="567" spans="1:11" x14ac:dyDescent="0.25">
      <c r="A567" s="7" t="s">
        <v>1063</v>
      </c>
      <c r="B567" s="7" t="s">
        <v>328</v>
      </c>
      <c r="C567" s="7" t="s">
        <v>1115</v>
      </c>
      <c r="D567" s="7" t="s">
        <v>15</v>
      </c>
      <c r="E567" s="16">
        <v>1335</v>
      </c>
      <c r="F567" s="16">
        <v>1164.76</v>
      </c>
      <c r="G567" s="8">
        <f t="shared" si="32"/>
        <v>105.88727272727273</v>
      </c>
      <c r="H567" s="8">
        <f t="shared" si="33"/>
        <v>1058.8727272727272</v>
      </c>
      <c r="I567" s="8">
        <f t="shared" si="34"/>
        <v>276.12727272727284</v>
      </c>
      <c r="J567" s="9">
        <f t="shared" si="35"/>
        <v>0.26077475188021582</v>
      </c>
      <c r="K567" s="7" t="s">
        <v>81</v>
      </c>
    </row>
    <row r="568" spans="1:11" x14ac:dyDescent="0.25">
      <c r="A568" s="7" t="s">
        <v>1063</v>
      </c>
      <c r="B568" s="7" t="s">
        <v>328</v>
      </c>
      <c r="C568" s="7" t="s">
        <v>1116</v>
      </c>
      <c r="D568" s="7" t="s">
        <v>15</v>
      </c>
      <c r="E568" s="16">
        <v>1335</v>
      </c>
      <c r="F568" s="16">
        <v>1164.76</v>
      </c>
      <c r="G568" s="8">
        <f t="shared" si="32"/>
        <v>105.88727272727273</v>
      </c>
      <c r="H568" s="8">
        <f t="shared" si="33"/>
        <v>1058.8727272727272</v>
      </c>
      <c r="I568" s="8">
        <f t="shared" si="34"/>
        <v>276.12727272727284</v>
      </c>
      <c r="J568" s="9">
        <f t="shared" si="35"/>
        <v>0.26077475188021582</v>
      </c>
      <c r="K568" s="7" t="s">
        <v>81</v>
      </c>
    </row>
    <row r="569" spans="1:11" x14ac:dyDescent="0.25">
      <c r="A569" s="7" t="s">
        <v>1063</v>
      </c>
      <c r="B569" s="7" t="s">
        <v>328</v>
      </c>
      <c r="C569" s="7" t="s">
        <v>1117</v>
      </c>
      <c r="D569" s="7" t="s">
        <v>15</v>
      </c>
      <c r="E569" s="16">
        <v>1335</v>
      </c>
      <c r="F569" s="16">
        <v>1164.76</v>
      </c>
      <c r="G569" s="8">
        <f t="shared" si="32"/>
        <v>105.88727272727273</v>
      </c>
      <c r="H569" s="8">
        <f t="shared" si="33"/>
        <v>1058.8727272727272</v>
      </c>
      <c r="I569" s="8">
        <f t="shared" si="34"/>
        <v>276.12727272727284</v>
      </c>
      <c r="J569" s="9">
        <f t="shared" si="35"/>
        <v>0.26077475188021582</v>
      </c>
      <c r="K569" s="7" t="s">
        <v>81</v>
      </c>
    </row>
    <row r="570" spans="1:11" x14ac:dyDescent="0.25">
      <c r="A570" s="7" t="s">
        <v>1063</v>
      </c>
      <c r="B570" s="7" t="s">
        <v>328</v>
      </c>
      <c r="C570" s="7" t="s">
        <v>1118</v>
      </c>
      <c r="D570" s="7" t="s">
        <v>15</v>
      </c>
      <c r="E570" s="16">
        <v>1335</v>
      </c>
      <c r="F570" s="16">
        <v>1164.76</v>
      </c>
      <c r="G570" s="8">
        <f t="shared" si="32"/>
        <v>105.88727272727273</v>
      </c>
      <c r="H570" s="8">
        <f t="shared" si="33"/>
        <v>1058.8727272727272</v>
      </c>
      <c r="I570" s="8">
        <f t="shared" si="34"/>
        <v>276.12727272727284</v>
      </c>
      <c r="J570" s="9">
        <f t="shared" si="35"/>
        <v>0.26077475188021582</v>
      </c>
      <c r="K570" s="7" t="s">
        <v>81</v>
      </c>
    </row>
    <row r="571" spans="1:11" x14ac:dyDescent="0.25">
      <c r="A571" s="7" t="s">
        <v>1063</v>
      </c>
      <c r="B571" s="7" t="s">
        <v>328</v>
      </c>
      <c r="C571" s="7" t="s">
        <v>1119</v>
      </c>
      <c r="D571" s="7" t="s">
        <v>15</v>
      </c>
      <c r="E571" s="16">
        <v>1335</v>
      </c>
      <c r="F571" s="16">
        <v>1164.76</v>
      </c>
      <c r="G571" s="8">
        <f t="shared" si="32"/>
        <v>105.88727272727273</v>
      </c>
      <c r="H571" s="8">
        <f t="shared" si="33"/>
        <v>1058.8727272727272</v>
      </c>
      <c r="I571" s="8">
        <f t="shared" si="34"/>
        <v>276.12727272727284</v>
      </c>
      <c r="J571" s="9">
        <f t="shared" si="35"/>
        <v>0.26077475188021582</v>
      </c>
      <c r="K571" s="7" t="s">
        <v>81</v>
      </c>
    </row>
    <row r="572" spans="1:11" x14ac:dyDescent="0.25">
      <c r="A572" s="7" t="s">
        <v>1063</v>
      </c>
      <c r="B572" s="7" t="s">
        <v>328</v>
      </c>
      <c r="C572" s="7" t="s">
        <v>1120</v>
      </c>
      <c r="D572" s="7" t="s">
        <v>15</v>
      </c>
      <c r="E572" s="16">
        <v>1335</v>
      </c>
      <c r="F572" s="16">
        <v>1164.76</v>
      </c>
      <c r="G572" s="8">
        <f t="shared" si="32"/>
        <v>105.88727272727273</v>
      </c>
      <c r="H572" s="8">
        <f t="shared" si="33"/>
        <v>1058.8727272727272</v>
      </c>
      <c r="I572" s="8">
        <f t="shared" si="34"/>
        <v>276.12727272727284</v>
      </c>
      <c r="J572" s="9">
        <f t="shared" si="35"/>
        <v>0.26077475188021582</v>
      </c>
      <c r="K572" s="7" t="s">
        <v>81</v>
      </c>
    </row>
    <row r="573" spans="1:11" x14ac:dyDescent="0.25">
      <c r="A573" s="7" t="s">
        <v>1063</v>
      </c>
      <c r="B573" s="7" t="s">
        <v>328</v>
      </c>
      <c r="C573" s="7" t="s">
        <v>1121</v>
      </c>
      <c r="D573" s="7" t="s">
        <v>15</v>
      </c>
      <c r="E573" s="16">
        <v>1335</v>
      </c>
      <c r="F573" s="16">
        <v>1164.76</v>
      </c>
      <c r="G573" s="8">
        <f t="shared" si="32"/>
        <v>105.88727272727273</v>
      </c>
      <c r="H573" s="8">
        <f t="shared" si="33"/>
        <v>1058.8727272727272</v>
      </c>
      <c r="I573" s="8">
        <f t="shared" si="34"/>
        <v>276.12727272727284</v>
      </c>
      <c r="J573" s="9">
        <f t="shared" si="35"/>
        <v>0.26077475188021582</v>
      </c>
      <c r="K573" s="7" t="s">
        <v>81</v>
      </c>
    </row>
    <row r="574" spans="1:11" x14ac:dyDescent="0.25">
      <c r="A574" s="7" t="s">
        <v>1063</v>
      </c>
      <c r="B574" s="7" t="s">
        <v>328</v>
      </c>
      <c r="C574" s="7" t="s">
        <v>1122</v>
      </c>
      <c r="D574" s="7" t="s">
        <v>15</v>
      </c>
      <c r="E574" s="16">
        <v>1335</v>
      </c>
      <c r="F574" s="16">
        <v>1164.76</v>
      </c>
      <c r="G574" s="8">
        <f t="shared" si="32"/>
        <v>105.88727272727273</v>
      </c>
      <c r="H574" s="8">
        <f t="shared" si="33"/>
        <v>1058.8727272727272</v>
      </c>
      <c r="I574" s="8">
        <f t="shared" si="34"/>
        <v>276.12727272727284</v>
      </c>
      <c r="J574" s="9">
        <f t="shared" si="35"/>
        <v>0.26077475188021582</v>
      </c>
      <c r="K574" s="7" t="s">
        <v>81</v>
      </c>
    </row>
    <row r="575" spans="1:11" x14ac:dyDescent="0.25">
      <c r="A575" s="7" t="s">
        <v>1063</v>
      </c>
      <c r="B575" s="7" t="s">
        <v>328</v>
      </c>
      <c r="C575" s="7" t="s">
        <v>1123</v>
      </c>
      <c r="D575" s="7" t="s">
        <v>15</v>
      </c>
      <c r="E575" s="16">
        <v>1335</v>
      </c>
      <c r="F575" s="16">
        <v>1164.76</v>
      </c>
      <c r="G575" s="8">
        <f t="shared" si="32"/>
        <v>105.88727272727273</v>
      </c>
      <c r="H575" s="8">
        <f t="shared" si="33"/>
        <v>1058.8727272727272</v>
      </c>
      <c r="I575" s="8">
        <f t="shared" si="34"/>
        <v>276.12727272727284</v>
      </c>
      <c r="J575" s="9">
        <f t="shared" si="35"/>
        <v>0.26077475188021582</v>
      </c>
      <c r="K575" s="7" t="s">
        <v>81</v>
      </c>
    </row>
    <row r="576" spans="1:11" x14ac:dyDescent="0.25">
      <c r="A576" s="7" t="s">
        <v>1063</v>
      </c>
      <c r="B576" s="7" t="s">
        <v>328</v>
      </c>
      <c r="C576" s="7" t="s">
        <v>1124</v>
      </c>
      <c r="D576" s="7" t="s">
        <v>15</v>
      </c>
      <c r="E576" s="16">
        <v>1335</v>
      </c>
      <c r="F576" s="16">
        <v>1164.76</v>
      </c>
      <c r="G576" s="8">
        <f t="shared" si="32"/>
        <v>105.88727272727273</v>
      </c>
      <c r="H576" s="8">
        <f t="shared" si="33"/>
        <v>1058.8727272727272</v>
      </c>
      <c r="I576" s="8">
        <f t="shared" si="34"/>
        <v>276.12727272727284</v>
      </c>
      <c r="J576" s="9">
        <f t="shared" si="35"/>
        <v>0.26077475188021582</v>
      </c>
      <c r="K576" s="7" t="s">
        <v>81</v>
      </c>
    </row>
    <row r="577" spans="1:11" x14ac:dyDescent="0.25">
      <c r="A577" s="7" t="s">
        <v>1063</v>
      </c>
      <c r="B577" s="7" t="s">
        <v>328</v>
      </c>
      <c r="C577" s="7" t="s">
        <v>1125</v>
      </c>
      <c r="D577" s="7" t="s">
        <v>15</v>
      </c>
      <c r="E577" s="16">
        <v>1335</v>
      </c>
      <c r="F577" s="16">
        <v>1164.76</v>
      </c>
      <c r="G577" s="8">
        <f t="shared" si="32"/>
        <v>105.88727272727273</v>
      </c>
      <c r="H577" s="8">
        <f t="shared" si="33"/>
        <v>1058.8727272727272</v>
      </c>
      <c r="I577" s="8">
        <f t="shared" si="34"/>
        <v>276.12727272727284</v>
      </c>
      <c r="J577" s="9">
        <f t="shared" si="35"/>
        <v>0.26077475188021582</v>
      </c>
      <c r="K577" s="7" t="s">
        <v>81</v>
      </c>
    </row>
    <row r="578" spans="1:11" x14ac:dyDescent="0.25">
      <c r="A578" s="7" t="s">
        <v>1063</v>
      </c>
      <c r="B578" s="7" t="s">
        <v>328</v>
      </c>
      <c r="C578" s="7" t="s">
        <v>1126</v>
      </c>
      <c r="D578" s="7" t="s">
        <v>15</v>
      </c>
      <c r="E578" s="16">
        <v>1335</v>
      </c>
      <c r="F578" s="16">
        <v>1164.76</v>
      </c>
      <c r="G578" s="8">
        <f t="shared" si="32"/>
        <v>105.88727272727273</v>
      </c>
      <c r="H578" s="8">
        <f t="shared" si="33"/>
        <v>1058.8727272727272</v>
      </c>
      <c r="I578" s="8">
        <f t="shared" si="34"/>
        <v>276.12727272727284</v>
      </c>
      <c r="J578" s="9">
        <f t="shared" si="35"/>
        <v>0.26077475188021582</v>
      </c>
      <c r="K578" s="7" t="s">
        <v>81</v>
      </c>
    </row>
    <row r="579" spans="1:11" x14ac:dyDescent="0.25">
      <c r="A579" s="7" t="s">
        <v>1063</v>
      </c>
      <c r="B579" s="7" t="s">
        <v>328</v>
      </c>
      <c r="C579" s="7" t="s">
        <v>1127</v>
      </c>
      <c r="D579" s="7" t="s">
        <v>15</v>
      </c>
      <c r="E579" s="16">
        <v>1335</v>
      </c>
      <c r="F579" s="16">
        <v>1164.76</v>
      </c>
      <c r="G579" s="8">
        <f t="shared" ref="G579:G642" si="36">F579/11</f>
        <v>105.88727272727273</v>
      </c>
      <c r="H579" s="8">
        <f t="shared" ref="H579:H642" si="37">F579-G579</f>
        <v>1058.8727272727272</v>
      </c>
      <c r="I579" s="8">
        <f t="shared" ref="I579:I642" si="38">E579-H579</f>
        <v>276.12727272727284</v>
      </c>
      <c r="J579" s="9">
        <f t="shared" ref="J579:J642" si="39">(E579-H579)/H579</f>
        <v>0.26077475188021582</v>
      </c>
      <c r="K579" s="7" t="s">
        <v>81</v>
      </c>
    </row>
    <row r="580" spans="1:11" x14ac:dyDescent="0.25">
      <c r="A580" s="7" t="s">
        <v>1063</v>
      </c>
      <c r="B580" s="7" t="s">
        <v>328</v>
      </c>
      <c r="C580" s="7" t="s">
        <v>1128</v>
      </c>
      <c r="D580" s="7" t="s">
        <v>15</v>
      </c>
      <c r="E580" s="16">
        <v>1335</v>
      </c>
      <c r="F580" s="16">
        <v>1164.76</v>
      </c>
      <c r="G580" s="8">
        <f t="shared" si="36"/>
        <v>105.88727272727273</v>
      </c>
      <c r="H580" s="8">
        <f t="shared" si="37"/>
        <v>1058.8727272727272</v>
      </c>
      <c r="I580" s="8">
        <f t="shared" si="38"/>
        <v>276.12727272727284</v>
      </c>
      <c r="J580" s="9">
        <f t="shared" si="39"/>
        <v>0.26077475188021582</v>
      </c>
      <c r="K580" s="7" t="s">
        <v>81</v>
      </c>
    </row>
    <row r="581" spans="1:11" x14ac:dyDescent="0.25">
      <c r="A581" s="7" t="s">
        <v>1063</v>
      </c>
      <c r="B581" s="7" t="s">
        <v>328</v>
      </c>
      <c r="C581" s="7" t="s">
        <v>1129</v>
      </c>
      <c r="D581" s="7" t="s">
        <v>15</v>
      </c>
      <c r="E581" s="16">
        <v>1335</v>
      </c>
      <c r="F581" s="16">
        <v>1164.76</v>
      </c>
      <c r="G581" s="8">
        <f t="shared" si="36"/>
        <v>105.88727272727273</v>
      </c>
      <c r="H581" s="8">
        <f t="shared" si="37"/>
        <v>1058.8727272727272</v>
      </c>
      <c r="I581" s="8">
        <f t="shared" si="38"/>
        <v>276.12727272727284</v>
      </c>
      <c r="J581" s="9">
        <f t="shared" si="39"/>
        <v>0.26077475188021582</v>
      </c>
      <c r="K581" s="7" t="s">
        <v>81</v>
      </c>
    </row>
    <row r="582" spans="1:11" x14ac:dyDescent="0.25">
      <c r="A582" s="7" t="s">
        <v>1063</v>
      </c>
      <c r="B582" s="7" t="s">
        <v>328</v>
      </c>
      <c r="C582" s="7" t="s">
        <v>1130</v>
      </c>
      <c r="D582" s="7" t="s">
        <v>15</v>
      </c>
      <c r="E582" s="16">
        <v>1335</v>
      </c>
      <c r="F582" s="16">
        <v>1164.76</v>
      </c>
      <c r="G582" s="8">
        <f t="shared" si="36"/>
        <v>105.88727272727273</v>
      </c>
      <c r="H582" s="8">
        <f t="shared" si="37"/>
        <v>1058.8727272727272</v>
      </c>
      <c r="I582" s="8">
        <f t="shared" si="38"/>
        <v>276.12727272727284</v>
      </c>
      <c r="J582" s="9">
        <f t="shared" si="39"/>
        <v>0.26077475188021582</v>
      </c>
      <c r="K582" s="7" t="s">
        <v>81</v>
      </c>
    </row>
    <row r="583" spans="1:11" x14ac:dyDescent="0.25">
      <c r="A583" s="7" t="s">
        <v>1063</v>
      </c>
      <c r="B583" s="7" t="s">
        <v>328</v>
      </c>
      <c r="C583" s="7" t="s">
        <v>1131</v>
      </c>
      <c r="D583" s="7" t="s">
        <v>15</v>
      </c>
      <c r="E583" s="16">
        <v>1330</v>
      </c>
      <c r="F583" s="16">
        <v>1164.76</v>
      </c>
      <c r="G583" s="8">
        <f t="shared" si="36"/>
        <v>105.88727272727273</v>
      </c>
      <c r="H583" s="8">
        <f t="shared" si="37"/>
        <v>1058.8727272727272</v>
      </c>
      <c r="I583" s="8">
        <f t="shared" si="38"/>
        <v>271.12727272727284</v>
      </c>
      <c r="J583" s="9">
        <f t="shared" si="39"/>
        <v>0.25605274906418501</v>
      </c>
      <c r="K583" s="7" t="s">
        <v>81</v>
      </c>
    </row>
    <row r="584" spans="1:11" x14ac:dyDescent="0.25">
      <c r="A584" s="7" t="s">
        <v>1063</v>
      </c>
      <c r="B584" s="7" t="s">
        <v>328</v>
      </c>
      <c r="C584" s="7" t="s">
        <v>1132</v>
      </c>
      <c r="D584" s="7" t="s">
        <v>15</v>
      </c>
      <c r="E584" s="16">
        <v>1330</v>
      </c>
      <c r="F584" s="16">
        <v>1164.76</v>
      </c>
      <c r="G584" s="8">
        <f t="shared" si="36"/>
        <v>105.88727272727273</v>
      </c>
      <c r="H584" s="8">
        <f t="shared" si="37"/>
        <v>1058.8727272727272</v>
      </c>
      <c r="I584" s="8">
        <f t="shared" si="38"/>
        <v>271.12727272727284</v>
      </c>
      <c r="J584" s="9">
        <f t="shared" si="39"/>
        <v>0.25605274906418501</v>
      </c>
      <c r="K584" s="7" t="s">
        <v>81</v>
      </c>
    </row>
    <row r="585" spans="1:11" x14ac:dyDescent="0.25">
      <c r="A585" s="7" t="s">
        <v>1063</v>
      </c>
      <c r="B585" s="7" t="s">
        <v>328</v>
      </c>
      <c r="C585" s="7" t="s">
        <v>1133</v>
      </c>
      <c r="D585" s="7" t="s">
        <v>15</v>
      </c>
      <c r="E585" s="16">
        <v>1330</v>
      </c>
      <c r="F585" s="16">
        <v>1164.76</v>
      </c>
      <c r="G585" s="8">
        <f t="shared" si="36"/>
        <v>105.88727272727273</v>
      </c>
      <c r="H585" s="8">
        <f t="shared" si="37"/>
        <v>1058.8727272727272</v>
      </c>
      <c r="I585" s="8">
        <f t="shared" si="38"/>
        <v>271.12727272727284</v>
      </c>
      <c r="J585" s="9">
        <f t="shared" si="39"/>
        <v>0.25605274906418501</v>
      </c>
      <c r="K585" s="7" t="s">
        <v>81</v>
      </c>
    </row>
    <row r="586" spans="1:11" x14ac:dyDescent="0.25">
      <c r="A586" s="7" t="s">
        <v>1063</v>
      </c>
      <c r="B586" s="7" t="s">
        <v>328</v>
      </c>
      <c r="C586" s="7" t="s">
        <v>1134</v>
      </c>
      <c r="D586" s="7" t="s">
        <v>15</v>
      </c>
      <c r="E586" s="16">
        <v>1330</v>
      </c>
      <c r="F586" s="16">
        <v>1164.76</v>
      </c>
      <c r="G586" s="8">
        <f t="shared" si="36"/>
        <v>105.88727272727273</v>
      </c>
      <c r="H586" s="8">
        <f t="shared" si="37"/>
        <v>1058.8727272727272</v>
      </c>
      <c r="I586" s="8">
        <f t="shared" si="38"/>
        <v>271.12727272727284</v>
      </c>
      <c r="J586" s="9">
        <f t="shared" si="39"/>
        <v>0.25605274906418501</v>
      </c>
      <c r="K586" s="7" t="s">
        <v>81</v>
      </c>
    </row>
    <row r="587" spans="1:11" x14ac:dyDescent="0.25">
      <c r="A587" s="7" t="s">
        <v>1063</v>
      </c>
      <c r="B587" s="7" t="s">
        <v>328</v>
      </c>
      <c r="C587" s="7" t="s">
        <v>1135</v>
      </c>
      <c r="D587" s="7" t="s">
        <v>15</v>
      </c>
      <c r="E587" s="16">
        <v>1330</v>
      </c>
      <c r="F587" s="16">
        <v>1164.76</v>
      </c>
      <c r="G587" s="8">
        <f t="shared" si="36"/>
        <v>105.88727272727273</v>
      </c>
      <c r="H587" s="8">
        <f t="shared" si="37"/>
        <v>1058.8727272727272</v>
      </c>
      <c r="I587" s="8">
        <f t="shared" si="38"/>
        <v>271.12727272727284</v>
      </c>
      <c r="J587" s="9">
        <f t="shared" si="39"/>
        <v>0.25605274906418501</v>
      </c>
      <c r="K587" s="7" t="s">
        <v>81</v>
      </c>
    </row>
    <row r="588" spans="1:11" x14ac:dyDescent="0.25">
      <c r="A588" s="7" t="s">
        <v>1063</v>
      </c>
      <c r="B588" s="7" t="s">
        <v>328</v>
      </c>
      <c r="C588" s="7" t="s">
        <v>1136</v>
      </c>
      <c r="D588" s="7" t="s">
        <v>15</v>
      </c>
      <c r="E588" s="16">
        <v>1330</v>
      </c>
      <c r="F588" s="16">
        <v>1164.76</v>
      </c>
      <c r="G588" s="8">
        <f t="shared" si="36"/>
        <v>105.88727272727273</v>
      </c>
      <c r="H588" s="8">
        <f t="shared" si="37"/>
        <v>1058.8727272727272</v>
      </c>
      <c r="I588" s="8">
        <f t="shared" si="38"/>
        <v>271.12727272727284</v>
      </c>
      <c r="J588" s="9">
        <f t="shared" si="39"/>
        <v>0.25605274906418501</v>
      </c>
      <c r="K588" s="7" t="s">
        <v>81</v>
      </c>
    </row>
    <row r="589" spans="1:11" x14ac:dyDescent="0.25">
      <c r="A589" s="7" t="s">
        <v>1063</v>
      </c>
      <c r="B589" s="7" t="s">
        <v>328</v>
      </c>
      <c r="C589" s="7" t="s">
        <v>1137</v>
      </c>
      <c r="D589" s="7" t="s">
        <v>15</v>
      </c>
      <c r="E589" s="16">
        <v>1330</v>
      </c>
      <c r="F589" s="16">
        <v>1164.76</v>
      </c>
      <c r="G589" s="8">
        <f t="shared" si="36"/>
        <v>105.88727272727273</v>
      </c>
      <c r="H589" s="8">
        <f t="shared" si="37"/>
        <v>1058.8727272727272</v>
      </c>
      <c r="I589" s="8">
        <f t="shared" si="38"/>
        <v>271.12727272727284</v>
      </c>
      <c r="J589" s="9">
        <f t="shared" si="39"/>
        <v>0.25605274906418501</v>
      </c>
      <c r="K589" s="7" t="s">
        <v>81</v>
      </c>
    </row>
    <row r="590" spans="1:11" x14ac:dyDescent="0.25">
      <c r="A590" s="7" t="s">
        <v>1063</v>
      </c>
      <c r="B590" s="7" t="s">
        <v>328</v>
      </c>
      <c r="C590" s="7" t="s">
        <v>1138</v>
      </c>
      <c r="D590" s="7" t="s">
        <v>15</v>
      </c>
      <c r="E590" s="16">
        <v>1330</v>
      </c>
      <c r="F590" s="16">
        <v>1164.76</v>
      </c>
      <c r="G590" s="8">
        <f t="shared" si="36"/>
        <v>105.88727272727273</v>
      </c>
      <c r="H590" s="8">
        <f t="shared" si="37"/>
        <v>1058.8727272727272</v>
      </c>
      <c r="I590" s="8">
        <f t="shared" si="38"/>
        <v>271.12727272727284</v>
      </c>
      <c r="J590" s="9">
        <f t="shared" si="39"/>
        <v>0.25605274906418501</v>
      </c>
      <c r="K590" s="7" t="s">
        <v>81</v>
      </c>
    </row>
    <row r="591" spans="1:11" x14ac:dyDescent="0.25">
      <c r="A591" s="7" t="s">
        <v>1063</v>
      </c>
      <c r="B591" s="7" t="s">
        <v>328</v>
      </c>
      <c r="C591" s="7" t="s">
        <v>1139</v>
      </c>
      <c r="D591" s="7" t="s">
        <v>15</v>
      </c>
      <c r="E591" s="16">
        <v>1330</v>
      </c>
      <c r="F591" s="16">
        <v>1164.76</v>
      </c>
      <c r="G591" s="8">
        <f t="shared" si="36"/>
        <v>105.88727272727273</v>
      </c>
      <c r="H591" s="8">
        <f t="shared" si="37"/>
        <v>1058.8727272727272</v>
      </c>
      <c r="I591" s="8">
        <f t="shared" si="38"/>
        <v>271.12727272727284</v>
      </c>
      <c r="J591" s="9">
        <f t="shared" si="39"/>
        <v>0.25605274906418501</v>
      </c>
      <c r="K591" s="7" t="s">
        <v>81</v>
      </c>
    </row>
    <row r="592" spans="1:11" x14ac:dyDescent="0.25">
      <c r="A592" s="7" t="s">
        <v>1063</v>
      </c>
      <c r="B592" s="7" t="s">
        <v>328</v>
      </c>
      <c r="C592" s="7" t="s">
        <v>1140</v>
      </c>
      <c r="D592" s="7" t="s">
        <v>15</v>
      </c>
      <c r="E592" s="16">
        <v>1330</v>
      </c>
      <c r="F592" s="16">
        <v>1164.76</v>
      </c>
      <c r="G592" s="8">
        <f t="shared" si="36"/>
        <v>105.88727272727273</v>
      </c>
      <c r="H592" s="8">
        <f t="shared" si="37"/>
        <v>1058.8727272727272</v>
      </c>
      <c r="I592" s="8">
        <f t="shared" si="38"/>
        <v>271.12727272727284</v>
      </c>
      <c r="J592" s="9">
        <f t="shared" si="39"/>
        <v>0.25605274906418501</v>
      </c>
      <c r="K592" s="7" t="s">
        <v>81</v>
      </c>
    </row>
    <row r="593" spans="1:11" x14ac:dyDescent="0.25">
      <c r="A593" s="7" t="s">
        <v>1063</v>
      </c>
      <c r="B593" s="7" t="s">
        <v>328</v>
      </c>
      <c r="C593" s="7" t="s">
        <v>1141</v>
      </c>
      <c r="D593" s="7" t="s">
        <v>15</v>
      </c>
      <c r="E593" s="16">
        <v>1330</v>
      </c>
      <c r="F593" s="16">
        <v>1164.76</v>
      </c>
      <c r="G593" s="8">
        <f t="shared" si="36"/>
        <v>105.88727272727273</v>
      </c>
      <c r="H593" s="8">
        <f t="shared" si="37"/>
        <v>1058.8727272727272</v>
      </c>
      <c r="I593" s="8">
        <f t="shared" si="38"/>
        <v>271.12727272727284</v>
      </c>
      <c r="J593" s="9">
        <f t="shared" si="39"/>
        <v>0.25605274906418501</v>
      </c>
      <c r="K593" s="7" t="s">
        <v>81</v>
      </c>
    </row>
    <row r="594" spans="1:11" x14ac:dyDescent="0.25">
      <c r="A594" s="7" t="s">
        <v>1063</v>
      </c>
      <c r="B594" s="7" t="s">
        <v>328</v>
      </c>
      <c r="C594" s="7" t="s">
        <v>1142</v>
      </c>
      <c r="D594" s="7" t="s">
        <v>15</v>
      </c>
      <c r="E594" s="16">
        <v>1330</v>
      </c>
      <c r="F594" s="16">
        <v>1164.76</v>
      </c>
      <c r="G594" s="8">
        <f t="shared" si="36"/>
        <v>105.88727272727273</v>
      </c>
      <c r="H594" s="8">
        <f t="shared" si="37"/>
        <v>1058.8727272727272</v>
      </c>
      <c r="I594" s="8">
        <f t="shared" si="38"/>
        <v>271.12727272727284</v>
      </c>
      <c r="J594" s="9">
        <f t="shared" si="39"/>
        <v>0.25605274906418501</v>
      </c>
      <c r="K594" s="7" t="s">
        <v>81</v>
      </c>
    </row>
    <row r="595" spans="1:11" x14ac:dyDescent="0.25">
      <c r="A595" s="7" t="s">
        <v>1063</v>
      </c>
      <c r="B595" s="7" t="s">
        <v>328</v>
      </c>
      <c r="C595" s="7" t="s">
        <v>1143</v>
      </c>
      <c r="D595" s="7" t="s">
        <v>15</v>
      </c>
      <c r="E595" s="16">
        <v>1330</v>
      </c>
      <c r="F595" s="16">
        <v>1164.76</v>
      </c>
      <c r="G595" s="8">
        <f t="shared" si="36"/>
        <v>105.88727272727273</v>
      </c>
      <c r="H595" s="8">
        <f t="shared" si="37"/>
        <v>1058.8727272727272</v>
      </c>
      <c r="I595" s="8">
        <f t="shared" si="38"/>
        <v>271.12727272727284</v>
      </c>
      <c r="J595" s="9">
        <f t="shared" si="39"/>
        <v>0.25605274906418501</v>
      </c>
      <c r="K595" s="7" t="s">
        <v>81</v>
      </c>
    </row>
    <row r="596" spans="1:11" x14ac:dyDescent="0.25">
      <c r="A596" s="7" t="s">
        <v>1063</v>
      </c>
      <c r="B596" s="7" t="s">
        <v>328</v>
      </c>
      <c r="C596" s="7" t="s">
        <v>1144</v>
      </c>
      <c r="D596" s="7" t="s">
        <v>15</v>
      </c>
      <c r="E596" s="16">
        <v>1330</v>
      </c>
      <c r="F596" s="16">
        <v>1164.76</v>
      </c>
      <c r="G596" s="8">
        <f t="shared" si="36"/>
        <v>105.88727272727273</v>
      </c>
      <c r="H596" s="8">
        <f t="shared" si="37"/>
        <v>1058.8727272727272</v>
      </c>
      <c r="I596" s="8">
        <f t="shared" si="38"/>
        <v>271.12727272727284</v>
      </c>
      <c r="J596" s="9">
        <f t="shared" si="39"/>
        <v>0.25605274906418501</v>
      </c>
      <c r="K596" s="7" t="s">
        <v>81</v>
      </c>
    </row>
    <row r="597" spans="1:11" x14ac:dyDescent="0.25">
      <c r="A597" s="7" t="s">
        <v>1063</v>
      </c>
      <c r="B597" s="7" t="s">
        <v>328</v>
      </c>
      <c r="C597" s="7" t="s">
        <v>1145</v>
      </c>
      <c r="D597" s="7" t="s">
        <v>15</v>
      </c>
      <c r="E597" s="16">
        <v>1330</v>
      </c>
      <c r="F597" s="16">
        <v>1164.76</v>
      </c>
      <c r="G597" s="8">
        <f t="shared" si="36"/>
        <v>105.88727272727273</v>
      </c>
      <c r="H597" s="8">
        <f t="shared" si="37"/>
        <v>1058.8727272727272</v>
      </c>
      <c r="I597" s="8">
        <f t="shared" si="38"/>
        <v>271.12727272727284</v>
      </c>
      <c r="J597" s="9">
        <f t="shared" si="39"/>
        <v>0.25605274906418501</v>
      </c>
      <c r="K597" s="7" t="s">
        <v>81</v>
      </c>
    </row>
    <row r="598" spans="1:11" x14ac:dyDescent="0.25">
      <c r="A598" s="13" t="s">
        <v>1146</v>
      </c>
      <c r="B598" s="13" t="s">
        <v>1000</v>
      </c>
      <c r="C598" s="13" t="s">
        <v>1165</v>
      </c>
      <c r="D598" s="13" t="s">
        <v>15</v>
      </c>
      <c r="E598" s="17">
        <v>1150</v>
      </c>
      <c r="F598" s="17">
        <v>1314.3</v>
      </c>
      <c r="G598" s="14">
        <f t="shared" si="36"/>
        <v>119.48181818181818</v>
      </c>
      <c r="H598" s="14">
        <f t="shared" si="37"/>
        <v>1194.8181818181818</v>
      </c>
      <c r="I598" s="14">
        <f t="shared" si="38"/>
        <v>-44.818181818181756</v>
      </c>
      <c r="J598" s="15">
        <f t="shared" si="39"/>
        <v>-3.7510461842806007E-2</v>
      </c>
      <c r="K598" s="13" t="s">
        <v>16</v>
      </c>
    </row>
    <row r="599" spans="1:11" x14ac:dyDescent="0.25">
      <c r="A599" s="7" t="s">
        <v>1146</v>
      </c>
      <c r="B599" s="7" t="s">
        <v>33</v>
      </c>
      <c r="C599" s="7" t="s">
        <v>1169</v>
      </c>
      <c r="D599" s="7" t="s">
        <v>644</v>
      </c>
      <c r="E599" s="16">
        <v>5050</v>
      </c>
      <c r="F599" s="16">
        <v>4881.29</v>
      </c>
      <c r="G599" s="8">
        <f t="shared" si="36"/>
        <v>443.75363636363636</v>
      </c>
      <c r="H599" s="8">
        <f t="shared" si="37"/>
        <v>4437.5363636363636</v>
      </c>
      <c r="I599" s="8">
        <f t="shared" si="38"/>
        <v>612.4636363636364</v>
      </c>
      <c r="J599" s="9">
        <f t="shared" si="39"/>
        <v>0.13801884337951648</v>
      </c>
      <c r="K599" s="7" t="s">
        <v>81</v>
      </c>
    </row>
    <row r="600" spans="1:11" x14ac:dyDescent="0.25">
      <c r="A600" s="7" t="s">
        <v>1146</v>
      </c>
      <c r="B600" s="7" t="s">
        <v>33</v>
      </c>
      <c r="C600" s="7" t="s">
        <v>1170</v>
      </c>
      <c r="D600" s="7" t="s">
        <v>644</v>
      </c>
      <c r="E600" s="16">
        <v>5050</v>
      </c>
      <c r="F600" s="16">
        <v>4881.29</v>
      </c>
      <c r="G600" s="8">
        <f t="shared" si="36"/>
        <v>443.75363636363636</v>
      </c>
      <c r="H600" s="8">
        <f t="shared" si="37"/>
        <v>4437.5363636363636</v>
      </c>
      <c r="I600" s="8">
        <f t="shared" si="38"/>
        <v>612.4636363636364</v>
      </c>
      <c r="J600" s="9">
        <f t="shared" si="39"/>
        <v>0.13801884337951648</v>
      </c>
      <c r="K600" s="7" t="s">
        <v>81</v>
      </c>
    </row>
    <row r="601" spans="1:11" x14ac:dyDescent="0.25">
      <c r="A601" s="7" t="s">
        <v>1146</v>
      </c>
      <c r="B601" s="7" t="s">
        <v>33</v>
      </c>
      <c r="C601" s="7" t="s">
        <v>1171</v>
      </c>
      <c r="D601" s="7" t="s">
        <v>644</v>
      </c>
      <c r="E601" s="16">
        <v>5050</v>
      </c>
      <c r="F601" s="16">
        <v>4803.87</v>
      </c>
      <c r="G601" s="8">
        <f t="shared" si="36"/>
        <v>436.71545454545452</v>
      </c>
      <c r="H601" s="8">
        <f t="shared" si="37"/>
        <v>4367.1545454545458</v>
      </c>
      <c r="I601" s="8">
        <f t="shared" si="38"/>
        <v>682.84545454545423</v>
      </c>
      <c r="J601" s="9">
        <f t="shared" si="39"/>
        <v>0.15635935193916564</v>
      </c>
      <c r="K601" s="7" t="s">
        <v>81</v>
      </c>
    </row>
    <row r="602" spans="1:11" x14ac:dyDescent="0.25">
      <c r="A602" s="7" t="s">
        <v>1146</v>
      </c>
      <c r="B602" s="7" t="s">
        <v>33</v>
      </c>
      <c r="C602" s="7" t="s">
        <v>1172</v>
      </c>
      <c r="D602" s="7" t="s">
        <v>644</v>
      </c>
      <c r="E602" s="16">
        <v>5050</v>
      </c>
      <c r="F602" s="16">
        <v>4881.29</v>
      </c>
      <c r="G602" s="8">
        <f t="shared" si="36"/>
        <v>443.75363636363636</v>
      </c>
      <c r="H602" s="8">
        <f t="shared" si="37"/>
        <v>4437.5363636363636</v>
      </c>
      <c r="I602" s="8">
        <f t="shared" si="38"/>
        <v>612.4636363636364</v>
      </c>
      <c r="J602" s="9">
        <f t="shared" si="39"/>
        <v>0.13801884337951648</v>
      </c>
      <c r="K602" s="7" t="s">
        <v>81</v>
      </c>
    </row>
    <row r="603" spans="1:11" x14ac:dyDescent="0.25">
      <c r="A603" s="7" t="s">
        <v>1146</v>
      </c>
      <c r="B603" s="7" t="s">
        <v>33</v>
      </c>
      <c r="C603" s="7" t="s">
        <v>1173</v>
      </c>
      <c r="D603" s="7" t="s">
        <v>644</v>
      </c>
      <c r="E603" s="16">
        <v>5050</v>
      </c>
      <c r="F603" s="16">
        <v>4881.29</v>
      </c>
      <c r="G603" s="8">
        <f t="shared" si="36"/>
        <v>443.75363636363636</v>
      </c>
      <c r="H603" s="8">
        <f t="shared" si="37"/>
        <v>4437.5363636363636</v>
      </c>
      <c r="I603" s="8">
        <f t="shared" si="38"/>
        <v>612.4636363636364</v>
      </c>
      <c r="J603" s="9">
        <f t="shared" si="39"/>
        <v>0.13801884337951648</v>
      </c>
      <c r="K603" s="7" t="s">
        <v>81</v>
      </c>
    </row>
    <row r="604" spans="1:11" x14ac:dyDescent="0.25">
      <c r="A604" s="7" t="s">
        <v>1146</v>
      </c>
      <c r="B604" s="7" t="s">
        <v>33</v>
      </c>
      <c r="C604" s="7" t="s">
        <v>1174</v>
      </c>
      <c r="D604" s="7" t="s">
        <v>644</v>
      </c>
      <c r="E604" s="16">
        <v>5050</v>
      </c>
      <c r="F604" s="16">
        <v>4881.29</v>
      </c>
      <c r="G604" s="8">
        <f t="shared" si="36"/>
        <v>443.75363636363636</v>
      </c>
      <c r="H604" s="8">
        <f t="shared" si="37"/>
        <v>4437.5363636363636</v>
      </c>
      <c r="I604" s="8">
        <f t="shared" si="38"/>
        <v>612.4636363636364</v>
      </c>
      <c r="J604" s="9">
        <f t="shared" si="39"/>
        <v>0.13801884337951648</v>
      </c>
      <c r="K604" s="7" t="s">
        <v>81</v>
      </c>
    </row>
    <row r="605" spans="1:11" x14ac:dyDescent="0.25">
      <c r="A605" s="7" t="s">
        <v>1146</v>
      </c>
      <c r="B605" s="7" t="s">
        <v>33</v>
      </c>
      <c r="C605" s="7" t="s">
        <v>1175</v>
      </c>
      <c r="D605" s="7" t="s">
        <v>644</v>
      </c>
      <c r="E605" s="16">
        <v>5050</v>
      </c>
      <c r="F605" s="16">
        <v>4881.29</v>
      </c>
      <c r="G605" s="8">
        <f t="shared" si="36"/>
        <v>443.75363636363636</v>
      </c>
      <c r="H605" s="8">
        <f t="shared" si="37"/>
        <v>4437.5363636363636</v>
      </c>
      <c r="I605" s="8">
        <f t="shared" si="38"/>
        <v>612.4636363636364</v>
      </c>
      <c r="J605" s="9">
        <f t="shared" si="39"/>
        <v>0.13801884337951648</v>
      </c>
      <c r="K605" s="7" t="s">
        <v>81</v>
      </c>
    </row>
    <row r="606" spans="1:11" x14ac:dyDescent="0.25">
      <c r="A606" s="7" t="s">
        <v>1146</v>
      </c>
      <c r="B606" s="7" t="s">
        <v>33</v>
      </c>
      <c r="C606" s="7" t="s">
        <v>1176</v>
      </c>
      <c r="D606" s="7" t="s">
        <v>644</v>
      </c>
      <c r="E606" s="16">
        <v>5050</v>
      </c>
      <c r="F606" s="16">
        <v>4803.87</v>
      </c>
      <c r="G606" s="8">
        <f t="shared" si="36"/>
        <v>436.71545454545452</v>
      </c>
      <c r="H606" s="8">
        <f t="shared" si="37"/>
        <v>4367.1545454545458</v>
      </c>
      <c r="I606" s="8">
        <f t="shared" si="38"/>
        <v>682.84545454545423</v>
      </c>
      <c r="J606" s="9">
        <f t="shared" si="39"/>
        <v>0.15635935193916564</v>
      </c>
      <c r="K606" s="7" t="s">
        <v>81</v>
      </c>
    </row>
    <row r="607" spans="1:11" x14ac:dyDescent="0.25">
      <c r="A607" s="7" t="s">
        <v>1146</v>
      </c>
      <c r="B607" s="7" t="s">
        <v>33</v>
      </c>
      <c r="C607" s="7" t="s">
        <v>1177</v>
      </c>
      <c r="D607" s="7" t="s">
        <v>644</v>
      </c>
      <c r="E607" s="16">
        <v>5050</v>
      </c>
      <c r="F607" s="16">
        <v>4881.29</v>
      </c>
      <c r="G607" s="8">
        <f t="shared" si="36"/>
        <v>443.75363636363636</v>
      </c>
      <c r="H607" s="8">
        <f t="shared" si="37"/>
        <v>4437.5363636363636</v>
      </c>
      <c r="I607" s="8">
        <f t="shared" si="38"/>
        <v>612.4636363636364</v>
      </c>
      <c r="J607" s="9">
        <f t="shared" si="39"/>
        <v>0.13801884337951648</v>
      </c>
      <c r="K607" s="7" t="s">
        <v>81</v>
      </c>
    </row>
    <row r="608" spans="1:11" x14ac:dyDescent="0.25">
      <c r="A608" s="7" t="s">
        <v>1146</v>
      </c>
      <c r="B608" s="7" t="s">
        <v>33</v>
      </c>
      <c r="C608" s="7" t="s">
        <v>1178</v>
      </c>
      <c r="D608" s="7" t="s">
        <v>644</v>
      </c>
      <c r="E608" s="16">
        <v>5050</v>
      </c>
      <c r="F608" s="16">
        <v>4881.29</v>
      </c>
      <c r="G608" s="8">
        <f t="shared" si="36"/>
        <v>443.75363636363636</v>
      </c>
      <c r="H608" s="8">
        <f t="shared" si="37"/>
        <v>4437.5363636363636</v>
      </c>
      <c r="I608" s="8">
        <f t="shared" si="38"/>
        <v>612.4636363636364</v>
      </c>
      <c r="J608" s="9">
        <f t="shared" si="39"/>
        <v>0.13801884337951648</v>
      </c>
      <c r="K608" s="7" t="s">
        <v>81</v>
      </c>
    </row>
    <row r="609" spans="1:11" x14ac:dyDescent="0.25">
      <c r="A609" s="7" t="s">
        <v>1146</v>
      </c>
      <c r="B609" s="7" t="s">
        <v>33</v>
      </c>
      <c r="C609" s="7" t="s">
        <v>1179</v>
      </c>
      <c r="D609" s="7" t="s">
        <v>644</v>
      </c>
      <c r="E609" s="16">
        <v>5050</v>
      </c>
      <c r="F609" s="16">
        <v>4881.29</v>
      </c>
      <c r="G609" s="8">
        <f t="shared" si="36"/>
        <v>443.75363636363636</v>
      </c>
      <c r="H609" s="8">
        <f t="shared" si="37"/>
        <v>4437.5363636363636</v>
      </c>
      <c r="I609" s="8">
        <f t="shared" si="38"/>
        <v>612.4636363636364</v>
      </c>
      <c r="J609" s="9">
        <f t="shared" si="39"/>
        <v>0.13801884337951648</v>
      </c>
      <c r="K609" s="7" t="s">
        <v>81</v>
      </c>
    </row>
    <row r="610" spans="1:11" x14ac:dyDescent="0.25">
      <c r="A610" s="7" t="s">
        <v>1146</v>
      </c>
      <c r="B610" s="7" t="s">
        <v>33</v>
      </c>
      <c r="C610" s="7" t="s">
        <v>1180</v>
      </c>
      <c r="D610" s="7" t="s">
        <v>644</v>
      </c>
      <c r="E610" s="16">
        <v>5025</v>
      </c>
      <c r="F610" s="16">
        <v>4881.29</v>
      </c>
      <c r="G610" s="8">
        <f t="shared" si="36"/>
        <v>443.75363636363636</v>
      </c>
      <c r="H610" s="8">
        <f t="shared" si="37"/>
        <v>4437.5363636363636</v>
      </c>
      <c r="I610" s="8">
        <f t="shared" si="38"/>
        <v>587.4636363636364</v>
      </c>
      <c r="J610" s="9">
        <f t="shared" si="39"/>
        <v>0.13238508672912283</v>
      </c>
      <c r="K610" s="7" t="s">
        <v>81</v>
      </c>
    </row>
    <row r="611" spans="1:11" x14ac:dyDescent="0.25">
      <c r="A611" s="7" t="s">
        <v>1146</v>
      </c>
      <c r="B611" s="7" t="s">
        <v>33</v>
      </c>
      <c r="C611" s="7" t="s">
        <v>1186</v>
      </c>
      <c r="D611" s="7" t="s">
        <v>644</v>
      </c>
      <c r="E611" s="16">
        <v>5025</v>
      </c>
      <c r="F611" s="16">
        <v>4980.42</v>
      </c>
      <c r="G611" s="8">
        <f t="shared" si="36"/>
        <v>452.76545454545453</v>
      </c>
      <c r="H611" s="8">
        <f t="shared" si="37"/>
        <v>4527.6545454545458</v>
      </c>
      <c r="I611" s="8">
        <f t="shared" si="38"/>
        <v>497.34545454545423</v>
      </c>
      <c r="J611" s="9">
        <f t="shared" si="39"/>
        <v>0.10984615755297739</v>
      </c>
      <c r="K611" s="7" t="s">
        <v>81</v>
      </c>
    </row>
    <row r="612" spans="1:11" x14ac:dyDescent="0.25">
      <c r="A612" s="7" t="s">
        <v>1146</v>
      </c>
      <c r="B612" s="7" t="s">
        <v>33</v>
      </c>
      <c r="C612" s="7" t="s">
        <v>1187</v>
      </c>
      <c r="D612" s="7" t="s">
        <v>644</v>
      </c>
      <c r="E612" s="16">
        <v>5025</v>
      </c>
      <c r="F612" s="16">
        <v>4803.87</v>
      </c>
      <c r="G612" s="8">
        <f t="shared" si="36"/>
        <v>436.71545454545452</v>
      </c>
      <c r="H612" s="8">
        <f t="shared" si="37"/>
        <v>4367.1545454545458</v>
      </c>
      <c r="I612" s="8">
        <f t="shared" si="38"/>
        <v>657.84545454545423</v>
      </c>
      <c r="J612" s="9">
        <f t="shared" si="39"/>
        <v>0.15063480069194204</v>
      </c>
      <c r="K612" s="7" t="s">
        <v>81</v>
      </c>
    </row>
    <row r="613" spans="1:11" x14ac:dyDescent="0.25">
      <c r="A613" s="7" t="s">
        <v>1146</v>
      </c>
      <c r="B613" s="7" t="s">
        <v>33</v>
      </c>
      <c r="C613" s="7" t="s">
        <v>1188</v>
      </c>
      <c r="D613" s="7" t="s">
        <v>644</v>
      </c>
      <c r="E613" s="16">
        <v>5025</v>
      </c>
      <c r="F613" s="16">
        <v>4881.29</v>
      </c>
      <c r="G613" s="8">
        <f t="shared" si="36"/>
        <v>443.75363636363636</v>
      </c>
      <c r="H613" s="8">
        <f t="shared" si="37"/>
        <v>4437.5363636363636</v>
      </c>
      <c r="I613" s="8">
        <f t="shared" si="38"/>
        <v>587.4636363636364</v>
      </c>
      <c r="J613" s="9">
        <f t="shared" si="39"/>
        <v>0.13238508672912283</v>
      </c>
      <c r="K613" s="7" t="s">
        <v>81</v>
      </c>
    </row>
    <row r="614" spans="1:11" x14ac:dyDescent="0.25">
      <c r="A614" s="7" t="s">
        <v>1146</v>
      </c>
      <c r="B614" s="7" t="s">
        <v>33</v>
      </c>
      <c r="C614" s="7" t="s">
        <v>1189</v>
      </c>
      <c r="D614" s="7" t="s">
        <v>644</v>
      </c>
      <c r="E614" s="16">
        <v>5025</v>
      </c>
      <c r="F614" s="16">
        <v>4881.29</v>
      </c>
      <c r="G614" s="8">
        <f t="shared" si="36"/>
        <v>443.75363636363636</v>
      </c>
      <c r="H614" s="8">
        <f t="shared" si="37"/>
        <v>4437.5363636363636</v>
      </c>
      <c r="I614" s="8">
        <f t="shared" si="38"/>
        <v>587.4636363636364</v>
      </c>
      <c r="J614" s="9">
        <f t="shared" si="39"/>
        <v>0.13238508672912283</v>
      </c>
      <c r="K614" s="7" t="s">
        <v>81</v>
      </c>
    </row>
    <row r="615" spans="1:11" x14ac:dyDescent="0.25">
      <c r="A615" s="7" t="s">
        <v>1146</v>
      </c>
      <c r="B615" s="7" t="s">
        <v>33</v>
      </c>
      <c r="C615" s="7" t="s">
        <v>1190</v>
      </c>
      <c r="D615" s="7" t="s">
        <v>644</v>
      </c>
      <c r="E615" s="16">
        <v>5025</v>
      </c>
      <c r="F615" s="16">
        <v>4803.87</v>
      </c>
      <c r="G615" s="8">
        <f t="shared" si="36"/>
        <v>436.71545454545452</v>
      </c>
      <c r="H615" s="8">
        <f t="shared" si="37"/>
        <v>4367.1545454545458</v>
      </c>
      <c r="I615" s="8">
        <f t="shared" si="38"/>
        <v>657.84545454545423</v>
      </c>
      <c r="J615" s="9">
        <f t="shared" si="39"/>
        <v>0.15063480069194204</v>
      </c>
      <c r="K615" s="7" t="s">
        <v>81</v>
      </c>
    </row>
    <row r="616" spans="1:11" x14ac:dyDescent="0.25">
      <c r="A616" s="7" t="s">
        <v>1146</v>
      </c>
      <c r="B616" s="7" t="s">
        <v>33</v>
      </c>
      <c r="C616" s="7" t="s">
        <v>1191</v>
      </c>
      <c r="D616" s="7" t="s">
        <v>644</v>
      </c>
      <c r="E616" s="16">
        <v>5025</v>
      </c>
      <c r="F616" s="16">
        <v>4881.29</v>
      </c>
      <c r="G616" s="8">
        <f t="shared" si="36"/>
        <v>443.75363636363636</v>
      </c>
      <c r="H616" s="8">
        <f t="shared" si="37"/>
        <v>4437.5363636363636</v>
      </c>
      <c r="I616" s="8">
        <f t="shared" si="38"/>
        <v>587.4636363636364</v>
      </c>
      <c r="J616" s="9">
        <f t="shared" si="39"/>
        <v>0.13238508672912283</v>
      </c>
      <c r="K616" s="7" t="s">
        <v>81</v>
      </c>
    </row>
    <row r="617" spans="1:11" x14ac:dyDescent="0.25">
      <c r="A617" s="7" t="s">
        <v>1146</v>
      </c>
      <c r="B617" s="7" t="s">
        <v>33</v>
      </c>
      <c r="C617" s="7" t="s">
        <v>1192</v>
      </c>
      <c r="D617" s="7" t="s">
        <v>644</v>
      </c>
      <c r="E617" s="16">
        <v>5050</v>
      </c>
      <c r="F617" s="16">
        <v>4803.87</v>
      </c>
      <c r="G617" s="8">
        <f t="shared" si="36"/>
        <v>436.71545454545452</v>
      </c>
      <c r="H617" s="8">
        <f t="shared" si="37"/>
        <v>4367.1545454545458</v>
      </c>
      <c r="I617" s="8">
        <f t="shared" si="38"/>
        <v>682.84545454545423</v>
      </c>
      <c r="J617" s="9">
        <f t="shared" si="39"/>
        <v>0.15635935193916564</v>
      </c>
      <c r="K617" s="7" t="s">
        <v>81</v>
      </c>
    </row>
    <row r="618" spans="1:11" x14ac:dyDescent="0.25">
      <c r="A618" s="7" t="s">
        <v>1146</v>
      </c>
      <c r="B618" s="7" t="s">
        <v>33</v>
      </c>
      <c r="C618" s="7" t="s">
        <v>1193</v>
      </c>
      <c r="D618" s="7" t="s">
        <v>644</v>
      </c>
      <c r="E618" s="16">
        <v>5050</v>
      </c>
      <c r="F618" s="16">
        <v>4803.87</v>
      </c>
      <c r="G618" s="8">
        <f t="shared" si="36"/>
        <v>436.71545454545452</v>
      </c>
      <c r="H618" s="8">
        <f t="shared" si="37"/>
        <v>4367.1545454545458</v>
      </c>
      <c r="I618" s="8">
        <f t="shared" si="38"/>
        <v>682.84545454545423</v>
      </c>
      <c r="J618" s="9">
        <f t="shared" si="39"/>
        <v>0.15635935193916564</v>
      </c>
      <c r="K618" s="7" t="s">
        <v>81</v>
      </c>
    </row>
    <row r="619" spans="1:11" x14ac:dyDescent="0.25">
      <c r="A619" s="7" t="s">
        <v>1146</v>
      </c>
      <c r="B619" s="7" t="s">
        <v>33</v>
      </c>
      <c r="C619" s="7" t="s">
        <v>1194</v>
      </c>
      <c r="D619" s="7" t="s">
        <v>644</v>
      </c>
      <c r="E619" s="16">
        <v>5050</v>
      </c>
      <c r="F619" s="16">
        <v>4803.87</v>
      </c>
      <c r="G619" s="8">
        <f t="shared" si="36"/>
        <v>436.71545454545452</v>
      </c>
      <c r="H619" s="8">
        <f t="shared" si="37"/>
        <v>4367.1545454545458</v>
      </c>
      <c r="I619" s="8">
        <f t="shared" si="38"/>
        <v>682.84545454545423</v>
      </c>
      <c r="J619" s="9">
        <f t="shared" si="39"/>
        <v>0.15635935193916564</v>
      </c>
      <c r="K619" s="7" t="s">
        <v>81</v>
      </c>
    </row>
    <row r="620" spans="1:11" x14ac:dyDescent="0.25">
      <c r="A620" s="7" t="s">
        <v>1146</v>
      </c>
      <c r="B620" s="7" t="s">
        <v>33</v>
      </c>
      <c r="C620" s="7" t="s">
        <v>1195</v>
      </c>
      <c r="D620" s="7" t="s">
        <v>644</v>
      </c>
      <c r="E620" s="16">
        <v>5050</v>
      </c>
      <c r="F620" s="16">
        <v>4803.87</v>
      </c>
      <c r="G620" s="8">
        <f t="shared" si="36"/>
        <v>436.71545454545452</v>
      </c>
      <c r="H620" s="8">
        <f t="shared" si="37"/>
        <v>4367.1545454545458</v>
      </c>
      <c r="I620" s="8">
        <f t="shared" si="38"/>
        <v>682.84545454545423</v>
      </c>
      <c r="J620" s="9">
        <f t="shared" si="39"/>
        <v>0.15635935193916564</v>
      </c>
      <c r="K620" s="7" t="s">
        <v>81</v>
      </c>
    </row>
    <row r="621" spans="1:11" x14ac:dyDescent="0.25">
      <c r="A621" s="7" t="s">
        <v>1146</v>
      </c>
      <c r="B621" s="7" t="s">
        <v>33</v>
      </c>
      <c r="C621" s="7" t="s">
        <v>1196</v>
      </c>
      <c r="D621" s="7" t="s">
        <v>644</v>
      </c>
      <c r="E621" s="16">
        <v>5050</v>
      </c>
      <c r="F621" s="16">
        <v>4881.29</v>
      </c>
      <c r="G621" s="8">
        <f t="shared" si="36"/>
        <v>443.75363636363636</v>
      </c>
      <c r="H621" s="8">
        <f t="shared" si="37"/>
        <v>4437.5363636363636</v>
      </c>
      <c r="I621" s="8">
        <f t="shared" si="38"/>
        <v>612.4636363636364</v>
      </c>
      <c r="J621" s="9">
        <f t="shared" si="39"/>
        <v>0.13801884337951648</v>
      </c>
      <c r="K621" s="7" t="s">
        <v>81</v>
      </c>
    </row>
    <row r="622" spans="1:11" x14ac:dyDescent="0.25">
      <c r="A622" s="7" t="s">
        <v>1146</v>
      </c>
      <c r="B622" s="7" t="s">
        <v>33</v>
      </c>
      <c r="C622" s="7" t="s">
        <v>1197</v>
      </c>
      <c r="D622" s="7" t="s">
        <v>644</v>
      </c>
      <c r="E622" s="16">
        <v>5050</v>
      </c>
      <c r="F622" s="16">
        <v>4881.29</v>
      </c>
      <c r="G622" s="8">
        <f t="shared" si="36"/>
        <v>443.75363636363636</v>
      </c>
      <c r="H622" s="8">
        <f t="shared" si="37"/>
        <v>4437.5363636363636</v>
      </c>
      <c r="I622" s="8">
        <f t="shared" si="38"/>
        <v>612.4636363636364</v>
      </c>
      <c r="J622" s="9">
        <f t="shared" si="39"/>
        <v>0.13801884337951648</v>
      </c>
      <c r="K622" s="7" t="s">
        <v>81</v>
      </c>
    </row>
    <row r="623" spans="1:11" x14ac:dyDescent="0.25">
      <c r="A623" s="7" t="s">
        <v>1146</v>
      </c>
      <c r="B623" s="7" t="s">
        <v>33</v>
      </c>
      <c r="C623" s="7" t="s">
        <v>1198</v>
      </c>
      <c r="D623" s="7" t="s">
        <v>644</v>
      </c>
      <c r="E623" s="16">
        <v>5050</v>
      </c>
      <c r="F623" s="16">
        <v>4803.87</v>
      </c>
      <c r="G623" s="8">
        <f t="shared" si="36"/>
        <v>436.71545454545452</v>
      </c>
      <c r="H623" s="8">
        <f t="shared" si="37"/>
        <v>4367.1545454545458</v>
      </c>
      <c r="I623" s="8">
        <f t="shared" si="38"/>
        <v>682.84545454545423</v>
      </c>
      <c r="J623" s="9">
        <f t="shared" si="39"/>
        <v>0.15635935193916564</v>
      </c>
      <c r="K623" s="7" t="s">
        <v>81</v>
      </c>
    </row>
    <row r="624" spans="1:11" x14ac:dyDescent="0.25">
      <c r="A624" s="7" t="s">
        <v>1146</v>
      </c>
      <c r="B624" s="7" t="s">
        <v>33</v>
      </c>
      <c r="C624" s="7" t="s">
        <v>1199</v>
      </c>
      <c r="D624" s="7" t="s">
        <v>644</v>
      </c>
      <c r="E624" s="16">
        <v>5050</v>
      </c>
      <c r="F624" s="16">
        <v>4881.29</v>
      </c>
      <c r="G624" s="8">
        <f t="shared" si="36"/>
        <v>443.75363636363636</v>
      </c>
      <c r="H624" s="8">
        <f t="shared" si="37"/>
        <v>4437.5363636363636</v>
      </c>
      <c r="I624" s="8">
        <f t="shared" si="38"/>
        <v>612.4636363636364</v>
      </c>
      <c r="J624" s="9">
        <f t="shared" si="39"/>
        <v>0.13801884337951648</v>
      </c>
      <c r="K624" s="7" t="s">
        <v>81</v>
      </c>
    </row>
    <row r="625" spans="1:11" x14ac:dyDescent="0.25">
      <c r="A625" s="7" t="s">
        <v>1146</v>
      </c>
      <c r="B625" s="7" t="s">
        <v>33</v>
      </c>
      <c r="C625" s="7" t="s">
        <v>1200</v>
      </c>
      <c r="D625" s="7" t="s">
        <v>644</v>
      </c>
      <c r="E625" s="16">
        <v>5050</v>
      </c>
      <c r="F625" s="16">
        <v>4881.29</v>
      </c>
      <c r="G625" s="8">
        <f t="shared" si="36"/>
        <v>443.75363636363636</v>
      </c>
      <c r="H625" s="8">
        <f t="shared" si="37"/>
        <v>4437.5363636363636</v>
      </c>
      <c r="I625" s="8">
        <f t="shared" si="38"/>
        <v>612.4636363636364</v>
      </c>
      <c r="J625" s="9">
        <f t="shared" si="39"/>
        <v>0.13801884337951648</v>
      </c>
      <c r="K625" s="7" t="s">
        <v>81</v>
      </c>
    </row>
    <row r="626" spans="1:11" x14ac:dyDescent="0.25">
      <c r="A626" s="7" t="s">
        <v>1146</v>
      </c>
      <c r="B626" s="7" t="s">
        <v>33</v>
      </c>
      <c r="C626" s="7" t="s">
        <v>1201</v>
      </c>
      <c r="D626" s="7" t="s">
        <v>644</v>
      </c>
      <c r="E626" s="16">
        <v>5050</v>
      </c>
      <c r="F626" s="16">
        <v>4803.87</v>
      </c>
      <c r="G626" s="8">
        <f t="shared" si="36"/>
        <v>436.71545454545452</v>
      </c>
      <c r="H626" s="8">
        <f t="shared" si="37"/>
        <v>4367.1545454545458</v>
      </c>
      <c r="I626" s="8">
        <f t="shared" si="38"/>
        <v>682.84545454545423</v>
      </c>
      <c r="J626" s="9">
        <f t="shared" si="39"/>
        <v>0.15635935193916564</v>
      </c>
      <c r="K626" s="7" t="s">
        <v>81</v>
      </c>
    </row>
    <row r="627" spans="1:11" x14ac:dyDescent="0.25">
      <c r="A627" s="7" t="s">
        <v>1146</v>
      </c>
      <c r="B627" s="7" t="s">
        <v>33</v>
      </c>
      <c r="C627" s="7" t="s">
        <v>1202</v>
      </c>
      <c r="D627" s="7" t="s">
        <v>644</v>
      </c>
      <c r="E627" s="16">
        <v>5050</v>
      </c>
      <c r="F627" s="16">
        <v>4881.29</v>
      </c>
      <c r="G627" s="8">
        <f t="shared" si="36"/>
        <v>443.75363636363636</v>
      </c>
      <c r="H627" s="8">
        <f t="shared" si="37"/>
        <v>4437.5363636363636</v>
      </c>
      <c r="I627" s="8">
        <f t="shared" si="38"/>
        <v>612.4636363636364</v>
      </c>
      <c r="J627" s="9">
        <f t="shared" si="39"/>
        <v>0.13801884337951648</v>
      </c>
      <c r="K627" s="7" t="s">
        <v>81</v>
      </c>
    </row>
    <row r="628" spans="1:11" x14ac:dyDescent="0.25">
      <c r="A628" s="7" t="s">
        <v>1146</v>
      </c>
      <c r="B628" s="7" t="s">
        <v>33</v>
      </c>
      <c r="C628" s="7" t="s">
        <v>1203</v>
      </c>
      <c r="D628" s="7" t="s">
        <v>644</v>
      </c>
      <c r="E628" s="16">
        <v>5050</v>
      </c>
      <c r="F628" s="16">
        <v>4803.87</v>
      </c>
      <c r="G628" s="8">
        <f t="shared" si="36"/>
        <v>436.71545454545452</v>
      </c>
      <c r="H628" s="8">
        <f t="shared" si="37"/>
        <v>4367.1545454545458</v>
      </c>
      <c r="I628" s="8">
        <f t="shared" si="38"/>
        <v>682.84545454545423</v>
      </c>
      <c r="J628" s="9">
        <f t="shared" si="39"/>
        <v>0.15635935193916564</v>
      </c>
      <c r="K628" s="7" t="s">
        <v>81</v>
      </c>
    </row>
    <row r="629" spans="1:11" x14ac:dyDescent="0.25">
      <c r="A629" s="7" t="s">
        <v>1146</v>
      </c>
      <c r="B629" s="7" t="s">
        <v>33</v>
      </c>
      <c r="C629" s="7" t="s">
        <v>1204</v>
      </c>
      <c r="D629" s="7" t="s">
        <v>644</v>
      </c>
      <c r="E629" s="16">
        <v>5050</v>
      </c>
      <c r="F629" s="16">
        <v>4803.87</v>
      </c>
      <c r="G629" s="8">
        <f t="shared" si="36"/>
        <v>436.71545454545452</v>
      </c>
      <c r="H629" s="8">
        <f t="shared" si="37"/>
        <v>4367.1545454545458</v>
      </c>
      <c r="I629" s="8">
        <f t="shared" si="38"/>
        <v>682.84545454545423</v>
      </c>
      <c r="J629" s="9">
        <f t="shared" si="39"/>
        <v>0.15635935193916564</v>
      </c>
      <c r="K629" s="7" t="s">
        <v>81</v>
      </c>
    </row>
    <row r="630" spans="1:11" x14ac:dyDescent="0.25">
      <c r="A630" s="7" t="s">
        <v>1146</v>
      </c>
      <c r="B630" s="7" t="s">
        <v>33</v>
      </c>
      <c r="C630" s="7" t="s">
        <v>1205</v>
      </c>
      <c r="D630" s="7" t="s">
        <v>644</v>
      </c>
      <c r="E630" s="16">
        <v>5050</v>
      </c>
      <c r="F630" s="16">
        <v>4803.87</v>
      </c>
      <c r="G630" s="8">
        <f t="shared" si="36"/>
        <v>436.71545454545452</v>
      </c>
      <c r="H630" s="8">
        <f t="shared" si="37"/>
        <v>4367.1545454545458</v>
      </c>
      <c r="I630" s="8">
        <f t="shared" si="38"/>
        <v>682.84545454545423</v>
      </c>
      <c r="J630" s="9">
        <f t="shared" si="39"/>
        <v>0.15635935193916564</v>
      </c>
      <c r="K630" s="7" t="s">
        <v>81</v>
      </c>
    </row>
    <row r="631" spans="1:11" x14ac:dyDescent="0.25">
      <c r="A631" s="7" t="s">
        <v>1146</v>
      </c>
      <c r="B631" s="7" t="s">
        <v>33</v>
      </c>
      <c r="C631" s="7" t="s">
        <v>1206</v>
      </c>
      <c r="D631" s="7" t="s">
        <v>644</v>
      </c>
      <c r="E631" s="16">
        <v>5050</v>
      </c>
      <c r="F631" s="16">
        <v>4803.87</v>
      </c>
      <c r="G631" s="8">
        <f t="shared" si="36"/>
        <v>436.71545454545452</v>
      </c>
      <c r="H631" s="8">
        <f t="shared" si="37"/>
        <v>4367.1545454545458</v>
      </c>
      <c r="I631" s="8">
        <f t="shared" si="38"/>
        <v>682.84545454545423</v>
      </c>
      <c r="J631" s="9">
        <f t="shared" si="39"/>
        <v>0.15635935193916564</v>
      </c>
      <c r="K631" s="7" t="s">
        <v>81</v>
      </c>
    </row>
    <row r="632" spans="1:11" x14ac:dyDescent="0.25">
      <c r="A632" s="7" t="s">
        <v>1146</v>
      </c>
      <c r="B632" s="7" t="s">
        <v>33</v>
      </c>
      <c r="C632" s="7" t="s">
        <v>1207</v>
      </c>
      <c r="D632" s="7" t="s">
        <v>644</v>
      </c>
      <c r="E632" s="16">
        <v>5025</v>
      </c>
      <c r="F632" s="16">
        <v>4980.42</v>
      </c>
      <c r="G632" s="8">
        <f t="shared" si="36"/>
        <v>452.76545454545453</v>
      </c>
      <c r="H632" s="8">
        <f t="shared" si="37"/>
        <v>4527.6545454545458</v>
      </c>
      <c r="I632" s="8">
        <f t="shared" si="38"/>
        <v>497.34545454545423</v>
      </c>
      <c r="J632" s="9">
        <f t="shared" si="39"/>
        <v>0.10984615755297739</v>
      </c>
      <c r="K632" s="7" t="s">
        <v>81</v>
      </c>
    </row>
    <row r="633" spans="1:11" x14ac:dyDescent="0.25">
      <c r="A633" s="7" t="s">
        <v>1146</v>
      </c>
      <c r="B633" s="7" t="s">
        <v>33</v>
      </c>
      <c r="C633" s="7" t="s">
        <v>1209</v>
      </c>
      <c r="D633" s="7" t="s">
        <v>644</v>
      </c>
      <c r="E633" s="16">
        <v>5050</v>
      </c>
      <c r="F633" s="16">
        <v>4881.29</v>
      </c>
      <c r="G633" s="8">
        <f t="shared" si="36"/>
        <v>443.75363636363636</v>
      </c>
      <c r="H633" s="8">
        <f t="shared" si="37"/>
        <v>4437.5363636363636</v>
      </c>
      <c r="I633" s="8">
        <f t="shared" si="38"/>
        <v>612.4636363636364</v>
      </c>
      <c r="J633" s="9">
        <f t="shared" si="39"/>
        <v>0.13801884337951648</v>
      </c>
      <c r="K633" s="7" t="s">
        <v>81</v>
      </c>
    </row>
    <row r="634" spans="1:11" x14ac:dyDescent="0.25">
      <c r="A634" s="7" t="s">
        <v>1146</v>
      </c>
      <c r="B634" s="7" t="s">
        <v>33</v>
      </c>
      <c r="C634" s="7" t="s">
        <v>1210</v>
      </c>
      <c r="D634" s="7" t="s">
        <v>644</v>
      </c>
      <c r="E634" s="16">
        <v>5050</v>
      </c>
      <c r="F634" s="16">
        <v>4881.29</v>
      </c>
      <c r="G634" s="8">
        <f t="shared" si="36"/>
        <v>443.75363636363636</v>
      </c>
      <c r="H634" s="8">
        <f t="shared" si="37"/>
        <v>4437.5363636363636</v>
      </c>
      <c r="I634" s="8">
        <f t="shared" si="38"/>
        <v>612.4636363636364</v>
      </c>
      <c r="J634" s="9">
        <f t="shared" si="39"/>
        <v>0.13801884337951648</v>
      </c>
      <c r="K634" s="7" t="s">
        <v>81</v>
      </c>
    </row>
    <row r="635" spans="1:11" x14ac:dyDescent="0.25">
      <c r="A635" s="7" t="s">
        <v>1146</v>
      </c>
      <c r="B635" s="7" t="s">
        <v>33</v>
      </c>
      <c r="C635" s="7" t="s">
        <v>1211</v>
      </c>
      <c r="D635" s="7" t="s">
        <v>644</v>
      </c>
      <c r="E635" s="16">
        <v>5050</v>
      </c>
      <c r="F635" s="16">
        <v>4803.87</v>
      </c>
      <c r="G635" s="8">
        <f t="shared" si="36"/>
        <v>436.71545454545452</v>
      </c>
      <c r="H635" s="8">
        <f t="shared" si="37"/>
        <v>4367.1545454545458</v>
      </c>
      <c r="I635" s="8">
        <f t="shared" si="38"/>
        <v>682.84545454545423</v>
      </c>
      <c r="J635" s="9">
        <f t="shared" si="39"/>
        <v>0.15635935193916564</v>
      </c>
      <c r="K635" s="7" t="s">
        <v>81</v>
      </c>
    </row>
    <row r="636" spans="1:11" x14ac:dyDescent="0.25">
      <c r="A636" s="7" t="s">
        <v>1146</v>
      </c>
      <c r="B636" s="7" t="s">
        <v>33</v>
      </c>
      <c r="C636" s="7" t="s">
        <v>1212</v>
      </c>
      <c r="D636" s="7" t="s">
        <v>644</v>
      </c>
      <c r="E636" s="16">
        <v>5050</v>
      </c>
      <c r="F636" s="16">
        <v>4803.87</v>
      </c>
      <c r="G636" s="8">
        <f t="shared" si="36"/>
        <v>436.71545454545452</v>
      </c>
      <c r="H636" s="8">
        <f t="shared" si="37"/>
        <v>4367.1545454545458</v>
      </c>
      <c r="I636" s="8">
        <f t="shared" si="38"/>
        <v>682.84545454545423</v>
      </c>
      <c r="J636" s="9">
        <f t="shared" si="39"/>
        <v>0.15635935193916564</v>
      </c>
      <c r="K636" s="7" t="s">
        <v>81</v>
      </c>
    </row>
    <row r="637" spans="1:11" x14ac:dyDescent="0.25">
      <c r="A637" s="7" t="s">
        <v>1146</v>
      </c>
      <c r="B637" s="7" t="s">
        <v>33</v>
      </c>
      <c r="C637" s="7" t="s">
        <v>1213</v>
      </c>
      <c r="D637" s="7" t="s">
        <v>644</v>
      </c>
      <c r="E637" s="16">
        <v>5050</v>
      </c>
      <c r="F637" s="16">
        <v>4881.29</v>
      </c>
      <c r="G637" s="8">
        <f t="shared" si="36"/>
        <v>443.75363636363636</v>
      </c>
      <c r="H637" s="8">
        <f t="shared" si="37"/>
        <v>4437.5363636363636</v>
      </c>
      <c r="I637" s="8">
        <f t="shared" si="38"/>
        <v>612.4636363636364</v>
      </c>
      <c r="J637" s="9">
        <f t="shared" si="39"/>
        <v>0.13801884337951648</v>
      </c>
      <c r="K637" s="7" t="s">
        <v>81</v>
      </c>
    </row>
    <row r="638" spans="1:11" x14ac:dyDescent="0.25">
      <c r="A638" s="7" t="s">
        <v>1146</v>
      </c>
      <c r="B638" s="7" t="s">
        <v>328</v>
      </c>
      <c r="C638" s="7" t="s">
        <v>1225</v>
      </c>
      <c r="D638" s="7" t="s">
        <v>15</v>
      </c>
      <c r="E638" s="16">
        <v>1330</v>
      </c>
      <c r="F638" s="16">
        <v>1164.76</v>
      </c>
      <c r="G638" s="8">
        <f t="shared" si="36"/>
        <v>105.88727272727273</v>
      </c>
      <c r="H638" s="8">
        <f t="shared" si="37"/>
        <v>1058.8727272727272</v>
      </c>
      <c r="I638" s="8">
        <f t="shared" si="38"/>
        <v>271.12727272727284</v>
      </c>
      <c r="J638" s="9">
        <f t="shared" si="39"/>
        <v>0.25605274906418501</v>
      </c>
      <c r="K638" s="7" t="s">
        <v>81</v>
      </c>
    </row>
    <row r="639" spans="1:11" x14ac:dyDescent="0.25">
      <c r="A639" s="7" t="s">
        <v>1146</v>
      </c>
      <c r="B639" s="7" t="s">
        <v>328</v>
      </c>
      <c r="C639" s="7" t="s">
        <v>1226</v>
      </c>
      <c r="D639" s="7" t="s">
        <v>15</v>
      </c>
      <c r="E639" s="16">
        <v>1330</v>
      </c>
      <c r="F639" s="16">
        <v>1164.76</v>
      </c>
      <c r="G639" s="8">
        <f t="shared" si="36"/>
        <v>105.88727272727273</v>
      </c>
      <c r="H639" s="8">
        <f t="shared" si="37"/>
        <v>1058.8727272727272</v>
      </c>
      <c r="I639" s="8">
        <f t="shared" si="38"/>
        <v>271.12727272727284</v>
      </c>
      <c r="J639" s="9">
        <f t="shared" si="39"/>
        <v>0.25605274906418501</v>
      </c>
      <c r="K639" s="7" t="s">
        <v>81</v>
      </c>
    </row>
    <row r="640" spans="1:11" x14ac:dyDescent="0.25">
      <c r="A640" s="7" t="s">
        <v>1146</v>
      </c>
      <c r="B640" s="7" t="s">
        <v>328</v>
      </c>
      <c r="C640" s="7" t="s">
        <v>1227</v>
      </c>
      <c r="D640" s="7" t="s">
        <v>15</v>
      </c>
      <c r="E640" s="16">
        <v>1330</v>
      </c>
      <c r="F640" s="16">
        <v>1164.76</v>
      </c>
      <c r="G640" s="8">
        <f t="shared" si="36"/>
        <v>105.88727272727273</v>
      </c>
      <c r="H640" s="8">
        <f t="shared" si="37"/>
        <v>1058.8727272727272</v>
      </c>
      <c r="I640" s="8">
        <f t="shared" si="38"/>
        <v>271.12727272727284</v>
      </c>
      <c r="J640" s="9">
        <f t="shared" si="39"/>
        <v>0.25605274906418501</v>
      </c>
      <c r="K640" s="7" t="s">
        <v>81</v>
      </c>
    </row>
    <row r="641" spans="1:11" x14ac:dyDescent="0.25">
      <c r="A641" s="7" t="s">
        <v>1146</v>
      </c>
      <c r="B641" s="7" t="s">
        <v>328</v>
      </c>
      <c r="C641" s="7" t="s">
        <v>1228</v>
      </c>
      <c r="D641" s="7" t="s">
        <v>15</v>
      </c>
      <c r="E641" s="16">
        <v>1330</v>
      </c>
      <c r="F641" s="16">
        <v>1164.76</v>
      </c>
      <c r="G641" s="8">
        <f t="shared" si="36"/>
        <v>105.88727272727273</v>
      </c>
      <c r="H641" s="8">
        <f t="shared" si="37"/>
        <v>1058.8727272727272</v>
      </c>
      <c r="I641" s="8">
        <f t="shared" si="38"/>
        <v>271.12727272727284</v>
      </c>
      <c r="J641" s="9">
        <f t="shared" si="39"/>
        <v>0.25605274906418501</v>
      </c>
      <c r="K641" s="7" t="s">
        <v>81</v>
      </c>
    </row>
    <row r="642" spans="1:11" x14ac:dyDescent="0.25">
      <c r="A642" s="7" t="s">
        <v>1146</v>
      </c>
      <c r="B642" s="7" t="s">
        <v>328</v>
      </c>
      <c r="C642" s="7" t="s">
        <v>1229</v>
      </c>
      <c r="D642" s="7" t="s">
        <v>15</v>
      </c>
      <c r="E642" s="16">
        <v>1330</v>
      </c>
      <c r="F642" s="16">
        <v>1164.76</v>
      </c>
      <c r="G642" s="8">
        <f t="shared" si="36"/>
        <v>105.88727272727273</v>
      </c>
      <c r="H642" s="8">
        <f t="shared" si="37"/>
        <v>1058.8727272727272</v>
      </c>
      <c r="I642" s="8">
        <f t="shared" si="38"/>
        <v>271.12727272727284</v>
      </c>
      <c r="J642" s="9">
        <f t="shared" si="39"/>
        <v>0.25605274906418501</v>
      </c>
      <c r="K642" s="7" t="s">
        <v>81</v>
      </c>
    </row>
    <row r="643" spans="1:11" x14ac:dyDescent="0.25">
      <c r="A643" s="7" t="s">
        <v>1146</v>
      </c>
      <c r="B643" s="7" t="s">
        <v>328</v>
      </c>
      <c r="C643" s="7" t="s">
        <v>1230</v>
      </c>
      <c r="D643" s="7" t="s">
        <v>15</v>
      </c>
      <c r="E643" s="16">
        <v>1330</v>
      </c>
      <c r="F643" s="16">
        <v>1164.76</v>
      </c>
      <c r="G643" s="8">
        <f t="shared" ref="G643:G706" si="40">F643/11</f>
        <v>105.88727272727273</v>
      </c>
      <c r="H643" s="8">
        <f t="shared" ref="H643:H706" si="41">F643-G643</f>
        <v>1058.8727272727272</v>
      </c>
      <c r="I643" s="8">
        <f t="shared" ref="I643:I706" si="42">E643-H643</f>
        <v>271.12727272727284</v>
      </c>
      <c r="J643" s="9">
        <f t="shared" ref="J643:J706" si="43">(E643-H643)/H643</f>
        <v>0.25605274906418501</v>
      </c>
      <c r="K643" s="7" t="s">
        <v>81</v>
      </c>
    </row>
    <row r="644" spans="1:11" x14ac:dyDescent="0.25">
      <c r="A644" s="7" t="s">
        <v>1146</v>
      </c>
      <c r="B644" s="7" t="s">
        <v>328</v>
      </c>
      <c r="C644" s="7" t="s">
        <v>1231</v>
      </c>
      <c r="D644" s="7" t="s">
        <v>15</v>
      </c>
      <c r="E644" s="16">
        <v>1330</v>
      </c>
      <c r="F644" s="16">
        <v>1164.76</v>
      </c>
      <c r="G644" s="8">
        <f t="shared" si="40"/>
        <v>105.88727272727273</v>
      </c>
      <c r="H644" s="8">
        <f t="shared" si="41"/>
        <v>1058.8727272727272</v>
      </c>
      <c r="I644" s="8">
        <f t="shared" si="42"/>
        <v>271.12727272727284</v>
      </c>
      <c r="J644" s="9">
        <f t="shared" si="43"/>
        <v>0.25605274906418501</v>
      </c>
      <c r="K644" s="7" t="s">
        <v>81</v>
      </c>
    </row>
    <row r="645" spans="1:11" x14ac:dyDescent="0.25">
      <c r="A645" s="7" t="s">
        <v>1146</v>
      </c>
      <c r="B645" s="7" t="s">
        <v>328</v>
      </c>
      <c r="C645" s="7" t="s">
        <v>1232</v>
      </c>
      <c r="D645" s="7" t="s">
        <v>15</v>
      </c>
      <c r="E645" s="16">
        <v>1330</v>
      </c>
      <c r="F645" s="16">
        <v>1164.76</v>
      </c>
      <c r="G645" s="8">
        <f t="shared" si="40"/>
        <v>105.88727272727273</v>
      </c>
      <c r="H645" s="8">
        <f t="shared" si="41"/>
        <v>1058.8727272727272</v>
      </c>
      <c r="I645" s="8">
        <f t="shared" si="42"/>
        <v>271.12727272727284</v>
      </c>
      <c r="J645" s="9">
        <f t="shared" si="43"/>
        <v>0.25605274906418501</v>
      </c>
      <c r="K645" s="7" t="s">
        <v>81</v>
      </c>
    </row>
    <row r="646" spans="1:11" x14ac:dyDescent="0.25">
      <c r="A646" s="7" t="s">
        <v>1146</v>
      </c>
      <c r="B646" s="7" t="s">
        <v>328</v>
      </c>
      <c r="C646" s="7" t="s">
        <v>1233</v>
      </c>
      <c r="D646" s="7" t="s">
        <v>15</v>
      </c>
      <c r="E646" s="16">
        <v>1330</v>
      </c>
      <c r="F646" s="16">
        <v>1164.76</v>
      </c>
      <c r="G646" s="8">
        <f t="shared" si="40"/>
        <v>105.88727272727273</v>
      </c>
      <c r="H646" s="8">
        <f t="shared" si="41"/>
        <v>1058.8727272727272</v>
      </c>
      <c r="I646" s="8">
        <f t="shared" si="42"/>
        <v>271.12727272727284</v>
      </c>
      <c r="J646" s="9">
        <f t="shared" si="43"/>
        <v>0.25605274906418501</v>
      </c>
      <c r="K646" s="7" t="s">
        <v>81</v>
      </c>
    </row>
    <row r="647" spans="1:11" x14ac:dyDescent="0.25">
      <c r="A647" s="7" t="s">
        <v>1146</v>
      </c>
      <c r="B647" s="7" t="s">
        <v>328</v>
      </c>
      <c r="C647" s="7" t="s">
        <v>1234</v>
      </c>
      <c r="D647" s="7" t="s">
        <v>15</v>
      </c>
      <c r="E647" s="16">
        <v>1330</v>
      </c>
      <c r="F647" s="16">
        <v>1164.76</v>
      </c>
      <c r="G647" s="8">
        <f t="shared" si="40"/>
        <v>105.88727272727273</v>
      </c>
      <c r="H647" s="8">
        <f t="shared" si="41"/>
        <v>1058.8727272727272</v>
      </c>
      <c r="I647" s="8">
        <f t="shared" si="42"/>
        <v>271.12727272727284</v>
      </c>
      <c r="J647" s="9">
        <f t="shared" si="43"/>
        <v>0.25605274906418501</v>
      </c>
      <c r="K647" s="7" t="s">
        <v>81</v>
      </c>
    </row>
    <row r="648" spans="1:11" x14ac:dyDescent="0.25">
      <c r="A648" s="7" t="s">
        <v>1146</v>
      </c>
      <c r="B648" s="7" t="s">
        <v>328</v>
      </c>
      <c r="C648" s="7" t="s">
        <v>1235</v>
      </c>
      <c r="D648" s="7" t="s">
        <v>15</v>
      </c>
      <c r="E648" s="16">
        <v>1330</v>
      </c>
      <c r="F648" s="16">
        <v>1164.76</v>
      </c>
      <c r="G648" s="8">
        <f t="shared" si="40"/>
        <v>105.88727272727273</v>
      </c>
      <c r="H648" s="8">
        <f t="shared" si="41"/>
        <v>1058.8727272727272</v>
      </c>
      <c r="I648" s="8">
        <f t="shared" si="42"/>
        <v>271.12727272727284</v>
      </c>
      <c r="J648" s="9">
        <f t="shared" si="43"/>
        <v>0.25605274906418501</v>
      </c>
      <c r="K648" s="7" t="s">
        <v>81</v>
      </c>
    </row>
    <row r="649" spans="1:11" x14ac:dyDescent="0.25">
      <c r="A649" s="7" t="s">
        <v>1146</v>
      </c>
      <c r="B649" s="7" t="s">
        <v>328</v>
      </c>
      <c r="C649" s="7" t="s">
        <v>1236</v>
      </c>
      <c r="D649" s="7" t="s">
        <v>15</v>
      </c>
      <c r="E649" s="16">
        <v>1330</v>
      </c>
      <c r="F649" s="16">
        <v>1164.76</v>
      </c>
      <c r="G649" s="8">
        <f t="shared" si="40"/>
        <v>105.88727272727273</v>
      </c>
      <c r="H649" s="8">
        <f t="shared" si="41"/>
        <v>1058.8727272727272</v>
      </c>
      <c r="I649" s="8">
        <f t="shared" si="42"/>
        <v>271.12727272727284</v>
      </c>
      <c r="J649" s="9">
        <f t="shared" si="43"/>
        <v>0.25605274906418501</v>
      </c>
      <c r="K649" s="7" t="s">
        <v>81</v>
      </c>
    </row>
    <row r="650" spans="1:11" x14ac:dyDescent="0.25">
      <c r="A650" s="7" t="s">
        <v>1146</v>
      </c>
      <c r="B650" s="7" t="s">
        <v>328</v>
      </c>
      <c r="C650" s="7" t="s">
        <v>1237</v>
      </c>
      <c r="D650" s="7" t="s">
        <v>15</v>
      </c>
      <c r="E650" s="16">
        <v>1330</v>
      </c>
      <c r="F650" s="16">
        <v>1164.76</v>
      </c>
      <c r="G650" s="8">
        <f t="shared" si="40"/>
        <v>105.88727272727273</v>
      </c>
      <c r="H650" s="8">
        <f t="shared" si="41"/>
        <v>1058.8727272727272</v>
      </c>
      <c r="I650" s="8">
        <f t="shared" si="42"/>
        <v>271.12727272727284</v>
      </c>
      <c r="J650" s="9">
        <f t="shared" si="43"/>
        <v>0.25605274906418501</v>
      </c>
      <c r="K650" s="7" t="s">
        <v>81</v>
      </c>
    </row>
    <row r="651" spans="1:11" x14ac:dyDescent="0.25">
      <c r="A651" s="7" t="s">
        <v>1146</v>
      </c>
      <c r="B651" s="7" t="s">
        <v>328</v>
      </c>
      <c r="C651" s="7" t="s">
        <v>1238</v>
      </c>
      <c r="D651" s="7" t="s">
        <v>15</v>
      </c>
      <c r="E651" s="16">
        <v>1330</v>
      </c>
      <c r="F651" s="16">
        <v>1164.76</v>
      </c>
      <c r="G651" s="8">
        <f t="shared" si="40"/>
        <v>105.88727272727273</v>
      </c>
      <c r="H651" s="8">
        <f t="shared" si="41"/>
        <v>1058.8727272727272</v>
      </c>
      <c r="I651" s="8">
        <f t="shared" si="42"/>
        <v>271.12727272727284</v>
      </c>
      <c r="J651" s="9">
        <f t="shared" si="43"/>
        <v>0.25605274906418501</v>
      </c>
      <c r="K651" s="7" t="s">
        <v>81</v>
      </c>
    </row>
    <row r="652" spans="1:11" x14ac:dyDescent="0.25">
      <c r="A652" s="7" t="s">
        <v>1146</v>
      </c>
      <c r="B652" s="7" t="s">
        <v>328</v>
      </c>
      <c r="C652" s="7" t="s">
        <v>1239</v>
      </c>
      <c r="D652" s="7" t="s">
        <v>15</v>
      </c>
      <c r="E652" s="16">
        <v>1330</v>
      </c>
      <c r="F652" s="16">
        <v>1164.76</v>
      </c>
      <c r="G652" s="8">
        <f t="shared" si="40"/>
        <v>105.88727272727273</v>
      </c>
      <c r="H652" s="8">
        <f t="shared" si="41"/>
        <v>1058.8727272727272</v>
      </c>
      <c r="I652" s="8">
        <f t="shared" si="42"/>
        <v>271.12727272727284</v>
      </c>
      <c r="J652" s="9">
        <f t="shared" si="43"/>
        <v>0.25605274906418501</v>
      </c>
      <c r="K652" s="7" t="s">
        <v>81</v>
      </c>
    </row>
    <row r="653" spans="1:11" x14ac:dyDescent="0.25">
      <c r="A653" s="7" t="s">
        <v>1146</v>
      </c>
      <c r="B653" s="7" t="s">
        <v>328</v>
      </c>
      <c r="C653" s="7" t="s">
        <v>1240</v>
      </c>
      <c r="D653" s="7" t="s">
        <v>15</v>
      </c>
      <c r="E653" s="16">
        <v>1330</v>
      </c>
      <c r="F653" s="16">
        <v>1164.76</v>
      </c>
      <c r="G653" s="8">
        <f t="shared" si="40"/>
        <v>105.88727272727273</v>
      </c>
      <c r="H653" s="8">
        <f t="shared" si="41"/>
        <v>1058.8727272727272</v>
      </c>
      <c r="I653" s="8">
        <f t="shared" si="42"/>
        <v>271.12727272727284</v>
      </c>
      <c r="J653" s="9">
        <f t="shared" si="43"/>
        <v>0.25605274906418501</v>
      </c>
      <c r="K653" s="7" t="s">
        <v>81</v>
      </c>
    </row>
    <row r="654" spans="1:11" x14ac:dyDescent="0.25">
      <c r="A654" s="7" t="s">
        <v>1146</v>
      </c>
      <c r="B654" s="7" t="s">
        <v>328</v>
      </c>
      <c r="C654" s="7" t="s">
        <v>1241</v>
      </c>
      <c r="D654" s="7" t="s">
        <v>15</v>
      </c>
      <c r="E654" s="16">
        <v>1330</v>
      </c>
      <c r="F654" s="16">
        <v>1164.76</v>
      </c>
      <c r="G654" s="8">
        <f t="shared" si="40"/>
        <v>105.88727272727273</v>
      </c>
      <c r="H654" s="8">
        <f t="shared" si="41"/>
        <v>1058.8727272727272</v>
      </c>
      <c r="I654" s="8">
        <f t="shared" si="42"/>
        <v>271.12727272727284</v>
      </c>
      <c r="J654" s="9">
        <f t="shared" si="43"/>
        <v>0.25605274906418501</v>
      </c>
      <c r="K654" s="7" t="s">
        <v>81</v>
      </c>
    </row>
    <row r="655" spans="1:11" x14ac:dyDescent="0.25">
      <c r="A655" s="7" t="s">
        <v>1146</v>
      </c>
      <c r="B655" s="7" t="s">
        <v>328</v>
      </c>
      <c r="C655" s="7" t="s">
        <v>1242</v>
      </c>
      <c r="D655" s="7" t="s">
        <v>15</v>
      </c>
      <c r="E655" s="16">
        <v>1330</v>
      </c>
      <c r="F655" s="16">
        <v>1164.76</v>
      </c>
      <c r="G655" s="8">
        <f t="shared" si="40"/>
        <v>105.88727272727273</v>
      </c>
      <c r="H655" s="8">
        <f t="shared" si="41"/>
        <v>1058.8727272727272</v>
      </c>
      <c r="I655" s="8">
        <f t="shared" si="42"/>
        <v>271.12727272727284</v>
      </c>
      <c r="J655" s="9">
        <f t="shared" si="43"/>
        <v>0.25605274906418501</v>
      </c>
      <c r="K655" s="7" t="s">
        <v>81</v>
      </c>
    </row>
    <row r="656" spans="1:11" x14ac:dyDescent="0.25">
      <c r="A656" s="7" t="s">
        <v>1146</v>
      </c>
      <c r="B656" s="7" t="s">
        <v>328</v>
      </c>
      <c r="C656" s="7" t="s">
        <v>1243</v>
      </c>
      <c r="D656" s="7" t="s">
        <v>15</v>
      </c>
      <c r="E656" s="16">
        <v>1330</v>
      </c>
      <c r="F656" s="16">
        <v>1164.76</v>
      </c>
      <c r="G656" s="8">
        <f t="shared" si="40"/>
        <v>105.88727272727273</v>
      </c>
      <c r="H656" s="8">
        <f t="shared" si="41"/>
        <v>1058.8727272727272</v>
      </c>
      <c r="I656" s="8">
        <f t="shared" si="42"/>
        <v>271.12727272727284</v>
      </c>
      <c r="J656" s="9">
        <f t="shared" si="43"/>
        <v>0.25605274906418501</v>
      </c>
      <c r="K656" s="7" t="s">
        <v>81</v>
      </c>
    </row>
    <row r="657" spans="1:11" x14ac:dyDescent="0.25">
      <c r="A657" s="7" t="s">
        <v>1146</v>
      </c>
      <c r="B657" s="7" t="s">
        <v>328</v>
      </c>
      <c r="C657" s="7" t="s">
        <v>1244</v>
      </c>
      <c r="D657" s="7" t="s">
        <v>15</v>
      </c>
      <c r="E657" s="16">
        <v>1330</v>
      </c>
      <c r="F657" s="16">
        <v>1164.76</v>
      </c>
      <c r="G657" s="8">
        <f t="shared" si="40"/>
        <v>105.88727272727273</v>
      </c>
      <c r="H657" s="8">
        <f t="shared" si="41"/>
        <v>1058.8727272727272</v>
      </c>
      <c r="I657" s="8">
        <f t="shared" si="42"/>
        <v>271.12727272727284</v>
      </c>
      <c r="J657" s="9">
        <f t="shared" si="43"/>
        <v>0.25605274906418501</v>
      </c>
      <c r="K657" s="7" t="s">
        <v>81</v>
      </c>
    </row>
    <row r="658" spans="1:11" x14ac:dyDescent="0.25">
      <c r="A658" s="7" t="s">
        <v>1146</v>
      </c>
      <c r="B658" s="7" t="s">
        <v>328</v>
      </c>
      <c r="C658" s="7" t="s">
        <v>1245</v>
      </c>
      <c r="D658" s="7" t="s">
        <v>15</v>
      </c>
      <c r="E658" s="16">
        <v>1330</v>
      </c>
      <c r="F658" s="16">
        <v>1164.76</v>
      </c>
      <c r="G658" s="8">
        <f t="shared" si="40"/>
        <v>105.88727272727273</v>
      </c>
      <c r="H658" s="8">
        <f t="shared" si="41"/>
        <v>1058.8727272727272</v>
      </c>
      <c r="I658" s="8">
        <f t="shared" si="42"/>
        <v>271.12727272727284</v>
      </c>
      <c r="J658" s="9">
        <f t="shared" si="43"/>
        <v>0.25605274906418501</v>
      </c>
      <c r="K658" s="7" t="s">
        <v>81</v>
      </c>
    </row>
    <row r="659" spans="1:11" x14ac:dyDescent="0.25">
      <c r="A659" s="7" t="s">
        <v>1146</v>
      </c>
      <c r="B659" s="7" t="s">
        <v>328</v>
      </c>
      <c r="C659" s="7" t="s">
        <v>1246</v>
      </c>
      <c r="D659" s="7" t="s">
        <v>15</v>
      </c>
      <c r="E659" s="16">
        <v>1330</v>
      </c>
      <c r="F659" s="16">
        <v>1164.76</v>
      </c>
      <c r="G659" s="8">
        <f t="shared" si="40"/>
        <v>105.88727272727273</v>
      </c>
      <c r="H659" s="8">
        <f t="shared" si="41"/>
        <v>1058.8727272727272</v>
      </c>
      <c r="I659" s="8">
        <f t="shared" si="42"/>
        <v>271.12727272727284</v>
      </c>
      <c r="J659" s="9">
        <f t="shared" si="43"/>
        <v>0.25605274906418501</v>
      </c>
      <c r="K659" s="7" t="s">
        <v>81</v>
      </c>
    </row>
    <row r="660" spans="1:11" x14ac:dyDescent="0.25">
      <c r="A660" s="7" t="s">
        <v>1146</v>
      </c>
      <c r="B660" s="7" t="s">
        <v>328</v>
      </c>
      <c r="C660" s="7" t="s">
        <v>1247</v>
      </c>
      <c r="D660" s="7" t="s">
        <v>15</v>
      </c>
      <c r="E660" s="16">
        <v>1330</v>
      </c>
      <c r="F660" s="16">
        <v>1164.76</v>
      </c>
      <c r="G660" s="8">
        <f t="shared" si="40"/>
        <v>105.88727272727273</v>
      </c>
      <c r="H660" s="8">
        <f t="shared" si="41"/>
        <v>1058.8727272727272</v>
      </c>
      <c r="I660" s="8">
        <f t="shared" si="42"/>
        <v>271.12727272727284</v>
      </c>
      <c r="J660" s="9">
        <f t="shared" si="43"/>
        <v>0.25605274906418501</v>
      </c>
      <c r="K660" s="7" t="s">
        <v>81</v>
      </c>
    </row>
    <row r="661" spans="1:11" x14ac:dyDescent="0.25">
      <c r="A661" s="7" t="s">
        <v>1146</v>
      </c>
      <c r="B661" s="7" t="s">
        <v>328</v>
      </c>
      <c r="C661" s="7" t="s">
        <v>1248</v>
      </c>
      <c r="D661" s="7" t="s">
        <v>15</v>
      </c>
      <c r="E661" s="16">
        <v>1330</v>
      </c>
      <c r="F661" s="16">
        <v>1126.99</v>
      </c>
      <c r="G661" s="8">
        <f t="shared" si="40"/>
        <v>102.45363636363636</v>
      </c>
      <c r="H661" s="8">
        <f t="shared" si="41"/>
        <v>1024.5363636363636</v>
      </c>
      <c r="I661" s="8">
        <f t="shared" si="42"/>
        <v>305.4636363636364</v>
      </c>
      <c r="J661" s="9">
        <f t="shared" si="43"/>
        <v>0.29814816457998744</v>
      </c>
      <c r="K661" s="7" t="s">
        <v>81</v>
      </c>
    </row>
    <row r="662" spans="1:11" x14ac:dyDescent="0.25">
      <c r="A662" s="7" t="s">
        <v>1146</v>
      </c>
      <c r="B662" s="7" t="s">
        <v>328</v>
      </c>
      <c r="C662" s="7" t="s">
        <v>1249</v>
      </c>
      <c r="D662" s="7" t="s">
        <v>15</v>
      </c>
      <c r="E662" s="16">
        <v>1330</v>
      </c>
      <c r="F662" s="16">
        <v>1126.99</v>
      </c>
      <c r="G662" s="8">
        <f t="shared" si="40"/>
        <v>102.45363636363636</v>
      </c>
      <c r="H662" s="8">
        <f t="shared" si="41"/>
        <v>1024.5363636363636</v>
      </c>
      <c r="I662" s="8">
        <f t="shared" si="42"/>
        <v>305.4636363636364</v>
      </c>
      <c r="J662" s="9">
        <f t="shared" si="43"/>
        <v>0.29814816457998744</v>
      </c>
      <c r="K662" s="7" t="s">
        <v>81</v>
      </c>
    </row>
    <row r="663" spans="1:11" x14ac:dyDescent="0.25">
      <c r="A663" s="7" t="s">
        <v>1146</v>
      </c>
      <c r="B663" s="7" t="s">
        <v>328</v>
      </c>
      <c r="C663" s="7" t="s">
        <v>1250</v>
      </c>
      <c r="D663" s="7" t="s">
        <v>15</v>
      </c>
      <c r="E663" s="16">
        <v>1330</v>
      </c>
      <c r="F663" s="16">
        <v>1126.99</v>
      </c>
      <c r="G663" s="8">
        <f t="shared" si="40"/>
        <v>102.45363636363636</v>
      </c>
      <c r="H663" s="8">
        <f t="shared" si="41"/>
        <v>1024.5363636363636</v>
      </c>
      <c r="I663" s="8">
        <f t="shared" si="42"/>
        <v>305.4636363636364</v>
      </c>
      <c r="J663" s="9">
        <f t="shared" si="43"/>
        <v>0.29814816457998744</v>
      </c>
      <c r="K663" s="7" t="s">
        <v>81</v>
      </c>
    </row>
    <row r="664" spans="1:11" x14ac:dyDescent="0.25">
      <c r="A664" s="7" t="s">
        <v>1146</v>
      </c>
      <c r="B664" s="7" t="s">
        <v>328</v>
      </c>
      <c r="C664" s="7" t="s">
        <v>1251</v>
      </c>
      <c r="D664" s="7" t="s">
        <v>15</v>
      </c>
      <c r="E664" s="16">
        <v>1330</v>
      </c>
      <c r="F664" s="16">
        <v>1126.99</v>
      </c>
      <c r="G664" s="8">
        <f t="shared" si="40"/>
        <v>102.45363636363636</v>
      </c>
      <c r="H664" s="8">
        <f t="shared" si="41"/>
        <v>1024.5363636363636</v>
      </c>
      <c r="I664" s="8">
        <f t="shared" si="42"/>
        <v>305.4636363636364</v>
      </c>
      <c r="J664" s="9">
        <f t="shared" si="43"/>
        <v>0.29814816457998744</v>
      </c>
      <c r="K664" s="7" t="s">
        <v>81</v>
      </c>
    </row>
    <row r="665" spans="1:11" x14ac:dyDescent="0.25">
      <c r="A665" s="7" t="s">
        <v>1146</v>
      </c>
      <c r="B665" s="7" t="s">
        <v>328</v>
      </c>
      <c r="C665" s="7" t="s">
        <v>1252</v>
      </c>
      <c r="D665" s="7" t="s">
        <v>15</v>
      </c>
      <c r="E665" s="16">
        <v>1330</v>
      </c>
      <c r="F665" s="16">
        <v>1126.99</v>
      </c>
      <c r="G665" s="8">
        <f t="shared" si="40"/>
        <v>102.45363636363636</v>
      </c>
      <c r="H665" s="8">
        <f t="shared" si="41"/>
        <v>1024.5363636363636</v>
      </c>
      <c r="I665" s="8">
        <f t="shared" si="42"/>
        <v>305.4636363636364</v>
      </c>
      <c r="J665" s="9">
        <f t="shared" si="43"/>
        <v>0.29814816457998744</v>
      </c>
      <c r="K665" s="7" t="s">
        <v>81</v>
      </c>
    </row>
    <row r="666" spans="1:11" x14ac:dyDescent="0.25">
      <c r="A666" s="7" t="s">
        <v>1146</v>
      </c>
      <c r="B666" s="7" t="s">
        <v>328</v>
      </c>
      <c r="C666" s="7" t="s">
        <v>1253</v>
      </c>
      <c r="D666" s="7" t="s">
        <v>15</v>
      </c>
      <c r="E666" s="16">
        <v>1330</v>
      </c>
      <c r="F666" s="16">
        <v>1126.99</v>
      </c>
      <c r="G666" s="8">
        <f t="shared" si="40"/>
        <v>102.45363636363636</v>
      </c>
      <c r="H666" s="8">
        <f t="shared" si="41"/>
        <v>1024.5363636363636</v>
      </c>
      <c r="I666" s="8">
        <f t="shared" si="42"/>
        <v>305.4636363636364</v>
      </c>
      <c r="J666" s="9">
        <f t="shared" si="43"/>
        <v>0.29814816457998744</v>
      </c>
      <c r="K666" s="7" t="s">
        <v>81</v>
      </c>
    </row>
    <row r="667" spans="1:11" x14ac:dyDescent="0.25">
      <c r="A667" s="7" t="s">
        <v>1146</v>
      </c>
      <c r="B667" s="7" t="s">
        <v>328</v>
      </c>
      <c r="C667" s="7" t="s">
        <v>1254</v>
      </c>
      <c r="D667" s="7" t="s">
        <v>15</v>
      </c>
      <c r="E667" s="16">
        <v>1330</v>
      </c>
      <c r="F667" s="16">
        <v>1126.99</v>
      </c>
      <c r="G667" s="8">
        <f t="shared" si="40"/>
        <v>102.45363636363636</v>
      </c>
      <c r="H667" s="8">
        <f t="shared" si="41"/>
        <v>1024.5363636363636</v>
      </c>
      <c r="I667" s="8">
        <f t="shared" si="42"/>
        <v>305.4636363636364</v>
      </c>
      <c r="J667" s="9">
        <f t="shared" si="43"/>
        <v>0.29814816457998744</v>
      </c>
      <c r="K667" s="7" t="s">
        <v>81</v>
      </c>
    </row>
    <row r="668" spans="1:11" x14ac:dyDescent="0.25">
      <c r="A668" s="7" t="s">
        <v>1146</v>
      </c>
      <c r="B668" s="7" t="s">
        <v>328</v>
      </c>
      <c r="C668" s="7" t="s">
        <v>1255</v>
      </c>
      <c r="D668" s="7" t="s">
        <v>15</v>
      </c>
      <c r="E668" s="16">
        <v>1330</v>
      </c>
      <c r="F668" s="16">
        <v>1126.99</v>
      </c>
      <c r="G668" s="8">
        <f t="shared" si="40"/>
        <v>102.45363636363636</v>
      </c>
      <c r="H668" s="8">
        <f t="shared" si="41"/>
        <v>1024.5363636363636</v>
      </c>
      <c r="I668" s="8">
        <f t="shared" si="42"/>
        <v>305.4636363636364</v>
      </c>
      <c r="J668" s="9">
        <f t="shared" si="43"/>
        <v>0.29814816457998744</v>
      </c>
      <c r="K668" s="7" t="s">
        <v>81</v>
      </c>
    </row>
    <row r="669" spans="1:11" x14ac:dyDescent="0.25">
      <c r="A669" s="7" t="s">
        <v>1146</v>
      </c>
      <c r="B669" s="7" t="s">
        <v>328</v>
      </c>
      <c r="C669" s="7" t="s">
        <v>1256</v>
      </c>
      <c r="D669" s="7" t="s">
        <v>15</v>
      </c>
      <c r="E669" s="16">
        <v>1330</v>
      </c>
      <c r="F669" s="16">
        <v>1077.53</v>
      </c>
      <c r="G669" s="8">
        <f t="shared" si="40"/>
        <v>97.957272727272724</v>
      </c>
      <c r="H669" s="8">
        <f t="shared" si="41"/>
        <v>979.57272727272721</v>
      </c>
      <c r="I669" s="8">
        <f t="shared" si="42"/>
        <v>350.42727272727279</v>
      </c>
      <c r="J669" s="9">
        <f t="shared" si="43"/>
        <v>0.35773481944818253</v>
      </c>
      <c r="K669" s="7" t="s">
        <v>81</v>
      </c>
    </row>
    <row r="670" spans="1:11" x14ac:dyDescent="0.25">
      <c r="A670" s="7" t="s">
        <v>1146</v>
      </c>
      <c r="B670" s="7" t="s">
        <v>328</v>
      </c>
      <c r="C670" s="7" t="s">
        <v>1257</v>
      </c>
      <c r="D670" s="7" t="s">
        <v>15</v>
      </c>
      <c r="E670" s="16">
        <v>1330</v>
      </c>
      <c r="F670" s="16">
        <v>1077.53</v>
      </c>
      <c r="G670" s="8">
        <f t="shared" si="40"/>
        <v>97.957272727272724</v>
      </c>
      <c r="H670" s="8">
        <f t="shared" si="41"/>
        <v>979.57272727272721</v>
      </c>
      <c r="I670" s="8">
        <f t="shared" si="42"/>
        <v>350.42727272727279</v>
      </c>
      <c r="J670" s="9">
        <f t="shared" si="43"/>
        <v>0.35773481944818253</v>
      </c>
      <c r="K670" s="7" t="s">
        <v>81</v>
      </c>
    </row>
    <row r="671" spans="1:11" x14ac:dyDescent="0.25">
      <c r="A671" s="7" t="s">
        <v>1146</v>
      </c>
      <c r="B671" s="7" t="s">
        <v>328</v>
      </c>
      <c r="C671" s="7" t="s">
        <v>1258</v>
      </c>
      <c r="D671" s="7" t="s">
        <v>15</v>
      </c>
      <c r="E671" s="16">
        <v>1330</v>
      </c>
      <c r="F671" s="16">
        <v>1077.53</v>
      </c>
      <c r="G671" s="8">
        <f t="shared" si="40"/>
        <v>97.957272727272724</v>
      </c>
      <c r="H671" s="8">
        <f t="shared" si="41"/>
        <v>979.57272727272721</v>
      </c>
      <c r="I671" s="8">
        <f t="shared" si="42"/>
        <v>350.42727272727279</v>
      </c>
      <c r="J671" s="9">
        <f t="shared" si="43"/>
        <v>0.35773481944818253</v>
      </c>
      <c r="K671" s="7" t="s">
        <v>81</v>
      </c>
    </row>
    <row r="672" spans="1:11" x14ac:dyDescent="0.25">
      <c r="A672" s="7" t="s">
        <v>1146</v>
      </c>
      <c r="B672" s="7" t="s">
        <v>328</v>
      </c>
      <c r="C672" s="7" t="s">
        <v>1259</v>
      </c>
      <c r="D672" s="7" t="s">
        <v>15</v>
      </c>
      <c r="E672" s="16">
        <v>1330</v>
      </c>
      <c r="F672" s="16">
        <v>1077.53</v>
      </c>
      <c r="G672" s="8">
        <f t="shared" si="40"/>
        <v>97.957272727272724</v>
      </c>
      <c r="H672" s="8">
        <f t="shared" si="41"/>
        <v>979.57272727272721</v>
      </c>
      <c r="I672" s="8">
        <f t="shared" si="42"/>
        <v>350.42727272727279</v>
      </c>
      <c r="J672" s="9">
        <f t="shared" si="43"/>
        <v>0.35773481944818253</v>
      </c>
      <c r="K672" s="7" t="s">
        <v>81</v>
      </c>
    </row>
    <row r="673" spans="1:11" x14ac:dyDescent="0.25">
      <c r="A673" s="7" t="s">
        <v>1146</v>
      </c>
      <c r="B673" s="7" t="s">
        <v>328</v>
      </c>
      <c r="C673" s="7" t="s">
        <v>1260</v>
      </c>
      <c r="D673" s="7" t="s">
        <v>15</v>
      </c>
      <c r="E673" s="16">
        <v>1330</v>
      </c>
      <c r="F673" s="16">
        <v>1077.53</v>
      </c>
      <c r="G673" s="8">
        <f t="shared" si="40"/>
        <v>97.957272727272724</v>
      </c>
      <c r="H673" s="8">
        <f t="shared" si="41"/>
        <v>979.57272727272721</v>
      </c>
      <c r="I673" s="8">
        <f t="shared" si="42"/>
        <v>350.42727272727279</v>
      </c>
      <c r="J673" s="9">
        <f t="shared" si="43"/>
        <v>0.35773481944818253</v>
      </c>
      <c r="K673" s="7" t="s">
        <v>81</v>
      </c>
    </row>
    <row r="674" spans="1:11" x14ac:dyDescent="0.25">
      <c r="A674" s="7" t="s">
        <v>1146</v>
      </c>
      <c r="B674" s="7" t="s">
        <v>328</v>
      </c>
      <c r="C674" s="7" t="s">
        <v>1261</v>
      </c>
      <c r="D674" s="7" t="s">
        <v>15</v>
      </c>
      <c r="E674" s="16">
        <v>1330</v>
      </c>
      <c r="F674" s="16">
        <v>1077.53</v>
      </c>
      <c r="G674" s="8">
        <f t="shared" si="40"/>
        <v>97.957272727272724</v>
      </c>
      <c r="H674" s="8">
        <f t="shared" si="41"/>
        <v>979.57272727272721</v>
      </c>
      <c r="I674" s="8">
        <f t="shared" si="42"/>
        <v>350.42727272727279</v>
      </c>
      <c r="J674" s="9">
        <f t="shared" si="43"/>
        <v>0.35773481944818253</v>
      </c>
      <c r="K674" s="7" t="s">
        <v>81</v>
      </c>
    </row>
    <row r="675" spans="1:11" x14ac:dyDescent="0.25">
      <c r="A675" s="7" t="s">
        <v>1146</v>
      </c>
      <c r="B675" s="7" t="s">
        <v>328</v>
      </c>
      <c r="C675" s="7" t="s">
        <v>1262</v>
      </c>
      <c r="D675" s="7" t="s">
        <v>15</v>
      </c>
      <c r="E675" s="16">
        <v>1330</v>
      </c>
      <c r="F675" s="16">
        <v>1077.53</v>
      </c>
      <c r="G675" s="8">
        <f t="shared" si="40"/>
        <v>97.957272727272724</v>
      </c>
      <c r="H675" s="8">
        <f t="shared" si="41"/>
        <v>979.57272727272721</v>
      </c>
      <c r="I675" s="8">
        <f t="shared" si="42"/>
        <v>350.42727272727279</v>
      </c>
      <c r="J675" s="9">
        <f t="shared" si="43"/>
        <v>0.35773481944818253</v>
      </c>
      <c r="K675" s="7" t="s">
        <v>81</v>
      </c>
    </row>
    <row r="676" spans="1:11" x14ac:dyDescent="0.25">
      <c r="A676" s="7" t="s">
        <v>1146</v>
      </c>
      <c r="B676" s="7" t="s">
        <v>328</v>
      </c>
      <c r="C676" s="7" t="s">
        <v>1263</v>
      </c>
      <c r="D676" s="7" t="s">
        <v>15</v>
      </c>
      <c r="E676" s="16">
        <v>1330</v>
      </c>
      <c r="F676" s="16">
        <v>1077.53</v>
      </c>
      <c r="G676" s="8">
        <f t="shared" si="40"/>
        <v>97.957272727272724</v>
      </c>
      <c r="H676" s="8">
        <f t="shared" si="41"/>
        <v>979.57272727272721</v>
      </c>
      <c r="I676" s="8">
        <f t="shared" si="42"/>
        <v>350.42727272727279</v>
      </c>
      <c r="J676" s="9">
        <f t="shared" si="43"/>
        <v>0.35773481944818253</v>
      </c>
      <c r="K676" s="7" t="s">
        <v>81</v>
      </c>
    </row>
    <row r="677" spans="1:11" x14ac:dyDescent="0.25">
      <c r="A677" s="7" t="s">
        <v>1146</v>
      </c>
      <c r="B677" s="7" t="s">
        <v>328</v>
      </c>
      <c r="C677" s="7" t="s">
        <v>1264</v>
      </c>
      <c r="D677" s="7" t="s">
        <v>15</v>
      </c>
      <c r="E677" s="16">
        <v>1330</v>
      </c>
      <c r="F677" s="16">
        <v>1100.02</v>
      </c>
      <c r="G677" s="8">
        <f t="shared" si="40"/>
        <v>100.00181818181818</v>
      </c>
      <c r="H677" s="8">
        <f t="shared" si="41"/>
        <v>1000.0181818181818</v>
      </c>
      <c r="I677" s="8">
        <f t="shared" si="42"/>
        <v>329.9818181818182</v>
      </c>
      <c r="J677" s="9">
        <f t="shared" si="43"/>
        <v>0.32997581862147962</v>
      </c>
      <c r="K677" s="7" t="s">
        <v>81</v>
      </c>
    </row>
    <row r="678" spans="1:11" x14ac:dyDescent="0.25">
      <c r="A678" s="7" t="s">
        <v>1146</v>
      </c>
      <c r="B678" s="7" t="s">
        <v>328</v>
      </c>
      <c r="C678" s="7" t="s">
        <v>1265</v>
      </c>
      <c r="D678" s="7" t="s">
        <v>15</v>
      </c>
      <c r="E678" s="16">
        <v>1330</v>
      </c>
      <c r="F678" s="16">
        <v>1100.02</v>
      </c>
      <c r="G678" s="8">
        <f t="shared" si="40"/>
        <v>100.00181818181818</v>
      </c>
      <c r="H678" s="8">
        <f t="shared" si="41"/>
        <v>1000.0181818181818</v>
      </c>
      <c r="I678" s="8">
        <f t="shared" si="42"/>
        <v>329.9818181818182</v>
      </c>
      <c r="J678" s="9">
        <f t="shared" si="43"/>
        <v>0.32997581862147962</v>
      </c>
      <c r="K678" s="7" t="s">
        <v>81</v>
      </c>
    </row>
    <row r="679" spans="1:11" x14ac:dyDescent="0.25">
      <c r="A679" s="7" t="s">
        <v>1146</v>
      </c>
      <c r="B679" s="7" t="s">
        <v>328</v>
      </c>
      <c r="C679" s="7" t="s">
        <v>1266</v>
      </c>
      <c r="D679" s="7" t="s">
        <v>15</v>
      </c>
      <c r="E679" s="16">
        <v>1330</v>
      </c>
      <c r="F679" s="16">
        <v>1100.02</v>
      </c>
      <c r="G679" s="8">
        <f t="shared" si="40"/>
        <v>100.00181818181818</v>
      </c>
      <c r="H679" s="8">
        <f t="shared" si="41"/>
        <v>1000.0181818181818</v>
      </c>
      <c r="I679" s="8">
        <f t="shared" si="42"/>
        <v>329.9818181818182</v>
      </c>
      <c r="J679" s="9">
        <f t="shared" si="43"/>
        <v>0.32997581862147962</v>
      </c>
      <c r="K679" s="7" t="s">
        <v>81</v>
      </c>
    </row>
    <row r="680" spans="1:11" x14ac:dyDescent="0.25">
      <c r="A680" s="7" t="s">
        <v>1146</v>
      </c>
      <c r="B680" s="7" t="s">
        <v>328</v>
      </c>
      <c r="C680" s="7" t="s">
        <v>1267</v>
      </c>
      <c r="D680" s="7" t="s">
        <v>15</v>
      </c>
      <c r="E680" s="16">
        <v>1330</v>
      </c>
      <c r="F680" s="16">
        <v>1100.02</v>
      </c>
      <c r="G680" s="8">
        <f t="shared" si="40"/>
        <v>100.00181818181818</v>
      </c>
      <c r="H680" s="8">
        <f t="shared" si="41"/>
        <v>1000.0181818181818</v>
      </c>
      <c r="I680" s="8">
        <f t="shared" si="42"/>
        <v>329.9818181818182</v>
      </c>
      <c r="J680" s="9">
        <f t="shared" si="43"/>
        <v>0.32997581862147962</v>
      </c>
      <c r="K680" s="7" t="s">
        <v>81</v>
      </c>
    </row>
    <row r="681" spans="1:11" x14ac:dyDescent="0.25">
      <c r="A681" s="7" t="s">
        <v>1146</v>
      </c>
      <c r="B681" s="7" t="s">
        <v>328</v>
      </c>
      <c r="C681" s="7" t="s">
        <v>1268</v>
      </c>
      <c r="D681" s="7" t="s">
        <v>15</v>
      </c>
      <c r="E681" s="16">
        <v>1330</v>
      </c>
      <c r="F681" s="16">
        <v>1100.02</v>
      </c>
      <c r="G681" s="8">
        <f t="shared" si="40"/>
        <v>100.00181818181818</v>
      </c>
      <c r="H681" s="8">
        <f t="shared" si="41"/>
        <v>1000.0181818181818</v>
      </c>
      <c r="I681" s="8">
        <f t="shared" si="42"/>
        <v>329.9818181818182</v>
      </c>
      <c r="J681" s="9">
        <f t="shared" si="43"/>
        <v>0.32997581862147962</v>
      </c>
      <c r="K681" s="7" t="s">
        <v>81</v>
      </c>
    </row>
    <row r="682" spans="1:11" x14ac:dyDescent="0.25">
      <c r="A682" s="7" t="s">
        <v>1146</v>
      </c>
      <c r="B682" s="7" t="s">
        <v>328</v>
      </c>
      <c r="C682" s="7" t="s">
        <v>1269</v>
      </c>
      <c r="D682" s="7" t="s">
        <v>15</v>
      </c>
      <c r="E682" s="16">
        <v>1330</v>
      </c>
      <c r="F682" s="16">
        <v>1100.02</v>
      </c>
      <c r="G682" s="8">
        <f t="shared" si="40"/>
        <v>100.00181818181818</v>
      </c>
      <c r="H682" s="8">
        <f t="shared" si="41"/>
        <v>1000.0181818181818</v>
      </c>
      <c r="I682" s="8">
        <f t="shared" si="42"/>
        <v>329.9818181818182</v>
      </c>
      <c r="J682" s="9">
        <f t="shared" si="43"/>
        <v>0.32997581862147962</v>
      </c>
      <c r="K682" s="7" t="s">
        <v>81</v>
      </c>
    </row>
    <row r="683" spans="1:11" x14ac:dyDescent="0.25">
      <c r="A683" s="7" t="s">
        <v>1146</v>
      </c>
      <c r="B683" s="7" t="s">
        <v>328</v>
      </c>
      <c r="C683" s="7" t="s">
        <v>1270</v>
      </c>
      <c r="D683" s="7" t="s">
        <v>15</v>
      </c>
      <c r="E683" s="16">
        <v>1330</v>
      </c>
      <c r="F683" s="16">
        <v>1100.02</v>
      </c>
      <c r="G683" s="8">
        <f t="shared" si="40"/>
        <v>100.00181818181818</v>
      </c>
      <c r="H683" s="8">
        <f t="shared" si="41"/>
        <v>1000.0181818181818</v>
      </c>
      <c r="I683" s="8">
        <f t="shared" si="42"/>
        <v>329.9818181818182</v>
      </c>
      <c r="J683" s="9">
        <f t="shared" si="43"/>
        <v>0.32997581862147962</v>
      </c>
      <c r="K683" s="7" t="s">
        <v>81</v>
      </c>
    </row>
    <row r="684" spans="1:11" x14ac:dyDescent="0.25">
      <c r="A684" s="7" t="s">
        <v>1146</v>
      </c>
      <c r="B684" s="7" t="s">
        <v>328</v>
      </c>
      <c r="C684" s="7" t="s">
        <v>1271</v>
      </c>
      <c r="D684" s="7" t="s">
        <v>15</v>
      </c>
      <c r="E684" s="16">
        <v>1330</v>
      </c>
      <c r="F684" s="16">
        <v>1100.02</v>
      </c>
      <c r="G684" s="8">
        <f t="shared" si="40"/>
        <v>100.00181818181818</v>
      </c>
      <c r="H684" s="8">
        <f t="shared" si="41"/>
        <v>1000.0181818181818</v>
      </c>
      <c r="I684" s="8">
        <f t="shared" si="42"/>
        <v>329.9818181818182</v>
      </c>
      <c r="J684" s="9">
        <f t="shared" si="43"/>
        <v>0.32997581862147962</v>
      </c>
      <c r="K684" s="7" t="s">
        <v>81</v>
      </c>
    </row>
    <row r="685" spans="1:11" x14ac:dyDescent="0.25">
      <c r="A685" s="7" t="s">
        <v>1146</v>
      </c>
      <c r="B685" s="7" t="s">
        <v>328</v>
      </c>
      <c r="C685" s="7" t="s">
        <v>1272</v>
      </c>
      <c r="D685" s="7" t="s">
        <v>15</v>
      </c>
      <c r="E685" s="16">
        <v>1330</v>
      </c>
      <c r="F685" s="16">
        <v>1100.02</v>
      </c>
      <c r="G685" s="8">
        <f t="shared" si="40"/>
        <v>100.00181818181818</v>
      </c>
      <c r="H685" s="8">
        <f t="shared" si="41"/>
        <v>1000.0181818181818</v>
      </c>
      <c r="I685" s="8">
        <f t="shared" si="42"/>
        <v>329.9818181818182</v>
      </c>
      <c r="J685" s="9">
        <f t="shared" si="43"/>
        <v>0.32997581862147962</v>
      </c>
      <c r="K685" s="7" t="s">
        <v>81</v>
      </c>
    </row>
    <row r="686" spans="1:11" x14ac:dyDescent="0.25">
      <c r="A686" s="7" t="s">
        <v>1146</v>
      </c>
      <c r="B686" s="7" t="s">
        <v>328</v>
      </c>
      <c r="C686" s="7" t="s">
        <v>1273</v>
      </c>
      <c r="D686" s="7" t="s">
        <v>15</v>
      </c>
      <c r="E686" s="16">
        <v>1330</v>
      </c>
      <c r="F686" s="16">
        <v>1100.02</v>
      </c>
      <c r="G686" s="8">
        <f t="shared" si="40"/>
        <v>100.00181818181818</v>
      </c>
      <c r="H686" s="8">
        <f t="shared" si="41"/>
        <v>1000.0181818181818</v>
      </c>
      <c r="I686" s="8">
        <f t="shared" si="42"/>
        <v>329.9818181818182</v>
      </c>
      <c r="J686" s="9">
        <f t="shared" si="43"/>
        <v>0.32997581862147962</v>
      </c>
      <c r="K686" s="7" t="s">
        <v>81</v>
      </c>
    </row>
    <row r="687" spans="1:11" x14ac:dyDescent="0.25">
      <c r="A687" s="7" t="s">
        <v>1146</v>
      </c>
      <c r="B687" s="7" t="s">
        <v>328</v>
      </c>
      <c r="C687" s="7" t="s">
        <v>1274</v>
      </c>
      <c r="D687" s="7" t="s">
        <v>15</v>
      </c>
      <c r="E687" s="16">
        <v>1330</v>
      </c>
      <c r="F687" s="16">
        <v>1135.99</v>
      </c>
      <c r="G687" s="8">
        <f t="shared" si="40"/>
        <v>103.27181818181818</v>
      </c>
      <c r="H687" s="8">
        <f t="shared" si="41"/>
        <v>1032.7181818181818</v>
      </c>
      <c r="I687" s="8">
        <f t="shared" si="42"/>
        <v>297.28181818181815</v>
      </c>
      <c r="J687" s="9">
        <f t="shared" si="43"/>
        <v>0.28786344950219628</v>
      </c>
      <c r="K687" s="7" t="s">
        <v>81</v>
      </c>
    </row>
    <row r="688" spans="1:11" x14ac:dyDescent="0.25">
      <c r="A688" s="7" t="s">
        <v>1146</v>
      </c>
      <c r="B688" s="7" t="s">
        <v>328</v>
      </c>
      <c r="C688" s="7" t="s">
        <v>1275</v>
      </c>
      <c r="D688" s="7" t="s">
        <v>15</v>
      </c>
      <c r="E688" s="16">
        <v>1330</v>
      </c>
      <c r="F688" s="16">
        <v>1135.99</v>
      </c>
      <c r="G688" s="8">
        <f t="shared" si="40"/>
        <v>103.27181818181818</v>
      </c>
      <c r="H688" s="8">
        <f t="shared" si="41"/>
        <v>1032.7181818181818</v>
      </c>
      <c r="I688" s="8">
        <f t="shared" si="42"/>
        <v>297.28181818181815</v>
      </c>
      <c r="J688" s="9">
        <f t="shared" si="43"/>
        <v>0.28786344950219628</v>
      </c>
      <c r="K688" s="7" t="s">
        <v>81</v>
      </c>
    </row>
    <row r="689" spans="1:11" x14ac:dyDescent="0.25">
      <c r="A689" s="7" t="s">
        <v>1146</v>
      </c>
      <c r="B689" s="7" t="s">
        <v>328</v>
      </c>
      <c r="C689" s="7" t="s">
        <v>1276</v>
      </c>
      <c r="D689" s="7" t="s">
        <v>15</v>
      </c>
      <c r="E689" s="16">
        <v>1330</v>
      </c>
      <c r="F689" s="16">
        <v>1135.99</v>
      </c>
      <c r="G689" s="8">
        <f t="shared" si="40"/>
        <v>103.27181818181818</v>
      </c>
      <c r="H689" s="8">
        <f t="shared" si="41"/>
        <v>1032.7181818181818</v>
      </c>
      <c r="I689" s="8">
        <f t="shared" si="42"/>
        <v>297.28181818181815</v>
      </c>
      <c r="J689" s="9">
        <f t="shared" si="43"/>
        <v>0.28786344950219628</v>
      </c>
      <c r="K689" s="7" t="s">
        <v>81</v>
      </c>
    </row>
    <row r="690" spans="1:11" x14ac:dyDescent="0.25">
      <c r="A690" s="7" t="s">
        <v>1146</v>
      </c>
      <c r="B690" s="7" t="s">
        <v>328</v>
      </c>
      <c r="C690" s="7" t="s">
        <v>1277</v>
      </c>
      <c r="D690" s="7" t="s">
        <v>15</v>
      </c>
      <c r="E690" s="16">
        <v>1330</v>
      </c>
      <c r="F690" s="16">
        <v>1135.99</v>
      </c>
      <c r="G690" s="8">
        <f t="shared" si="40"/>
        <v>103.27181818181818</v>
      </c>
      <c r="H690" s="8">
        <f t="shared" si="41"/>
        <v>1032.7181818181818</v>
      </c>
      <c r="I690" s="8">
        <f t="shared" si="42"/>
        <v>297.28181818181815</v>
      </c>
      <c r="J690" s="9">
        <f t="shared" si="43"/>
        <v>0.28786344950219628</v>
      </c>
      <c r="K690" s="7" t="s">
        <v>81</v>
      </c>
    </row>
    <row r="691" spans="1:11" x14ac:dyDescent="0.25">
      <c r="A691" s="7" t="s">
        <v>1146</v>
      </c>
      <c r="B691" s="7" t="s">
        <v>328</v>
      </c>
      <c r="C691" s="7" t="s">
        <v>1278</v>
      </c>
      <c r="D691" s="7" t="s">
        <v>15</v>
      </c>
      <c r="E691" s="16">
        <v>1330</v>
      </c>
      <c r="F691" s="16">
        <v>1135.99</v>
      </c>
      <c r="G691" s="8">
        <f t="shared" si="40"/>
        <v>103.27181818181818</v>
      </c>
      <c r="H691" s="8">
        <f t="shared" si="41"/>
        <v>1032.7181818181818</v>
      </c>
      <c r="I691" s="8">
        <f t="shared" si="42"/>
        <v>297.28181818181815</v>
      </c>
      <c r="J691" s="9">
        <f t="shared" si="43"/>
        <v>0.28786344950219628</v>
      </c>
      <c r="K691" s="7" t="s">
        <v>81</v>
      </c>
    </row>
    <row r="692" spans="1:11" x14ac:dyDescent="0.25">
      <c r="A692" s="7" t="s">
        <v>1146</v>
      </c>
      <c r="B692" s="7" t="s">
        <v>328</v>
      </c>
      <c r="C692" s="7" t="s">
        <v>1279</v>
      </c>
      <c r="D692" s="7" t="s">
        <v>15</v>
      </c>
      <c r="E692" s="16">
        <v>1330</v>
      </c>
      <c r="F692" s="16">
        <v>1135.99</v>
      </c>
      <c r="G692" s="8">
        <f t="shared" si="40"/>
        <v>103.27181818181818</v>
      </c>
      <c r="H692" s="8">
        <f t="shared" si="41"/>
        <v>1032.7181818181818</v>
      </c>
      <c r="I692" s="8">
        <f t="shared" si="42"/>
        <v>297.28181818181815</v>
      </c>
      <c r="J692" s="9">
        <f t="shared" si="43"/>
        <v>0.28786344950219628</v>
      </c>
      <c r="K692" s="7" t="s">
        <v>81</v>
      </c>
    </row>
    <row r="693" spans="1:11" x14ac:dyDescent="0.25">
      <c r="A693" s="7" t="s">
        <v>1146</v>
      </c>
      <c r="B693" s="7" t="s">
        <v>328</v>
      </c>
      <c r="C693" s="7" t="s">
        <v>1280</v>
      </c>
      <c r="D693" s="7" t="s">
        <v>15</v>
      </c>
      <c r="E693" s="16">
        <v>1330</v>
      </c>
      <c r="F693" s="16">
        <v>1135.99</v>
      </c>
      <c r="G693" s="8">
        <f t="shared" si="40"/>
        <v>103.27181818181818</v>
      </c>
      <c r="H693" s="8">
        <f t="shared" si="41"/>
        <v>1032.7181818181818</v>
      </c>
      <c r="I693" s="8">
        <f t="shared" si="42"/>
        <v>297.28181818181815</v>
      </c>
      <c r="J693" s="9">
        <f t="shared" si="43"/>
        <v>0.28786344950219628</v>
      </c>
      <c r="K693" s="7" t="s">
        <v>81</v>
      </c>
    </row>
    <row r="694" spans="1:11" x14ac:dyDescent="0.25">
      <c r="A694" s="7" t="s">
        <v>1146</v>
      </c>
      <c r="B694" s="7" t="s">
        <v>328</v>
      </c>
      <c r="C694" s="7" t="s">
        <v>1281</v>
      </c>
      <c r="D694" s="7" t="s">
        <v>15</v>
      </c>
      <c r="E694" s="16">
        <v>1330</v>
      </c>
      <c r="F694" s="16">
        <v>1135.99</v>
      </c>
      <c r="G694" s="8">
        <f t="shared" si="40"/>
        <v>103.27181818181818</v>
      </c>
      <c r="H694" s="8">
        <f t="shared" si="41"/>
        <v>1032.7181818181818</v>
      </c>
      <c r="I694" s="8">
        <f t="shared" si="42"/>
        <v>297.28181818181815</v>
      </c>
      <c r="J694" s="9">
        <f t="shared" si="43"/>
        <v>0.28786344950219628</v>
      </c>
      <c r="K694" s="7" t="s">
        <v>81</v>
      </c>
    </row>
    <row r="695" spans="1:11" x14ac:dyDescent="0.25">
      <c r="A695" s="7" t="s">
        <v>1146</v>
      </c>
      <c r="B695" s="7" t="s">
        <v>328</v>
      </c>
      <c r="C695" s="7" t="s">
        <v>1282</v>
      </c>
      <c r="D695" s="7" t="s">
        <v>15</v>
      </c>
      <c r="E695" s="16">
        <v>1330</v>
      </c>
      <c r="F695" s="16">
        <v>1135.99</v>
      </c>
      <c r="G695" s="8">
        <f t="shared" si="40"/>
        <v>103.27181818181818</v>
      </c>
      <c r="H695" s="8">
        <f t="shared" si="41"/>
        <v>1032.7181818181818</v>
      </c>
      <c r="I695" s="8">
        <f t="shared" si="42"/>
        <v>297.28181818181815</v>
      </c>
      <c r="J695" s="9">
        <f t="shared" si="43"/>
        <v>0.28786344950219628</v>
      </c>
      <c r="K695" s="7" t="s">
        <v>81</v>
      </c>
    </row>
    <row r="696" spans="1:11" x14ac:dyDescent="0.25">
      <c r="A696" s="7" t="s">
        <v>1146</v>
      </c>
      <c r="B696" s="7" t="s">
        <v>328</v>
      </c>
      <c r="C696" s="7" t="s">
        <v>1283</v>
      </c>
      <c r="D696" s="7" t="s">
        <v>15</v>
      </c>
      <c r="E696" s="16">
        <v>1330</v>
      </c>
      <c r="F696" s="16">
        <v>1135.99</v>
      </c>
      <c r="G696" s="8">
        <f t="shared" si="40"/>
        <v>103.27181818181818</v>
      </c>
      <c r="H696" s="8">
        <f t="shared" si="41"/>
        <v>1032.7181818181818</v>
      </c>
      <c r="I696" s="8">
        <f t="shared" si="42"/>
        <v>297.28181818181815</v>
      </c>
      <c r="J696" s="9">
        <f t="shared" si="43"/>
        <v>0.28786344950219628</v>
      </c>
      <c r="K696" s="7" t="s">
        <v>81</v>
      </c>
    </row>
    <row r="697" spans="1:11" x14ac:dyDescent="0.25">
      <c r="A697" s="7" t="s">
        <v>1146</v>
      </c>
      <c r="B697" s="7" t="s">
        <v>328</v>
      </c>
      <c r="C697" s="7" t="s">
        <v>1284</v>
      </c>
      <c r="D697" s="7" t="s">
        <v>15</v>
      </c>
      <c r="E697" s="16">
        <v>1330</v>
      </c>
      <c r="F697" s="16">
        <v>1058.4100000000001</v>
      </c>
      <c r="G697" s="8">
        <f t="shared" si="40"/>
        <v>96.219090909090923</v>
      </c>
      <c r="H697" s="8">
        <f t="shared" si="41"/>
        <v>962.19090909090914</v>
      </c>
      <c r="I697" s="8">
        <f t="shared" si="42"/>
        <v>367.80909090909086</v>
      </c>
      <c r="J697" s="9">
        <f t="shared" si="43"/>
        <v>0.38226207235381365</v>
      </c>
      <c r="K697" s="7" t="s">
        <v>81</v>
      </c>
    </row>
    <row r="698" spans="1:11" x14ac:dyDescent="0.25">
      <c r="A698" s="7" t="s">
        <v>1146</v>
      </c>
      <c r="B698" s="7" t="s">
        <v>328</v>
      </c>
      <c r="C698" s="7" t="s">
        <v>1285</v>
      </c>
      <c r="D698" s="7" t="s">
        <v>15</v>
      </c>
      <c r="E698" s="16">
        <v>1330</v>
      </c>
      <c r="F698" s="16">
        <v>1058.4100000000001</v>
      </c>
      <c r="G698" s="8">
        <f t="shared" si="40"/>
        <v>96.219090909090923</v>
      </c>
      <c r="H698" s="8">
        <f t="shared" si="41"/>
        <v>962.19090909090914</v>
      </c>
      <c r="I698" s="8">
        <f t="shared" si="42"/>
        <v>367.80909090909086</v>
      </c>
      <c r="J698" s="9">
        <f t="shared" si="43"/>
        <v>0.38226207235381365</v>
      </c>
      <c r="K698" s="7" t="s">
        <v>81</v>
      </c>
    </row>
    <row r="699" spans="1:11" x14ac:dyDescent="0.25">
      <c r="A699" s="7" t="s">
        <v>1146</v>
      </c>
      <c r="B699" s="7" t="s">
        <v>328</v>
      </c>
      <c r="C699" s="7" t="s">
        <v>1286</v>
      </c>
      <c r="D699" s="7" t="s">
        <v>15</v>
      </c>
      <c r="E699" s="16">
        <v>1330</v>
      </c>
      <c r="F699" s="16">
        <v>1058.4100000000001</v>
      </c>
      <c r="G699" s="8">
        <f t="shared" si="40"/>
        <v>96.219090909090923</v>
      </c>
      <c r="H699" s="8">
        <f t="shared" si="41"/>
        <v>962.19090909090914</v>
      </c>
      <c r="I699" s="8">
        <f t="shared" si="42"/>
        <v>367.80909090909086</v>
      </c>
      <c r="J699" s="9">
        <f t="shared" si="43"/>
        <v>0.38226207235381365</v>
      </c>
      <c r="K699" s="7" t="s">
        <v>81</v>
      </c>
    </row>
    <row r="700" spans="1:11" x14ac:dyDescent="0.25">
      <c r="A700" s="7" t="s">
        <v>1146</v>
      </c>
      <c r="B700" s="7" t="s">
        <v>328</v>
      </c>
      <c r="C700" s="7" t="s">
        <v>1287</v>
      </c>
      <c r="D700" s="7" t="s">
        <v>15</v>
      </c>
      <c r="E700" s="16">
        <v>1330</v>
      </c>
      <c r="F700" s="16">
        <v>1058.4100000000001</v>
      </c>
      <c r="G700" s="8">
        <f t="shared" si="40"/>
        <v>96.219090909090923</v>
      </c>
      <c r="H700" s="8">
        <f t="shared" si="41"/>
        <v>962.19090909090914</v>
      </c>
      <c r="I700" s="8">
        <f t="shared" si="42"/>
        <v>367.80909090909086</v>
      </c>
      <c r="J700" s="9">
        <f t="shared" si="43"/>
        <v>0.38226207235381365</v>
      </c>
      <c r="K700" s="7" t="s">
        <v>81</v>
      </c>
    </row>
    <row r="701" spans="1:11" x14ac:dyDescent="0.25">
      <c r="A701" s="7" t="s">
        <v>1146</v>
      </c>
      <c r="B701" s="7" t="s">
        <v>328</v>
      </c>
      <c r="C701" s="7" t="s">
        <v>1288</v>
      </c>
      <c r="D701" s="7" t="s">
        <v>15</v>
      </c>
      <c r="E701" s="16">
        <v>1330</v>
      </c>
      <c r="F701" s="16">
        <v>1058.4100000000001</v>
      </c>
      <c r="G701" s="8">
        <f t="shared" si="40"/>
        <v>96.219090909090923</v>
      </c>
      <c r="H701" s="8">
        <f t="shared" si="41"/>
        <v>962.19090909090914</v>
      </c>
      <c r="I701" s="8">
        <f t="shared" si="42"/>
        <v>367.80909090909086</v>
      </c>
      <c r="J701" s="9">
        <f t="shared" si="43"/>
        <v>0.38226207235381365</v>
      </c>
      <c r="K701" s="7" t="s">
        <v>81</v>
      </c>
    </row>
    <row r="702" spans="1:11" x14ac:dyDescent="0.25">
      <c r="A702" s="7" t="s">
        <v>1146</v>
      </c>
      <c r="B702" s="7" t="s">
        <v>328</v>
      </c>
      <c r="C702" s="7" t="s">
        <v>1289</v>
      </c>
      <c r="D702" s="7" t="s">
        <v>15</v>
      </c>
      <c r="E702" s="16">
        <v>1330</v>
      </c>
      <c r="F702" s="16">
        <v>1058.4100000000001</v>
      </c>
      <c r="G702" s="8">
        <f t="shared" si="40"/>
        <v>96.219090909090923</v>
      </c>
      <c r="H702" s="8">
        <f t="shared" si="41"/>
        <v>962.19090909090914</v>
      </c>
      <c r="I702" s="8">
        <f t="shared" si="42"/>
        <v>367.80909090909086</v>
      </c>
      <c r="J702" s="9">
        <f t="shared" si="43"/>
        <v>0.38226207235381365</v>
      </c>
      <c r="K702" s="7" t="s">
        <v>81</v>
      </c>
    </row>
    <row r="703" spans="1:11" x14ac:dyDescent="0.25">
      <c r="A703" s="7" t="s">
        <v>1146</v>
      </c>
      <c r="B703" s="7" t="s">
        <v>328</v>
      </c>
      <c r="C703" s="7" t="s">
        <v>1290</v>
      </c>
      <c r="D703" s="7" t="s">
        <v>15</v>
      </c>
      <c r="E703" s="16">
        <v>1330</v>
      </c>
      <c r="F703" s="16">
        <v>1058.4100000000001</v>
      </c>
      <c r="G703" s="8">
        <f t="shared" si="40"/>
        <v>96.219090909090923</v>
      </c>
      <c r="H703" s="8">
        <f t="shared" si="41"/>
        <v>962.19090909090914</v>
      </c>
      <c r="I703" s="8">
        <f t="shared" si="42"/>
        <v>367.80909090909086</v>
      </c>
      <c r="J703" s="9">
        <f t="shared" si="43"/>
        <v>0.38226207235381365</v>
      </c>
      <c r="K703" s="7" t="s">
        <v>81</v>
      </c>
    </row>
    <row r="704" spans="1:11" x14ac:dyDescent="0.25">
      <c r="A704" s="7" t="s">
        <v>1146</v>
      </c>
      <c r="B704" s="7" t="s">
        <v>328</v>
      </c>
      <c r="C704" s="7" t="s">
        <v>1291</v>
      </c>
      <c r="D704" s="7" t="s">
        <v>15</v>
      </c>
      <c r="E704" s="16">
        <v>1330</v>
      </c>
      <c r="F704" s="16">
        <v>1058.4100000000001</v>
      </c>
      <c r="G704" s="8">
        <f t="shared" si="40"/>
        <v>96.219090909090923</v>
      </c>
      <c r="H704" s="8">
        <f t="shared" si="41"/>
        <v>962.19090909090914</v>
      </c>
      <c r="I704" s="8">
        <f t="shared" si="42"/>
        <v>367.80909090909086</v>
      </c>
      <c r="J704" s="9">
        <f t="shared" si="43"/>
        <v>0.38226207235381365</v>
      </c>
      <c r="K704" s="7" t="s">
        <v>81</v>
      </c>
    </row>
    <row r="705" spans="1:11" x14ac:dyDescent="0.25">
      <c r="A705" s="7" t="s">
        <v>1146</v>
      </c>
      <c r="B705" s="7" t="s">
        <v>328</v>
      </c>
      <c r="C705" s="7" t="s">
        <v>1292</v>
      </c>
      <c r="D705" s="7" t="s">
        <v>15</v>
      </c>
      <c r="E705" s="16">
        <v>1330</v>
      </c>
      <c r="F705" s="16">
        <v>1058.4100000000001</v>
      </c>
      <c r="G705" s="8">
        <f t="shared" si="40"/>
        <v>96.219090909090923</v>
      </c>
      <c r="H705" s="8">
        <f t="shared" si="41"/>
        <v>962.19090909090914</v>
      </c>
      <c r="I705" s="8">
        <f t="shared" si="42"/>
        <v>367.80909090909086</v>
      </c>
      <c r="J705" s="9">
        <f t="shared" si="43"/>
        <v>0.38226207235381365</v>
      </c>
      <c r="K705" s="7" t="s">
        <v>81</v>
      </c>
    </row>
    <row r="706" spans="1:11" x14ac:dyDescent="0.25">
      <c r="A706" s="7" t="s">
        <v>1146</v>
      </c>
      <c r="B706" s="7" t="s">
        <v>328</v>
      </c>
      <c r="C706" s="7" t="s">
        <v>1293</v>
      </c>
      <c r="D706" s="7" t="s">
        <v>15</v>
      </c>
      <c r="E706" s="16">
        <v>1330</v>
      </c>
      <c r="F706" s="16">
        <v>1058.4100000000001</v>
      </c>
      <c r="G706" s="8">
        <f t="shared" si="40"/>
        <v>96.219090909090923</v>
      </c>
      <c r="H706" s="8">
        <f t="shared" si="41"/>
        <v>962.19090909090914</v>
      </c>
      <c r="I706" s="8">
        <f t="shared" si="42"/>
        <v>367.80909090909086</v>
      </c>
      <c r="J706" s="9">
        <f t="shared" si="43"/>
        <v>0.38226207235381365</v>
      </c>
      <c r="K706" s="7" t="s">
        <v>81</v>
      </c>
    </row>
    <row r="707" spans="1:11" x14ac:dyDescent="0.25">
      <c r="A707" s="7" t="s">
        <v>1146</v>
      </c>
      <c r="B707" s="7" t="s">
        <v>328</v>
      </c>
      <c r="C707" s="7" t="s">
        <v>1294</v>
      </c>
      <c r="D707" s="7" t="s">
        <v>15</v>
      </c>
      <c r="E707" s="16">
        <v>1330</v>
      </c>
      <c r="F707" s="16">
        <v>1058.4100000000001</v>
      </c>
      <c r="G707" s="8">
        <f t="shared" ref="G707:G770" si="44">F707/11</f>
        <v>96.219090909090923</v>
      </c>
      <c r="H707" s="8">
        <f t="shared" ref="H707:H770" si="45">F707-G707</f>
        <v>962.19090909090914</v>
      </c>
      <c r="I707" s="8">
        <f t="shared" ref="I707:I770" si="46">E707-H707</f>
        <v>367.80909090909086</v>
      </c>
      <c r="J707" s="9">
        <f t="shared" ref="J707:J770" si="47">(E707-H707)/H707</f>
        <v>0.38226207235381365</v>
      </c>
      <c r="K707" s="7" t="s">
        <v>81</v>
      </c>
    </row>
    <row r="708" spans="1:11" x14ac:dyDescent="0.25">
      <c r="A708" s="7" t="s">
        <v>1146</v>
      </c>
      <c r="B708" s="7" t="s">
        <v>328</v>
      </c>
      <c r="C708" s="7" t="s">
        <v>1295</v>
      </c>
      <c r="D708" s="7" t="s">
        <v>15</v>
      </c>
      <c r="E708" s="16">
        <v>1330</v>
      </c>
      <c r="F708" s="16">
        <v>1077.53</v>
      </c>
      <c r="G708" s="8">
        <f t="shared" si="44"/>
        <v>97.957272727272724</v>
      </c>
      <c r="H708" s="8">
        <f t="shared" si="45"/>
        <v>979.57272727272721</v>
      </c>
      <c r="I708" s="8">
        <f t="shared" si="46"/>
        <v>350.42727272727279</v>
      </c>
      <c r="J708" s="9">
        <f t="shared" si="47"/>
        <v>0.35773481944818253</v>
      </c>
      <c r="K708" s="7" t="s">
        <v>81</v>
      </c>
    </row>
    <row r="709" spans="1:11" x14ac:dyDescent="0.25">
      <c r="A709" s="7" t="s">
        <v>1146</v>
      </c>
      <c r="B709" s="7" t="s">
        <v>328</v>
      </c>
      <c r="C709" s="7" t="s">
        <v>1296</v>
      </c>
      <c r="D709" s="7" t="s">
        <v>15</v>
      </c>
      <c r="E709" s="16">
        <v>1330</v>
      </c>
      <c r="F709" s="16">
        <v>1077.53</v>
      </c>
      <c r="G709" s="8">
        <f t="shared" si="44"/>
        <v>97.957272727272724</v>
      </c>
      <c r="H709" s="8">
        <f t="shared" si="45"/>
        <v>979.57272727272721</v>
      </c>
      <c r="I709" s="8">
        <f t="shared" si="46"/>
        <v>350.42727272727279</v>
      </c>
      <c r="J709" s="9">
        <f t="shared" si="47"/>
        <v>0.35773481944818253</v>
      </c>
      <c r="K709" s="7" t="s">
        <v>81</v>
      </c>
    </row>
    <row r="710" spans="1:11" x14ac:dyDescent="0.25">
      <c r="A710" s="7" t="s">
        <v>1146</v>
      </c>
      <c r="B710" s="7" t="s">
        <v>328</v>
      </c>
      <c r="C710" s="7" t="s">
        <v>1297</v>
      </c>
      <c r="D710" s="7" t="s">
        <v>15</v>
      </c>
      <c r="E710" s="16">
        <v>1330</v>
      </c>
      <c r="F710" s="16">
        <v>1077.53</v>
      </c>
      <c r="G710" s="8">
        <f t="shared" si="44"/>
        <v>97.957272727272724</v>
      </c>
      <c r="H710" s="8">
        <f t="shared" si="45"/>
        <v>979.57272727272721</v>
      </c>
      <c r="I710" s="8">
        <f t="shared" si="46"/>
        <v>350.42727272727279</v>
      </c>
      <c r="J710" s="9">
        <f t="shared" si="47"/>
        <v>0.35773481944818253</v>
      </c>
      <c r="K710" s="7" t="s">
        <v>81</v>
      </c>
    </row>
    <row r="711" spans="1:11" x14ac:dyDescent="0.25">
      <c r="A711" s="7" t="s">
        <v>1146</v>
      </c>
      <c r="B711" s="7" t="s">
        <v>328</v>
      </c>
      <c r="C711" s="7" t="s">
        <v>1298</v>
      </c>
      <c r="D711" s="7" t="s">
        <v>15</v>
      </c>
      <c r="E711" s="16">
        <v>1330</v>
      </c>
      <c r="F711" s="16">
        <v>1077.53</v>
      </c>
      <c r="G711" s="8">
        <f t="shared" si="44"/>
        <v>97.957272727272724</v>
      </c>
      <c r="H711" s="8">
        <f t="shared" si="45"/>
        <v>979.57272727272721</v>
      </c>
      <c r="I711" s="8">
        <f t="shared" si="46"/>
        <v>350.42727272727279</v>
      </c>
      <c r="J711" s="9">
        <f t="shared" si="47"/>
        <v>0.35773481944818253</v>
      </c>
      <c r="K711" s="7" t="s">
        <v>81</v>
      </c>
    </row>
    <row r="712" spans="1:11" x14ac:dyDescent="0.25">
      <c r="A712" s="7" t="s">
        <v>1146</v>
      </c>
      <c r="B712" s="7" t="s">
        <v>328</v>
      </c>
      <c r="C712" s="7" t="s">
        <v>1299</v>
      </c>
      <c r="D712" s="7" t="s">
        <v>15</v>
      </c>
      <c r="E712" s="16">
        <v>1330</v>
      </c>
      <c r="F712" s="16">
        <v>1077.53</v>
      </c>
      <c r="G712" s="8">
        <f t="shared" si="44"/>
        <v>97.957272727272724</v>
      </c>
      <c r="H712" s="8">
        <f t="shared" si="45"/>
        <v>979.57272727272721</v>
      </c>
      <c r="I712" s="8">
        <f t="shared" si="46"/>
        <v>350.42727272727279</v>
      </c>
      <c r="J712" s="9">
        <f t="shared" si="47"/>
        <v>0.35773481944818253</v>
      </c>
      <c r="K712" s="7" t="s">
        <v>81</v>
      </c>
    </row>
    <row r="713" spans="1:11" x14ac:dyDescent="0.25">
      <c r="A713" s="7" t="s">
        <v>1146</v>
      </c>
      <c r="B713" s="7" t="s">
        <v>328</v>
      </c>
      <c r="C713" s="7" t="s">
        <v>1300</v>
      </c>
      <c r="D713" s="7" t="s">
        <v>15</v>
      </c>
      <c r="E713" s="16">
        <v>1330</v>
      </c>
      <c r="F713" s="16">
        <v>1077.53</v>
      </c>
      <c r="G713" s="8">
        <f t="shared" si="44"/>
        <v>97.957272727272724</v>
      </c>
      <c r="H713" s="8">
        <f t="shared" si="45"/>
        <v>979.57272727272721</v>
      </c>
      <c r="I713" s="8">
        <f t="shared" si="46"/>
        <v>350.42727272727279</v>
      </c>
      <c r="J713" s="9">
        <f t="shared" si="47"/>
        <v>0.35773481944818253</v>
      </c>
      <c r="K713" s="7" t="s">
        <v>81</v>
      </c>
    </row>
    <row r="714" spans="1:11" x14ac:dyDescent="0.25">
      <c r="A714" s="7" t="s">
        <v>1146</v>
      </c>
      <c r="B714" s="7" t="s">
        <v>328</v>
      </c>
      <c r="C714" s="7" t="s">
        <v>1301</v>
      </c>
      <c r="D714" s="7" t="s">
        <v>15</v>
      </c>
      <c r="E714" s="16">
        <v>1330</v>
      </c>
      <c r="F714" s="16">
        <v>1077.53</v>
      </c>
      <c r="G714" s="8">
        <f t="shared" si="44"/>
        <v>97.957272727272724</v>
      </c>
      <c r="H714" s="8">
        <f t="shared" si="45"/>
        <v>979.57272727272721</v>
      </c>
      <c r="I714" s="8">
        <f t="shared" si="46"/>
        <v>350.42727272727279</v>
      </c>
      <c r="J714" s="9">
        <f t="shared" si="47"/>
        <v>0.35773481944818253</v>
      </c>
      <c r="K714" s="7" t="s">
        <v>81</v>
      </c>
    </row>
    <row r="715" spans="1:11" x14ac:dyDescent="0.25">
      <c r="A715" s="7" t="s">
        <v>1146</v>
      </c>
      <c r="B715" s="7" t="s">
        <v>328</v>
      </c>
      <c r="C715" s="7" t="s">
        <v>1302</v>
      </c>
      <c r="D715" s="7" t="s">
        <v>15</v>
      </c>
      <c r="E715" s="16">
        <v>1330</v>
      </c>
      <c r="F715" s="16">
        <v>1077.53</v>
      </c>
      <c r="G715" s="8">
        <f t="shared" si="44"/>
        <v>97.957272727272724</v>
      </c>
      <c r="H715" s="8">
        <f t="shared" si="45"/>
        <v>979.57272727272721</v>
      </c>
      <c r="I715" s="8">
        <f t="shared" si="46"/>
        <v>350.42727272727279</v>
      </c>
      <c r="J715" s="9">
        <f t="shared" si="47"/>
        <v>0.35773481944818253</v>
      </c>
      <c r="K715" s="7" t="s">
        <v>81</v>
      </c>
    </row>
    <row r="716" spans="1:11" x14ac:dyDescent="0.25">
      <c r="A716" s="7" t="s">
        <v>1146</v>
      </c>
      <c r="B716" s="7" t="s">
        <v>328</v>
      </c>
      <c r="C716" s="7" t="s">
        <v>1303</v>
      </c>
      <c r="D716" s="7" t="s">
        <v>15</v>
      </c>
      <c r="E716" s="16">
        <v>1330</v>
      </c>
      <c r="F716" s="16">
        <v>1077.53</v>
      </c>
      <c r="G716" s="8">
        <f t="shared" si="44"/>
        <v>97.957272727272724</v>
      </c>
      <c r="H716" s="8">
        <f t="shared" si="45"/>
        <v>979.57272727272721</v>
      </c>
      <c r="I716" s="8">
        <f t="shared" si="46"/>
        <v>350.42727272727279</v>
      </c>
      <c r="J716" s="9">
        <f t="shared" si="47"/>
        <v>0.35773481944818253</v>
      </c>
      <c r="K716" s="7" t="s">
        <v>81</v>
      </c>
    </row>
    <row r="717" spans="1:11" x14ac:dyDescent="0.25">
      <c r="A717" s="7" t="s">
        <v>1146</v>
      </c>
      <c r="B717" s="7" t="s">
        <v>328</v>
      </c>
      <c r="C717" s="7" t="s">
        <v>1304</v>
      </c>
      <c r="D717" s="7" t="s">
        <v>15</v>
      </c>
      <c r="E717" s="16">
        <v>1330</v>
      </c>
      <c r="F717" s="16">
        <v>1077.53</v>
      </c>
      <c r="G717" s="8">
        <f t="shared" si="44"/>
        <v>97.957272727272724</v>
      </c>
      <c r="H717" s="8">
        <f t="shared" si="45"/>
        <v>979.57272727272721</v>
      </c>
      <c r="I717" s="8">
        <f t="shared" si="46"/>
        <v>350.42727272727279</v>
      </c>
      <c r="J717" s="9">
        <f t="shared" si="47"/>
        <v>0.35773481944818253</v>
      </c>
      <c r="K717" s="7" t="s">
        <v>81</v>
      </c>
    </row>
    <row r="718" spans="1:11" x14ac:dyDescent="0.25">
      <c r="A718" s="7" t="s">
        <v>1146</v>
      </c>
      <c r="B718" s="7" t="s">
        <v>328</v>
      </c>
      <c r="C718" s="7" t="s">
        <v>1305</v>
      </c>
      <c r="D718" s="7" t="s">
        <v>15</v>
      </c>
      <c r="E718" s="16">
        <v>1330</v>
      </c>
      <c r="F718" s="16">
        <v>1077.53</v>
      </c>
      <c r="G718" s="8">
        <f t="shared" si="44"/>
        <v>97.957272727272724</v>
      </c>
      <c r="H718" s="8">
        <f t="shared" si="45"/>
        <v>979.57272727272721</v>
      </c>
      <c r="I718" s="8">
        <f t="shared" si="46"/>
        <v>350.42727272727279</v>
      </c>
      <c r="J718" s="9">
        <f t="shared" si="47"/>
        <v>0.35773481944818253</v>
      </c>
      <c r="K718" s="7" t="s">
        <v>81</v>
      </c>
    </row>
    <row r="719" spans="1:11" x14ac:dyDescent="0.25">
      <c r="A719" s="7" t="s">
        <v>1146</v>
      </c>
      <c r="B719" s="7" t="s">
        <v>328</v>
      </c>
      <c r="C719" s="7" t="s">
        <v>1306</v>
      </c>
      <c r="D719" s="7" t="s">
        <v>15</v>
      </c>
      <c r="E719" s="16">
        <v>1330</v>
      </c>
      <c r="F719" s="16">
        <v>1077.53</v>
      </c>
      <c r="G719" s="8">
        <f t="shared" si="44"/>
        <v>97.957272727272724</v>
      </c>
      <c r="H719" s="8">
        <f t="shared" si="45"/>
        <v>979.57272727272721</v>
      </c>
      <c r="I719" s="8">
        <f t="shared" si="46"/>
        <v>350.42727272727279</v>
      </c>
      <c r="J719" s="9">
        <f t="shared" si="47"/>
        <v>0.35773481944818253</v>
      </c>
      <c r="K719" s="7" t="s">
        <v>81</v>
      </c>
    </row>
    <row r="720" spans="1:11" x14ac:dyDescent="0.25">
      <c r="A720" s="7" t="s">
        <v>1146</v>
      </c>
      <c r="B720" s="7" t="s">
        <v>328</v>
      </c>
      <c r="C720" s="7" t="s">
        <v>1307</v>
      </c>
      <c r="D720" s="7" t="s">
        <v>15</v>
      </c>
      <c r="E720" s="16">
        <v>1330</v>
      </c>
      <c r="F720" s="16">
        <v>1077.53</v>
      </c>
      <c r="G720" s="8">
        <f t="shared" si="44"/>
        <v>97.957272727272724</v>
      </c>
      <c r="H720" s="8">
        <f t="shared" si="45"/>
        <v>979.57272727272721</v>
      </c>
      <c r="I720" s="8">
        <f t="shared" si="46"/>
        <v>350.42727272727279</v>
      </c>
      <c r="J720" s="9">
        <f t="shared" si="47"/>
        <v>0.35773481944818253</v>
      </c>
      <c r="K720" s="7" t="s">
        <v>81</v>
      </c>
    </row>
    <row r="721" spans="1:11" x14ac:dyDescent="0.25">
      <c r="A721" s="7" t="s">
        <v>1146</v>
      </c>
      <c r="B721" s="7" t="s">
        <v>328</v>
      </c>
      <c r="C721" s="7" t="s">
        <v>1308</v>
      </c>
      <c r="D721" s="7" t="s">
        <v>15</v>
      </c>
      <c r="E721" s="16">
        <v>1330</v>
      </c>
      <c r="F721" s="16">
        <v>1077.53</v>
      </c>
      <c r="G721" s="8">
        <f t="shared" si="44"/>
        <v>97.957272727272724</v>
      </c>
      <c r="H721" s="8">
        <f t="shared" si="45"/>
        <v>979.57272727272721</v>
      </c>
      <c r="I721" s="8">
        <f t="shared" si="46"/>
        <v>350.42727272727279</v>
      </c>
      <c r="J721" s="9">
        <f t="shared" si="47"/>
        <v>0.35773481944818253</v>
      </c>
      <c r="K721" s="7" t="s">
        <v>81</v>
      </c>
    </row>
    <row r="722" spans="1:11" x14ac:dyDescent="0.25">
      <c r="A722" s="7" t="s">
        <v>1146</v>
      </c>
      <c r="B722" s="7" t="s">
        <v>328</v>
      </c>
      <c r="C722" s="7" t="s">
        <v>1309</v>
      </c>
      <c r="D722" s="7" t="s">
        <v>15</v>
      </c>
      <c r="E722" s="16">
        <v>1330</v>
      </c>
      <c r="F722" s="16">
        <v>1077.53</v>
      </c>
      <c r="G722" s="8">
        <f t="shared" si="44"/>
        <v>97.957272727272724</v>
      </c>
      <c r="H722" s="8">
        <f t="shared" si="45"/>
        <v>979.57272727272721</v>
      </c>
      <c r="I722" s="8">
        <f t="shared" si="46"/>
        <v>350.42727272727279</v>
      </c>
      <c r="J722" s="9">
        <f t="shared" si="47"/>
        <v>0.35773481944818253</v>
      </c>
      <c r="K722" s="7" t="s">
        <v>81</v>
      </c>
    </row>
    <row r="723" spans="1:11" x14ac:dyDescent="0.25">
      <c r="A723" s="7" t="s">
        <v>1146</v>
      </c>
      <c r="B723" s="7" t="s">
        <v>328</v>
      </c>
      <c r="C723" s="7" t="s">
        <v>1310</v>
      </c>
      <c r="D723" s="7" t="s">
        <v>15</v>
      </c>
      <c r="E723" s="16">
        <v>1330</v>
      </c>
      <c r="F723" s="16">
        <v>1077.53</v>
      </c>
      <c r="G723" s="8">
        <f t="shared" si="44"/>
        <v>97.957272727272724</v>
      </c>
      <c r="H723" s="8">
        <f t="shared" si="45"/>
        <v>979.57272727272721</v>
      </c>
      <c r="I723" s="8">
        <f t="shared" si="46"/>
        <v>350.42727272727279</v>
      </c>
      <c r="J723" s="9">
        <f t="shared" si="47"/>
        <v>0.35773481944818253</v>
      </c>
      <c r="K723" s="7" t="s">
        <v>81</v>
      </c>
    </row>
    <row r="724" spans="1:11" x14ac:dyDescent="0.25">
      <c r="A724" s="7" t="s">
        <v>1146</v>
      </c>
      <c r="B724" s="7" t="s">
        <v>328</v>
      </c>
      <c r="C724" s="7" t="s">
        <v>1311</v>
      </c>
      <c r="D724" s="7" t="s">
        <v>15</v>
      </c>
      <c r="E724" s="16">
        <v>1330</v>
      </c>
      <c r="F724" s="16">
        <v>1077.53</v>
      </c>
      <c r="G724" s="8">
        <f t="shared" si="44"/>
        <v>97.957272727272724</v>
      </c>
      <c r="H724" s="8">
        <f t="shared" si="45"/>
        <v>979.57272727272721</v>
      </c>
      <c r="I724" s="8">
        <f t="shared" si="46"/>
        <v>350.42727272727279</v>
      </c>
      <c r="J724" s="9">
        <f t="shared" si="47"/>
        <v>0.35773481944818253</v>
      </c>
      <c r="K724" s="7" t="s">
        <v>81</v>
      </c>
    </row>
    <row r="725" spans="1:11" x14ac:dyDescent="0.25">
      <c r="A725" s="7" t="s">
        <v>1146</v>
      </c>
      <c r="B725" s="7" t="s">
        <v>328</v>
      </c>
      <c r="C725" s="7" t="s">
        <v>1312</v>
      </c>
      <c r="D725" s="7" t="s">
        <v>15</v>
      </c>
      <c r="E725" s="16">
        <v>1330</v>
      </c>
      <c r="F725" s="16">
        <v>1077.53</v>
      </c>
      <c r="G725" s="8">
        <f t="shared" si="44"/>
        <v>97.957272727272724</v>
      </c>
      <c r="H725" s="8">
        <f t="shared" si="45"/>
        <v>979.57272727272721</v>
      </c>
      <c r="I725" s="8">
        <f t="shared" si="46"/>
        <v>350.42727272727279</v>
      </c>
      <c r="J725" s="9">
        <f t="shared" si="47"/>
        <v>0.35773481944818253</v>
      </c>
      <c r="K725" s="7" t="s">
        <v>81</v>
      </c>
    </row>
    <row r="726" spans="1:11" x14ac:dyDescent="0.25">
      <c r="A726" s="7" t="s">
        <v>1146</v>
      </c>
      <c r="B726" s="7" t="s">
        <v>328</v>
      </c>
      <c r="C726" s="7" t="s">
        <v>1313</v>
      </c>
      <c r="D726" s="7" t="s">
        <v>15</v>
      </c>
      <c r="E726" s="16">
        <v>1330</v>
      </c>
      <c r="F726" s="16">
        <v>1077.53</v>
      </c>
      <c r="G726" s="8">
        <f t="shared" si="44"/>
        <v>97.957272727272724</v>
      </c>
      <c r="H726" s="8">
        <f t="shared" si="45"/>
        <v>979.57272727272721</v>
      </c>
      <c r="I726" s="8">
        <f t="shared" si="46"/>
        <v>350.42727272727279</v>
      </c>
      <c r="J726" s="9">
        <f t="shared" si="47"/>
        <v>0.35773481944818253</v>
      </c>
      <c r="K726" s="7" t="s">
        <v>81</v>
      </c>
    </row>
    <row r="727" spans="1:11" x14ac:dyDescent="0.25">
      <c r="A727" s="7" t="s">
        <v>1146</v>
      </c>
      <c r="B727" s="7" t="s">
        <v>328</v>
      </c>
      <c r="C727" s="7" t="s">
        <v>1314</v>
      </c>
      <c r="D727" s="7" t="s">
        <v>15</v>
      </c>
      <c r="E727" s="16">
        <v>1330</v>
      </c>
      <c r="F727" s="16">
        <v>1077.53</v>
      </c>
      <c r="G727" s="8">
        <f t="shared" si="44"/>
        <v>97.957272727272724</v>
      </c>
      <c r="H727" s="8">
        <f t="shared" si="45"/>
        <v>979.57272727272721</v>
      </c>
      <c r="I727" s="8">
        <f t="shared" si="46"/>
        <v>350.42727272727279</v>
      </c>
      <c r="J727" s="9">
        <f t="shared" si="47"/>
        <v>0.35773481944818253</v>
      </c>
      <c r="K727" s="7" t="s">
        <v>81</v>
      </c>
    </row>
    <row r="728" spans="1:11" x14ac:dyDescent="0.25">
      <c r="A728" s="7" t="s">
        <v>1146</v>
      </c>
      <c r="B728" s="7" t="s">
        <v>328</v>
      </c>
      <c r="C728" s="7" t="s">
        <v>1315</v>
      </c>
      <c r="D728" s="7" t="s">
        <v>15</v>
      </c>
      <c r="E728" s="16">
        <v>1330</v>
      </c>
      <c r="F728" s="16">
        <v>1077.53</v>
      </c>
      <c r="G728" s="8">
        <f t="shared" si="44"/>
        <v>97.957272727272724</v>
      </c>
      <c r="H728" s="8">
        <f t="shared" si="45"/>
        <v>979.57272727272721</v>
      </c>
      <c r="I728" s="8">
        <f t="shared" si="46"/>
        <v>350.42727272727279</v>
      </c>
      <c r="J728" s="9">
        <f t="shared" si="47"/>
        <v>0.35773481944818253</v>
      </c>
      <c r="K728" s="7" t="s">
        <v>81</v>
      </c>
    </row>
    <row r="729" spans="1:11" x14ac:dyDescent="0.25">
      <c r="A729" s="7" t="s">
        <v>1146</v>
      </c>
      <c r="B729" s="7" t="s">
        <v>328</v>
      </c>
      <c r="C729" s="7" t="s">
        <v>1316</v>
      </c>
      <c r="D729" s="7" t="s">
        <v>15</v>
      </c>
      <c r="E729" s="16">
        <v>1330</v>
      </c>
      <c r="F729" s="16">
        <v>1077.53</v>
      </c>
      <c r="G729" s="8">
        <f t="shared" si="44"/>
        <v>97.957272727272724</v>
      </c>
      <c r="H729" s="8">
        <f t="shared" si="45"/>
        <v>979.57272727272721</v>
      </c>
      <c r="I729" s="8">
        <f t="shared" si="46"/>
        <v>350.42727272727279</v>
      </c>
      <c r="J729" s="9">
        <f t="shared" si="47"/>
        <v>0.35773481944818253</v>
      </c>
      <c r="K729" s="7" t="s">
        <v>81</v>
      </c>
    </row>
    <row r="730" spans="1:11" x14ac:dyDescent="0.25">
      <c r="A730" s="7" t="s">
        <v>1146</v>
      </c>
      <c r="B730" s="7" t="s">
        <v>328</v>
      </c>
      <c r="C730" s="7" t="s">
        <v>1317</v>
      </c>
      <c r="D730" s="7" t="s">
        <v>15</v>
      </c>
      <c r="E730" s="16">
        <v>1330</v>
      </c>
      <c r="F730" s="16">
        <v>1077.53</v>
      </c>
      <c r="G730" s="8">
        <f t="shared" si="44"/>
        <v>97.957272727272724</v>
      </c>
      <c r="H730" s="8">
        <f t="shared" si="45"/>
        <v>979.57272727272721</v>
      </c>
      <c r="I730" s="8">
        <f t="shared" si="46"/>
        <v>350.42727272727279</v>
      </c>
      <c r="J730" s="9">
        <f t="shared" si="47"/>
        <v>0.35773481944818253</v>
      </c>
      <c r="K730" s="7" t="s">
        <v>81</v>
      </c>
    </row>
    <row r="731" spans="1:11" x14ac:dyDescent="0.25">
      <c r="A731" s="7" t="s">
        <v>1146</v>
      </c>
      <c r="B731" s="7" t="s">
        <v>328</v>
      </c>
      <c r="C731" s="7" t="s">
        <v>1318</v>
      </c>
      <c r="D731" s="7" t="s">
        <v>15</v>
      </c>
      <c r="E731" s="16">
        <v>1330</v>
      </c>
      <c r="F731" s="16">
        <v>1126.99</v>
      </c>
      <c r="G731" s="8">
        <f t="shared" si="44"/>
        <v>102.45363636363636</v>
      </c>
      <c r="H731" s="8">
        <f t="shared" si="45"/>
        <v>1024.5363636363636</v>
      </c>
      <c r="I731" s="8">
        <f t="shared" si="46"/>
        <v>305.4636363636364</v>
      </c>
      <c r="J731" s="9">
        <f t="shared" si="47"/>
        <v>0.29814816457998744</v>
      </c>
      <c r="K731" s="7" t="s">
        <v>81</v>
      </c>
    </row>
    <row r="732" spans="1:11" x14ac:dyDescent="0.25">
      <c r="A732" s="7" t="s">
        <v>1146</v>
      </c>
      <c r="B732" s="7" t="s">
        <v>328</v>
      </c>
      <c r="C732" s="7" t="s">
        <v>1319</v>
      </c>
      <c r="D732" s="7" t="s">
        <v>15</v>
      </c>
      <c r="E732" s="16">
        <v>1330</v>
      </c>
      <c r="F732" s="16">
        <v>1126.99</v>
      </c>
      <c r="G732" s="8">
        <f t="shared" si="44"/>
        <v>102.45363636363636</v>
      </c>
      <c r="H732" s="8">
        <f t="shared" si="45"/>
        <v>1024.5363636363636</v>
      </c>
      <c r="I732" s="8">
        <f t="shared" si="46"/>
        <v>305.4636363636364</v>
      </c>
      <c r="J732" s="9">
        <f t="shared" si="47"/>
        <v>0.29814816457998744</v>
      </c>
      <c r="K732" s="7" t="s">
        <v>81</v>
      </c>
    </row>
    <row r="733" spans="1:11" x14ac:dyDescent="0.25">
      <c r="A733" s="7" t="s">
        <v>1146</v>
      </c>
      <c r="B733" s="7" t="s">
        <v>328</v>
      </c>
      <c r="C733" s="7" t="s">
        <v>1320</v>
      </c>
      <c r="D733" s="7" t="s">
        <v>15</v>
      </c>
      <c r="E733" s="16">
        <v>1330</v>
      </c>
      <c r="F733" s="16">
        <v>1126.99</v>
      </c>
      <c r="G733" s="8">
        <f t="shared" si="44"/>
        <v>102.45363636363636</v>
      </c>
      <c r="H733" s="8">
        <f t="shared" si="45"/>
        <v>1024.5363636363636</v>
      </c>
      <c r="I733" s="8">
        <f t="shared" si="46"/>
        <v>305.4636363636364</v>
      </c>
      <c r="J733" s="9">
        <f t="shared" si="47"/>
        <v>0.29814816457998744</v>
      </c>
      <c r="K733" s="7" t="s">
        <v>81</v>
      </c>
    </row>
    <row r="734" spans="1:11" x14ac:dyDescent="0.25">
      <c r="A734" s="7" t="s">
        <v>1146</v>
      </c>
      <c r="B734" s="7" t="s">
        <v>328</v>
      </c>
      <c r="C734" s="7" t="s">
        <v>1321</v>
      </c>
      <c r="D734" s="7" t="s">
        <v>15</v>
      </c>
      <c r="E734" s="16">
        <v>1330</v>
      </c>
      <c r="F734" s="16">
        <v>1126.99</v>
      </c>
      <c r="G734" s="8">
        <f t="shared" si="44"/>
        <v>102.45363636363636</v>
      </c>
      <c r="H734" s="8">
        <f t="shared" si="45"/>
        <v>1024.5363636363636</v>
      </c>
      <c r="I734" s="8">
        <f t="shared" si="46"/>
        <v>305.4636363636364</v>
      </c>
      <c r="J734" s="9">
        <f t="shared" si="47"/>
        <v>0.29814816457998744</v>
      </c>
      <c r="K734" s="7" t="s">
        <v>81</v>
      </c>
    </row>
    <row r="735" spans="1:11" x14ac:dyDescent="0.25">
      <c r="A735" s="7" t="s">
        <v>1146</v>
      </c>
      <c r="B735" s="7" t="s">
        <v>328</v>
      </c>
      <c r="C735" s="7" t="s">
        <v>1322</v>
      </c>
      <c r="D735" s="7" t="s">
        <v>15</v>
      </c>
      <c r="E735" s="16">
        <v>1330</v>
      </c>
      <c r="F735" s="16">
        <v>1126.99</v>
      </c>
      <c r="G735" s="8">
        <f t="shared" si="44"/>
        <v>102.45363636363636</v>
      </c>
      <c r="H735" s="8">
        <f t="shared" si="45"/>
        <v>1024.5363636363636</v>
      </c>
      <c r="I735" s="8">
        <f t="shared" si="46"/>
        <v>305.4636363636364</v>
      </c>
      <c r="J735" s="9">
        <f t="shared" si="47"/>
        <v>0.29814816457998744</v>
      </c>
      <c r="K735" s="7" t="s">
        <v>81</v>
      </c>
    </row>
    <row r="736" spans="1:11" x14ac:dyDescent="0.25">
      <c r="A736" s="7" t="s">
        <v>1146</v>
      </c>
      <c r="B736" s="7" t="s">
        <v>328</v>
      </c>
      <c r="C736" s="7" t="s">
        <v>1323</v>
      </c>
      <c r="D736" s="7" t="s">
        <v>15</v>
      </c>
      <c r="E736" s="16">
        <v>1330</v>
      </c>
      <c r="F736" s="16">
        <v>1077.53</v>
      </c>
      <c r="G736" s="8">
        <f t="shared" si="44"/>
        <v>97.957272727272724</v>
      </c>
      <c r="H736" s="8">
        <f t="shared" si="45"/>
        <v>979.57272727272721</v>
      </c>
      <c r="I736" s="8">
        <f t="shared" si="46"/>
        <v>350.42727272727279</v>
      </c>
      <c r="J736" s="9">
        <f t="shared" si="47"/>
        <v>0.35773481944818253</v>
      </c>
      <c r="K736" s="7" t="s">
        <v>81</v>
      </c>
    </row>
    <row r="737" spans="1:11" x14ac:dyDescent="0.25">
      <c r="A737" s="7" t="s">
        <v>1146</v>
      </c>
      <c r="B737" s="7" t="s">
        <v>328</v>
      </c>
      <c r="C737" s="7" t="s">
        <v>1324</v>
      </c>
      <c r="D737" s="7" t="s">
        <v>15</v>
      </c>
      <c r="E737" s="16">
        <v>1330</v>
      </c>
      <c r="F737" s="16">
        <v>1077.53</v>
      </c>
      <c r="G737" s="8">
        <f t="shared" si="44"/>
        <v>97.957272727272724</v>
      </c>
      <c r="H737" s="8">
        <f t="shared" si="45"/>
        <v>979.57272727272721</v>
      </c>
      <c r="I737" s="8">
        <f t="shared" si="46"/>
        <v>350.42727272727279</v>
      </c>
      <c r="J737" s="9">
        <f t="shared" si="47"/>
        <v>0.35773481944818253</v>
      </c>
      <c r="K737" s="7" t="s">
        <v>81</v>
      </c>
    </row>
    <row r="738" spans="1:11" x14ac:dyDescent="0.25">
      <c r="A738" s="7" t="s">
        <v>1146</v>
      </c>
      <c r="B738" s="7" t="s">
        <v>328</v>
      </c>
      <c r="C738" s="7" t="s">
        <v>1325</v>
      </c>
      <c r="D738" s="7" t="s">
        <v>15</v>
      </c>
      <c r="E738" s="16">
        <v>1330</v>
      </c>
      <c r="F738" s="16">
        <v>1077.53</v>
      </c>
      <c r="G738" s="8">
        <f t="shared" si="44"/>
        <v>97.957272727272724</v>
      </c>
      <c r="H738" s="8">
        <f t="shared" si="45"/>
        <v>979.57272727272721</v>
      </c>
      <c r="I738" s="8">
        <f t="shared" si="46"/>
        <v>350.42727272727279</v>
      </c>
      <c r="J738" s="9">
        <f t="shared" si="47"/>
        <v>0.35773481944818253</v>
      </c>
      <c r="K738" s="7" t="s">
        <v>81</v>
      </c>
    </row>
    <row r="739" spans="1:11" x14ac:dyDescent="0.25">
      <c r="A739" s="7" t="s">
        <v>1146</v>
      </c>
      <c r="B739" s="7" t="s">
        <v>328</v>
      </c>
      <c r="C739" s="7" t="s">
        <v>1326</v>
      </c>
      <c r="D739" s="7" t="s">
        <v>15</v>
      </c>
      <c r="E739" s="16">
        <v>1330</v>
      </c>
      <c r="F739" s="16">
        <v>1077.53</v>
      </c>
      <c r="G739" s="8">
        <f t="shared" si="44"/>
        <v>97.957272727272724</v>
      </c>
      <c r="H739" s="8">
        <f t="shared" si="45"/>
        <v>979.57272727272721</v>
      </c>
      <c r="I739" s="8">
        <f t="shared" si="46"/>
        <v>350.42727272727279</v>
      </c>
      <c r="J739" s="9">
        <f t="shared" si="47"/>
        <v>0.35773481944818253</v>
      </c>
      <c r="K739" s="7" t="s">
        <v>81</v>
      </c>
    </row>
    <row r="740" spans="1:11" x14ac:dyDescent="0.25">
      <c r="A740" s="7" t="s">
        <v>1146</v>
      </c>
      <c r="B740" s="7" t="s">
        <v>328</v>
      </c>
      <c r="C740" s="7" t="s">
        <v>1327</v>
      </c>
      <c r="D740" s="7" t="s">
        <v>15</v>
      </c>
      <c r="E740" s="16">
        <v>1330</v>
      </c>
      <c r="F740" s="16">
        <v>1077.53</v>
      </c>
      <c r="G740" s="8">
        <f t="shared" si="44"/>
        <v>97.957272727272724</v>
      </c>
      <c r="H740" s="8">
        <f t="shared" si="45"/>
        <v>979.57272727272721</v>
      </c>
      <c r="I740" s="8">
        <f t="shared" si="46"/>
        <v>350.42727272727279</v>
      </c>
      <c r="J740" s="9">
        <f t="shared" si="47"/>
        <v>0.35773481944818253</v>
      </c>
      <c r="K740" s="7" t="s">
        <v>81</v>
      </c>
    </row>
    <row r="741" spans="1:11" x14ac:dyDescent="0.25">
      <c r="A741" s="7" t="s">
        <v>1146</v>
      </c>
      <c r="B741" s="7" t="s">
        <v>328</v>
      </c>
      <c r="C741" s="7" t="s">
        <v>1328</v>
      </c>
      <c r="D741" s="7" t="s">
        <v>15</v>
      </c>
      <c r="E741" s="16">
        <v>1330</v>
      </c>
      <c r="F741" s="16">
        <v>1077.53</v>
      </c>
      <c r="G741" s="8">
        <f t="shared" si="44"/>
        <v>97.957272727272724</v>
      </c>
      <c r="H741" s="8">
        <f t="shared" si="45"/>
        <v>979.57272727272721</v>
      </c>
      <c r="I741" s="8">
        <f t="shared" si="46"/>
        <v>350.42727272727279</v>
      </c>
      <c r="J741" s="9">
        <f t="shared" si="47"/>
        <v>0.35773481944818253</v>
      </c>
      <c r="K741" s="7" t="s">
        <v>81</v>
      </c>
    </row>
    <row r="742" spans="1:11" x14ac:dyDescent="0.25">
      <c r="A742" s="7" t="s">
        <v>1146</v>
      </c>
      <c r="B742" s="7" t="s">
        <v>328</v>
      </c>
      <c r="C742" s="7" t="s">
        <v>1329</v>
      </c>
      <c r="D742" s="7" t="s">
        <v>15</v>
      </c>
      <c r="E742" s="16">
        <v>1330</v>
      </c>
      <c r="F742" s="16">
        <v>1077.53</v>
      </c>
      <c r="G742" s="8">
        <f t="shared" si="44"/>
        <v>97.957272727272724</v>
      </c>
      <c r="H742" s="8">
        <f t="shared" si="45"/>
        <v>979.57272727272721</v>
      </c>
      <c r="I742" s="8">
        <f t="shared" si="46"/>
        <v>350.42727272727279</v>
      </c>
      <c r="J742" s="9">
        <f t="shared" si="47"/>
        <v>0.35773481944818253</v>
      </c>
      <c r="K742" s="7" t="s">
        <v>81</v>
      </c>
    </row>
    <row r="743" spans="1:11" x14ac:dyDescent="0.25">
      <c r="A743" s="7" t="s">
        <v>1146</v>
      </c>
      <c r="B743" s="7" t="s">
        <v>328</v>
      </c>
      <c r="C743" s="7" t="s">
        <v>1330</v>
      </c>
      <c r="D743" s="7" t="s">
        <v>15</v>
      </c>
      <c r="E743" s="16">
        <v>1330</v>
      </c>
      <c r="F743" s="16">
        <v>1077.53</v>
      </c>
      <c r="G743" s="8">
        <f t="shared" si="44"/>
        <v>97.957272727272724</v>
      </c>
      <c r="H743" s="8">
        <f t="shared" si="45"/>
        <v>979.57272727272721</v>
      </c>
      <c r="I743" s="8">
        <f t="shared" si="46"/>
        <v>350.42727272727279</v>
      </c>
      <c r="J743" s="9">
        <f t="shared" si="47"/>
        <v>0.35773481944818253</v>
      </c>
      <c r="K743" s="7" t="s">
        <v>81</v>
      </c>
    </row>
    <row r="744" spans="1:11" x14ac:dyDescent="0.25">
      <c r="A744" s="7" t="s">
        <v>1146</v>
      </c>
      <c r="B744" s="7" t="s">
        <v>328</v>
      </c>
      <c r="C744" s="7" t="s">
        <v>1331</v>
      </c>
      <c r="D744" s="7" t="s">
        <v>15</v>
      </c>
      <c r="E744" s="16">
        <v>1330</v>
      </c>
      <c r="F744" s="16">
        <v>1077.53</v>
      </c>
      <c r="G744" s="8">
        <f t="shared" si="44"/>
        <v>97.957272727272724</v>
      </c>
      <c r="H744" s="8">
        <f t="shared" si="45"/>
        <v>979.57272727272721</v>
      </c>
      <c r="I744" s="8">
        <f t="shared" si="46"/>
        <v>350.42727272727279</v>
      </c>
      <c r="J744" s="9">
        <f t="shared" si="47"/>
        <v>0.35773481944818253</v>
      </c>
      <c r="K744" s="7" t="s">
        <v>81</v>
      </c>
    </row>
    <row r="745" spans="1:11" x14ac:dyDescent="0.25">
      <c r="A745" s="7" t="s">
        <v>1146</v>
      </c>
      <c r="B745" s="7" t="s">
        <v>328</v>
      </c>
      <c r="C745" s="7" t="s">
        <v>1332</v>
      </c>
      <c r="D745" s="7" t="s">
        <v>15</v>
      </c>
      <c r="E745" s="16">
        <v>1330</v>
      </c>
      <c r="F745" s="16">
        <v>1077.53</v>
      </c>
      <c r="G745" s="8">
        <f t="shared" si="44"/>
        <v>97.957272727272724</v>
      </c>
      <c r="H745" s="8">
        <f t="shared" si="45"/>
        <v>979.57272727272721</v>
      </c>
      <c r="I745" s="8">
        <f t="shared" si="46"/>
        <v>350.42727272727279</v>
      </c>
      <c r="J745" s="9">
        <f t="shared" si="47"/>
        <v>0.35773481944818253</v>
      </c>
      <c r="K745" s="7" t="s">
        <v>81</v>
      </c>
    </row>
    <row r="746" spans="1:11" x14ac:dyDescent="0.25">
      <c r="A746" s="7" t="s">
        <v>1146</v>
      </c>
      <c r="B746" s="7" t="s">
        <v>328</v>
      </c>
      <c r="C746" s="7" t="s">
        <v>1333</v>
      </c>
      <c r="D746" s="7" t="s">
        <v>15</v>
      </c>
      <c r="E746" s="16">
        <v>1330</v>
      </c>
      <c r="F746" s="16">
        <v>1077.53</v>
      </c>
      <c r="G746" s="8">
        <f t="shared" si="44"/>
        <v>97.957272727272724</v>
      </c>
      <c r="H746" s="8">
        <f t="shared" si="45"/>
        <v>979.57272727272721</v>
      </c>
      <c r="I746" s="8">
        <f t="shared" si="46"/>
        <v>350.42727272727279</v>
      </c>
      <c r="J746" s="9">
        <f t="shared" si="47"/>
        <v>0.35773481944818253</v>
      </c>
      <c r="K746" s="7" t="s">
        <v>81</v>
      </c>
    </row>
    <row r="747" spans="1:11" x14ac:dyDescent="0.25">
      <c r="A747" s="7" t="s">
        <v>1146</v>
      </c>
      <c r="B747" s="7" t="s">
        <v>328</v>
      </c>
      <c r="C747" s="7" t="s">
        <v>1334</v>
      </c>
      <c r="D747" s="7" t="s">
        <v>15</v>
      </c>
      <c r="E747" s="16">
        <v>1330</v>
      </c>
      <c r="F747" s="16">
        <v>1077.53</v>
      </c>
      <c r="G747" s="8">
        <f t="shared" si="44"/>
        <v>97.957272727272724</v>
      </c>
      <c r="H747" s="8">
        <f t="shared" si="45"/>
        <v>979.57272727272721</v>
      </c>
      <c r="I747" s="8">
        <f t="shared" si="46"/>
        <v>350.42727272727279</v>
      </c>
      <c r="J747" s="9">
        <f t="shared" si="47"/>
        <v>0.35773481944818253</v>
      </c>
      <c r="K747" s="7" t="s">
        <v>81</v>
      </c>
    </row>
    <row r="748" spans="1:11" x14ac:dyDescent="0.25">
      <c r="A748" s="13" t="s">
        <v>1335</v>
      </c>
      <c r="B748" s="13" t="s">
        <v>1000</v>
      </c>
      <c r="C748" s="13" t="s">
        <v>1336</v>
      </c>
      <c r="D748" s="13" t="s">
        <v>15</v>
      </c>
      <c r="E748" s="17">
        <v>1150</v>
      </c>
      <c r="F748" s="17">
        <v>1314.3</v>
      </c>
      <c r="G748" s="14">
        <f t="shared" si="44"/>
        <v>119.48181818181818</v>
      </c>
      <c r="H748" s="14">
        <f t="shared" si="45"/>
        <v>1194.8181818181818</v>
      </c>
      <c r="I748" s="14">
        <f t="shared" si="46"/>
        <v>-44.818181818181756</v>
      </c>
      <c r="J748" s="15">
        <f t="shared" si="47"/>
        <v>-3.7510461842806007E-2</v>
      </c>
      <c r="K748" s="13" t="s">
        <v>16</v>
      </c>
    </row>
    <row r="749" spans="1:11" x14ac:dyDescent="0.25">
      <c r="A749" s="7" t="s">
        <v>1335</v>
      </c>
      <c r="B749" s="7" t="s">
        <v>1337</v>
      </c>
      <c r="C749" s="7" t="s">
        <v>1338</v>
      </c>
      <c r="D749" s="7" t="s">
        <v>15</v>
      </c>
      <c r="E749" s="16">
        <v>2550</v>
      </c>
      <c r="F749" s="16">
        <v>2492.75</v>
      </c>
      <c r="G749" s="8">
        <f t="shared" si="44"/>
        <v>226.61363636363637</v>
      </c>
      <c r="H749" s="8">
        <f t="shared" si="45"/>
        <v>2266.1363636363635</v>
      </c>
      <c r="I749" s="8">
        <f t="shared" si="46"/>
        <v>283.86363636363649</v>
      </c>
      <c r="J749" s="9">
        <f t="shared" si="47"/>
        <v>0.12526326346404579</v>
      </c>
      <c r="K749" s="7" t="s">
        <v>16</v>
      </c>
    </row>
    <row r="750" spans="1:11" x14ac:dyDescent="0.25">
      <c r="A750" s="7" t="s">
        <v>1335</v>
      </c>
      <c r="B750" s="7" t="s">
        <v>1387</v>
      </c>
      <c r="C750" s="7" t="s">
        <v>1388</v>
      </c>
      <c r="D750" s="7" t="s">
        <v>15</v>
      </c>
      <c r="E750" s="16">
        <v>1620</v>
      </c>
      <c r="F750" s="16">
        <v>1513.37</v>
      </c>
      <c r="G750" s="8">
        <f t="shared" si="44"/>
        <v>137.57909090909089</v>
      </c>
      <c r="H750" s="8">
        <f t="shared" si="45"/>
        <v>1375.7909090909091</v>
      </c>
      <c r="I750" s="8">
        <f t="shared" si="46"/>
        <v>244.20909090909095</v>
      </c>
      <c r="J750" s="9">
        <f t="shared" si="47"/>
        <v>0.17750450980262597</v>
      </c>
      <c r="K750" s="7" t="s">
        <v>16</v>
      </c>
    </row>
    <row r="751" spans="1:11" x14ac:dyDescent="0.25">
      <c r="A751" s="7" t="s">
        <v>1335</v>
      </c>
      <c r="B751" s="7" t="s">
        <v>1387</v>
      </c>
      <c r="C751" s="7" t="s">
        <v>1389</v>
      </c>
      <c r="D751" s="7" t="s">
        <v>15</v>
      </c>
      <c r="E751" s="16">
        <v>1620</v>
      </c>
      <c r="F751" s="16">
        <v>1513.37</v>
      </c>
      <c r="G751" s="8">
        <f t="shared" si="44"/>
        <v>137.57909090909089</v>
      </c>
      <c r="H751" s="8">
        <f t="shared" si="45"/>
        <v>1375.7909090909091</v>
      </c>
      <c r="I751" s="8">
        <f t="shared" si="46"/>
        <v>244.20909090909095</v>
      </c>
      <c r="J751" s="9">
        <f t="shared" si="47"/>
        <v>0.17750450980262597</v>
      </c>
      <c r="K751" s="7" t="s">
        <v>16</v>
      </c>
    </row>
    <row r="752" spans="1:11" x14ac:dyDescent="0.25">
      <c r="A752" s="7" t="s">
        <v>1335</v>
      </c>
      <c r="B752" s="7" t="s">
        <v>1387</v>
      </c>
      <c r="C752" s="7" t="s">
        <v>1390</v>
      </c>
      <c r="D752" s="7" t="s">
        <v>15</v>
      </c>
      <c r="E752" s="16">
        <v>1620</v>
      </c>
      <c r="F752" s="16">
        <v>1513.37</v>
      </c>
      <c r="G752" s="8">
        <f t="shared" si="44"/>
        <v>137.57909090909089</v>
      </c>
      <c r="H752" s="8">
        <f t="shared" si="45"/>
        <v>1375.7909090909091</v>
      </c>
      <c r="I752" s="8">
        <f t="shared" si="46"/>
        <v>244.20909090909095</v>
      </c>
      <c r="J752" s="9">
        <f t="shared" si="47"/>
        <v>0.17750450980262597</v>
      </c>
      <c r="K752" s="7" t="s">
        <v>16</v>
      </c>
    </row>
    <row r="753" spans="1:11" x14ac:dyDescent="0.25">
      <c r="A753" s="7" t="s">
        <v>1335</v>
      </c>
      <c r="B753" s="7" t="s">
        <v>1387</v>
      </c>
      <c r="C753" s="7" t="s">
        <v>1391</v>
      </c>
      <c r="D753" s="7" t="s">
        <v>15</v>
      </c>
      <c r="E753" s="16">
        <v>1620</v>
      </c>
      <c r="F753" s="16">
        <v>1513.37</v>
      </c>
      <c r="G753" s="8">
        <f t="shared" si="44"/>
        <v>137.57909090909089</v>
      </c>
      <c r="H753" s="8">
        <f t="shared" si="45"/>
        <v>1375.7909090909091</v>
      </c>
      <c r="I753" s="8">
        <f t="shared" si="46"/>
        <v>244.20909090909095</v>
      </c>
      <c r="J753" s="9">
        <f t="shared" si="47"/>
        <v>0.17750450980262597</v>
      </c>
      <c r="K753" s="7" t="s">
        <v>16</v>
      </c>
    </row>
    <row r="754" spans="1:11" x14ac:dyDescent="0.25">
      <c r="A754" s="7" t="s">
        <v>1335</v>
      </c>
      <c r="B754" s="7" t="s">
        <v>1387</v>
      </c>
      <c r="C754" s="7" t="s">
        <v>1392</v>
      </c>
      <c r="D754" s="7" t="s">
        <v>15</v>
      </c>
      <c r="E754" s="16">
        <v>1620</v>
      </c>
      <c r="F754" s="16">
        <v>1513.37</v>
      </c>
      <c r="G754" s="8">
        <f t="shared" si="44"/>
        <v>137.57909090909089</v>
      </c>
      <c r="H754" s="8">
        <f t="shared" si="45"/>
        <v>1375.7909090909091</v>
      </c>
      <c r="I754" s="8">
        <f t="shared" si="46"/>
        <v>244.20909090909095</v>
      </c>
      <c r="J754" s="9">
        <f t="shared" si="47"/>
        <v>0.17750450980262597</v>
      </c>
      <c r="K754" s="7" t="s">
        <v>16</v>
      </c>
    </row>
    <row r="755" spans="1:11" x14ac:dyDescent="0.25">
      <c r="A755" s="7" t="s">
        <v>1335</v>
      </c>
      <c r="B755" s="7" t="s">
        <v>1387</v>
      </c>
      <c r="C755" s="7" t="s">
        <v>1393</v>
      </c>
      <c r="D755" s="7" t="s">
        <v>15</v>
      </c>
      <c r="E755" s="16">
        <v>1620</v>
      </c>
      <c r="F755" s="16">
        <v>1513.37</v>
      </c>
      <c r="G755" s="8">
        <f t="shared" si="44"/>
        <v>137.57909090909089</v>
      </c>
      <c r="H755" s="8">
        <f t="shared" si="45"/>
        <v>1375.7909090909091</v>
      </c>
      <c r="I755" s="8">
        <f t="shared" si="46"/>
        <v>244.20909090909095</v>
      </c>
      <c r="J755" s="9">
        <f t="shared" si="47"/>
        <v>0.17750450980262597</v>
      </c>
      <c r="K755" s="7" t="s">
        <v>16</v>
      </c>
    </row>
    <row r="756" spans="1:11" x14ac:dyDescent="0.25">
      <c r="A756" s="7" t="s">
        <v>1335</v>
      </c>
      <c r="B756" s="7" t="s">
        <v>1387</v>
      </c>
      <c r="C756" s="7" t="s">
        <v>1394</v>
      </c>
      <c r="D756" s="7" t="s">
        <v>15</v>
      </c>
      <c r="E756" s="16">
        <v>1620</v>
      </c>
      <c r="F756" s="16">
        <v>1513.33</v>
      </c>
      <c r="G756" s="8">
        <f t="shared" si="44"/>
        <v>137.57545454545453</v>
      </c>
      <c r="H756" s="8">
        <f t="shared" si="45"/>
        <v>1375.7545454545455</v>
      </c>
      <c r="I756" s="8">
        <f t="shared" si="46"/>
        <v>244.24545454545455</v>
      </c>
      <c r="J756" s="9">
        <f t="shared" si="47"/>
        <v>0.17753563333839942</v>
      </c>
      <c r="K756" s="7" t="s">
        <v>16</v>
      </c>
    </row>
    <row r="757" spans="1:11" x14ac:dyDescent="0.25">
      <c r="A757" s="7" t="s">
        <v>1335</v>
      </c>
      <c r="B757" s="7" t="s">
        <v>1387</v>
      </c>
      <c r="C757" s="7" t="s">
        <v>1395</v>
      </c>
      <c r="D757" s="7" t="s">
        <v>15</v>
      </c>
      <c r="E757" s="16">
        <v>1620</v>
      </c>
      <c r="F757" s="16">
        <v>1495.18</v>
      </c>
      <c r="G757" s="8">
        <f t="shared" si="44"/>
        <v>135.92545454545456</v>
      </c>
      <c r="H757" s="8">
        <f t="shared" si="45"/>
        <v>1359.2545454545455</v>
      </c>
      <c r="I757" s="8">
        <f t="shared" si="46"/>
        <v>260.74545454545455</v>
      </c>
      <c r="J757" s="9">
        <f t="shared" si="47"/>
        <v>0.19182974625128749</v>
      </c>
      <c r="K757" s="7" t="s">
        <v>16</v>
      </c>
    </row>
    <row r="758" spans="1:11" x14ac:dyDescent="0.25">
      <c r="A758" s="7" t="s">
        <v>1335</v>
      </c>
      <c r="B758" s="7" t="s">
        <v>1387</v>
      </c>
      <c r="C758" s="7" t="s">
        <v>1396</v>
      </c>
      <c r="D758" s="7" t="s">
        <v>15</v>
      </c>
      <c r="E758" s="16">
        <v>1620</v>
      </c>
      <c r="F758" s="16">
        <v>1513.37</v>
      </c>
      <c r="G758" s="8">
        <f t="shared" si="44"/>
        <v>137.57909090909089</v>
      </c>
      <c r="H758" s="8">
        <f t="shared" si="45"/>
        <v>1375.7909090909091</v>
      </c>
      <c r="I758" s="8">
        <f t="shared" si="46"/>
        <v>244.20909090909095</v>
      </c>
      <c r="J758" s="9">
        <f t="shared" si="47"/>
        <v>0.17750450980262597</v>
      </c>
      <c r="K758" s="7" t="s">
        <v>16</v>
      </c>
    </row>
    <row r="759" spans="1:11" x14ac:dyDescent="0.25">
      <c r="A759" s="7" t="s">
        <v>1335</v>
      </c>
      <c r="B759" s="7" t="s">
        <v>1387</v>
      </c>
      <c r="C759" s="7" t="s">
        <v>1397</v>
      </c>
      <c r="D759" s="7" t="s">
        <v>15</v>
      </c>
      <c r="E759" s="16">
        <v>1620</v>
      </c>
      <c r="F759" s="16">
        <v>1527.53</v>
      </c>
      <c r="G759" s="8">
        <f t="shared" si="44"/>
        <v>138.86636363636364</v>
      </c>
      <c r="H759" s="8">
        <f t="shared" si="45"/>
        <v>1388.6636363636362</v>
      </c>
      <c r="I759" s="8">
        <f t="shared" si="46"/>
        <v>231.33636363636379</v>
      </c>
      <c r="J759" s="9">
        <f t="shared" si="47"/>
        <v>0.16658919955745563</v>
      </c>
      <c r="K759" s="7" t="s">
        <v>81</v>
      </c>
    </row>
    <row r="760" spans="1:11" x14ac:dyDescent="0.25">
      <c r="A760" s="7" t="s">
        <v>1335</v>
      </c>
      <c r="B760" s="7" t="s">
        <v>1387</v>
      </c>
      <c r="C760" s="7" t="s">
        <v>1398</v>
      </c>
      <c r="D760" s="7" t="s">
        <v>15</v>
      </c>
      <c r="E760" s="16">
        <v>1620</v>
      </c>
      <c r="F760" s="16">
        <v>1527.53</v>
      </c>
      <c r="G760" s="8">
        <f t="shared" si="44"/>
        <v>138.86636363636364</v>
      </c>
      <c r="H760" s="8">
        <f t="shared" si="45"/>
        <v>1388.6636363636362</v>
      </c>
      <c r="I760" s="8">
        <f t="shared" si="46"/>
        <v>231.33636363636379</v>
      </c>
      <c r="J760" s="9">
        <f t="shared" si="47"/>
        <v>0.16658919955745563</v>
      </c>
      <c r="K760" s="7" t="s">
        <v>81</v>
      </c>
    </row>
    <row r="761" spans="1:11" x14ac:dyDescent="0.25">
      <c r="A761" s="7" t="s">
        <v>1335</v>
      </c>
      <c r="B761" s="7" t="s">
        <v>1387</v>
      </c>
      <c r="C761" s="7" t="s">
        <v>1399</v>
      </c>
      <c r="D761" s="7" t="s">
        <v>15</v>
      </c>
      <c r="E761" s="16">
        <v>1620</v>
      </c>
      <c r="F761" s="16">
        <v>1527.53</v>
      </c>
      <c r="G761" s="8">
        <f t="shared" si="44"/>
        <v>138.86636363636364</v>
      </c>
      <c r="H761" s="8">
        <f t="shared" si="45"/>
        <v>1388.6636363636362</v>
      </c>
      <c r="I761" s="8">
        <f t="shared" si="46"/>
        <v>231.33636363636379</v>
      </c>
      <c r="J761" s="9">
        <f t="shared" si="47"/>
        <v>0.16658919955745563</v>
      </c>
      <c r="K761" s="7" t="s">
        <v>81</v>
      </c>
    </row>
    <row r="762" spans="1:11" x14ac:dyDescent="0.25">
      <c r="A762" s="7" t="s">
        <v>1335</v>
      </c>
      <c r="B762" s="7" t="s">
        <v>500</v>
      </c>
      <c r="C762" s="7" t="s">
        <v>1400</v>
      </c>
      <c r="D762" s="7" t="s">
        <v>15</v>
      </c>
      <c r="E762" s="16">
        <v>955</v>
      </c>
      <c r="F762" s="16">
        <v>1002.48</v>
      </c>
      <c r="G762" s="8">
        <f t="shared" si="44"/>
        <v>91.13454545454546</v>
      </c>
      <c r="H762" s="8">
        <f t="shared" si="45"/>
        <v>911.34545454545457</v>
      </c>
      <c r="I762" s="8">
        <f t="shared" si="46"/>
        <v>43.654545454545428</v>
      </c>
      <c r="J762" s="9">
        <f t="shared" si="47"/>
        <v>4.7901205011571274E-2</v>
      </c>
      <c r="K762" s="7" t="s">
        <v>81</v>
      </c>
    </row>
    <row r="763" spans="1:11" x14ac:dyDescent="0.25">
      <c r="A763" s="7" t="s">
        <v>1335</v>
      </c>
      <c r="B763" s="7" t="s">
        <v>500</v>
      </c>
      <c r="C763" s="7" t="s">
        <v>1401</v>
      </c>
      <c r="D763" s="7" t="s">
        <v>15</v>
      </c>
      <c r="E763" s="16">
        <v>955</v>
      </c>
      <c r="F763" s="16">
        <v>1002.48</v>
      </c>
      <c r="G763" s="8">
        <f t="shared" si="44"/>
        <v>91.13454545454546</v>
      </c>
      <c r="H763" s="8">
        <f t="shared" si="45"/>
        <v>911.34545454545457</v>
      </c>
      <c r="I763" s="8">
        <f t="shared" si="46"/>
        <v>43.654545454545428</v>
      </c>
      <c r="J763" s="9">
        <f t="shared" si="47"/>
        <v>4.7901205011571274E-2</v>
      </c>
      <c r="K763" s="7" t="s">
        <v>81</v>
      </c>
    </row>
    <row r="764" spans="1:11" x14ac:dyDescent="0.25">
      <c r="A764" s="7" t="s">
        <v>1335</v>
      </c>
      <c r="B764" s="7" t="s">
        <v>500</v>
      </c>
      <c r="C764" s="7" t="s">
        <v>1402</v>
      </c>
      <c r="D764" s="7" t="s">
        <v>15</v>
      </c>
      <c r="E764" s="16">
        <v>955</v>
      </c>
      <c r="F764" s="16">
        <v>1002.48</v>
      </c>
      <c r="G764" s="8">
        <f t="shared" si="44"/>
        <v>91.13454545454546</v>
      </c>
      <c r="H764" s="8">
        <f t="shared" si="45"/>
        <v>911.34545454545457</v>
      </c>
      <c r="I764" s="8">
        <f t="shared" si="46"/>
        <v>43.654545454545428</v>
      </c>
      <c r="J764" s="9">
        <f t="shared" si="47"/>
        <v>4.7901205011571274E-2</v>
      </c>
      <c r="K764" s="7" t="s">
        <v>81</v>
      </c>
    </row>
    <row r="765" spans="1:11" x14ac:dyDescent="0.25">
      <c r="A765" s="7" t="s">
        <v>1335</v>
      </c>
      <c r="B765" s="7" t="s">
        <v>500</v>
      </c>
      <c r="C765" s="7" t="s">
        <v>1403</v>
      </c>
      <c r="D765" s="7" t="s">
        <v>15</v>
      </c>
      <c r="E765" s="16">
        <v>955</v>
      </c>
      <c r="F765" s="16">
        <v>1002.48</v>
      </c>
      <c r="G765" s="8">
        <f t="shared" si="44"/>
        <v>91.13454545454546</v>
      </c>
      <c r="H765" s="8">
        <f t="shared" si="45"/>
        <v>911.34545454545457</v>
      </c>
      <c r="I765" s="8">
        <f t="shared" si="46"/>
        <v>43.654545454545428</v>
      </c>
      <c r="J765" s="9">
        <f t="shared" si="47"/>
        <v>4.7901205011571274E-2</v>
      </c>
      <c r="K765" s="7" t="s">
        <v>81</v>
      </c>
    </row>
    <row r="766" spans="1:11" x14ac:dyDescent="0.25">
      <c r="A766" s="7" t="s">
        <v>1335</v>
      </c>
      <c r="B766" s="7" t="s">
        <v>500</v>
      </c>
      <c r="C766" s="7" t="s">
        <v>1404</v>
      </c>
      <c r="D766" s="7" t="s">
        <v>15</v>
      </c>
      <c r="E766" s="16">
        <v>955</v>
      </c>
      <c r="F766" s="16">
        <v>1002.48</v>
      </c>
      <c r="G766" s="8">
        <f t="shared" si="44"/>
        <v>91.13454545454546</v>
      </c>
      <c r="H766" s="8">
        <f t="shared" si="45"/>
        <v>911.34545454545457</v>
      </c>
      <c r="I766" s="8">
        <f t="shared" si="46"/>
        <v>43.654545454545428</v>
      </c>
      <c r="J766" s="9">
        <f t="shared" si="47"/>
        <v>4.7901205011571274E-2</v>
      </c>
      <c r="K766" s="7" t="s">
        <v>81</v>
      </c>
    </row>
    <row r="767" spans="1:11" x14ac:dyDescent="0.25">
      <c r="A767" s="7" t="s">
        <v>1335</v>
      </c>
      <c r="B767" s="7" t="s">
        <v>500</v>
      </c>
      <c r="C767" s="7" t="s">
        <v>1405</v>
      </c>
      <c r="D767" s="7" t="s">
        <v>15</v>
      </c>
      <c r="E767" s="16">
        <v>955</v>
      </c>
      <c r="F767" s="16">
        <v>1002.48</v>
      </c>
      <c r="G767" s="8">
        <f t="shared" si="44"/>
        <v>91.13454545454546</v>
      </c>
      <c r="H767" s="8">
        <f t="shared" si="45"/>
        <v>911.34545454545457</v>
      </c>
      <c r="I767" s="8">
        <f t="shared" si="46"/>
        <v>43.654545454545428</v>
      </c>
      <c r="J767" s="9">
        <f t="shared" si="47"/>
        <v>4.7901205011571274E-2</v>
      </c>
      <c r="K767" s="7" t="s">
        <v>81</v>
      </c>
    </row>
    <row r="768" spans="1:11" x14ac:dyDescent="0.25">
      <c r="A768" s="7" t="s">
        <v>1335</v>
      </c>
      <c r="B768" s="7" t="s">
        <v>500</v>
      </c>
      <c r="C768" s="7" t="s">
        <v>1406</v>
      </c>
      <c r="D768" s="7" t="s">
        <v>15</v>
      </c>
      <c r="E768" s="16">
        <v>955</v>
      </c>
      <c r="F768" s="16">
        <v>1002.48</v>
      </c>
      <c r="G768" s="8">
        <f t="shared" si="44"/>
        <v>91.13454545454546</v>
      </c>
      <c r="H768" s="8">
        <f t="shared" si="45"/>
        <v>911.34545454545457</v>
      </c>
      <c r="I768" s="8">
        <f t="shared" si="46"/>
        <v>43.654545454545428</v>
      </c>
      <c r="J768" s="9">
        <f t="shared" si="47"/>
        <v>4.7901205011571274E-2</v>
      </c>
      <c r="K768" s="7" t="s">
        <v>81</v>
      </c>
    </row>
    <row r="769" spans="1:11" x14ac:dyDescent="0.25">
      <c r="A769" s="7" t="s">
        <v>1335</v>
      </c>
      <c r="B769" s="7" t="s">
        <v>500</v>
      </c>
      <c r="C769" s="7" t="s">
        <v>1407</v>
      </c>
      <c r="D769" s="7" t="s">
        <v>15</v>
      </c>
      <c r="E769" s="16">
        <v>955</v>
      </c>
      <c r="F769" s="16">
        <v>1002.48</v>
      </c>
      <c r="G769" s="8">
        <f t="shared" si="44"/>
        <v>91.13454545454546</v>
      </c>
      <c r="H769" s="8">
        <f t="shared" si="45"/>
        <v>911.34545454545457</v>
      </c>
      <c r="I769" s="8">
        <f t="shared" si="46"/>
        <v>43.654545454545428</v>
      </c>
      <c r="J769" s="9">
        <f t="shared" si="47"/>
        <v>4.7901205011571274E-2</v>
      </c>
      <c r="K769" s="7" t="s">
        <v>81</v>
      </c>
    </row>
    <row r="770" spans="1:11" x14ac:dyDescent="0.25">
      <c r="A770" s="7" t="s">
        <v>1335</v>
      </c>
      <c r="B770" s="7" t="s">
        <v>500</v>
      </c>
      <c r="C770" s="7" t="s">
        <v>1408</v>
      </c>
      <c r="D770" s="7" t="s">
        <v>15</v>
      </c>
      <c r="E770" s="16">
        <v>955</v>
      </c>
      <c r="F770" s="16">
        <v>743.37</v>
      </c>
      <c r="G770" s="8">
        <f t="shared" si="44"/>
        <v>67.579090909090908</v>
      </c>
      <c r="H770" s="8">
        <f t="shared" si="45"/>
        <v>675.79090909090905</v>
      </c>
      <c r="I770" s="8">
        <f t="shared" si="46"/>
        <v>279.20909090909095</v>
      </c>
      <c r="J770" s="9">
        <f t="shared" si="47"/>
        <v>0.41315899215733759</v>
      </c>
      <c r="K770" s="7" t="s">
        <v>81</v>
      </c>
    </row>
    <row r="771" spans="1:11" x14ac:dyDescent="0.25">
      <c r="A771" s="7" t="s">
        <v>1335</v>
      </c>
      <c r="B771" s="7" t="s">
        <v>500</v>
      </c>
      <c r="C771" s="7" t="s">
        <v>1409</v>
      </c>
      <c r="D771" s="7" t="s">
        <v>15</v>
      </c>
      <c r="E771" s="16">
        <v>955</v>
      </c>
      <c r="F771" s="16">
        <v>743.37</v>
      </c>
      <c r="G771" s="8">
        <f t="shared" ref="G771:G834" si="48">F771/11</f>
        <v>67.579090909090908</v>
      </c>
      <c r="H771" s="8">
        <f t="shared" ref="H771:H834" si="49">F771-G771</f>
        <v>675.79090909090905</v>
      </c>
      <c r="I771" s="8">
        <f t="shared" ref="I771:I834" si="50">E771-H771</f>
        <v>279.20909090909095</v>
      </c>
      <c r="J771" s="9">
        <f t="shared" ref="J771:J834" si="51">(E771-H771)/H771</f>
        <v>0.41315899215733759</v>
      </c>
      <c r="K771" s="7" t="s">
        <v>81</v>
      </c>
    </row>
    <row r="772" spans="1:11" x14ac:dyDescent="0.25">
      <c r="A772" s="7" t="s">
        <v>1335</v>
      </c>
      <c r="B772" s="7" t="s">
        <v>328</v>
      </c>
      <c r="C772" s="7" t="s">
        <v>1410</v>
      </c>
      <c r="D772" s="7" t="s">
        <v>15</v>
      </c>
      <c r="E772" s="16">
        <v>1325</v>
      </c>
      <c r="F772" s="16">
        <v>1077.53</v>
      </c>
      <c r="G772" s="8">
        <f t="shared" si="48"/>
        <v>97.957272727272724</v>
      </c>
      <c r="H772" s="8">
        <f t="shared" si="49"/>
        <v>979.57272727272721</v>
      </c>
      <c r="I772" s="8">
        <f t="shared" si="50"/>
        <v>345.42727272727279</v>
      </c>
      <c r="J772" s="9">
        <f t="shared" si="51"/>
        <v>0.35263055320965553</v>
      </c>
      <c r="K772" s="7" t="s">
        <v>81</v>
      </c>
    </row>
    <row r="773" spans="1:11" x14ac:dyDescent="0.25">
      <c r="A773" s="7" t="s">
        <v>1335</v>
      </c>
      <c r="B773" s="7" t="s">
        <v>328</v>
      </c>
      <c r="C773" s="7" t="s">
        <v>1411</v>
      </c>
      <c r="D773" s="7" t="s">
        <v>15</v>
      </c>
      <c r="E773" s="16">
        <v>1325</v>
      </c>
      <c r="F773" s="16">
        <v>1077.53</v>
      </c>
      <c r="G773" s="8">
        <f t="shared" si="48"/>
        <v>97.957272727272724</v>
      </c>
      <c r="H773" s="8">
        <f t="shared" si="49"/>
        <v>979.57272727272721</v>
      </c>
      <c r="I773" s="8">
        <f t="shared" si="50"/>
        <v>345.42727272727279</v>
      </c>
      <c r="J773" s="9">
        <f t="shared" si="51"/>
        <v>0.35263055320965553</v>
      </c>
      <c r="K773" s="7" t="s">
        <v>81</v>
      </c>
    </row>
    <row r="774" spans="1:11" x14ac:dyDescent="0.25">
      <c r="A774" s="7" t="s">
        <v>1335</v>
      </c>
      <c r="B774" s="7" t="s">
        <v>328</v>
      </c>
      <c r="C774" s="7" t="s">
        <v>1412</v>
      </c>
      <c r="D774" s="7" t="s">
        <v>15</v>
      </c>
      <c r="E774" s="16">
        <v>1325</v>
      </c>
      <c r="F774" s="16">
        <v>1077.53</v>
      </c>
      <c r="G774" s="8">
        <f t="shared" si="48"/>
        <v>97.957272727272724</v>
      </c>
      <c r="H774" s="8">
        <f t="shared" si="49"/>
        <v>979.57272727272721</v>
      </c>
      <c r="I774" s="8">
        <f t="shared" si="50"/>
        <v>345.42727272727279</v>
      </c>
      <c r="J774" s="9">
        <f t="shared" si="51"/>
        <v>0.35263055320965553</v>
      </c>
      <c r="K774" s="7" t="s">
        <v>81</v>
      </c>
    </row>
    <row r="775" spans="1:11" x14ac:dyDescent="0.25">
      <c r="A775" s="7" t="s">
        <v>1335</v>
      </c>
      <c r="B775" s="7" t="s">
        <v>328</v>
      </c>
      <c r="C775" s="7" t="s">
        <v>1413</v>
      </c>
      <c r="D775" s="7" t="s">
        <v>15</v>
      </c>
      <c r="E775" s="16">
        <v>1325</v>
      </c>
      <c r="F775" s="16">
        <v>1077.53</v>
      </c>
      <c r="G775" s="8">
        <f t="shared" si="48"/>
        <v>97.957272727272724</v>
      </c>
      <c r="H775" s="8">
        <f t="shared" si="49"/>
        <v>979.57272727272721</v>
      </c>
      <c r="I775" s="8">
        <f t="shared" si="50"/>
        <v>345.42727272727279</v>
      </c>
      <c r="J775" s="9">
        <f t="shared" si="51"/>
        <v>0.35263055320965553</v>
      </c>
      <c r="K775" s="7" t="s">
        <v>81</v>
      </c>
    </row>
    <row r="776" spans="1:11" x14ac:dyDescent="0.25">
      <c r="A776" s="7" t="s">
        <v>1335</v>
      </c>
      <c r="B776" s="7" t="s">
        <v>328</v>
      </c>
      <c r="C776" s="7" t="s">
        <v>1414</v>
      </c>
      <c r="D776" s="7" t="s">
        <v>15</v>
      </c>
      <c r="E776" s="16">
        <v>1325</v>
      </c>
      <c r="F776" s="16">
        <v>1077.53</v>
      </c>
      <c r="G776" s="8">
        <f t="shared" si="48"/>
        <v>97.957272727272724</v>
      </c>
      <c r="H776" s="8">
        <f t="shared" si="49"/>
        <v>979.57272727272721</v>
      </c>
      <c r="I776" s="8">
        <f t="shared" si="50"/>
        <v>345.42727272727279</v>
      </c>
      <c r="J776" s="9">
        <f t="shared" si="51"/>
        <v>0.35263055320965553</v>
      </c>
      <c r="K776" s="7" t="s">
        <v>81</v>
      </c>
    </row>
    <row r="777" spans="1:11" x14ac:dyDescent="0.25">
      <c r="A777" s="7" t="s">
        <v>1335</v>
      </c>
      <c r="B777" s="7" t="s">
        <v>328</v>
      </c>
      <c r="C777" s="7" t="s">
        <v>1415</v>
      </c>
      <c r="D777" s="7" t="s">
        <v>15</v>
      </c>
      <c r="E777" s="16">
        <v>1325</v>
      </c>
      <c r="F777" s="16">
        <v>1077.53</v>
      </c>
      <c r="G777" s="8">
        <f t="shared" si="48"/>
        <v>97.957272727272724</v>
      </c>
      <c r="H777" s="8">
        <f t="shared" si="49"/>
        <v>979.57272727272721</v>
      </c>
      <c r="I777" s="8">
        <f t="shared" si="50"/>
        <v>345.42727272727279</v>
      </c>
      <c r="J777" s="9">
        <f t="shared" si="51"/>
        <v>0.35263055320965553</v>
      </c>
      <c r="K777" s="7" t="s">
        <v>81</v>
      </c>
    </row>
    <row r="778" spans="1:11" x14ac:dyDescent="0.25">
      <c r="A778" s="7" t="s">
        <v>1335</v>
      </c>
      <c r="B778" s="7" t="s">
        <v>328</v>
      </c>
      <c r="C778" s="7" t="s">
        <v>1416</v>
      </c>
      <c r="D778" s="7" t="s">
        <v>15</v>
      </c>
      <c r="E778" s="16">
        <v>1325</v>
      </c>
      <c r="F778" s="16">
        <v>1077.53</v>
      </c>
      <c r="G778" s="8">
        <f t="shared" si="48"/>
        <v>97.957272727272724</v>
      </c>
      <c r="H778" s="8">
        <f t="shared" si="49"/>
        <v>979.57272727272721</v>
      </c>
      <c r="I778" s="8">
        <f t="shared" si="50"/>
        <v>345.42727272727279</v>
      </c>
      <c r="J778" s="9">
        <f t="shared" si="51"/>
        <v>0.35263055320965553</v>
      </c>
      <c r="K778" s="7" t="s">
        <v>81</v>
      </c>
    </row>
    <row r="779" spans="1:11" x14ac:dyDescent="0.25">
      <c r="A779" s="7" t="s">
        <v>1335</v>
      </c>
      <c r="B779" s="7" t="s">
        <v>328</v>
      </c>
      <c r="C779" s="7" t="s">
        <v>1417</v>
      </c>
      <c r="D779" s="7" t="s">
        <v>15</v>
      </c>
      <c r="E779" s="16">
        <v>1325</v>
      </c>
      <c r="F779" s="16">
        <v>1077.53</v>
      </c>
      <c r="G779" s="8">
        <f t="shared" si="48"/>
        <v>97.957272727272724</v>
      </c>
      <c r="H779" s="8">
        <f t="shared" si="49"/>
        <v>979.57272727272721</v>
      </c>
      <c r="I779" s="8">
        <f t="shared" si="50"/>
        <v>345.42727272727279</v>
      </c>
      <c r="J779" s="9">
        <f t="shared" si="51"/>
        <v>0.35263055320965553</v>
      </c>
      <c r="K779" s="7" t="s">
        <v>81</v>
      </c>
    </row>
    <row r="780" spans="1:11" x14ac:dyDescent="0.25">
      <c r="A780" s="7" t="s">
        <v>1335</v>
      </c>
      <c r="B780" s="7" t="s">
        <v>328</v>
      </c>
      <c r="C780" s="7" t="s">
        <v>1418</v>
      </c>
      <c r="D780" s="7" t="s">
        <v>15</v>
      </c>
      <c r="E780" s="16">
        <v>1325</v>
      </c>
      <c r="F780" s="16">
        <v>1077.53</v>
      </c>
      <c r="G780" s="8">
        <f t="shared" si="48"/>
        <v>97.957272727272724</v>
      </c>
      <c r="H780" s="8">
        <f t="shared" si="49"/>
        <v>979.57272727272721</v>
      </c>
      <c r="I780" s="8">
        <f t="shared" si="50"/>
        <v>345.42727272727279</v>
      </c>
      <c r="J780" s="9">
        <f t="shared" si="51"/>
        <v>0.35263055320965553</v>
      </c>
      <c r="K780" s="7" t="s">
        <v>81</v>
      </c>
    </row>
    <row r="781" spans="1:11" x14ac:dyDescent="0.25">
      <c r="A781" s="7" t="s">
        <v>1335</v>
      </c>
      <c r="B781" s="7" t="s">
        <v>328</v>
      </c>
      <c r="C781" s="7" t="s">
        <v>1419</v>
      </c>
      <c r="D781" s="7" t="s">
        <v>15</v>
      </c>
      <c r="E781" s="16">
        <v>1325</v>
      </c>
      <c r="F781" s="16">
        <v>1077.53</v>
      </c>
      <c r="G781" s="8">
        <f t="shared" si="48"/>
        <v>97.957272727272724</v>
      </c>
      <c r="H781" s="8">
        <f t="shared" si="49"/>
        <v>979.57272727272721</v>
      </c>
      <c r="I781" s="8">
        <f t="shared" si="50"/>
        <v>345.42727272727279</v>
      </c>
      <c r="J781" s="9">
        <f t="shared" si="51"/>
        <v>0.35263055320965553</v>
      </c>
      <c r="K781" s="7" t="s">
        <v>81</v>
      </c>
    </row>
    <row r="782" spans="1:11" x14ac:dyDescent="0.25">
      <c r="A782" s="7" t="s">
        <v>1335</v>
      </c>
      <c r="B782" s="7" t="s">
        <v>328</v>
      </c>
      <c r="C782" s="7" t="s">
        <v>1420</v>
      </c>
      <c r="D782" s="7" t="s">
        <v>15</v>
      </c>
      <c r="E782" s="16">
        <v>1325</v>
      </c>
      <c r="F782" s="16">
        <v>1077.53</v>
      </c>
      <c r="G782" s="8">
        <f t="shared" si="48"/>
        <v>97.957272727272724</v>
      </c>
      <c r="H782" s="8">
        <f t="shared" si="49"/>
        <v>979.57272727272721</v>
      </c>
      <c r="I782" s="8">
        <f t="shared" si="50"/>
        <v>345.42727272727279</v>
      </c>
      <c r="J782" s="9">
        <f t="shared" si="51"/>
        <v>0.35263055320965553</v>
      </c>
      <c r="K782" s="7" t="s">
        <v>81</v>
      </c>
    </row>
    <row r="783" spans="1:11" x14ac:dyDescent="0.25">
      <c r="A783" s="7" t="s">
        <v>1335</v>
      </c>
      <c r="B783" s="7" t="s">
        <v>328</v>
      </c>
      <c r="C783" s="7" t="s">
        <v>1421</v>
      </c>
      <c r="D783" s="7" t="s">
        <v>15</v>
      </c>
      <c r="E783" s="16">
        <v>1325</v>
      </c>
      <c r="F783" s="16">
        <v>1077.53</v>
      </c>
      <c r="G783" s="8">
        <f t="shared" si="48"/>
        <v>97.957272727272724</v>
      </c>
      <c r="H783" s="8">
        <f t="shared" si="49"/>
        <v>979.57272727272721</v>
      </c>
      <c r="I783" s="8">
        <f t="shared" si="50"/>
        <v>345.42727272727279</v>
      </c>
      <c r="J783" s="9">
        <f t="shared" si="51"/>
        <v>0.35263055320965553</v>
      </c>
      <c r="K783" s="7" t="s">
        <v>81</v>
      </c>
    </row>
    <row r="784" spans="1:11" x14ac:dyDescent="0.25">
      <c r="A784" s="7" t="s">
        <v>1335</v>
      </c>
      <c r="B784" s="7" t="s">
        <v>328</v>
      </c>
      <c r="C784" s="7" t="s">
        <v>1422</v>
      </c>
      <c r="D784" s="7" t="s">
        <v>15</v>
      </c>
      <c r="E784" s="16">
        <v>1325</v>
      </c>
      <c r="F784" s="16">
        <v>1077.53</v>
      </c>
      <c r="G784" s="8">
        <f t="shared" si="48"/>
        <v>97.957272727272724</v>
      </c>
      <c r="H784" s="8">
        <f t="shared" si="49"/>
        <v>979.57272727272721</v>
      </c>
      <c r="I784" s="8">
        <f t="shared" si="50"/>
        <v>345.42727272727279</v>
      </c>
      <c r="J784" s="9">
        <f t="shared" si="51"/>
        <v>0.35263055320965553</v>
      </c>
      <c r="K784" s="7" t="s">
        <v>81</v>
      </c>
    </row>
    <row r="785" spans="1:11" x14ac:dyDescent="0.25">
      <c r="A785" s="7" t="s">
        <v>1335</v>
      </c>
      <c r="B785" s="7" t="s">
        <v>328</v>
      </c>
      <c r="C785" s="7" t="s">
        <v>1423</v>
      </c>
      <c r="D785" s="7" t="s">
        <v>15</v>
      </c>
      <c r="E785" s="16">
        <v>1325</v>
      </c>
      <c r="F785" s="16">
        <v>1077.53</v>
      </c>
      <c r="G785" s="8">
        <f t="shared" si="48"/>
        <v>97.957272727272724</v>
      </c>
      <c r="H785" s="8">
        <f t="shared" si="49"/>
        <v>979.57272727272721</v>
      </c>
      <c r="I785" s="8">
        <f t="shared" si="50"/>
        <v>345.42727272727279</v>
      </c>
      <c r="J785" s="9">
        <f t="shared" si="51"/>
        <v>0.35263055320965553</v>
      </c>
      <c r="K785" s="7" t="s">
        <v>81</v>
      </c>
    </row>
    <row r="786" spans="1:11" x14ac:dyDescent="0.25">
      <c r="A786" s="7" t="s">
        <v>1335</v>
      </c>
      <c r="B786" s="7" t="s">
        <v>328</v>
      </c>
      <c r="C786" s="7" t="s">
        <v>1424</v>
      </c>
      <c r="D786" s="7" t="s">
        <v>15</v>
      </c>
      <c r="E786" s="16">
        <v>1325</v>
      </c>
      <c r="F786" s="16">
        <v>1077.53</v>
      </c>
      <c r="G786" s="8">
        <f t="shared" si="48"/>
        <v>97.957272727272724</v>
      </c>
      <c r="H786" s="8">
        <f t="shared" si="49"/>
        <v>979.57272727272721</v>
      </c>
      <c r="I786" s="8">
        <f t="shared" si="50"/>
        <v>345.42727272727279</v>
      </c>
      <c r="J786" s="9">
        <f t="shared" si="51"/>
        <v>0.35263055320965553</v>
      </c>
      <c r="K786" s="7" t="s">
        <v>81</v>
      </c>
    </row>
    <row r="787" spans="1:11" x14ac:dyDescent="0.25">
      <c r="A787" s="7" t="s">
        <v>1335</v>
      </c>
      <c r="B787" s="7" t="s">
        <v>328</v>
      </c>
      <c r="C787" s="7" t="s">
        <v>1425</v>
      </c>
      <c r="D787" s="7" t="s">
        <v>15</v>
      </c>
      <c r="E787" s="16">
        <v>1325</v>
      </c>
      <c r="F787" s="16">
        <v>1077.53</v>
      </c>
      <c r="G787" s="8">
        <f t="shared" si="48"/>
        <v>97.957272727272724</v>
      </c>
      <c r="H787" s="8">
        <f t="shared" si="49"/>
        <v>979.57272727272721</v>
      </c>
      <c r="I787" s="8">
        <f t="shared" si="50"/>
        <v>345.42727272727279</v>
      </c>
      <c r="J787" s="9">
        <f t="shared" si="51"/>
        <v>0.35263055320965553</v>
      </c>
      <c r="K787" s="7" t="s">
        <v>81</v>
      </c>
    </row>
    <row r="788" spans="1:11" x14ac:dyDescent="0.25">
      <c r="A788" s="7" t="s">
        <v>1335</v>
      </c>
      <c r="B788" s="7" t="s">
        <v>328</v>
      </c>
      <c r="C788" s="7" t="s">
        <v>1426</v>
      </c>
      <c r="D788" s="7" t="s">
        <v>15</v>
      </c>
      <c r="E788" s="16">
        <v>1325</v>
      </c>
      <c r="F788" s="16">
        <v>1077.53</v>
      </c>
      <c r="G788" s="8">
        <f t="shared" si="48"/>
        <v>97.957272727272724</v>
      </c>
      <c r="H788" s="8">
        <f t="shared" si="49"/>
        <v>979.57272727272721</v>
      </c>
      <c r="I788" s="8">
        <f t="shared" si="50"/>
        <v>345.42727272727279</v>
      </c>
      <c r="J788" s="9">
        <f t="shared" si="51"/>
        <v>0.35263055320965553</v>
      </c>
      <c r="K788" s="7" t="s">
        <v>81</v>
      </c>
    </row>
    <row r="789" spans="1:11" x14ac:dyDescent="0.25">
      <c r="A789" s="7" t="s">
        <v>1335</v>
      </c>
      <c r="B789" s="7" t="s">
        <v>328</v>
      </c>
      <c r="C789" s="7" t="s">
        <v>1427</v>
      </c>
      <c r="D789" s="7" t="s">
        <v>15</v>
      </c>
      <c r="E789" s="16">
        <v>1325</v>
      </c>
      <c r="F789" s="16">
        <v>1077.53</v>
      </c>
      <c r="G789" s="8">
        <f t="shared" si="48"/>
        <v>97.957272727272724</v>
      </c>
      <c r="H789" s="8">
        <f t="shared" si="49"/>
        <v>979.57272727272721</v>
      </c>
      <c r="I789" s="8">
        <f t="shared" si="50"/>
        <v>345.42727272727279</v>
      </c>
      <c r="J789" s="9">
        <f t="shared" si="51"/>
        <v>0.35263055320965553</v>
      </c>
      <c r="K789" s="7" t="s">
        <v>81</v>
      </c>
    </row>
    <row r="790" spans="1:11" x14ac:dyDescent="0.25">
      <c r="A790" s="7" t="s">
        <v>1335</v>
      </c>
      <c r="B790" s="7" t="s">
        <v>328</v>
      </c>
      <c r="C790" s="7" t="s">
        <v>1428</v>
      </c>
      <c r="D790" s="7" t="s">
        <v>15</v>
      </c>
      <c r="E790" s="16">
        <v>1325</v>
      </c>
      <c r="F790" s="16">
        <v>1077.53</v>
      </c>
      <c r="G790" s="8">
        <f t="shared" si="48"/>
        <v>97.957272727272724</v>
      </c>
      <c r="H790" s="8">
        <f t="shared" si="49"/>
        <v>979.57272727272721</v>
      </c>
      <c r="I790" s="8">
        <f t="shared" si="50"/>
        <v>345.42727272727279</v>
      </c>
      <c r="J790" s="9">
        <f t="shared" si="51"/>
        <v>0.35263055320965553</v>
      </c>
      <c r="K790" s="7" t="s">
        <v>81</v>
      </c>
    </row>
    <row r="791" spans="1:11" x14ac:dyDescent="0.25">
      <c r="A791" s="7" t="s">
        <v>1335</v>
      </c>
      <c r="B791" s="7" t="s">
        <v>328</v>
      </c>
      <c r="C791" s="7" t="s">
        <v>1429</v>
      </c>
      <c r="D791" s="7" t="s">
        <v>15</v>
      </c>
      <c r="E791" s="16">
        <v>1325</v>
      </c>
      <c r="F791" s="16">
        <v>1077.53</v>
      </c>
      <c r="G791" s="8">
        <f t="shared" si="48"/>
        <v>97.957272727272724</v>
      </c>
      <c r="H791" s="8">
        <f t="shared" si="49"/>
        <v>979.57272727272721</v>
      </c>
      <c r="I791" s="8">
        <f t="shared" si="50"/>
        <v>345.42727272727279</v>
      </c>
      <c r="J791" s="9">
        <f t="shared" si="51"/>
        <v>0.35263055320965553</v>
      </c>
      <c r="K791" s="7" t="s">
        <v>81</v>
      </c>
    </row>
    <row r="792" spans="1:11" x14ac:dyDescent="0.25">
      <c r="A792" s="7" t="s">
        <v>1335</v>
      </c>
      <c r="B792" s="7" t="s">
        <v>328</v>
      </c>
      <c r="C792" s="7" t="s">
        <v>1430</v>
      </c>
      <c r="D792" s="7" t="s">
        <v>15</v>
      </c>
      <c r="E792" s="16">
        <v>1325</v>
      </c>
      <c r="F792" s="16">
        <v>1077.53</v>
      </c>
      <c r="G792" s="8">
        <f t="shared" si="48"/>
        <v>97.957272727272724</v>
      </c>
      <c r="H792" s="8">
        <f t="shared" si="49"/>
        <v>979.57272727272721</v>
      </c>
      <c r="I792" s="8">
        <f t="shared" si="50"/>
        <v>345.42727272727279</v>
      </c>
      <c r="J792" s="9">
        <f t="shared" si="51"/>
        <v>0.35263055320965553</v>
      </c>
      <c r="K792" s="7" t="s">
        <v>81</v>
      </c>
    </row>
    <row r="793" spans="1:11" x14ac:dyDescent="0.25">
      <c r="A793" s="7" t="s">
        <v>1335</v>
      </c>
      <c r="B793" s="7" t="s">
        <v>328</v>
      </c>
      <c r="C793" s="7" t="s">
        <v>1431</v>
      </c>
      <c r="D793" s="7" t="s">
        <v>15</v>
      </c>
      <c r="E793" s="16">
        <v>1325</v>
      </c>
      <c r="F793" s="16">
        <v>1077.53</v>
      </c>
      <c r="G793" s="8">
        <f t="shared" si="48"/>
        <v>97.957272727272724</v>
      </c>
      <c r="H793" s="8">
        <f t="shared" si="49"/>
        <v>979.57272727272721</v>
      </c>
      <c r="I793" s="8">
        <f t="shared" si="50"/>
        <v>345.42727272727279</v>
      </c>
      <c r="J793" s="9">
        <f t="shared" si="51"/>
        <v>0.35263055320965553</v>
      </c>
      <c r="K793" s="7" t="s">
        <v>81</v>
      </c>
    </row>
    <row r="794" spans="1:11" x14ac:dyDescent="0.25">
      <c r="A794" s="7" t="s">
        <v>1335</v>
      </c>
      <c r="B794" s="7" t="s">
        <v>328</v>
      </c>
      <c r="C794" s="7" t="s">
        <v>1432</v>
      </c>
      <c r="D794" s="7" t="s">
        <v>15</v>
      </c>
      <c r="E794" s="16">
        <v>1325</v>
      </c>
      <c r="F794" s="16">
        <v>1077.53</v>
      </c>
      <c r="G794" s="8">
        <f t="shared" si="48"/>
        <v>97.957272727272724</v>
      </c>
      <c r="H794" s="8">
        <f t="shared" si="49"/>
        <v>979.57272727272721</v>
      </c>
      <c r="I794" s="8">
        <f t="shared" si="50"/>
        <v>345.42727272727279</v>
      </c>
      <c r="J794" s="9">
        <f t="shared" si="51"/>
        <v>0.35263055320965553</v>
      </c>
      <c r="K794" s="7" t="s">
        <v>81</v>
      </c>
    </row>
    <row r="795" spans="1:11" x14ac:dyDescent="0.25">
      <c r="A795" s="7" t="s">
        <v>1335</v>
      </c>
      <c r="B795" s="7" t="s">
        <v>328</v>
      </c>
      <c r="C795" s="7" t="s">
        <v>1433</v>
      </c>
      <c r="D795" s="7" t="s">
        <v>15</v>
      </c>
      <c r="E795" s="16">
        <v>1325</v>
      </c>
      <c r="F795" s="16">
        <v>1077.53</v>
      </c>
      <c r="G795" s="8">
        <f t="shared" si="48"/>
        <v>97.957272727272724</v>
      </c>
      <c r="H795" s="8">
        <f t="shared" si="49"/>
        <v>979.57272727272721</v>
      </c>
      <c r="I795" s="8">
        <f t="shared" si="50"/>
        <v>345.42727272727279</v>
      </c>
      <c r="J795" s="9">
        <f t="shared" si="51"/>
        <v>0.35263055320965553</v>
      </c>
      <c r="K795" s="7" t="s">
        <v>81</v>
      </c>
    </row>
    <row r="796" spans="1:11" x14ac:dyDescent="0.25">
      <c r="A796" s="7" t="s">
        <v>1335</v>
      </c>
      <c r="B796" s="7" t="s">
        <v>328</v>
      </c>
      <c r="C796" s="7" t="s">
        <v>1434</v>
      </c>
      <c r="D796" s="7" t="s">
        <v>15</v>
      </c>
      <c r="E796" s="16">
        <v>1325</v>
      </c>
      <c r="F796" s="16">
        <v>1077.53</v>
      </c>
      <c r="G796" s="8">
        <f t="shared" si="48"/>
        <v>97.957272727272724</v>
      </c>
      <c r="H796" s="8">
        <f t="shared" si="49"/>
        <v>979.57272727272721</v>
      </c>
      <c r="I796" s="8">
        <f t="shared" si="50"/>
        <v>345.42727272727279</v>
      </c>
      <c r="J796" s="9">
        <f t="shared" si="51"/>
        <v>0.35263055320965553</v>
      </c>
      <c r="K796" s="7" t="s">
        <v>81</v>
      </c>
    </row>
    <row r="797" spans="1:11" x14ac:dyDescent="0.25">
      <c r="A797" s="7" t="s">
        <v>1335</v>
      </c>
      <c r="B797" s="7" t="s">
        <v>328</v>
      </c>
      <c r="C797" s="7" t="s">
        <v>1435</v>
      </c>
      <c r="D797" s="7" t="s">
        <v>15</v>
      </c>
      <c r="E797" s="16">
        <v>1330</v>
      </c>
      <c r="F797" s="16">
        <v>1077.53</v>
      </c>
      <c r="G797" s="8">
        <f t="shared" si="48"/>
        <v>97.957272727272724</v>
      </c>
      <c r="H797" s="8">
        <f t="shared" si="49"/>
        <v>979.57272727272721</v>
      </c>
      <c r="I797" s="8">
        <f t="shared" si="50"/>
        <v>350.42727272727279</v>
      </c>
      <c r="J797" s="9">
        <f t="shared" si="51"/>
        <v>0.35773481944818253</v>
      </c>
      <c r="K797" s="7" t="s">
        <v>81</v>
      </c>
    </row>
    <row r="798" spans="1:11" x14ac:dyDescent="0.25">
      <c r="A798" s="7" t="s">
        <v>1335</v>
      </c>
      <c r="B798" s="7" t="s">
        <v>328</v>
      </c>
      <c r="C798" s="7" t="s">
        <v>1436</v>
      </c>
      <c r="D798" s="7" t="s">
        <v>15</v>
      </c>
      <c r="E798" s="16">
        <v>1330</v>
      </c>
      <c r="F798" s="16">
        <v>1126.99</v>
      </c>
      <c r="G798" s="8">
        <f t="shared" si="48"/>
        <v>102.45363636363636</v>
      </c>
      <c r="H798" s="8">
        <f t="shared" si="49"/>
        <v>1024.5363636363636</v>
      </c>
      <c r="I798" s="8">
        <f t="shared" si="50"/>
        <v>305.4636363636364</v>
      </c>
      <c r="J798" s="9">
        <f t="shared" si="51"/>
        <v>0.29814816457998744</v>
      </c>
      <c r="K798" s="7" t="s">
        <v>81</v>
      </c>
    </row>
    <row r="799" spans="1:11" x14ac:dyDescent="0.25">
      <c r="A799" s="7" t="s">
        <v>1335</v>
      </c>
      <c r="B799" s="7" t="s">
        <v>328</v>
      </c>
      <c r="C799" s="7" t="s">
        <v>1437</v>
      </c>
      <c r="D799" s="7" t="s">
        <v>15</v>
      </c>
      <c r="E799" s="16">
        <v>1330</v>
      </c>
      <c r="F799" s="16">
        <v>1126.99</v>
      </c>
      <c r="G799" s="8">
        <f t="shared" si="48"/>
        <v>102.45363636363636</v>
      </c>
      <c r="H799" s="8">
        <f t="shared" si="49"/>
        <v>1024.5363636363636</v>
      </c>
      <c r="I799" s="8">
        <f t="shared" si="50"/>
        <v>305.4636363636364</v>
      </c>
      <c r="J799" s="9">
        <f t="shared" si="51"/>
        <v>0.29814816457998744</v>
      </c>
      <c r="K799" s="7" t="s">
        <v>81</v>
      </c>
    </row>
    <row r="800" spans="1:11" x14ac:dyDescent="0.25">
      <c r="A800" s="7" t="s">
        <v>1335</v>
      </c>
      <c r="B800" s="7" t="s">
        <v>328</v>
      </c>
      <c r="C800" s="7" t="s">
        <v>1438</v>
      </c>
      <c r="D800" s="7" t="s">
        <v>15</v>
      </c>
      <c r="E800" s="16">
        <v>1330</v>
      </c>
      <c r="F800" s="16">
        <v>1002.48</v>
      </c>
      <c r="G800" s="8">
        <f t="shared" si="48"/>
        <v>91.13454545454546</v>
      </c>
      <c r="H800" s="8">
        <f t="shared" si="49"/>
        <v>911.34545454545457</v>
      </c>
      <c r="I800" s="8">
        <f t="shared" si="50"/>
        <v>418.65454545454543</v>
      </c>
      <c r="J800" s="9">
        <f t="shared" si="51"/>
        <v>0.45938073577527727</v>
      </c>
      <c r="K800" s="7" t="s">
        <v>81</v>
      </c>
    </row>
    <row r="801" spans="1:11" x14ac:dyDescent="0.25">
      <c r="A801" s="7" t="s">
        <v>1335</v>
      </c>
      <c r="B801" s="7" t="s">
        <v>328</v>
      </c>
      <c r="C801" s="7" t="s">
        <v>1439</v>
      </c>
      <c r="D801" s="7" t="s">
        <v>15</v>
      </c>
      <c r="E801" s="16">
        <v>1330</v>
      </c>
      <c r="F801" s="16">
        <v>1002.48</v>
      </c>
      <c r="G801" s="8">
        <f t="shared" si="48"/>
        <v>91.13454545454546</v>
      </c>
      <c r="H801" s="8">
        <f t="shared" si="49"/>
        <v>911.34545454545457</v>
      </c>
      <c r="I801" s="8">
        <f t="shared" si="50"/>
        <v>418.65454545454543</v>
      </c>
      <c r="J801" s="9">
        <f t="shared" si="51"/>
        <v>0.45938073577527727</v>
      </c>
      <c r="K801" s="7" t="s">
        <v>81</v>
      </c>
    </row>
    <row r="802" spans="1:11" x14ac:dyDescent="0.25">
      <c r="A802" s="7" t="s">
        <v>1335</v>
      </c>
      <c r="B802" s="7" t="s">
        <v>328</v>
      </c>
      <c r="C802" s="7" t="s">
        <v>1440</v>
      </c>
      <c r="D802" s="7" t="s">
        <v>15</v>
      </c>
      <c r="E802" s="16">
        <v>1330</v>
      </c>
      <c r="F802" s="16">
        <v>1002.48</v>
      </c>
      <c r="G802" s="8">
        <f t="shared" si="48"/>
        <v>91.13454545454546</v>
      </c>
      <c r="H802" s="8">
        <f t="shared" si="49"/>
        <v>911.34545454545457</v>
      </c>
      <c r="I802" s="8">
        <f t="shared" si="50"/>
        <v>418.65454545454543</v>
      </c>
      <c r="J802" s="9">
        <f t="shared" si="51"/>
        <v>0.45938073577527727</v>
      </c>
      <c r="K802" s="7" t="s">
        <v>81</v>
      </c>
    </row>
    <row r="803" spans="1:11" x14ac:dyDescent="0.25">
      <c r="A803" s="7" t="s">
        <v>1335</v>
      </c>
      <c r="B803" s="7" t="s">
        <v>328</v>
      </c>
      <c r="C803" s="7" t="s">
        <v>1441</v>
      </c>
      <c r="D803" s="7" t="s">
        <v>15</v>
      </c>
      <c r="E803" s="16">
        <v>1330</v>
      </c>
      <c r="F803" s="16">
        <v>1002.48</v>
      </c>
      <c r="G803" s="8">
        <f t="shared" si="48"/>
        <v>91.13454545454546</v>
      </c>
      <c r="H803" s="8">
        <f t="shared" si="49"/>
        <v>911.34545454545457</v>
      </c>
      <c r="I803" s="8">
        <f t="shared" si="50"/>
        <v>418.65454545454543</v>
      </c>
      <c r="J803" s="9">
        <f t="shared" si="51"/>
        <v>0.45938073577527727</v>
      </c>
      <c r="K803" s="7" t="s">
        <v>81</v>
      </c>
    </row>
    <row r="804" spans="1:11" x14ac:dyDescent="0.25">
      <c r="A804" s="7" t="s">
        <v>1335</v>
      </c>
      <c r="B804" s="7" t="s">
        <v>328</v>
      </c>
      <c r="C804" s="7" t="s">
        <v>1442</v>
      </c>
      <c r="D804" s="7" t="s">
        <v>15</v>
      </c>
      <c r="E804" s="16">
        <v>1330</v>
      </c>
      <c r="F804" s="16">
        <v>1002.48</v>
      </c>
      <c r="G804" s="8">
        <f t="shared" si="48"/>
        <v>91.13454545454546</v>
      </c>
      <c r="H804" s="8">
        <f t="shared" si="49"/>
        <v>911.34545454545457</v>
      </c>
      <c r="I804" s="8">
        <f t="shared" si="50"/>
        <v>418.65454545454543</v>
      </c>
      <c r="J804" s="9">
        <f t="shared" si="51"/>
        <v>0.45938073577527727</v>
      </c>
      <c r="K804" s="7" t="s">
        <v>81</v>
      </c>
    </row>
    <row r="805" spans="1:11" x14ac:dyDescent="0.25">
      <c r="A805" s="7" t="s">
        <v>1335</v>
      </c>
      <c r="B805" s="7" t="s">
        <v>328</v>
      </c>
      <c r="C805" s="7" t="s">
        <v>1443</v>
      </c>
      <c r="D805" s="7" t="s">
        <v>15</v>
      </c>
      <c r="E805" s="16">
        <v>1330</v>
      </c>
      <c r="F805" s="16">
        <v>1002.48</v>
      </c>
      <c r="G805" s="8">
        <f t="shared" si="48"/>
        <v>91.13454545454546</v>
      </c>
      <c r="H805" s="8">
        <f t="shared" si="49"/>
        <v>911.34545454545457</v>
      </c>
      <c r="I805" s="8">
        <f t="shared" si="50"/>
        <v>418.65454545454543</v>
      </c>
      <c r="J805" s="9">
        <f t="shared" si="51"/>
        <v>0.45938073577527727</v>
      </c>
      <c r="K805" s="7" t="s">
        <v>81</v>
      </c>
    </row>
    <row r="806" spans="1:11" x14ac:dyDescent="0.25">
      <c r="A806" s="7" t="s">
        <v>1335</v>
      </c>
      <c r="B806" s="7" t="s">
        <v>328</v>
      </c>
      <c r="C806" s="7" t="s">
        <v>1444</v>
      </c>
      <c r="D806" s="7" t="s">
        <v>15</v>
      </c>
      <c r="E806" s="16">
        <v>1330</v>
      </c>
      <c r="F806" s="16">
        <v>1002.48</v>
      </c>
      <c r="G806" s="8">
        <f t="shared" si="48"/>
        <v>91.13454545454546</v>
      </c>
      <c r="H806" s="8">
        <f t="shared" si="49"/>
        <v>911.34545454545457</v>
      </c>
      <c r="I806" s="8">
        <f t="shared" si="50"/>
        <v>418.65454545454543</v>
      </c>
      <c r="J806" s="9">
        <f t="shared" si="51"/>
        <v>0.45938073577527727</v>
      </c>
      <c r="K806" s="7" t="s">
        <v>81</v>
      </c>
    </row>
    <row r="807" spans="1:11" x14ac:dyDescent="0.25">
      <c r="A807" s="7" t="s">
        <v>1335</v>
      </c>
      <c r="B807" s="7" t="s">
        <v>328</v>
      </c>
      <c r="C807" s="7" t="s">
        <v>1445</v>
      </c>
      <c r="D807" s="7" t="s">
        <v>15</v>
      </c>
      <c r="E807" s="16">
        <v>1330</v>
      </c>
      <c r="F807" s="16">
        <v>1002.48</v>
      </c>
      <c r="G807" s="8">
        <f t="shared" si="48"/>
        <v>91.13454545454546</v>
      </c>
      <c r="H807" s="8">
        <f t="shared" si="49"/>
        <v>911.34545454545457</v>
      </c>
      <c r="I807" s="8">
        <f t="shared" si="50"/>
        <v>418.65454545454543</v>
      </c>
      <c r="J807" s="9">
        <f t="shared" si="51"/>
        <v>0.45938073577527727</v>
      </c>
      <c r="K807" s="7" t="s">
        <v>81</v>
      </c>
    </row>
    <row r="808" spans="1:11" x14ac:dyDescent="0.25">
      <c r="A808" s="7" t="s">
        <v>1335</v>
      </c>
      <c r="B808" s="7" t="s">
        <v>328</v>
      </c>
      <c r="C808" s="7" t="s">
        <v>1446</v>
      </c>
      <c r="D808" s="7" t="s">
        <v>15</v>
      </c>
      <c r="E808" s="16">
        <v>1330</v>
      </c>
      <c r="F808" s="16">
        <v>1002.48</v>
      </c>
      <c r="G808" s="8">
        <f t="shared" si="48"/>
        <v>91.13454545454546</v>
      </c>
      <c r="H808" s="8">
        <f t="shared" si="49"/>
        <v>911.34545454545457</v>
      </c>
      <c r="I808" s="8">
        <f t="shared" si="50"/>
        <v>418.65454545454543</v>
      </c>
      <c r="J808" s="9">
        <f t="shared" si="51"/>
        <v>0.45938073577527727</v>
      </c>
      <c r="K808" s="7" t="s">
        <v>81</v>
      </c>
    </row>
    <row r="809" spans="1:11" x14ac:dyDescent="0.25">
      <c r="A809" s="7" t="s">
        <v>1335</v>
      </c>
      <c r="B809" s="7" t="s">
        <v>328</v>
      </c>
      <c r="C809" s="7" t="s">
        <v>1447</v>
      </c>
      <c r="D809" s="7" t="s">
        <v>15</v>
      </c>
      <c r="E809" s="16">
        <v>1330</v>
      </c>
      <c r="F809" s="16">
        <v>1002.48</v>
      </c>
      <c r="G809" s="8">
        <f t="shared" si="48"/>
        <v>91.13454545454546</v>
      </c>
      <c r="H809" s="8">
        <f t="shared" si="49"/>
        <v>911.34545454545457</v>
      </c>
      <c r="I809" s="8">
        <f t="shared" si="50"/>
        <v>418.65454545454543</v>
      </c>
      <c r="J809" s="9">
        <f t="shared" si="51"/>
        <v>0.45938073577527727</v>
      </c>
      <c r="K809" s="7" t="s">
        <v>81</v>
      </c>
    </row>
    <row r="810" spans="1:11" x14ac:dyDescent="0.25">
      <c r="A810" s="7" t="s">
        <v>1335</v>
      </c>
      <c r="B810" s="7" t="s">
        <v>328</v>
      </c>
      <c r="C810" s="7" t="s">
        <v>1448</v>
      </c>
      <c r="D810" s="7" t="s">
        <v>15</v>
      </c>
      <c r="E810" s="16">
        <v>1330</v>
      </c>
      <c r="F810" s="16">
        <v>1002.48</v>
      </c>
      <c r="G810" s="8">
        <f t="shared" si="48"/>
        <v>91.13454545454546</v>
      </c>
      <c r="H810" s="8">
        <f t="shared" si="49"/>
        <v>911.34545454545457</v>
      </c>
      <c r="I810" s="8">
        <f t="shared" si="50"/>
        <v>418.65454545454543</v>
      </c>
      <c r="J810" s="9">
        <f t="shared" si="51"/>
        <v>0.45938073577527727</v>
      </c>
      <c r="K810" s="7" t="s">
        <v>81</v>
      </c>
    </row>
    <row r="811" spans="1:11" x14ac:dyDescent="0.25">
      <c r="A811" s="7" t="s">
        <v>1335</v>
      </c>
      <c r="B811" s="7" t="s">
        <v>328</v>
      </c>
      <c r="C811" s="7" t="s">
        <v>1449</v>
      </c>
      <c r="D811" s="7" t="s">
        <v>15</v>
      </c>
      <c r="E811" s="16">
        <v>1330</v>
      </c>
      <c r="F811" s="16">
        <v>1085.5999999999999</v>
      </c>
      <c r="G811" s="8">
        <f t="shared" si="48"/>
        <v>98.690909090909088</v>
      </c>
      <c r="H811" s="8">
        <f t="shared" si="49"/>
        <v>986.90909090909076</v>
      </c>
      <c r="I811" s="8">
        <f t="shared" si="50"/>
        <v>343.09090909090924</v>
      </c>
      <c r="J811" s="9">
        <f t="shared" si="51"/>
        <v>0.3476418570375831</v>
      </c>
      <c r="K811" s="7" t="s">
        <v>81</v>
      </c>
    </row>
    <row r="812" spans="1:11" x14ac:dyDescent="0.25">
      <c r="A812" s="7" t="s">
        <v>1450</v>
      </c>
      <c r="B812" s="7" t="s">
        <v>500</v>
      </c>
      <c r="C812" s="7" t="s">
        <v>1466</v>
      </c>
      <c r="D812" s="7" t="s">
        <v>15</v>
      </c>
      <c r="E812" s="16">
        <v>970</v>
      </c>
      <c r="F812" s="16">
        <v>743.37</v>
      </c>
      <c r="G812" s="8">
        <f t="shared" si="48"/>
        <v>67.579090909090908</v>
      </c>
      <c r="H812" s="8">
        <f t="shared" si="49"/>
        <v>675.79090909090905</v>
      </c>
      <c r="I812" s="8">
        <f t="shared" si="50"/>
        <v>294.20909090909095</v>
      </c>
      <c r="J812" s="9">
        <f t="shared" si="51"/>
        <v>0.43535520669384031</v>
      </c>
      <c r="K812" s="7" t="s">
        <v>81</v>
      </c>
    </row>
    <row r="813" spans="1:11" x14ac:dyDescent="0.25">
      <c r="A813" s="7" t="s">
        <v>1450</v>
      </c>
      <c r="B813" s="7" t="s">
        <v>328</v>
      </c>
      <c r="C813" s="7" t="s">
        <v>1467</v>
      </c>
      <c r="D813" s="7" t="s">
        <v>15</v>
      </c>
      <c r="E813" s="16">
        <v>1325</v>
      </c>
      <c r="F813" s="16">
        <v>1085.5999999999999</v>
      </c>
      <c r="G813" s="8">
        <f t="shared" si="48"/>
        <v>98.690909090909088</v>
      </c>
      <c r="H813" s="8">
        <f t="shared" si="49"/>
        <v>986.90909090909076</v>
      </c>
      <c r="I813" s="8">
        <f t="shared" si="50"/>
        <v>338.09090909090924</v>
      </c>
      <c r="J813" s="9">
        <f t="shared" si="51"/>
        <v>0.34257553426676512</v>
      </c>
      <c r="K813" s="7" t="s">
        <v>81</v>
      </c>
    </row>
    <row r="814" spans="1:11" x14ac:dyDescent="0.25">
      <c r="A814" s="7" t="s">
        <v>1450</v>
      </c>
      <c r="B814" s="7" t="s">
        <v>328</v>
      </c>
      <c r="C814" s="7" t="s">
        <v>1468</v>
      </c>
      <c r="D814" s="7" t="s">
        <v>15</v>
      </c>
      <c r="E814" s="16">
        <v>1325</v>
      </c>
      <c r="F814" s="16">
        <v>1085.5999999999999</v>
      </c>
      <c r="G814" s="8">
        <f t="shared" si="48"/>
        <v>98.690909090909088</v>
      </c>
      <c r="H814" s="8">
        <f t="shared" si="49"/>
        <v>986.90909090909076</v>
      </c>
      <c r="I814" s="8">
        <f t="shared" si="50"/>
        <v>338.09090909090924</v>
      </c>
      <c r="J814" s="9">
        <f t="shared" si="51"/>
        <v>0.34257553426676512</v>
      </c>
      <c r="K814" s="7" t="s">
        <v>81</v>
      </c>
    </row>
    <row r="815" spans="1:11" x14ac:dyDescent="0.25">
      <c r="A815" s="7" t="s">
        <v>1450</v>
      </c>
      <c r="B815" s="7" t="s">
        <v>328</v>
      </c>
      <c r="C815" s="7" t="s">
        <v>1469</v>
      </c>
      <c r="D815" s="7" t="s">
        <v>15</v>
      </c>
      <c r="E815" s="16">
        <v>1325</v>
      </c>
      <c r="F815" s="16">
        <v>1085.5999999999999</v>
      </c>
      <c r="G815" s="8">
        <f t="shared" si="48"/>
        <v>98.690909090909088</v>
      </c>
      <c r="H815" s="8">
        <f t="shared" si="49"/>
        <v>986.90909090909076</v>
      </c>
      <c r="I815" s="8">
        <f t="shared" si="50"/>
        <v>338.09090909090924</v>
      </c>
      <c r="J815" s="9">
        <f t="shared" si="51"/>
        <v>0.34257553426676512</v>
      </c>
      <c r="K815" s="7" t="s">
        <v>81</v>
      </c>
    </row>
    <row r="816" spans="1:11" x14ac:dyDescent="0.25">
      <c r="A816" s="7" t="s">
        <v>1450</v>
      </c>
      <c r="B816" s="7" t="s">
        <v>328</v>
      </c>
      <c r="C816" s="7" t="s">
        <v>1470</v>
      </c>
      <c r="D816" s="7" t="s">
        <v>15</v>
      </c>
      <c r="E816" s="16">
        <v>1325</v>
      </c>
      <c r="F816" s="16">
        <v>1085.5999999999999</v>
      </c>
      <c r="G816" s="8">
        <f t="shared" si="48"/>
        <v>98.690909090909088</v>
      </c>
      <c r="H816" s="8">
        <f t="shared" si="49"/>
        <v>986.90909090909076</v>
      </c>
      <c r="I816" s="8">
        <f t="shared" si="50"/>
        <v>338.09090909090924</v>
      </c>
      <c r="J816" s="9">
        <f t="shared" si="51"/>
        <v>0.34257553426676512</v>
      </c>
      <c r="K816" s="7" t="s">
        <v>81</v>
      </c>
    </row>
    <row r="817" spans="1:11" x14ac:dyDescent="0.25">
      <c r="A817" s="7" t="s">
        <v>1450</v>
      </c>
      <c r="B817" s="7" t="s">
        <v>328</v>
      </c>
      <c r="C817" s="7" t="s">
        <v>1471</v>
      </c>
      <c r="D817" s="7" t="s">
        <v>15</v>
      </c>
      <c r="E817" s="16">
        <v>1325</v>
      </c>
      <c r="F817" s="16">
        <v>1085.5999999999999</v>
      </c>
      <c r="G817" s="8">
        <f t="shared" si="48"/>
        <v>98.690909090909088</v>
      </c>
      <c r="H817" s="8">
        <f t="shared" si="49"/>
        <v>986.90909090909076</v>
      </c>
      <c r="I817" s="8">
        <f t="shared" si="50"/>
        <v>338.09090909090924</v>
      </c>
      <c r="J817" s="9">
        <f t="shared" si="51"/>
        <v>0.34257553426676512</v>
      </c>
      <c r="K817" s="7" t="s">
        <v>81</v>
      </c>
    </row>
    <row r="818" spans="1:11" x14ac:dyDescent="0.25">
      <c r="A818" s="7" t="s">
        <v>1450</v>
      </c>
      <c r="B818" s="7" t="s">
        <v>328</v>
      </c>
      <c r="C818" s="7" t="s">
        <v>1472</v>
      </c>
      <c r="D818" s="7" t="s">
        <v>15</v>
      </c>
      <c r="E818" s="16">
        <v>1325</v>
      </c>
      <c r="F818" s="16">
        <v>1085.5999999999999</v>
      </c>
      <c r="G818" s="8">
        <f t="shared" si="48"/>
        <v>98.690909090909088</v>
      </c>
      <c r="H818" s="8">
        <f t="shared" si="49"/>
        <v>986.90909090909076</v>
      </c>
      <c r="I818" s="8">
        <f t="shared" si="50"/>
        <v>338.09090909090924</v>
      </c>
      <c r="J818" s="9">
        <f t="shared" si="51"/>
        <v>0.34257553426676512</v>
      </c>
      <c r="K818" s="7" t="s">
        <v>81</v>
      </c>
    </row>
    <row r="819" spans="1:11" x14ac:dyDescent="0.25">
      <c r="A819" s="7" t="s">
        <v>1450</v>
      </c>
      <c r="B819" s="7" t="s">
        <v>328</v>
      </c>
      <c r="C819" s="7" t="s">
        <v>1473</v>
      </c>
      <c r="D819" s="7" t="s">
        <v>15</v>
      </c>
      <c r="E819" s="16">
        <v>1325</v>
      </c>
      <c r="F819" s="16">
        <v>1108.27</v>
      </c>
      <c r="G819" s="8">
        <f t="shared" si="48"/>
        <v>100.75181818181818</v>
      </c>
      <c r="H819" s="8">
        <f t="shared" si="49"/>
        <v>1007.5181818181818</v>
      </c>
      <c r="I819" s="8">
        <f t="shared" si="50"/>
        <v>317.4818181818182</v>
      </c>
      <c r="J819" s="9">
        <f t="shared" si="51"/>
        <v>0.31511274328457867</v>
      </c>
      <c r="K819" s="7" t="s">
        <v>81</v>
      </c>
    </row>
    <row r="820" spans="1:11" x14ac:dyDescent="0.25">
      <c r="A820" s="7" t="s">
        <v>1450</v>
      </c>
      <c r="B820" s="7" t="s">
        <v>328</v>
      </c>
      <c r="C820" s="7" t="s">
        <v>1474</v>
      </c>
      <c r="D820" s="7" t="s">
        <v>15</v>
      </c>
      <c r="E820" s="16">
        <v>1325</v>
      </c>
      <c r="F820" s="16">
        <v>1108.27</v>
      </c>
      <c r="G820" s="8">
        <f t="shared" si="48"/>
        <v>100.75181818181818</v>
      </c>
      <c r="H820" s="8">
        <f t="shared" si="49"/>
        <v>1007.5181818181818</v>
      </c>
      <c r="I820" s="8">
        <f t="shared" si="50"/>
        <v>317.4818181818182</v>
      </c>
      <c r="J820" s="9">
        <f t="shared" si="51"/>
        <v>0.31511274328457867</v>
      </c>
      <c r="K820" s="7" t="s">
        <v>81</v>
      </c>
    </row>
    <row r="821" spans="1:11" x14ac:dyDescent="0.25">
      <c r="A821" s="7" t="s">
        <v>1450</v>
      </c>
      <c r="B821" s="7" t="s">
        <v>328</v>
      </c>
      <c r="C821" s="7" t="s">
        <v>1475</v>
      </c>
      <c r="D821" s="7" t="s">
        <v>15</v>
      </c>
      <c r="E821" s="16">
        <v>1325</v>
      </c>
      <c r="F821" s="16">
        <v>1108.27</v>
      </c>
      <c r="G821" s="8">
        <f t="shared" si="48"/>
        <v>100.75181818181818</v>
      </c>
      <c r="H821" s="8">
        <f t="shared" si="49"/>
        <v>1007.5181818181818</v>
      </c>
      <c r="I821" s="8">
        <f t="shared" si="50"/>
        <v>317.4818181818182</v>
      </c>
      <c r="J821" s="9">
        <f t="shared" si="51"/>
        <v>0.31511274328457867</v>
      </c>
      <c r="K821" s="7" t="s">
        <v>81</v>
      </c>
    </row>
    <row r="822" spans="1:11" x14ac:dyDescent="0.25">
      <c r="A822" s="7" t="s">
        <v>1450</v>
      </c>
      <c r="B822" s="7" t="s">
        <v>328</v>
      </c>
      <c r="C822" s="7" t="s">
        <v>1476</v>
      </c>
      <c r="D822" s="7" t="s">
        <v>15</v>
      </c>
      <c r="E822" s="16">
        <v>1325</v>
      </c>
      <c r="F822" s="16">
        <v>1108.27</v>
      </c>
      <c r="G822" s="8">
        <f t="shared" si="48"/>
        <v>100.75181818181818</v>
      </c>
      <c r="H822" s="8">
        <f t="shared" si="49"/>
        <v>1007.5181818181818</v>
      </c>
      <c r="I822" s="8">
        <f t="shared" si="50"/>
        <v>317.4818181818182</v>
      </c>
      <c r="J822" s="9">
        <f t="shared" si="51"/>
        <v>0.31511274328457867</v>
      </c>
      <c r="K822" s="7" t="s">
        <v>81</v>
      </c>
    </row>
    <row r="823" spans="1:11" x14ac:dyDescent="0.25">
      <c r="A823" s="7" t="s">
        <v>1450</v>
      </c>
      <c r="B823" s="7" t="s">
        <v>328</v>
      </c>
      <c r="C823" s="7" t="s">
        <v>1477</v>
      </c>
      <c r="D823" s="7" t="s">
        <v>15</v>
      </c>
      <c r="E823" s="16">
        <v>1325</v>
      </c>
      <c r="F823" s="16">
        <v>1108.27</v>
      </c>
      <c r="G823" s="8">
        <f t="shared" si="48"/>
        <v>100.75181818181818</v>
      </c>
      <c r="H823" s="8">
        <f t="shared" si="49"/>
        <v>1007.5181818181818</v>
      </c>
      <c r="I823" s="8">
        <f t="shared" si="50"/>
        <v>317.4818181818182</v>
      </c>
      <c r="J823" s="9">
        <f t="shared" si="51"/>
        <v>0.31511274328457867</v>
      </c>
      <c r="K823" s="7" t="s">
        <v>81</v>
      </c>
    </row>
    <row r="824" spans="1:11" x14ac:dyDescent="0.25">
      <c r="A824" s="7" t="s">
        <v>1450</v>
      </c>
      <c r="B824" s="7" t="s">
        <v>328</v>
      </c>
      <c r="C824" s="7" t="s">
        <v>1478</v>
      </c>
      <c r="D824" s="7" t="s">
        <v>15</v>
      </c>
      <c r="E824" s="16">
        <v>1325</v>
      </c>
      <c r="F824" s="16">
        <v>1108.27</v>
      </c>
      <c r="G824" s="8">
        <f t="shared" si="48"/>
        <v>100.75181818181818</v>
      </c>
      <c r="H824" s="8">
        <f t="shared" si="49"/>
        <v>1007.5181818181818</v>
      </c>
      <c r="I824" s="8">
        <f t="shared" si="50"/>
        <v>317.4818181818182</v>
      </c>
      <c r="J824" s="9">
        <f t="shared" si="51"/>
        <v>0.31511274328457867</v>
      </c>
      <c r="K824" s="7" t="s">
        <v>81</v>
      </c>
    </row>
    <row r="825" spans="1:11" x14ac:dyDescent="0.25">
      <c r="A825" s="7" t="s">
        <v>1450</v>
      </c>
      <c r="B825" s="7" t="s">
        <v>328</v>
      </c>
      <c r="C825" s="7" t="s">
        <v>1479</v>
      </c>
      <c r="D825" s="7" t="s">
        <v>15</v>
      </c>
      <c r="E825" s="16">
        <v>1325</v>
      </c>
      <c r="F825" s="16">
        <v>1108.27</v>
      </c>
      <c r="G825" s="8">
        <f t="shared" si="48"/>
        <v>100.75181818181818</v>
      </c>
      <c r="H825" s="8">
        <f t="shared" si="49"/>
        <v>1007.5181818181818</v>
      </c>
      <c r="I825" s="8">
        <f t="shared" si="50"/>
        <v>317.4818181818182</v>
      </c>
      <c r="J825" s="9">
        <f t="shared" si="51"/>
        <v>0.31511274328457867</v>
      </c>
      <c r="K825" s="7" t="s">
        <v>81</v>
      </c>
    </row>
    <row r="826" spans="1:11" x14ac:dyDescent="0.25">
      <c r="A826" s="7" t="s">
        <v>1450</v>
      </c>
      <c r="B826" s="7" t="s">
        <v>328</v>
      </c>
      <c r="C826" s="7" t="s">
        <v>1480</v>
      </c>
      <c r="D826" s="7" t="s">
        <v>15</v>
      </c>
      <c r="E826" s="16">
        <v>1325</v>
      </c>
      <c r="F826" s="16">
        <v>1108.27</v>
      </c>
      <c r="G826" s="8">
        <f t="shared" si="48"/>
        <v>100.75181818181818</v>
      </c>
      <c r="H826" s="8">
        <f t="shared" si="49"/>
        <v>1007.5181818181818</v>
      </c>
      <c r="I826" s="8">
        <f t="shared" si="50"/>
        <v>317.4818181818182</v>
      </c>
      <c r="J826" s="9">
        <f t="shared" si="51"/>
        <v>0.31511274328457867</v>
      </c>
      <c r="K826" s="7" t="s">
        <v>81</v>
      </c>
    </row>
    <row r="827" spans="1:11" x14ac:dyDescent="0.25">
      <c r="A827" s="7" t="s">
        <v>1450</v>
      </c>
      <c r="B827" s="7" t="s">
        <v>328</v>
      </c>
      <c r="C827" s="7" t="s">
        <v>1481</v>
      </c>
      <c r="D827" s="7" t="s">
        <v>15</v>
      </c>
      <c r="E827" s="16">
        <v>1325</v>
      </c>
      <c r="F827" s="16">
        <v>1108.27</v>
      </c>
      <c r="G827" s="8">
        <f t="shared" si="48"/>
        <v>100.75181818181818</v>
      </c>
      <c r="H827" s="8">
        <f t="shared" si="49"/>
        <v>1007.5181818181818</v>
      </c>
      <c r="I827" s="8">
        <f t="shared" si="50"/>
        <v>317.4818181818182</v>
      </c>
      <c r="J827" s="9">
        <f t="shared" si="51"/>
        <v>0.31511274328457867</v>
      </c>
      <c r="K827" s="7" t="s">
        <v>81</v>
      </c>
    </row>
    <row r="828" spans="1:11" x14ac:dyDescent="0.25">
      <c r="A828" s="7" t="s">
        <v>1450</v>
      </c>
      <c r="B828" s="7" t="s">
        <v>328</v>
      </c>
      <c r="C828" s="7" t="s">
        <v>1482</v>
      </c>
      <c r="D828" s="7" t="s">
        <v>15</v>
      </c>
      <c r="E828" s="16">
        <v>1325</v>
      </c>
      <c r="F828" s="16">
        <v>1108.27</v>
      </c>
      <c r="G828" s="8">
        <f t="shared" si="48"/>
        <v>100.75181818181818</v>
      </c>
      <c r="H828" s="8">
        <f t="shared" si="49"/>
        <v>1007.5181818181818</v>
      </c>
      <c r="I828" s="8">
        <f t="shared" si="50"/>
        <v>317.4818181818182</v>
      </c>
      <c r="J828" s="9">
        <f t="shared" si="51"/>
        <v>0.31511274328457867</v>
      </c>
      <c r="K828" s="7" t="s">
        <v>81</v>
      </c>
    </row>
    <row r="829" spans="1:11" x14ac:dyDescent="0.25">
      <c r="A829" s="7" t="s">
        <v>1450</v>
      </c>
      <c r="B829" s="7" t="s">
        <v>328</v>
      </c>
      <c r="C829" s="7" t="s">
        <v>1483</v>
      </c>
      <c r="D829" s="7" t="s">
        <v>15</v>
      </c>
      <c r="E829" s="16">
        <v>1325</v>
      </c>
      <c r="F829" s="16">
        <v>1108.27</v>
      </c>
      <c r="G829" s="8">
        <f t="shared" si="48"/>
        <v>100.75181818181818</v>
      </c>
      <c r="H829" s="8">
        <f t="shared" si="49"/>
        <v>1007.5181818181818</v>
      </c>
      <c r="I829" s="8">
        <f t="shared" si="50"/>
        <v>317.4818181818182</v>
      </c>
      <c r="J829" s="9">
        <f t="shared" si="51"/>
        <v>0.31511274328457867</v>
      </c>
      <c r="K829" s="7" t="s">
        <v>81</v>
      </c>
    </row>
    <row r="830" spans="1:11" x14ac:dyDescent="0.25">
      <c r="A830" s="7" t="s">
        <v>1450</v>
      </c>
      <c r="B830" s="7" t="s">
        <v>328</v>
      </c>
      <c r="C830" s="7" t="s">
        <v>1484</v>
      </c>
      <c r="D830" s="7" t="s">
        <v>15</v>
      </c>
      <c r="E830" s="16">
        <v>1325</v>
      </c>
      <c r="F830" s="16">
        <v>1108.27</v>
      </c>
      <c r="G830" s="8">
        <f t="shared" si="48"/>
        <v>100.75181818181818</v>
      </c>
      <c r="H830" s="8">
        <f t="shared" si="49"/>
        <v>1007.5181818181818</v>
      </c>
      <c r="I830" s="8">
        <f t="shared" si="50"/>
        <v>317.4818181818182</v>
      </c>
      <c r="J830" s="9">
        <f t="shared" si="51"/>
        <v>0.31511274328457867</v>
      </c>
      <c r="K830" s="7" t="s">
        <v>81</v>
      </c>
    </row>
    <row r="831" spans="1:11" x14ac:dyDescent="0.25">
      <c r="A831" s="7" t="s">
        <v>1450</v>
      </c>
      <c r="B831" s="7" t="s">
        <v>328</v>
      </c>
      <c r="C831" s="7" t="s">
        <v>1485</v>
      </c>
      <c r="D831" s="7" t="s">
        <v>15</v>
      </c>
      <c r="E831" s="16">
        <v>1325</v>
      </c>
      <c r="F831" s="16">
        <v>1108.27</v>
      </c>
      <c r="G831" s="8">
        <f t="shared" si="48"/>
        <v>100.75181818181818</v>
      </c>
      <c r="H831" s="8">
        <f t="shared" si="49"/>
        <v>1007.5181818181818</v>
      </c>
      <c r="I831" s="8">
        <f t="shared" si="50"/>
        <v>317.4818181818182</v>
      </c>
      <c r="J831" s="9">
        <f t="shared" si="51"/>
        <v>0.31511274328457867</v>
      </c>
      <c r="K831" s="7" t="s">
        <v>81</v>
      </c>
    </row>
    <row r="832" spans="1:11" x14ac:dyDescent="0.25">
      <c r="A832" s="7" t="s">
        <v>1450</v>
      </c>
      <c r="B832" s="7" t="s">
        <v>328</v>
      </c>
      <c r="C832" s="7" t="s">
        <v>1486</v>
      </c>
      <c r="D832" s="7" t="s">
        <v>15</v>
      </c>
      <c r="E832" s="16">
        <v>1325</v>
      </c>
      <c r="F832" s="16">
        <v>1108.27</v>
      </c>
      <c r="G832" s="8">
        <f t="shared" si="48"/>
        <v>100.75181818181818</v>
      </c>
      <c r="H832" s="8">
        <f t="shared" si="49"/>
        <v>1007.5181818181818</v>
      </c>
      <c r="I832" s="8">
        <f t="shared" si="50"/>
        <v>317.4818181818182</v>
      </c>
      <c r="J832" s="9">
        <f t="shared" si="51"/>
        <v>0.31511274328457867</v>
      </c>
      <c r="K832" s="7" t="s">
        <v>81</v>
      </c>
    </row>
    <row r="833" spans="1:11" x14ac:dyDescent="0.25">
      <c r="A833" s="7" t="s">
        <v>1450</v>
      </c>
      <c r="B833" s="7" t="s">
        <v>328</v>
      </c>
      <c r="C833" s="7" t="s">
        <v>1487</v>
      </c>
      <c r="D833" s="7" t="s">
        <v>15</v>
      </c>
      <c r="E833" s="16">
        <v>1325</v>
      </c>
      <c r="F833" s="16">
        <v>1108.27</v>
      </c>
      <c r="G833" s="8">
        <f t="shared" si="48"/>
        <v>100.75181818181818</v>
      </c>
      <c r="H833" s="8">
        <f t="shared" si="49"/>
        <v>1007.5181818181818</v>
      </c>
      <c r="I833" s="8">
        <f t="shared" si="50"/>
        <v>317.4818181818182</v>
      </c>
      <c r="J833" s="9">
        <f t="shared" si="51"/>
        <v>0.31511274328457867</v>
      </c>
      <c r="K833" s="7" t="s">
        <v>81</v>
      </c>
    </row>
    <row r="834" spans="1:11" x14ac:dyDescent="0.25">
      <c r="A834" s="7" t="s">
        <v>1450</v>
      </c>
      <c r="B834" s="7" t="s">
        <v>328</v>
      </c>
      <c r="C834" s="7" t="s">
        <v>1488</v>
      </c>
      <c r="D834" s="7" t="s">
        <v>15</v>
      </c>
      <c r="E834" s="16">
        <v>1325</v>
      </c>
      <c r="F834" s="16">
        <v>1108.27</v>
      </c>
      <c r="G834" s="8">
        <f t="shared" si="48"/>
        <v>100.75181818181818</v>
      </c>
      <c r="H834" s="8">
        <f t="shared" si="49"/>
        <v>1007.5181818181818</v>
      </c>
      <c r="I834" s="8">
        <f t="shared" si="50"/>
        <v>317.4818181818182</v>
      </c>
      <c r="J834" s="9">
        <f t="shared" si="51"/>
        <v>0.31511274328457867</v>
      </c>
      <c r="K834" s="7" t="s">
        <v>81</v>
      </c>
    </row>
    <row r="835" spans="1:11" x14ac:dyDescent="0.25">
      <c r="A835" s="7" t="s">
        <v>1450</v>
      </c>
      <c r="B835" s="7" t="s">
        <v>328</v>
      </c>
      <c r="C835" s="7" t="s">
        <v>1489</v>
      </c>
      <c r="D835" s="7" t="s">
        <v>15</v>
      </c>
      <c r="E835" s="16">
        <v>1325</v>
      </c>
      <c r="F835" s="16">
        <v>1108.27</v>
      </c>
      <c r="G835" s="8">
        <f t="shared" ref="G835:G898" si="52">F835/11</f>
        <v>100.75181818181818</v>
      </c>
      <c r="H835" s="8">
        <f t="shared" ref="H835:H898" si="53">F835-G835</f>
        <v>1007.5181818181818</v>
      </c>
      <c r="I835" s="8">
        <f t="shared" ref="I835:I898" si="54">E835-H835</f>
        <v>317.4818181818182</v>
      </c>
      <c r="J835" s="9">
        <f t="shared" ref="J835:J898" si="55">(E835-H835)/H835</f>
        <v>0.31511274328457867</v>
      </c>
      <c r="K835" s="7" t="s">
        <v>81</v>
      </c>
    </row>
    <row r="836" spans="1:11" x14ac:dyDescent="0.25">
      <c r="A836" s="7" t="s">
        <v>1450</v>
      </c>
      <c r="B836" s="7" t="s">
        <v>328</v>
      </c>
      <c r="C836" s="7" t="s">
        <v>1490</v>
      </c>
      <c r="D836" s="7" t="s">
        <v>15</v>
      </c>
      <c r="E836" s="16">
        <v>1325</v>
      </c>
      <c r="F836" s="16">
        <v>1108.27</v>
      </c>
      <c r="G836" s="8">
        <f t="shared" si="52"/>
        <v>100.75181818181818</v>
      </c>
      <c r="H836" s="8">
        <f t="shared" si="53"/>
        <v>1007.5181818181818</v>
      </c>
      <c r="I836" s="8">
        <f t="shared" si="54"/>
        <v>317.4818181818182</v>
      </c>
      <c r="J836" s="9">
        <f t="shared" si="55"/>
        <v>0.31511274328457867</v>
      </c>
      <c r="K836" s="7" t="s">
        <v>81</v>
      </c>
    </row>
    <row r="837" spans="1:11" x14ac:dyDescent="0.25">
      <c r="A837" s="7" t="s">
        <v>1450</v>
      </c>
      <c r="B837" s="7" t="s">
        <v>328</v>
      </c>
      <c r="C837" s="7" t="s">
        <v>1491</v>
      </c>
      <c r="D837" s="7" t="s">
        <v>15</v>
      </c>
      <c r="E837" s="16">
        <v>1325</v>
      </c>
      <c r="F837" s="16">
        <v>978.2</v>
      </c>
      <c r="G837" s="8">
        <f t="shared" si="52"/>
        <v>88.927272727272737</v>
      </c>
      <c r="H837" s="8">
        <f t="shared" si="53"/>
        <v>889.27272727272725</v>
      </c>
      <c r="I837" s="8">
        <f t="shared" si="54"/>
        <v>435.72727272727275</v>
      </c>
      <c r="J837" s="9">
        <f t="shared" si="55"/>
        <v>0.48998159885503989</v>
      </c>
      <c r="K837" s="7" t="s">
        <v>81</v>
      </c>
    </row>
    <row r="838" spans="1:11" x14ac:dyDescent="0.25">
      <c r="A838" s="7" t="s">
        <v>1450</v>
      </c>
      <c r="B838" s="7" t="s">
        <v>328</v>
      </c>
      <c r="C838" s="7" t="s">
        <v>1492</v>
      </c>
      <c r="D838" s="7" t="s">
        <v>15</v>
      </c>
      <c r="E838" s="16">
        <v>1325</v>
      </c>
      <c r="F838" s="16">
        <v>978.2</v>
      </c>
      <c r="G838" s="8">
        <f t="shared" si="52"/>
        <v>88.927272727272737</v>
      </c>
      <c r="H838" s="8">
        <f t="shared" si="53"/>
        <v>889.27272727272725</v>
      </c>
      <c r="I838" s="8">
        <f t="shared" si="54"/>
        <v>435.72727272727275</v>
      </c>
      <c r="J838" s="9">
        <f t="shared" si="55"/>
        <v>0.48998159885503989</v>
      </c>
      <c r="K838" s="7" t="s">
        <v>81</v>
      </c>
    </row>
    <row r="839" spans="1:11" x14ac:dyDescent="0.25">
      <c r="A839" s="7" t="s">
        <v>1450</v>
      </c>
      <c r="B839" s="7" t="s">
        <v>328</v>
      </c>
      <c r="C839" s="7" t="s">
        <v>1493</v>
      </c>
      <c r="D839" s="7" t="s">
        <v>15</v>
      </c>
      <c r="E839" s="16">
        <v>1325</v>
      </c>
      <c r="F839" s="16">
        <v>978.2</v>
      </c>
      <c r="G839" s="8">
        <f t="shared" si="52"/>
        <v>88.927272727272737</v>
      </c>
      <c r="H839" s="8">
        <f t="shared" si="53"/>
        <v>889.27272727272725</v>
      </c>
      <c r="I839" s="8">
        <f t="shared" si="54"/>
        <v>435.72727272727275</v>
      </c>
      <c r="J839" s="9">
        <f t="shared" si="55"/>
        <v>0.48998159885503989</v>
      </c>
      <c r="K839" s="7" t="s">
        <v>81</v>
      </c>
    </row>
    <row r="840" spans="1:11" x14ac:dyDescent="0.25">
      <c r="A840" s="7" t="s">
        <v>1450</v>
      </c>
      <c r="B840" s="7" t="s">
        <v>328</v>
      </c>
      <c r="C840" s="7" t="s">
        <v>1494</v>
      </c>
      <c r="D840" s="7" t="s">
        <v>15</v>
      </c>
      <c r="E840" s="16">
        <v>1325</v>
      </c>
      <c r="F840" s="16">
        <v>978.2</v>
      </c>
      <c r="G840" s="8">
        <f t="shared" si="52"/>
        <v>88.927272727272737</v>
      </c>
      <c r="H840" s="8">
        <f t="shared" si="53"/>
        <v>889.27272727272725</v>
      </c>
      <c r="I840" s="8">
        <f t="shared" si="54"/>
        <v>435.72727272727275</v>
      </c>
      <c r="J840" s="9">
        <f t="shared" si="55"/>
        <v>0.48998159885503989</v>
      </c>
      <c r="K840" s="7" t="s">
        <v>81</v>
      </c>
    </row>
    <row r="841" spans="1:11" x14ac:dyDescent="0.25">
      <c r="A841" s="7" t="s">
        <v>1450</v>
      </c>
      <c r="B841" s="7" t="s">
        <v>328</v>
      </c>
      <c r="C841" s="7" t="s">
        <v>1495</v>
      </c>
      <c r="D841" s="7" t="s">
        <v>15</v>
      </c>
      <c r="E841" s="16">
        <v>1325</v>
      </c>
      <c r="F841" s="16">
        <v>978.2</v>
      </c>
      <c r="G841" s="8">
        <f t="shared" si="52"/>
        <v>88.927272727272737</v>
      </c>
      <c r="H841" s="8">
        <f t="shared" si="53"/>
        <v>889.27272727272725</v>
      </c>
      <c r="I841" s="8">
        <f t="shared" si="54"/>
        <v>435.72727272727275</v>
      </c>
      <c r="J841" s="9">
        <f t="shared" si="55"/>
        <v>0.48998159885503989</v>
      </c>
      <c r="K841" s="7" t="s">
        <v>81</v>
      </c>
    </row>
    <row r="842" spans="1:11" x14ac:dyDescent="0.25">
      <c r="A842" s="7" t="s">
        <v>1450</v>
      </c>
      <c r="B842" s="7" t="s">
        <v>328</v>
      </c>
      <c r="C842" s="7" t="s">
        <v>1496</v>
      </c>
      <c r="D842" s="7" t="s">
        <v>15</v>
      </c>
      <c r="E842" s="16">
        <v>1325</v>
      </c>
      <c r="F842" s="16">
        <v>978.2</v>
      </c>
      <c r="G842" s="8">
        <f t="shared" si="52"/>
        <v>88.927272727272737</v>
      </c>
      <c r="H842" s="8">
        <f t="shared" si="53"/>
        <v>889.27272727272725</v>
      </c>
      <c r="I842" s="8">
        <f t="shared" si="54"/>
        <v>435.72727272727275</v>
      </c>
      <c r="J842" s="9">
        <f t="shared" si="55"/>
        <v>0.48998159885503989</v>
      </c>
      <c r="K842" s="7" t="s">
        <v>81</v>
      </c>
    </row>
    <row r="843" spans="1:11" x14ac:dyDescent="0.25">
      <c r="A843" s="7" t="s">
        <v>1450</v>
      </c>
      <c r="B843" s="7" t="s">
        <v>328</v>
      </c>
      <c r="C843" s="7" t="s">
        <v>1497</v>
      </c>
      <c r="D843" s="7" t="s">
        <v>15</v>
      </c>
      <c r="E843" s="16">
        <v>1325</v>
      </c>
      <c r="F843" s="16">
        <v>978.2</v>
      </c>
      <c r="G843" s="8">
        <f t="shared" si="52"/>
        <v>88.927272727272737</v>
      </c>
      <c r="H843" s="8">
        <f t="shared" si="53"/>
        <v>889.27272727272725</v>
      </c>
      <c r="I843" s="8">
        <f t="shared" si="54"/>
        <v>435.72727272727275</v>
      </c>
      <c r="J843" s="9">
        <f t="shared" si="55"/>
        <v>0.48998159885503989</v>
      </c>
      <c r="K843" s="7" t="s">
        <v>81</v>
      </c>
    </row>
    <row r="844" spans="1:11" x14ac:dyDescent="0.25">
      <c r="A844" s="7" t="s">
        <v>1450</v>
      </c>
      <c r="B844" s="7" t="s">
        <v>328</v>
      </c>
      <c r="C844" s="7" t="s">
        <v>1498</v>
      </c>
      <c r="D844" s="7" t="s">
        <v>15</v>
      </c>
      <c r="E844" s="16">
        <v>1325</v>
      </c>
      <c r="F844" s="16">
        <v>978.2</v>
      </c>
      <c r="G844" s="8">
        <f t="shared" si="52"/>
        <v>88.927272727272737</v>
      </c>
      <c r="H844" s="8">
        <f t="shared" si="53"/>
        <v>889.27272727272725</v>
      </c>
      <c r="I844" s="8">
        <f t="shared" si="54"/>
        <v>435.72727272727275</v>
      </c>
      <c r="J844" s="9">
        <f t="shared" si="55"/>
        <v>0.48998159885503989</v>
      </c>
      <c r="K844" s="7" t="s">
        <v>81</v>
      </c>
    </row>
    <row r="845" spans="1:11" x14ac:dyDescent="0.25">
      <c r="A845" s="7" t="s">
        <v>1450</v>
      </c>
      <c r="B845" s="7" t="s">
        <v>328</v>
      </c>
      <c r="C845" s="7" t="s">
        <v>1499</v>
      </c>
      <c r="D845" s="7" t="s">
        <v>15</v>
      </c>
      <c r="E845" s="16">
        <v>1325</v>
      </c>
      <c r="F845" s="16">
        <v>978.2</v>
      </c>
      <c r="G845" s="8">
        <f t="shared" si="52"/>
        <v>88.927272727272737</v>
      </c>
      <c r="H845" s="8">
        <f t="shared" si="53"/>
        <v>889.27272727272725</v>
      </c>
      <c r="I845" s="8">
        <f t="shared" si="54"/>
        <v>435.72727272727275</v>
      </c>
      <c r="J845" s="9">
        <f t="shared" si="55"/>
        <v>0.48998159885503989</v>
      </c>
      <c r="K845" s="7" t="s">
        <v>81</v>
      </c>
    </row>
    <row r="846" spans="1:11" x14ac:dyDescent="0.25">
      <c r="A846" s="7" t="s">
        <v>1450</v>
      </c>
      <c r="B846" s="7" t="s">
        <v>328</v>
      </c>
      <c r="C846" s="7" t="s">
        <v>1500</v>
      </c>
      <c r="D846" s="7" t="s">
        <v>15</v>
      </c>
      <c r="E846" s="16">
        <v>1325</v>
      </c>
      <c r="F846" s="16">
        <v>978.2</v>
      </c>
      <c r="G846" s="8">
        <f t="shared" si="52"/>
        <v>88.927272727272737</v>
      </c>
      <c r="H846" s="8">
        <f t="shared" si="53"/>
        <v>889.27272727272725</v>
      </c>
      <c r="I846" s="8">
        <f t="shared" si="54"/>
        <v>435.72727272727275</v>
      </c>
      <c r="J846" s="9">
        <f t="shared" si="55"/>
        <v>0.48998159885503989</v>
      </c>
      <c r="K846" s="7" t="s">
        <v>81</v>
      </c>
    </row>
    <row r="847" spans="1:11" x14ac:dyDescent="0.25">
      <c r="A847" s="7" t="s">
        <v>1450</v>
      </c>
      <c r="B847" s="7" t="s">
        <v>328</v>
      </c>
      <c r="C847" s="7" t="s">
        <v>1501</v>
      </c>
      <c r="D847" s="7" t="s">
        <v>15</v>
      </c>
      <c r="E847" s="16">
        <v>1325</v>
      </c>
      <c r="F847" s="16">
        <v>978.2</v>
      </c>
      <c r="G847" s="8">
        <f t="shared" si="52"/>
        <v>88.927272727272737</v>
      </c>
      <c r="H847" s="8">
        <f t="shared" si="53"/>
        <v>889.27272727272725</v>
      </c>
      <c r="I847" s="8">
        <f t="shared" si="54"/>
        <v>435.72727272727275</v>
      </c>
      <c r="J847" s="9">
        <f t="shared" si="55"/>
        <v>0.48998159885503989</v>
      </c>
      <c r="K847" s="7" t="s">
        <v>81</v>
      </c>
    </row>
    <row r="848" spans="1:11" x14ac:dyDescent="0.25">
      <c r="A848" s="7" t="s">
        <v>1450</v>
      </c>
      <c r="B848" s="7" t="s">
        <v>328</v>
      </c>
      <c r="C848" s="7" t="s">
        <v>1502</v>
      </c>
      <c r="D848" s="7" t="s">
        <v>15</v>
      </c>
      <c r="E848" s="16">
        <v>1325</v>
      </c>
      <c r="F848" s="16">
        <v>978.2</v>
      </c>
      <c r="G848" s="8">
        <f t="shared" si="52"/>
        <v>88.927272727272737</v>
      </c>
      <c r="H848" s="8">
        <f t="shared" si="53"/>
        <v>889.27272727272725</v>
      </c>
      <c r="I848" s="8">
        <f t="shared" si="54"/>
        <v>435.72727272727275</v>
      </c>
      <c r="J848" s="9">
        <f t="shared" si="55"/>
        <v>0.48998159885503989</v>
      </c>
      <c r="K848" s="7" t="s">
        <v>81</v>
      </c>
    </row>
    <row r="849" spans="1:11" x14ac:dyDescent="0.25">
      <c r="A849" s="7" t="s">
        <v>1450</v>
      </c>
      <c r="B849" s="7" t="s">
        <v>328</v>
      </c>
      <c r="C849" s="7" t="s">
        <v>1503</v>
      </c>
      <c r="D849" s="7" t="s">
        <v>15</v>
      </c>
      <c r="E849" s="16">
        <v>1325</v>
      </c>
      <c r="F849" s="16">
        <v>978.2</v>
      </c>
      <c r="G849" s="8">
        <f t="shared" si="52"/>
        <v>88.927272727272737</v>
      </c>
      <c r="H849" s="8">
        <f t="shared" si="53"/>
        <v>889.27272727272725</v>
      </c>
      <c r="I849" s="8">
        <f t="shared" si="54"/>
        <v>435.72727272727275</v>
      </c>
      <c r="J849" s="9">
        <f t="shared" si="55"/>
        <v>0.48998159885503989</v>
      </c>
      <c r="K849" s="7" t="s">
        <v>81</v>
      </c>
    </row>
    <row r="850" spans="1:11" x14ac:dyDescent="0.25">
      <c r="A850" s="7" t="s">
        <v>1450</v>
      </c>
      <c r="B850" s="7" t="s">
        <v>328</v>
      </c>
      <c r="C850" s="7" t="s">
        <v>1504</v>
      </c>
      <c r="D850" s="7" t="s">
        <v>15</v>
      </c>
      <c r="E850" s="16">
        <v>1325</v>
      </c>
      <c r="F850" s="16">
        <v>978.2</v>
      </c>
      <c r="G850" s="8">
        <f t="shared" si="52"/>
        <v>88.927272727272737</v>
      </c>
      <c r="H850" s="8">
        <f t="shared" si="53"/>
        <v>889.27272727272725</v>
      </c>
      <c r="I850" s="8">
        <f t="shared" si="54"/>
        <v>435.72727272727275</v>
      </c>
      <c r="J850" s="9">
        <f t="shared" si="55"/>
        <v>0.48998159885503989</v>
      </c>
      <c r="K850" s="7" t="s">
        <v>81</v>
      </c>
    </row>
    <row r="851" spans="1:11" x14ac:dyDescent="0.25">
      <c r="A851" s="7" t="s">
        <v>1450</v>
      </c>
      <c r="B851" s="7" t="s">
        <v>328</v>
      </c>
      <c r="C851" s="7" t="s">
        <v>1505</v>
      </c>
      <c r="D851" s="7" t="s">
        <v>15</v>
      </c>
      <c r="E851" s="16">
        <v>1325</v>
      </c>
      <c r="F851" s="16">
        <v>978.2</v>
      </c>
      <c r="G851" s="8">
        <f t="shared" si="52"/>
        <v>88.927272727272737</v>
      </c>
      <c r="H851" s="8">
        <f t="shared" si="53"/>
        <v>889.27272727272725</v>
      </c>
      <c r="I851" s="8">
        <f t="shared" si="54"/>
        <v>435.72727272727275</v>
      </c>
      <c r="J851" s="9">
        <f t="shared" si="55"/>
        <v>0.48998159885503989</v>
      </c>
      <c r="K851" s="7" t="s">
        <v>81</v>
      </c>
    </row>
    <row r="852" spans="1:11" x14ac:dyDescent="0.25">
      <c r="A852" s="7" t="s">
        <v>1450</v>
      </c>
      <c r="B852" s="7" t="s">
        <v>328</v>
      </c>
      <c r="C852" s="7" t="s">
        <v>1506</v>
      </c>
      <c r="D852" s="7" t="s">
        <v>15</v>
      </c>
      <c r="E852" s="16">
        <v>1325</v>
      </c>
      <c r="F852" s="16">
        <v>978.2</v>
      </c>
      <c r="G852" s="8">
        <f t="shared" si="52"/>
        <v>88.927272727272737</v>
      </c>
      <c r="H852" s="8">
        <f t="shared" si="53"/>
        <v>889.27272727272725</v>
      </c>
      <c r="I852" s="8">
        <f t="shared" si="54"/>
        <v>435.72727272727275</v>
      </c>
      <c r="J852" s="9">
        <f t="shared" si="55"/>
        <v>0.48998159885503989</v>
      </c>
      <c r="K852" s="7" t="s">
        <v>81</v>
      </c>
    </row>
    <row r="853" spans="1:11" x14ac:dyDescent="0.25">
      <c r="A853" s="7" t="s">
        <v>1450</v>
      </c>
      <c r="B853" s="7" t="s">
        <v>328</v>
      </c>
      <c r="C853" s="7" t="s">
        <v>1507</v>
      </c>
      <c r="D853" s="7" t="s">
        <v>15</v>
      </c>
      <c r="E853" s="16">
        <v>1325</v>
      </c>
      <c r="F853" s="16">
        <v>978.2</v>
      </c>
      <c r="G853" s="8">
        <f t="shared" si="52"/>
        <v>88.927272727272737</v>
      </c>
      <c r="H853" s="8">
        <f t="shared" si="53"/>
        <v>889.27272727272725</v>
      </c>
      <c r="I853" s="8">
        <f t="shared" si="54"/>
        <v>435.72727272727275</v>
      </c>
      <c r="J853" s="9">
        <f t="shared" si="55"/>
        <v>0.48998159885503989</v>
      </c>
      <c r="K853" s="7" t="s">
        <v>81</v>
      </c>
    </row>
    <row r="854" spans="1:11" x14ac:dyDescent="0.25">
      <c r="A854" s="7" t="s">
        <v>1450</v>
      </c>
      <c r="B854" s="7" t="s">
        <v>328</v>
      </c>
      <c r="C854" s="7" t="s">
        <v>1508</v>
      </c>
      <c r="D854" s="7" t="s">
        <v>15</v>
      </c>
      <c r="E854" s="16">
        <v>1325</v>
      </c>
      <c r="F854" s="16">
        <v>978.2</v>
      </c>
      <c r="G854" s="8">
        <f t="shared" si="52"/>
        <v>88.927272727272737</v>
      </c>
      <c r="H854" s="8">
        <f t="shared" si="53"/>
        <v>889.27272727272725</v>
      </c>
      <c r="I854" s="8">
        <f t="shared" si="54"/>
        <v>435.72727272727275</v>
      </c>
      <c r="J854" s="9">
        <f t="shared" si="55"/>
        <v>0.48998159885503989</v>
      </c>
      <c r="K854" s="7" t="s">
        <v>81</v>
      </c>
    </row>
    <row r="855" spans="1:11" x14ac:dyDescent="0.25">
      <c r="A855" s="7" t="s">
        <v>1450</v>
      </c>
      <c r="B855" s="7" t="s">
        <v>328</v>
      </c>
      <c r="C855" s="7" t="s">
        <v>1509</v>
      </c>
      <c r="D855" s="7" t="s">
        <v>15</v>
      </c>
      <c r="E855" s="16">
        <v>1325</v>
      </c>
      <c r="F855" s="16">
        <v>978.2</v>
      </c>
      <c r="G855" s="8">
        <f t="shared" si="52"/>
        <v>88.927272727272737</v>
      </c>
      <c r="H855" s="8">
        <f t="shared" si="53"/>
        <v>889.27272727272725</v>
      </c>
      <c r="I855" s="8">
        <f t="shared" si="54"/>
        <v>435.72727272727275</v>
      </c>
      <c r="J855" s="9">
        <f t="shared" si="55"/>
        <v>0.48998159885503989</v>
      </c>
      <c r="K855" s="7" t="s">
        <v>81</v>
      </c>
    </row>
    <row r="856" spans="1:11" x14ac:dyDescent="0.25">
      <c r="A856" s="7" t="s">
        <v>1450</v>
      </c>
      <c r="B856" s="7" t="s">
        <v>328</v>
      </c>
      <c r="C856" s="7" t="s">
        <v>1510</v>
      </c>
      <c r="D856" s="7" t="s">
        <v>15</v>
      </c>
      <c r="E856" s="16">
        <v>1325</v>
      </c>
      <c r="F856" s="16">
        <v>978.2</v>
      </c>
      <c r="G856" s="8">
        <f t="shared" si="52"/>
        <v>88.927272727272737</v>
      </c>
      <c r="H856" s="8">
        <f t="shared" si="53"/>
        <v>889.27272727272725</v>
      </c>
      <c r="I856" s="8">
        <f t="shared" si="54"/>
        <v>435.72727272727275</v>
      </c>
      <c r="J856" s="9">
        <f t="shared" si="55"/>
        <v>0.48998159885503989</v>
      </c>
      <c r="K856" s="7" t="s">
        <v>81</v>
      </c>
    </row>
    <row r="857" spans="1:11" x14ac:dyDescent="0.25">
      <c r="A857" s="7" t="s">
        <v>1450</v>
      </c>
      <c r="B857" s="7" t="s">
        <v>328</v>
      </c>
      <c r="C857" s="7" t="s">
        <v>1511</v>
      </c>
      <c r="D857" s="7" t="s">
        <v>15</v>
      </c>
      <c r="E857" s="16">
        <v>1325</v>
      </c>
      <c r="F857" s="16">
        <v>978.2</v>
      </c>
      <c r="G857" s="8">
        <f t="shared" si="52"/>
        <v>88.927272727272737</v>
      </c>
      <c r="H857" s="8">
        <f t="shared" si="53"/>
        <v>889.27272727272725</v>
      </c>
      <c r="I857" s="8">
        <f t="shared" si="54"/>
        <v>435.72727272727275</v>
      </c>
      <c r="J857" s="9">
        <f t="shared" si="55"/>
        <v>0.48998159885503989</v>
      </c>
      <c r="K857" s="7" t="s">
        <v>81</v>
      </c>
    </row>
    <row r="858" spans="1:11" x14ac:dyDescent="0.25">
      <c r="A858" s="7" t="s">
        <v>1450</v>
      </c>
      <c r="B858" s="7" t="s">
        <v>328</v>
      </c>
      <c r="C858" s="7" t="s">
        <v>1512</v>
      </c>
      <c r="D858" s="7" t="s">
        <v>15</v>
      </c>
      <c r="E858" s="16">
        <v>1325</v>
      </c>
      <c r="F858" s="16">
        <v>978.2</v>
      </c>
      <c r="G858" s="8">
        <f t="shared" si="52"/>
        <v>88.927272727272737</v>
      </c>
      <c r="H858" s="8">
        <f t="shared" si="53"/>
        <v>889.27272727272725</v>
      </c>
      <c r="I858" s="8">
        <f t="shared" si="54"/>
        <v>435.72727272727275</v>
      </c>
      <c r="J858" s="9">
        <f t="shared" si="55"/>
        <v>0.48998159885503989</v>
      </c>
      <c r="K858" s="7" t="s">
        <v>81</v>
      </c>
    </row>
    <row r="859" spans="1:11" x14ac:dyDescent="0.25">
      <c r="A859" s="7" t="s">
        <v>1450</v>
      </c>
      <c r="B859" s="7" t="s">
        <v>328</v>
      </c>
      <c r="C859" s="7" t="s">
        <v>1513</v>
      </c>
      <c r="D859" s="7" t="s">
        <v>15</v>
      </c>
      <c r="E859" s="16">
        <v>1325</v>
      </c>
      <c r="F859" s="16">
        <v>978.2</v>
      </c>
      <c r="G859" s="8">
        <f t="shared" si="52"/>
        <v>88.927272727272737</v>
      </c>
      <c r="H859" s="8">
        <f t="shared" si="53"/>
        <v>889.27272727272725</v>
      </c>
      <c r="I859" s="8">
        <f t="shared" si="54"/>
        <v>435.72727272727275</v>
      </c>
      <c r="J859" s="9">
        <f t="shared" si="55"/>
        <v>0.48998159885503989</v>
      </c>
      <c r="K859" s="7" t="s">
        <v>81</v>
      </c>
    </row>
    <row r="860" spans="1:11" x14ac:dyDescent="0.25">
      <c r="A860" s="7" t="s">
        <v>1450</v>
      </c>
      <c r="B860" s="7" t="s">
        <v>328</v>
      </c>
      <c r="C860" s="7" t="s">
        <v>1514</v>
      </c>
      <c r="D860" s="7" t="s">
        <v>15</v>
      </c>
      <c r="E860" s="16">
        <v>1325</v>
      </c>
      <c r="F860" s="16">
        <v>978.2</v>
      </c>
      <c r="G860" s="8">
        <f t="shared" si="52"/>
        <v>88.927272727272737</v>
      </c>
      <c r="H860" s="8">
        <f t="shared" si="53"/>
        <v>889.27272727272725</v>
      </c>
      <c r="I860" s="8">
        <f t="shared" si="54"/>
        <v>435.72727272727275</v>
      </c>
      <c r="J860" s="9">
        <f t="shared" si="55"/>
        <v>0.48998159885503989</v>
      </c>
      <c r="K860" s="7" t="s">
        <v>81</v>
      </c>
    </row>
    <row r="861" spans="1:11" x14ac:dyDescent="0.25">
      <c r="A861" s="7" t="s">
        <v>1450</v>
      </c>
      <c r="B861" s="7" t="s">
        <v>328</v>
      </c>
      <c r="C861" s="7" t="s">
        <v>1515</v>
      </c>
      <c r="D861" s="7" t="s">
        <v>15</v>
      </c>
      <c r="E861" s="16">
        <v>1325</v>
      </c>
      <c r="F861" s="16">
        <v>966.07</v>
      </c>
      <c r="G861" s="8">
        <f t="shared" si="52"/>
        <v>87.824545454545458</v>
      </c>
      <c r="H861" s="8">
        <f t="shared" si="53"/>
        <v>878.24545454545455</v>
      </c>
      <c r="I861" s="8">
        <f t="shared" si="54"/>
        <v>446.75454545454545</v>
      </c>
      <c r="J861" s="9">
        <f t="shared" si="55"/>
        <v>0.5086898464914551</v>
      </c>
      <c r="K861" s="7" t="s">
        <v>81</v>
      </c>
    </row>
    <row r="862" spans="1:11" x14ac:dyDescent="0.25">
      <c r="A862" s="7" t="s">
        <v>1450</v>
      </c>
      <c r="B862" s="7" t="s">
        <v>328</v>
      </c>
      <c r="C862" s="7" t="s">
        <v>1516</v>
      </c>
      <c r="D862" s="7" t="s">
        <v>15</v>
      </c>
      <c r="E862" s="16">
        <v>1325</v>
      </c>
      <c r="F862" s="16">
        <v>966.07</v>
      </c>
      <c r="G862" s="8">
        <f t="shared" si="52"/>
        <v>87.824545454545458</v>
      </c>
      <c r="H862" s="8">
        <f t="shared" si="53"/>
        <v>878.24545454545455</v>
      </c>
      <c r="I862" s="8">
        <f t="shared" si="54"/>
        <v>446.75454545454545</v>
      </c>
      <c r="J862" s="9">
        <f t="shared" si="55"/>
        <v>0.5086898464914551</v>
      </c>
      <c r="K862" s="7" t="s">
        <v>81</v>
      </c>
    </row>
    <row r="863" spans="1:11" x14ac:dyDescent="0.25">
      <c r="A863" s="7" t="s">
        <v>1450</v>
      </c>
      <c r="B863" s="7" t="s">
        <v>328</v>
      </c>
      <c r="C863" s="7" t="s">
        <v>1517</v>
      </c>
      <c r="D863" s="7" t="s">
        <v>15</v>
      </c>
      <c r="E863" s="16">
        <v>1325</v>
      </c>
      <c r="F863" s="16">
        <v>966.07</v>
      </c>
      <c r="G863" s="8">
        <f t="shared" si="52"/>
        <v>87.824545454545458</v>
      </c>
      <c r="H863" s="8">
        <f t="shared" si="53"/>
        <v>878.24545454545455</v>
      </c>
      <c r="I863" s="8">
        <f t="shared" si="54"/>
        <v>446.75454545454545</v>
      </c>
      <c r="J863" s="9">
        <f t="shared" si="55"/>
        <v>0.5086898464914551</v>
      </c>
      <c r="K863" s="7" t="s">
        <v>81</v>
      </c>
    </row>
    <row r="864" spans="1:11" x14ac:dyDescent="0.25">
      <c r="A864" s="7" t="s">
        <v>1450</v>
      </c>
      <c r="B864" s="7" t="s">
        <v>328</v>
      </c>
      <c r="C864" s="7" t="s">
        <v>1518</v>
      </c>
      <c r="D864" s="7" t="s">
        <v>15</v>
      </c>
      <c r="E864" s="16">
        <v>1325</v>
      </c>
      <c r="F864" s="16">
        <v>966.07</v>
      </c>
      <c r="G864" s="8">
        <f t="shared" si="52"/>
        <v>87.824545454545458</v>
      </c>
      <c r="H864" s="8">
        <f t="shared" si="53"/>
        <v>878.24545454545455</v>
      </c>
      <c r="I864" s="8">
        <f t="shared" si="54"/>
        <v>446.75454545454545</v>
      </c>
      <c r="J864" s="9">
        <f t="shared" si="55"/>
        <v>0.5086898464914551</v>
      </c>
      <c r="K864" s="7" t="s">
        <v>81</v>
      </c>
    </row>
    <row r="865" spans="1:11" x14ac:dyDescent="0.25">
      <c r="A865" s="7" t="s">
        <v>1450</v>
      </c>
      <c r="B865" s="7" t="s">
        <v>328</v>
      </c>
      <c r="C865" s="7" t="s">
        <v>1519</v>
      </c>
      <c r="D865" s="7" t="s">
        <v>15</v>
      </c>
      <c r="E865" s="16">
        <v>1325</v>
      </c>
      <c r="F865" s="16">
        <v>966.07</v>
      </c>
      <c r="G865" s="8">
        <f t="shared" si="52"/>
        <v>87.824545454545458</v>
      </c>
      <c r="H865" s="8">
        <f t="shared" si="53"/>
        <v>878.24545454545455</v>
      </c>
      <c r="I865" s="8">
        <f t="shared" si="54"/>
        <v>446.75454545454545</v>
      </c>
      <c r="J865" s="9">
        <f t="shared" si="55"/>
        <v>0.5086898464914551</v>
      </c>
      <c r="K865" s="7" t="s">
        <v>81</v>
      </c>
    </row>
    <row r="866" spans="1:11" x14ac:dyDescent="0.25">
      <c r="A866" s="7" t="s">
        <v>1450</v>
      </c>
      <c r="B866" s="7" t="s">
        <v>328</v>
      </c>
      <c r="C866" s="7" t="s">
        <v>1520</v>
      </c>
      <c r="D866" s="7" t="s">
        <v>15</v>
      </c>
      <c r="E866" s="16">
        <v>1325</v>
      </c>
      <c r="F866" s="16">
        <v>966.07</v>
      </c>
      <c r="G866" s="8">
        <f t="shared" si="52"/>
        <v>87.824545454545458</v>
      </c>
      <c r="H866" s="8">
        <f t="shared" si="53"/>
        <v>878.24545454545455</v>
      </c>
      <c r="I866" s="8">
        <f t="shared" si="54"/>
        <v>446.75454545454545</v>
      </c>
      <c r="J866" s="9">
        <f t="shared" si="55"/>
        <v>0.5086898464914551</v>
      </c>
      <c r="K866" s="7" t="s">
        <v>81</v>
      </c>
    </row>
    <row r="867" spans="1:11" x14ac:dyDescent="0.25">
      <c r="A867" s="7" t="s">
        <v>1450</v>
      </c>
      <c r="B867" s="7" t="s">
        <v>328</v>
      </c>
      <c r="C867" s="7" t="s">
        <v>1521</v>
      </c>
      <c r="D867" s="7" t="s">
        <v>15</v>
      </c>
      <c r="E867" s="16">
        <v>1325</v>
      </c>
      <c r="F867" s="16">
        <v>966.07</v>
      </c>
      <c r="G867" s="8">
        <f t="shared" si="52"/>
        <v>87.824545454545458</v>
      </c>
      <c r="H867" s="8">
        <f t="shared" si="53"/>
        <v>878.24545454545455</v>
      </c>
      <c r="I867" s="8">
        <f t="shared" si="54"/>
        <v>446.75454545454545</v>
      </c>
      <c r="J867" s="9">
        <f t="shared" si="55"/>
        <v>0.5086898464914551</v>
      </c>
      <c r="K867" s="7" t="s">
        <v>81</v>
      </c>
    </row>
    <row r="868" spans="1:11" x14ac:dyDescent="0.25">
      <c r="A868" s="7" t="s">
        <v>1450</v>
      </c>
      <c r="B868" s="7" t="s">
        <v>328</v>
      </c>
      <c r="C868" s="7" t="s">
        <v>1522</v>
      </c>
      <c r="D868" s="7" t="s">
        <v>15</v>
      </c>
      <c r="E868" s="16">
        <v>1325</v>
      </c>
      <c r="F868" s="16">
        <v>966.07</v>
      </c>
      <c r="G868" s="8">
        <f t="shared" si="52"/>
        <v>87.824545454545458</v>
      </c>
      <c r="H868" s="8">
        <f t="shared" si="53"/>
        <v>878.24545454545455</v>
      </c>
      <c r="I868" s="8">
        <f t="shared" si="54"/>
        <v>446.75454545454545</v>
      </c>
      <c r="J868" s="9">
        <f t="shared" si="55"/>
        <v>0.5086898464914551</v>
      </c>
      <c r="K868" s="7" t="s">
        <v>81</v>
      </c>
    </row>
    <row r="869" spans="1:11" x14ac:dyDescent="0.25">
      <c r="A869" s="7" t="s">
        <v>1450</v>
      </c>
      <c r="B869" s="7" t="s">
        <v>328</v>
      </c>
      <c r="C869" s="7" t="s">
        <v>1523</v>
      </c>
      <c r="D869" s="7" t="s">
        <v>15</v>
      </c>
      <c r="E869" s="16">
        <v>1325</v>
      </c>
      <c r="F869" s="16">
        <v>966.07</v>
      </c>
      <c r="G869" s="8">
        <f t="shared" si="52"/>
        <v>87.824545454545458</v>
      </c>
      <c r="H869" s="8">
        <f t="shared" si="53"/>
        <v>878.24545454545455</v>
      </c>
      <c r="I869" s="8">
        <f t="shared" si="54"/>
        <v>446.75454545454545</v>
      </c>
      <c r="J869" s="9">
        <f t="shared" si="55"/>
        <v>0.5086898464914551</v>
      </c>
      <c r="K869" s="7" t="s">
        <v>81</v>
      </c>
    </row>
    <row r="870" spans="1:11" x14ac:dyDescent="0.25">
      <c r="A870" s="7" t="s">
        <v>1450</v>
      </c>
      <c r="B870" s="7" t="s">
        <v>328</v>
      </c>
      <c r="C870" s="7" t="s">
        <v>1524</v>
      </c>
      <c r="D870" s="7" t="s">
        <v>15</v>
      </c>
      <c r="E870" s="16">
        <v>1325</v>
      </c>
      <c r="F870" s="16">
        <v>966.07</v>
      </c>
      <c r="G870" s="8">
        <f t="shared" si="52"/>
        <v>87.824545454545458</v>
      </c>
      <c r="H870" s="8">
        <f t="shared" si="53"/>
        <v>878.24545454545455</v>
      </c>
      <c r="I870" s="8">
        <f t="shared" si="54"/>
        <v>446.75454545454545</v>
      </c>
      <c r="J870" s="9">
        <f t="shared" si="55"/>
        <v>0.5086898464914551</v>
      </c>
      <c r="K870" s="7" t="s">
        <v>81</v>
      </c>
    </row>
    <row r="871" spans="1:11" x14ac:dyDescent="0.25">
      <c r="A871" s="7" t="s">
        <v>1450</v>
      </c>
      <c r="B871" s="7" t="s">
        <v>328</v>
      </c>
      <c r="C871" s="7" t="s">
        <v>1525</v>
      </c>
      <c r="D871" s="7" t="s">
        <v>15</v>
      </c>
      <c r="E871" s="16">
        <v>1325</v>
      </c>
      <c r="F871" s="16">
        <v>966.07</v>
      </c>
      <c r="G871" s="8">
        <f t="shared" si="52"/>
        <v>87.824545454545458</v>
      </c>
      <c r="H871" s="8">
        <f t="shared" si="53"/>
        <v>878.24545454545455</v>
      </c>
      <c r="I871" s="8">
        <f t="shared" si="54"/>
        <v>446.75454545454545</v>
      </c>
      <c r="J871" s="9">
        <f t="shared" si="55"/>
        <v>0.5086898464914551</v>
      </c>
      <c r="K871" s="7" t="s">
        <v>81</v>
      </c>
    </row>
    <row r="872" spans="1:11" x14ac:dyDescent="0.25">
      <c r="A872" s="7" t="s">
        <v>1450</v>
      </c>
      <c r="B872" s="7" t="s">
        <v>328</v>
      </c>
      <c r="C872" s="7" t="s">
        <v>1526</v>
      </c>
      <c r="D872" s="7" t="s">
        <v>15</v>
      </c>
      <c r="E872" s="16">
        <v>1325</v>
      </c>
      <c r="F872" s="16">
        <v>966.07</v>
      </c>
      <c r="G872" s="8">
        <f t="shared" si="52"/>
        <v>87.824545454545458</v>
      </c>
      <c r="H872" s="8">
        <f t="shared" si="53"/>
        <v>878.24545454545455</v>
      </c>
      <c r="I872" s="8">
        <f t="shared" si="54"/>
        <v>446.75454545454545</v>
      </c>
      <c r="J872" s="9">
        <f t="shared" si="55"/>
        <v>0.5086898464914551</v>
      </c>
      <c r="K872" s="7" t="s">
        <v>81</v>
      </c>
    </row>
    <row r="873" spans="1:11" x14ac:dyDescent="0.25">
      <c r="A873" s="7" t="s">
        <v>1450</v>
      </c>
      <c r="B873" s="7" t="s">
        <v>328</v>
      </c>
      <c r="C873" s="7" t="s">
        <v>1527</v>
      </c>
      <c r="D873" s="7" t="s">
        <v>15</v>
      </c>
      <c r="E873" s="16">
        <v>1325</v>
      </c>
      <c r="F873" s="16">
        <v>966.07</v>
      </c>
      <c r="G873" s="8">
        <f t="shared" si="52"/>
        <v>87.824545454545458</v>
      </c>
      <c r="H873" s="8">
        <f t="shared" si="53"/>
        <v>878.24545454545455</v>
      </c>
      <c r="I873" s="8">
        <f t="shared" si="54"/>
        <v>446.75454545454545</v>
      </c>
      <c r="J873" s="9">
        <f t="shared" si="55"/>
        <v>0.5086898464914551</v>
      </c>
      <c r="K873" s="7" t="s">
        <v>81</v>
      </c>
    </row>
    <row r="874" spans="1:11" x14ac:dyDescent="0.25">
      <c r="A874" s="7" t="s">
        <v>1450</v>
      </c>
      <c r="B874" s="7" t="s">
        <v>328</v>
      </c>
      <c r="C874" s="7" t="s">
        <v>1528</v>
      </c>
      <c r="D874" s="7" t="s">
        <v>15</v>
      </c>
      <c r="E874" s="16">
        <v>1325</v>
      </c>
      <c r="F874" s="16">
        <v>966.07</v>
      </c>
      <c r="G874" s="8">
        <f t="shared" si="52"/>
        <v>87.824545454545458</v>
      </c>
      <c r="H874" s="8">
        <f t="shared" si="53"/>
        <v>878.24545454545455</v>
      </c>
      <c r="I874" s="8">
        <f t="shared" si="54"/>
        <v>446.75454545454545</v>
      </c>
      <c r="J874" s="9">
        <f t="shared" si="55"/>
        <v>0.5086898464914551</v>
      </c>
      <c r="K874" s="7" t="s">
        <v>81</v>
      </c>
    </row>
    <row r="875" spans="1:11" x14ac:dyDescent="0.25">
      <c r="A875" s="7" t="s">
        <v>1450</v>
      </c>
      <c r="B875" s="7" t="s">
        <v>328</v>
      </c>
      <c r="C875" s="7" t="s">
        <v>1529</v>
      </c>
      <c r="D875" s="7" t="s">
        <v>15</v>
      </c>
      <c r="E875" s="16">
        <v>1325</v>
      </c>
      <c r="F875" s="16">
        <v>966.07</v>
      </c>
      <c r="G875" s="8">
        <f t="shared" si="52"/>
        <v>87.824545454545458</v>
      </c>
      <c r="H875" s="8">
        <f t="shared" si="53"/>
        <v>878.24545454545455</v>
      </c>
      <c r="I875" s="8">
        <f t="shared" si="54"/>
        <v>446.75454545454545</v>
      </c>
      <c r="J875" s="9">
        <f t="shared" si="55"/>
        <v>0.5086898464914551</v>
      </c>
      <c r="K875" s="7" t="s">
        <v>81</v>
      </c>
    </row>
    <row r="876" spans="1:11" x14ac:dyDescent="0.25">
      <c r="A876" s="7" t="s">
        <v>1450</v>
      </c>
      <c r="B876" s="7" t="s">
        <v>328</v>
      </c>
      <c r="C876" s="7" t="s">
        <v>1530</v>
      </c>
      <c r="D876" s="7" t="s">
        <v>15</v>
      </c>
      <c r="E876" s="16">
        <v>1325</v>
      </c>
      <c r="F876" s="16">
        <v>966.07</v>
      </c>
      <c r="G876" s="8">
        <f t="shared" si="52"/>
        <v>87.824545454545458</v>
      </c>
      <c r="H876" s="8">
        <f t="shared" si="53"/>
        <v>878.24545454545455</v>
      </c>
      <c r="I876" s="8">
        <f t="shared" si="54"/>
        <v>446.75454545454545</v>
      </c>
      <c r="J876" s="9">
        <f t="shared" si="55"/>
        <v>0.5086898464914551</v>
      </c>
      <c r="K876" s="7" t="s">
        <v>81</v>
      </c>
    </row>
    <row r="877" spans="1:11" x14ac:dyDescent="0.25">
      <c r="A877" s="7" t="s">
        <v>1450</v>
      </c>
      <c r="B877" s="7" t="s">
        <v>328</v>
      </c>
      <c r="C877" s="7" t="s">
        <v>1531</v>
      </c>
      <c r="D877" s="7" t="s">
        <v>15</v>
      </c>
      <c r="E877" s="16">
        <v>1325</v>
      </c>
      <c r="F877" s="16">
        <v>966.07</v>
      </c>
      <c r="G877" s="8">
        <f t="shared" si="52"/>
        <v>87.824545454545458</v>
      </c>
      <c r="H877" s="8">
        <f t="shared" si="53"/>
        <v>878.24545454545455</v>
      </c>
      <c r="I877" s="8">
        <f t="shared" si="54"/>
        <v>446.75454545454545</v>
      </c>
      <c r="J877" s="9">
        <f t="shared" si="55"/>
        <v>0.5086898464914551</v>
      </c>
      <c r="K877" s="7" t="s">
        <v>81</v>
      </c>
    </row>
    <row r="878" spans="1:11" x14ac:dyDescent="0.25">
      <c r="A878" s="7" t="s">
        <v>1450</v>
      </c>
      <c r="B878" s="7" t="s">
        <v>328</v>
      </c>
      <c r="C878" s="7" t="s">
        <v>1532</v>
      </c>
      <c r="D878" s="7" t="s">
        <v>15</v>
      </c>
      <c r="E878" s="16">
        <v>1325</v>
      </c>
      <c r="F878" s="16">
        <v>966.07</v>
      </c>
      <c r="G878" s="8">
        <f t="shared" si="52"/>
        <v>87.824545454545458</v>
      </c>
      <c r="H878" s="8">
        <f t="shared" si="53"/>
        <v>878.24545454545455</v>
      </c>
      <c r="I878" s="8">
        <f t="shared" si="54"/>
        <v>446.75454545454545</v>
      </c>
      <c r="J878" s="9">
        <f t="shared" si="55"/>
        <v>0.5086898464914551</v>
      </c>
      <c r="K878" s="7" t="s">
        <v>81</v>
      </c>
    </row>
    <row r="879" spans="1:11" x14ac:dyDescent="0.25">
      <c r="A879" s="7" t="s">
        <v>1450</v>
      </c>
      <c r="B879" s="7" t="s">
        <v>328</v>
      </c>
      <c r="C879" s="7" t="s">
        <v>1533</v>
      </c>
      <c r="D879" s="7" t="s">
        <v>15</v>
      </c>
      <c r="E879" s="16">
        <v>1325</v>
      </c>
      <c r="F879" s="16">
        <v>966.07</v>
      </c>
      <c r="G879" s="8">
        <f t="shared" si="52"/>
        <v>87.824545454545458</v>
      </c>
      <c r="H879" s="8">
        <f t="shared" si="53"/>
        <v>878.24545454545455</v>
      </c>
      <c r="I879" s="8">
        <f t="shared" si="54"/>
        <v>446.75454545454545</v>
      </c>
      <c r="J879" s="9">
        <f t="shared" si="55"/>
        <v>0.5086898464914551</v>
      </c>
      <c r="K879" s="7" t="s">
        <v>81</v>
      </c>
    </row>
    <row r="880" spans="1:11" x14ac:dyDescent="0.25">
      <c r="A880" s="7" t="s">
        <v>1450</v>
      </c>
      <c r="B880" s="7" t="s">
        <v>328</v>
      </c>
      <c r="C880" s="7" t="s">
        <v>1534</v>
      </c>
      <c r="D880" s="7" t="s">
        <v>15</v>
      </c>
      <c r="E880" s="16">
        <v>1325</v>
      </c>
      <c r="F880" s="16">
        <v>966.07</v>
      </c>
      <c r="G880" s="8">
        <f t="shared" si="52"/>
        <v>87.824545454545458</v>
      </c>
      <c r="H880" s="8">
        <f t="shared" si="53"/>
        <v>878.24545454545455</v>
      </c>
      <c r="I880" s="8">
        <f t="shared" si="54"/>
        <v>446.75454545454545</v>
      </c>
      <c r="J880" s="9">
        <f t="shared" si="55"/>
        <v>0.5086898464914551</v>
      </c>
      <c r="K880" s="7" t="s">
        <v>81</v>
      </c>
    </row>
    <row r="881" spans="1:11" x14ac:dyDescent="0.25">
      <c r="A881" s="7" t="s">
        <v>1450</v>
      </c>
      <c r="B881" s="7" t="s">
        <v>328</v>
      </c>
      <c r="C881" s="7" t="s">
        <v>1535</v>
      </c>
      <c r="D881" s="7" t="s">
        <v>15</v>
      </c>
      <c r="E881" s="16">
        <v>1325</v>
      </c>
      <c r="F881" s="16">
        <v>966.07</v>
      </c>
      <c r="G881" s="8">
        <f t="shared" si="52"/>
        <v>87.824545454545458</v>
      </c>
      <c r="H881" s="8">
        <f t="shared" si="53"/>
        <v>878.24545454545455</v>
      </c>
      <c r="I881" s="8">
        <f t="shared" si="54"/>
        <v>446.75454545454545</v>
      </c>
      <c r="J881" s="9">
        <f t="shared" si="55"/>
        <v>0.5086898464914551</v>
      </c>
      <c r="K881" s="7" t="s">
        <v>81</v>
      </c>
    </row>
    <row r="882" spans="1:11" x14ac:dyDescent="0.25">
      <c r="A882" s="7" t="s">
        <v>1450</v>
      </c>
      <c r="B882" s="7" t="s">
        <v>328</v>
      </c>
      <c r="C882" s="7" t="s">
        <v>1536</v>
      </c>
      <c r="D882" s="7" t="s">
        <v>15</v>
      </c>
      <c r="E882" s="16">
        <v>1325</v>
      </c>
      <c r="F882" s="16">
        <v>966.07</v>
      </c>
      <c r="G882" s="8">
        <f t="shared" si="52"/>
        <v>87.824545454545458</v>
      </c>
      <c r="H882" s="8">
        <f t="shared" si="53"/>
        <v>878.24545454545455</v>
      </c>
      <c r="I882" s="8">
        <f t="shared" si="54"/>
        <v>446.75454545454545</v>
      </c>
      <c r="J882" s="9">
        <f t="shared" si="55"/>
        <v>0.5086898464914551</v>
      </c>
      <c r="K882" s="7" t="s">
        <v>81</v>
      </c>
    </row>
    <row r="883" spans="1:11" x14ac:dyDescent="0.25">
      <c r="A883" s="7" t="s">
        <v>1450</v>
      </c>
      <c r="B883" s="7" t="s">
        <v>328</v>
      </c>
      <c r="C883" s="7" t="s">
        <v>1537</v>
      </c>
      <c r="D883" s="7" t="s">
        <v>15</v>
      </c>
      <c r="E883" s="16">
        <v>1325</v>
      </c>
      <c r="F883" s="16">
        <v>966.07</v>
      </c>
      <c r="G883" s="8">
        <f t="shared" si="52"/>
        <v>87.824545454545458</v>
      </c>
      <c r="H883" s="8">
        <f t="shared" si="53"/>
        <v>878.24545454545455</v>
      </c>
      <c r="I883" s="8">
        <f t="shared" si="54"/>
        <v>446.75454545454545</v>
      </c>
      <c r="J883" s="9">
        <f t="shared" si="55"/>
        <v>0.5086898464914551</v>
      </c>
      <c r="K883" s="7" t="s">
        <v>81</v>
      </c>
    </row>
    <row r="884" spans="1:11" x14ac:dyDescent="0.25">
      <c r="A884" s="7" t="s">
        <v>1450</v>
      </c>
      <c r="B884" s="7" t="s">
        <v>328</v>
      </c>
      <c r="C884" s="7" t="s">
        <v>1538</v>
      </c>
      <c r="D884" s="7" t="s">
        <v>15</v>
      </c>
      <c r="E884" s="16">
        <v>1325</v>
      </c>
      <c r="F884" s="16">
        <v>966.07</v>
      </c>
      <c r="G884" s="8">
        <f t="shared" si="52"/>
        <v>87.824545454545458</v>
      </c>
      <c r="H884" s="8">
        <f t="shared" si="53"/>
        <v>878.24545454545455</v>
      </c>
      <c r="I884" s="8">
        <f t="shared" si="54"/>
        <v>446.75454545454545</v>
      </c>
      <c r="J884" s="9">
        <f t="shared" si="55"/>
        <v>0.5086898464914551</v>
      </c>
      <c r="K884" s="7" t="s">
        <v>81</v>
      </c>
    </row>
    <row r="885" spans="1:11" x14ac:dyDescent="0.25">
      <c r="A885" s="7" t="s">
        <v>1450</v>
      </c>
      <c r="B885" s="7" t="s">
        <v>328</v>
      </c>
      <c r="C885" s="7" t="s">
        <v>1539</v>
      </c>
      <c r="D885" s="7" t="s">
        <v>15</v>
      </c>
      <c r="E885" s="16">
        <v>1325</v>
      </c>
      <c r="F885" s="16">
        <v>966.07</v>
      </c>
      <c r="G885" s="8">
        <f t="shared" si="52"/>
        <v>87.824545454545458</v>
      </c>
      <c r="H885" s="8">
        <f t="shared" si="53"/>
        <v>878.24545454545455</v>
      </c>
      <c r="I885" s="8">
        <f t="shared" si="54"/>
        <v>446.75454545454545</v>
      </c>
      <c r="J885" s="9">
        <f t="shared" si="55"/>
        <v>0.5086898464914551</v>
      </c>
      <c r="K885" s="7" t="s">
        <v>81</v>
      </c>
    </row>
    <row r="886" spans="1:11" x14ac:dyDescent="0.25">
      <c r="A886" s="7" t="s">
        <v>1450</v>
      </c>
      <c r="B886" s="7" t="s">
        <v>328</v>
      </c>
      <c r="C886" s="7" t="s">
        <v>1540</v>
      </c>
      <c r="D886" s="7" t="s">
        <v>15</v>
      </c>
      <c r="E886" s="16">
        <v>1325</v>
      </c>
      <c r="F886" s="16">
        <v>966.07</v>
      </c>
      <c r="G886" s="8">
        <f t="shared" si="52"/>
        <v>87.824545454545458</v>
      </c>
      <c r="H886" s="8">
        <f t="shared" si="53"/>
        <v>878.24545454545455</v>
      </c>
      <c r="I886" s="8">
        <f t="shared" si="54"/>
        <v>446.75454545454545</v>
      </c>
      <c r="J886" s="9">
        <f t="shared" si="55"/>
        <v>0.5086898464914551</v>
      </c>
      <c r="K886" s="7" t="s">
        <v>81</v>
      </c>
    </row>
    <row r="887" spans="1:11" x14ac:dyDescent="0.25">
      <c r="A887" s="7" t="s">
        <v>1450</v>
      </c>
      <c r="B887" s="7" t="s">
        <v>328</v>
      </c>
      <c r="C887" s="7" t="s">
        <v>1541</v>
      </c>
      <c r="D887" s="7" t="s">
        <v>15</v>
      </c>
      <c r="E887" s="16">
        <v>1325</v>
      </c>
      <c r="F887" s="16">
        <v>966.07</v>
      </c>
      <c r="G887" s="8">
        <f t="shared" si="52"/>
        <v>87.824545454545458</v>
      </c>
      <c r="H887" s="8">
        <f t="shared" si="53"/>
        <v>878.24545454545455</v>
      </c>
      <c r="I887" s="8">
        <f t="shared" si="54"/>
        <v>446.75454545454545</v>
      </c>
      <c r="J887" s="9">
        <f t="shared" si="55"/>
        <v>0.5086898464914551</v>
      </c>
      <c r="K887" s="7" t="s">
        <v>81</v>
      </c>
    </row>
    <row r="888" spans="1:11" x14ac:dyDescent="0.25">
      <c r="A888" s="7" t="s">
        <v>1450</v>
      </c>
      <c r="B888" s="7" t="s">
        <v>328</v>
      </c>
      <c r="C888" s="7" t="s">
        <v>1542</v>
      </c>
      <c r="D888" s="7" t="s">
        <v>15</v>
      </c>
      <c r="E888" s="16">
        <v>1325</v>
      </c>
      <c r="F888" s="16">
        <v>966.07</v>
      </c>
      <c r="G888" s="8">
        <f t="shared" si="52"/>
        <v>87.824545454545458</v>
      </c>
      <c r="H888" s="8">
        <f t="shared" si="53"/>
        <v>878.24545454545455</v>
      </c>
      <c r="I888" s="8">
        <f t="shared" si="54"/>
        <v>446.75454545454545</v>
      </c>
      <c r="J888" s="9">
        <f t="shared" si="55"/>
        <v>0.5086898464914551</v>
      </c>
      <c r="K888" s="7" t="s">
        <v>81</v>
      </c>
    </row>
    <row r="889" spans="1:11" x14ac:dyDescent="0.25">
      <c r="A889" s="7" t="s">
        <v>1450</v>
      </c>
      <c r="B889" s="7" t="s">
        <v>328</v>
      </c>
      <c r="C889" s="7" t="s">
        <v>1543</v>
      </c>
      <c r="D889" s="7" t="s">
        <v>15</v>
      </c>
      <c r="E889" s="16">
        <v>1325</v>
      </c>
      <c r="F889" s="16">
        <v>966.07</v>
      </c>
      <c r="G889" s="8">
        <f t="shared" si="52"/>
        <v>87.824545454545458</v>
      </c>
      <c r="H889" s="8">
        <f t="shared" si="53"/>
        <v>878.24545454545455</v>
      </c>
      <c r="I889" s="8">
        <f t="shared" si="54"/>
        <v>446.75454545454545</v>
      </c>
      <c r="J889" s="9">
        <f t="shared" si="55"/>
        <v>0.5086898464914551</v>
      </c>
      <c r="K889" s="7" t="s">
        <v>81</v>
      </c>
    </row>
    <row r="890" spans="1:11" x14ac:dyDescent="0.25">
      <c r="A890" s="7" t="s">
        <v>1450</v>
      </c>
      <c r="B890" s="7" t="s">
        <v>328</v>
      </c>
      <c r="C890" s="7" t="s">
        <v>1544</v>
      </c>
      <c r="D890" s="7" t="s">
        <v>15</v>
      </c>
      <c r="E890" s="16">
        <v>1325</v>
      </c>
      <c r="F890" s="16">
        <v>966.07</v>
      </c>
      <c r="G890" s="8">
        <f t="shared" si="52"/>
        <v>87.824545454545458</v>
      </c>
      <c r="H890" s="8">
        <f t="shared" si="53"/>
        <v>878.24545454545455</v>
      </c>
      <c r="I890" s="8">
        <f t="shared" si="54"/>
        <v>446.75454545454545</v>
      </c>
      <c r="J890" s="9">
        <f t="shared" si="55"/>
        <v>0.5086898464914551</v>
      </c>
      <c r="K890" s="7" t="s">
        <v>81</v>
      </c>
    </row>
    <row r="891" spans="1:11" x14ac:dyDescent="0.25">
      <c r="A891" s="7" t="s">
        <v>1450</v>
      </c>
      <c r="B891" s="7" t="s">
        <v>328</v>
      </c>
      <c r="C891" s="7" t="s">
        <v>1545</v>
      </c>
      <c r="D891" s="7" t="s">
        <v>15</v>
      </c>
      <c r="E891" s="16">
        <v>1325</v>
      </c>
      <c r="F891" s="16">
        <v>966.07</v>
      </c>
      <c r="G891" s="8">
        <f t="shared" si="52"/>
        <v>87.824545454545458</v>
      </c>
      <c r="H891" s="8">
        <f t="shared" si="53"/>
        <v>878.24545454545455</v>
      </c>
      <c r="I891" s="8">
        <f t="shared" si="54"/>
        <v>446.75454545454545</v>
      </c>
      <c r="J891" s="9">
        <f t="shared" si="55"/>
        <v>0.5086898464914551</v>
      </c>
      <c r="K891" s="7" t="s">
        <v>81</v>
      </c>
    </row>
    <row r="892" spans="1:11" x14ac:dyDescent="0.25">
      <c r="A892" s="7" t="s">
        <v>1450</v>
      </c>
      <c r="B892" s="7" t="s">
        <v>328</v>
      </c>
      <c r="C892" s="7" t="s">
        <v>1546</v>
      </c>
      <c r="D892" s="7" t="s">
        <v>15</v>
      </c>
      <c r="E892" s="16">
        <v>1325</v>
      </c>
      <c r="F892" s="16">
        <v>966.07</v>
      </c>
      <c r="G892" s="8">
        <f t="shared" si="52"/>
        <v>87.824545454545458</v>
      </c>
      <c r="H892" s="8">
        <f t="shared" si="53"/>
        <v>878.24545454545455</v>
      </c>
      <c r="I892" s="8">
        <f t="shared" si="54"/>
        <v>446.75454545454545</v>
      </c>
      <c r="J892" s="9">
        <f t="shared" si="55"/>
        <v>0.5086898464914551</v>
      </c>
      <c r="K892" s="7" t="s">
        <v>81</v>
      </c>
    </row>
    <row r="893" spans="1:11" x14ac:dyDescent="0.25">
      <c r="A893" s="7" t="s">
        <v>1450</v>
      </c>
      <c r="B893" s="7" t="s">
        <v>328</v>
      </c>
      <c r="C893" s="7" t="s">
        <v>1547</v>
      </c>
      <c r="D893" s="7" t="s">
        <v>15</v>
      </c>
      <c r="E893" s="16">
        <v>1325</v>
      </c>
      <c r="F893" s="16">
        <v>966.07</v>
      </c>
      <c r="G893" s="8">
        <f t="shared" si="52"/>
        <v>87.824545454545458</v>
      </c>
      <c r="H893" s="8">
        <f t="shared" si="53"/>
        <v>878.24545454545455</v>
      </c>
      <c r="I893" s="8">
        <f t="shared" si="54"/>
        <v>446.75454545454545</v>
      </c>
      <c r="J893" s="9">
        <f t="shared" si="55"/>
        <v>0.5086898464914551</v>
      </c>
      <c r="K893" s="7" t="s">
        <v>81</v>
      </c>
    </row>
    <row r="894" spans="1:11" x14ac:dyDescent="0.25">
      <c r="A894" s="7" t="s">
        <v>1450</v>
      </c>
      <c r="B894" s="7" t="s">
        <v>328</v>
      </c>
      <c r="C894" s="7" t="s">
        <v>1548</v>
      </c>
      <c r="D894" s="7" t="s">
        <v>15</v>
      </c>
      <c r="E894" s="16">
        <v>1325</v>
      </c>
      <c r="F894" s="16">
        <v>966.07</v>
      </c>
      <c r="G894" s="8">
        <f t="shared" si="52"/>
        <v>87.824545454545458</v>
      </c>
      <c r="H894" s="8">
        <f t="shared" si="53"/>
        <v>878.24545454545455</v>
      </c>
      <c r="I894" s="8">
        <f t="shared" si="54"/>
        <v>446.75454545454545</v>
      </c>
      <c r="J894" s="9">
        <f t="shared" si="55"/>
        <v>0.5086898464914551</v>
      </c>
      <c r="K894" s="7" t="s">
        <v>81</v>
      </c>
    </row>
    <row r="895" spans="1:11" x14ac:dyDescent="0.25">
      <c r="A895" s="7" t="s">
        <v>1450</v>
      </c>
      <c r="B895" s="7" t="s">
        <v>328</v>
      </c>
      <c r="C895" s="7" t="s">
        <v>1549</v>
      </c>
      <c r="D895" s="7" t="s">
        <v>15</v>
      </c>
      <c r="E895" s="16">
        <v>1325</v>
      </c>
      <c r="F895" s="16">
        <v>966.07</v>
      </c>
      <c r="G895" s="8">
        <f t="shared" si="52"/>
        <v>87.824545454545458</v>
      </c>
      <c r="H895" s="8">
        <f t="shared" si="53"/>
        <v>878.24545454545455</v>
      </c>
      <c r="I895" s="8">
        <f t="shared" si="54"/>
        <v>446.75454545454545</v>
      </c>
      <c r="J895" s="9">
        <f t="shared" si="55"/>
        <v>0.5086898464914551</v>
      </c>
      <c r="K895" s="7" t="s">
        <v>81</v>
      </c>
    </row>
    <row r="896" spans="1:11" x14ac:dyDescent="0.25">
      <c r="A896" s="7" t="s">
        <v>1450</v>
      </c>
      <c r="B896" s="7" t="s">
        <v>328</v>
      </c>
      <c r="C896" s="7" t="s">
        <v>1550</v>
      </c>
      <c r="D896" s="7" t="s">
        <v>15</v>
      </c>
      <c r="E896" s="16">
        <v>1325</v>
      </c>
      <c r="F896" s="16">
        <v>966.07</v>
      </c>
      <c r="G896" s="8">
        <f t="shared" si="52"/>
        <v>87.824545454545458</v>
      </c>
      <c r="H896" s="8">
        <f t="shared" si="53"/>
        <v>878.24545454545455</v>
      </c>
      <c r="I896" s="8">
        <f t="shared" si="54"/>
        <v>446.75454545454545</v>
      </c>
      <c r="J896" s="9">
        <f t="shared" si="55"/>
        <v>0.5086898464914551</v>
      </c>
      <c r="K896" s="7" t="s">
        <v>81</v>
      </c>
    </row>
    <row r="897" spans="1:11" x14ac:dyDescent="0.25">
      <c r="A897" s="7" t="s">
        <v>1450</v>
      </c>
      <c r="B897" s="7" t="s">
        <v>328</v>
      </c>
      <c r="C897" s="7" t="s">
        <v>1551</v>
      </c>
      <c r="D897" s="7" t="s">
        <v>15</v>
      </c>
      <c r="E897" s="16">
        <v>1325</v>
      </c>
      <c r="F897" s="16">
        <v>966.07</v>
      </c>
      <c r="G897" s="8">
        <f t="shared" si="52"/>
        <v>87.824545454545458</v>
      </c>
      <c r="H897" s="8">
        <f t="shared" si="53"/>
        <v>878.24545454545455</v>
      </c>
      <c r="I897" s="8">
        <f t="shared" si="54"/>
        <v>446.75454545454545</v>
      </c>
      <c r="J897" s="9">
        <f t="shared" si="55"/>
        <v>0.5086898464914551</v>
      </c>
      <c r="K897" s="7" t="s">
        <v>81</v>
      </c>
    </row>
    <row r="898" spans="1:11" x14ac:dyDescent="0.25">
      <c r="A898" s="7" t="s">
        <v>1450</v>
      </c>
      <c r="B898" s="7" t="s">
        <v>328</v>
      </c>
      <c r="C898" s="7" t="s">
        <v>1552</v>
      </c>
      <c r="D898" s="7" t="s">
        <v>15</v>
      </c>
      <c r="E898" s="16">
        <v>1325</v>
      </c>
      <c r="F898" s="16">
        <v>966.07</v>
      </c>
      <c r="G898" s="8">
        <f t="shared" si="52"/>
        <v>87.824545454545458</v>
      </c>
      <c r="H898" s="8">
        <f t="shared" si="53"/>
        <v>878.24545454545455</v>
      </c>
      <c r="I898" s="8">
        <f t="shared" si="54"/>
        <v>446.75454545454545</v>
      </c>
      <c r="J898" s="9">
        <f t="shared" si="55"/>
        <v>0.5086898464914551</v>
      </c>
      <c r="K898" s="7" t="s">
        <v>81</v>
      </c>
    </row>
    <row r="899" spans="1:11" x14ac:dyDescent="0.25">
      <c r="A899" s="7" t="s">
        <v>1450</v>
      </c>
      <c r="B899" s="7" t="s">
        <v>328</v>
      </c>
      <c r="C899" s="7" t="s">
        <v>1553</v>
      </c>
      <c r="D899" s="7" t="s">
        <v>15</v>
      </c>
      <c r="E899" s="16">
        <v>1325</v>
      </c>
      <c r="F899" s="16">
        <v>966.07</v>
      </c>
      <c r="G899" s="8">
        <f t="shared" ref="G899:G962" si="56">F899/11</f>
        <v>87.824545454545458</v>
      </c>
      <c r="H899" s="8">
        <f t="shared" ref="H899:H962" si="57">F899-G899</f>
        <v>878.24545454545455</v>
      </c>
      <c r="I899" s="8">
        <f t="shared" ref="I899:I962" si="58">E899-H899</f>
        <v>446.75454545454545</v>
      </c>
      <c r="J899" s="9">
        <f t="shared" ref="J899:J962" si="59">(E899-H899)/H899</f>
        <v>0.5086898464914551</v>
      </c>
      <c r="K899" s="7" t="s">
        <v>81</v>
      </c>
    </row>
    <row r="900" spans="1:11" x14ac:dyDescent="0.25">
      <c r="A900" s="7" t="s">
        <v>1450</v>
      </c>
      <c r="B900" s="7" t="s">
        <v>328</v>
      </c>
      <c r="C900" s="7" t="s">
        <v>1554</v>
      </c>
      <c r="D900" s="7" t="s">
        <v>15</v>
      </c>
      <c r="E900" s="16">
        <v>1325</v>
      </c>
      <c r="F900" s="16">
        <v>966.07</v>
      </c>
      <c r="G900" s="8">
        <f t="shared" si="56"/>
        <v>87.824545454545458</v>
      </c>
      <c r="H900" s="8">
        <f t="shared" si="57"/>
        <v>878.24545454545455</v>
      </c>
      <c r="I900" s="8">
        <f t="shared" si="58"/>
        <v>446.75454545454545</v>
      </c>
      <c r="J900" s="9">
        <f t="shared" si="59"/>
        <v>0.5086898464914551</v>
      </c>
      <c r="K900" s="7" t="s">
        <v>81</v>
      </c>
    </row>
    <row r="901" spans="1:11" x14ac:dyDescent="0.25">
      <c r="A901" s="7" t="s">
        <v>1450</v>
      </c>
      <c r="B901" s="7" t="s">
        <v>328</v>
      </c>
      <c r="C901" s="7" t="s">
        <v>1555</v>
      </c>
      <c r="D901" s="7" t="s">
        <v>15</v>
      </c>
      <c r="E901" s="16">
        <v>1325</v>
      </c>
      <c r="F901" s="16">
        <v>966.07</v>
      </c>
      <c r="G901" s="8">
        <f t="shared" si="56"/>
        <v>87.824545454545458</v>
      </c>
      <c r="H901" s="8">
        <f t="shared" si="57"/>
        <v>878.24545454545455</v>
      </c>
      <c r="I901" s="8">
        <f t="shared" si="58"/>
        <v>446.75454545454545</v>
      </c>
      <c r="J901" s="9">
        <f t="shared" si="59"/>
        <v>0.5086898464914551</v>
      </c>
      <c r="K901" s="7" t="s">
        <v>81</v>
      </c>
    </row>
    <row r="902" spans="1:11" x14ac:dyDescent="0.25">
      <c r="A902" s="7" t="s">
        <v>1450</v>
      </c>
      <c r="B902" s="7" t="s">
        <v>328</v>
      </c>
      <c r="C902" s="7" t="s">
        <v>1556</v>
      </c>
      <c r="D902" s="7" t="s">
        <v>15</v>
      </c>
      <c r="E902" s="16">
        <v>1325</v>
      </c>
      <c r="F902" s="16">
        <v>966.07</v>
      </c>
      <c r="G902" s="8">
        <f t="shared" si="56"/>
        <v>87.824545454545458</v>
      </c>
      <c r="H902" s="8">
        <f t="shared" si="57"/>
        <v>878.24545454545455</v>
      </c>
      <c r="I902" s="8">
        <f t="shared" si="58"/>
        <v>446.75454545454545</v>
      </c>
      <c r="J902" s="9">
        <f t="shared" si="59"/>
        <v>0.5086898464914551</v>
      </c>
      <c r="K902" s="7" t="s">
        <v>81</v>
      </c>
    </row>
    <row r="903" spans="1:11" x14ac:dyDescent="0.25">
      <c r="A903" s="7" t="s">
        <v>1450</v>
      </c>
      <c r="B903" s="7" t="s">
        <v>328</v>
      </c>
      <c r="C903" s="7" t="s">
        <v>1557</v>
      </c>
      <c r="D903" s="7" t="s">
        <v>15</v>
      </c>
      <c r="E903" s="16">
        <v>1325</v>
      </c>
      <c r="F903" s="16">
        <v>966.07</v>
      </c>
      <c r="G903" s="8">
        <f t="shared" si="56"/>
        <v>87.824545454545458</v>
      </c>
      <c r="H903" s="8">
        <f t="shared" si="57"/>
        <v>878.24545454545455</v>
      </c>
      <c r="I903" s="8">
        <f t="shared" si="58"/>
        <v>446.75454545454545</v>
      </c>
      <c r="J903" s="9">
        <f t="shared" si="59"/>
        <v>0.5086898464914551</v>
      </c>
      <c r="K903" s="7" t="s">
        <v>81</v>
      </c>
    </row>
    <row r="904" spans="1:11" x14ac:dyDescent="0.25">
      <c r="A904" s="7" t="s">
        <v>1450</v>
      </c>
      <c r="B904" s="7" t="s">
        <v>328</v>
      </c>
      <c r="C904" s="7" t="s">
        <v>1558</v>
      </c>
      <c r="D904" s="7" t="s">
        <v>15</v>
      </c>
      <c r="E904" s="16">
        <v>1325</v>
      </c>
      <c r="F904" s="16">
        <v>966.07</v>
      </c>
      <c r="G904" s="8">
        <f t="shared" si="56"/>
        <v>87.824545454545458</v>
      </c>
      <c r="H904" s="8">
        <f t="shared" si="57"/>
        <v>878.24545454545455</v>
      </c>
      <c r="I904" s="8">
        <f t="shared" si="58"/>
        <v>446.75454545454545</v>
      </c>
      <c r="J904" s="9">
        <f t="shared" si="59"/>
        <v>0.5086898464914551</v>
      </c>
      <c r="K904" s="7" t="s">
        <v>81</v>
      </c>
    </row>
    <row r="905" spans="1:11" x14ac:dyDescent="0.25">
      <c r="A905" s="7" t="s">
        <v>1450</v>
      </c>
      <c r="B905" s="7" t="s">
        <v>328</v>
      </c>
      <c r="C905" s="7" t="s">
        <v>1559</v>
      </c>
      <c r="D905" s="7" t="s">
        <v>15</v>
      </c>
      <c r="E905" s="16">
        <v>1325</v>
      </c>
      <c r="F905" s="16">
        <v>966.07</v>
      </c>
      <c r="G905" s="8">
        <f t="shared" si="56"/>
        <v>87.824545454545458</v>
      </c>
      <c r="H905" s="8">
        <f t="shared" si="57"/>
        <v>878.24545454545455</v>
      </c>
      <c r="I905" s="8">
        <f t="shared" si="58"/>
        <v>446.75454545454545</v>
      </c>
      <c r="J905" s="9">
        <f t="shared" si="59"/>
        <v>0.5086898464914551</v>
      </c>
      <c r="K905" s="7" t="s">
        <v>81</v>
      </c>
    </row>
    <row r="906" spans="1:11" x14ac:dyDescent="0.25">
      <c r="A906" s="7" t="s">
        <v>1450</v>
      </c>
      <c r="B906" s="7" t="s">
        <v>328</v>
      </c>
      <c r="C906" s="7" t="s">
        <v>1560</v>
      </c>
      <c r="D906" s="7" t="s">
        <v>15</v>
      </c>
      <c r="E906" s="16">
        <v>1325</v>
      </c>
      <c r="F906" s="16">
        <v>966.07</v>
      </c>
      <c r="G906" s="8">
        <f t="shared" si="56"/>
        <v>87.824545454545458</v>
      </c>
      <c r="H906" s="8">
        <f t="shared" si="57"/>
        <v>878.24545454545455</v>
      </c>
      <c r="I906" s="8">
        <f t="shared" si="58"/>
        <v>446.75454545454545</v>
      </c>
      <c r="J906" s="9">
        <f t="shared" si="59"/>
        <v>0.5086898464914551</v>
      </c>
      <c r="K906" s="7" t="s">
        <v>81</v>
      </c>
    </row>
    <row r="907" spans="1:11" x14ac:dyDescent="0.25">
      <c r="A907" s="7" t="s">
        <v>1450</v>
      </c>
      <c r="B907" s="7" t="s">
        <v>328</v>
      </c>
      <c r="C907" s="7" t="s">
        <v>1561</v>
      </c>
      <c r="D907" s="7" t="s">
        <v>15</v>
      </c>
      <c r="E907" s="16">
        <v>1325</v>
      </c>
      <c r="F907" s="16">
        <v>966.07</v>
      </c>
      <c r="G907" s="8">
        <f t="shared" si="56"/>
        <v>87.824545454545458</v>
      </c>
      <c r="H907" s="8">
        <f t="shared" si="57"/>
        <v>878.24545454545455</v>
      </c>
      <c r="I907" s="8">
        <f t="shared" si="58"/>
        <v>446.75454545454545</v>
      </c>
      <c r="J907" s="9">
        <f t="shared" si="59"/>
        <v>0.5086898464914551</v>
      </c>
      <c r="K907" s="7" t="s">
        <v>81</v>
      </c>
    </row>
    <row r="908" spans="1:11" x14ac:dyDescent="0.25">
      <c r="A908" s="7" t="s">
        <v>1450</v>
      </c>
      <c r="B908" s="7" t="s">
        <v>328</v>
      </c>
      <c r="C908" s="7" t="s">
        <v>1562</v>
      </c>
      <c r="D908" s="7" t="s">
        <v>15</v>
      </c>
      <c r="E908" s="16">
        <v>1325</v>
      </c>
      <c r="F908" s="16">
        <v>966.07</v>
      </c>
      <c r="G908" s="8">
        <f t="shared" si="56"/>
        <v>87.824545454545458</v>
      </c>
      <c r="H908" s="8">
        <f t="shared" si="57"/>
        <v>878.24545454545455</v>
      </c>
      <c r="I908" s="8">
        <f t="shared" si="58"/>
        <v>446.75454545454545</v>
      </c>
      <c r="J908" s="9">
        <f t="shared" si="59"/>
        <v>0.5086898464914551</v>
      </c>
      <c r="K908" s="7" t="s">
        <v>81</v>
      </c>
    </row>
    <row r="909" spans="1:11" x14ac:dyDescent="0.25">
      <c r="A909" s="7" t="s">
        <v>1450</v>
      </c>
      <c r="B909" s="7" t="s">
        <v>328</v>
      </c>
      <c r="C909" s="7" t="s">
        <v>1563</v>
      </c>
      <c r="D909" s="7" t="s">
        <v>15</v>
      </c>
      <c r="E909" s="16">
        <v>1325</v>
      </c>
      <c r="F909" s="16">
        <v>966.07</v>
      </c>
      <c r="G909" s="8">
        <f t="shared" si="56"/>
        <v>87.824545454545458</v>
      </c>
      <c r="H909" s="8">
        <f t="shared" si="57"/>
        <v>878.24545454545455</v>
      </c>
      <c r="I909" s="8">
        <f t="shared" si="58"/>
        <v>446.75454545454545</v>
      </c>
      <c r="J909" s="9">
        <f t="shared" si="59"/>
        <v>0.5086898464914551</v>
      </c>
      <c r="K909" s="7" t="s">
        <v>81</v>
      </c>
    </row>
    <row r="910" spans="1:11" x14ac:dyDescent="0.25">
      <c r="A910" s="7" t="s">
        <v>1450</v>
      </c>
      <c r="B910" s="7" t="s">
        <v>328</v>
      </c>
      <c r="C910" s="7" t="s">
        <v>1564</v>
      </c>
      <c r="D910" s="7" t="s">
        <v>15</v>
      </c>
      <c r="E910" s="16">
        <v>1325</v>
      </c>
      <c r="F910" s="16">
        <v>966.07</v>
      </c>
      <c r="G910" s="8">
        <f t="shared" si="56"/>
        <v>87.824545454545458</v>
      </c>
      <c r="H910" s="8">
        <f t="shared" si="57"/>
        <v>878.24545454545455</v>
      </c>
      <c r="I910" s="8">
        <f t="shared" si="58"/>
        <v>446.75454545454545</v>
      </c>
      <c r="J910" s="9">
        <f t="shared" si="59"/>
        <v>0.5086898464914551</v>
      </c>
      <c r="K910" s="7" t="s">
        <v>81</v>
      </c>
    </row>
    <row r="911" spans="1:11" x14ac:dyDescent="0.25">
      <c r="A911" s="7" t="s">
        <v>1450</v>
      </c>
      <c r="B911" s="7" t="s">
        <v>328</v>
      </c>
      <c r="C911" s="7" t="s">
        <v>1565</v>
      </c>
      <c r="D911" s="7" t="s">
        <v>15</v>
      </c>
      <c r="E911" s="16">
        <v>1325</v>
      </c>
      <c r="F911" s="16">
        <v>966.07</v>
      </c>
      <c r="G911" s="8">
        <f t="shared" si="56"/>
        <v>87.824545454545458</v>
      </c>
      <c r="H911" s="8">
        <f t="shared" si="57"/>
        <v>878.24545454545455</v>
      </c>
      <c r="I911" s="8">
        <f t="shared" si="58"/>
        <v>446.75454545454545</v>
      </c>
      <c r="J911" s="9">
        <f t="shared" si="59"/>
        <v>0.5086898464914551</v>
      </c>
      <c r="K911" s="7" t="s">
        <v>81</v>
      </c>
    </row>
    <row r="912" spans="1:11" x14ac:dyDescent="0.25">
      <c r="A912" s="7" t="s">
        <v>1450</v>
      </c>
      <c r="B912" s="7" t="s">
        <v>328</v>
      </c>
      <c r="C912" s="7" t="s">
        <v>1566</v>
      </c>
      <c r="D912" s="7" t="s">
        <v>15</v>
      </c>
      <c r="E912" s="16">
        <v>1325</v>
      </c>
      <c r="F912" s="16">
        <v>966.07</v>
      </c>
      <c r="G912" s="8">
        <f t="shared" si="56"/>
        <v>87.824545454545458</v>
      </c>
      <c r="H912" s="8">
        <f t="shared" si="57"/>
        <v>878.24545454545455</v>
      </c>
      <c r="I912" s="8">
        <f t="shared" si="58"/>
        <v>446.75454545454545</v>
      </c>
      <c r="J912" s="9">
        <f t="shared" si="59"/>
        <v>0.5086898464914551</v>
      </c>
      <c r="K912" s="7" t="s">
        <v>81</v>
      </c>
    </row>
    <row r="913" spans="1:11" x14ac:dyDescent="0.25">
      <c r="A913" s="7" t="s">
        <v>1450</v>
      </c>
      <c r="B913" s="7" t="s">
        <v>328</v>
      </c>
      <c r="C913" s="7" t="s">
        <v>1567</v>
      </c>
      <c r="D913" s="7" t="s">
        <v>15</v>
      </c>
      <c r="E913" s="16">
        <v>1325</v>
      </c>
      <c r="F913" s="16">
        <v>966.07</v>
      </c>
      <c r="G913" s="8">
        <f t="shared" si="56"/>
        <v>87.824545454545458</v>
      </c>
      <c r="H913" s="8">
        <f t="shared" si="57"/>
        <v>878.24545454545455</v>
      </c>
      <c r="I913" s="8">
        <f t="shared" si="58"/>
        <v>446.75454545454545</v>
      </c>
      <c r="J913" s="9">
        <f t="shared" si="59"/>
        <v>0.5086898464914551</v>
      </c>
      <c r="K913" s="7" t="s">
        <v>81</v>
      </c>
    </row>
    <row r="914" spans="1:11" x14ac:dyDescent="0.25">
      <c r="A914" s="7" t="s">
        <v>1450</v>
      </c>
      <c r="B914" s="7" t="s">
        <v>328</v>
      </c>
      <c r="C914" s="7" t="s">
        <v>1568</v>
      </c>
      <c r="D914" s="7" t="s">
        <v>15</v>
      </c>
      <c r="E914" s="16">
        <v>1325</v>
      </c>
      <c r="F914" s="16">
        <v>966.07</v>
      </c>
      <c r="G914" s="8">
        <f t="shared" si="56"/>
        <v>87.824545454545458</v>
      </c>
      <c r="H914" s="8">
        <f t="shared" si="57"/>
        <v>878.24545454545455</v>
      </c>
      <c r="I914" s="8">
        <f t="shared" si="58"/>
        <v>446.75454545454545</v>
      </c>
      <c r="J914" s="9">
        <f t="shared" si="59"/>
        <v>0.5086898464914551</v>
      </c>
      <c r="K914" s="7" t="s">
        <v>81</v>
      </c>
    </row>
    <row r="915" spans="1:11" x14ac:dyDescent="0.25">
      <c r="A915" s="7" t="s">
        <v>1450</v>
      </c>
      <c r="B915" s="7" t="s">
        <v>328</v>
      </c>
      <c r="C915" s="7" t="s">
        <v>1569</v>
      </c>
      <c r="D915" s="7" t="s">
        <v>15</v>
      </c>
      <c r="E915" s="16">
        <v>1325</v>
      </c>
      <c r="F915" s="16">
        <v>966.07</v>
      </c>
      <c r="G915" s="8">
        <f t="shared" si="56"/>
        <v>87.824545454545458</v>
      </c>
      <c r="H915" s="8">
        <f t="shared" si="57"/>
        <v>878.24545454545455</v>
      </c>
      <c r="I915" s="8">
        <f t="shared" si="58"/>
        <v>446.75454545454545</v>
      </c>
      <c r="J915" s="9">
        <f t="shared" si="59"/>
        <v>0.5086898464914551</v>
      </c>
      <c r="K915" s="7" t="s">
        <v>81</v>
      </c>
    </row>
    <row r="916" spans="1:11" x14ac:dyDescent="0.25">
      <c r="A916" s="7" t="s">
        <v>1450</v>
      </c>
      <c r="B916" s="7" t="s">
        <v>328</v>
      </c>
      <c r="C916" s="7" t="s">
        <v>1570</v>
      </c>
      <c r="D916" s="7" t="s">
        <v>15</v>
      </c>
      <c r="E916" s="16">
        <v>1325</v>
      </c>
      <c r="F916" s="16">
        <v>966.07</v>
      </c>
      <c r="G916" s="8">
        <f t="shared" si="56"/>
        <v>87.824545454545458</v>
      </c>
      <c r="H916" s="8">
        <f t="shared" si="57"/>
        <v>878.24545454545455</v>
      </c>
      <c r="I916" s="8">
        <f t="shared" si="58"/>
        <v>446.75454545454545</v>
      </c>
      <c r="J916" s="9">
        <f t="shared" si="59"/>
        <v>0.5086898464914551</v>
      </c>
      <c r="K916" s="7" t="s">
        <v>81</v>
      </c>
    </row>
    <row r="917" spans="1:11" x14ac:dyDescent="0.25">
      <c r="A917" s="7" t="s">
        <v>1450</v>
      </c>
      <c r="B917" s="7" t="s">
        <v>328</v>
      </c>
      <c r="C917" s="7" t="s">
        <v>1571</v>
      </c>
      <c r="D917" s="7" t="s">
        <v>15</v>
      </c>
      <c r="E917" s="16">
        <v>1325</v>
      </c>
      <c r="F917" s="16">
        <v>966.07</v>
      </c>
      <c r="G917" s="8">
        <f t="shared" si="56"/>
        <v>87.824545454545458</v>
      </c>
      <c r="H917" s="8">
        <f t="shared" si="57"/>
        <v>878.24545454545455</v>
      </c>
      <c r="I917" s="8">
        <f t="shared" si="58"/>
        <v>446.75454545454545</v>
      </c>
      <c r="J917" s="9">
        <f t="shared" si="59"/>
        <v>0.5086898464914551</v>
      </c>
      <c r="K917" s="7" t="s">
        <v>81</v>
      </c>
    </row>
    <row r="918" spans="1:11" x14ac:dyDescent="0.25">
      <c r="A918" s="7" t="s">
        <v>1450</v>
      </c>
      <c r="B918" s="7" t="s">
        <v>328</v>
      </c>
      <c r="C918" s="7" t="s">
        <v>1572</v>
      </c>
      <c r="D918" s="7" t="s">
        <v>15</v>
      </c>
      <c r="E918" s="16">
        <v>1325</v>
      </c>
      <c r="F918" s="16">
        <v>966.07</v>
      </c>
      <c r="G918" s="8">
        <f t="shared" si="56"/>
        <v>87.824545454545458</v>
      </c>
      <c r="H918" s="8">
        <f t="shared" si="57"/>
        <v>878.24545454545455</v>
      </c>
      <c r="I918" s="8">
        <f t="shared" si="58"/>
        <v>446.75454545454545</v>
      </c>
      <c r="J918" s="9">
        <f t="shared" si="59"/>
        <v>0.5086898464914551</v>
      </c>
      <c r="K918" s="7" t="s">
        <v>81</v>
      </c>
    </row>
    <row r="919" spans="1:11" x14ac:dyDescent="0.25">
      <c r="A919" s="7" t="s">
        <v>1450</v>
      </c>
      <c r="B919" s="7" t="s">
        <v>328</v>
      </c>
      <c r="C919" s="7" t="s">
        <v>1573</v>
      </c>
      <c r="D919" s="7" t="s">
        <v>15</v>
      </c>
      <c r="E919" s="16">
        <v>1325</v>
      </c>
      <c r="F919" s="16">
        <v>966.07</v>
      </c>
      <c r="G919" s="8">
        <f t="shared" si="56"/>
        <v>87.824545454545458</v>
      </c>
      <c r="H919" s="8">
        <f t="shared" si="57"/>
        <v>878.24545454545455</v>
      </c>
      <c r="I919" s="8">
        <f t="shared" si="58"/>
        <v>446.75454545454545</v>
      </c>
      <c r="J919" s="9">
        <f t="shared" si="59"/>
        <v>0.5086898464914551</v>
      </c>
      <c r="K919" s="7" t="s">
        <v>81</v>
      </c>
    </row>
    <row r="920" spans="1:11" x14ac:dyDescent="0.25">
      <c r="A920" s="7" t="s">
        <v>1450</v>
      </c>
      <c r="B920" s="7" t="s">
        <v>328</v>
      </c>
      <c r="C920" s="7" t="s">
        <v>1574</v>
      </c>
      <c r="D920" s="7" t="s">
        <v>15</v>
      </c>
      <c r="E920" s="16">
        <v>1325</v>
      </c>
      <c r="F920" s="16">
        <v>966.07</v>
      </c>
      <c r="G920" s="8">
        <f t="shared" si="56"/>
        <v>87.824545454545458</v>
      </c>
      <c r="H920" s="8">
        <f t="shared" si="57"/>
        <v>878.24545454545455</v>
      </c>
      <c r="I920" s="8">
        <f t="shared" si="58"/>
        <v>446.75454545454545</v>
      </c>
      <c r="J920" s="9">
        <f t="shared" si="59"/>
        <v>0.5086898464914551</v>
      </c>
      <c r="K920" s="7" t="s">
        <v>81</v>
      </c>
    </row>
    <row r="921" spans="1:11" x14ac:dyDescent="0.25">
      <c r="A921" s="7" t="s">
        <v>1450</v>
      </c>
      <c r="B921" s="7" t="s">
        <v>328</v>
      </c>
      <c r="C921" s="7" t="s">
        <v>1575</v>
      </c>
      <c r="D921" s="7" t="s">
        <v>15</v>
      </c>
      <c r="E921" s="16">
        <v>1325</v>
      </c>
      <c r="F921" s="16">
        <v>966.07</v>
      </c>
      <c r="G921" s="8">
        <f t="shared" si="56"/>
        <v>87.824545454545458</v>
      </c>
      <c r="H921" s="8">
        <f t="shared" si="57"/>
        <v>878.24545454545455</v>
      </c>
      <c r="I921" s="8">
        <f t="shared" si="58"/>
        <v>446.75454545454545</v>
      </c>
      <c r="J921" s="9">
        <f t="shared" si="59"/>
        <v>0.5086898464914551</v>
      </c>
      <c r="K921" s="7" t="s">
        <v>81</v>
      </c>
    </row>
    <row r="922" spans="1:11" x14ac:dyDescent="0.25">
      <c r="A922" s="7" t="s">
        <v>1450</v>
      </c>
      <c r="B922" s="7" t="s">
        <v>328</v>
      </c>
      <c r="C922" s="7" t="s">
        <v>1576</v>
      </c>
      <c r="D922" s="7" t="s">
        <v>15</v>
      </c>
      <c r="E922" s="16">
        <v>1325</v>
      </c>
      <c r="F922" s="16">
        <v>966.07</v>
      </c>
      <c r="G922" s="8">
        <f t="shared" si="56"/>
        <v>87.824545454545458</v>
      </c>
      <c r="H922" s="8">
        <f t="shared" si="57"/>
        <v>878.24545454545455</v>
      </c>
      <c r="I922" s="8">
        <f t="shared" si="58"/>
        <v>446.75454545454545</v>
      </c>
      <c r="J922" s="9">
        <f t="shared" si="59"/>
        <v>0.5086898464914551</v>
      </c>
      <c r="K922" s="7" t="s">
        <v>81</v>
      </c>
    </row>
    <row r="923" spans="1:11" x14ac:dyDescent="0.25">
      <c r="A923" s="7" t="s">
        <v>1450</v>
      </c>
      <c r="B923" s="7" t="s">
        <v>328</v>
      </c>
      <c r="C923" s="7" t="s">
        <v>1577</v>
      </c>
      <c r="D923" s="7" t="s">
        <v>15</v>
      </c>
      <c r="E923" s="16">
        <v>1325</v>
      </c>
      <c r="F923" s="16">
        <v>966.07</v>
      </c>
      <c r="G923" s="8">
        <f t="shared" si="56"/>
        <v>87.824545454545458</v>
      </c>
      <c r="H923" s="8">
        <f t="shared" si="57"/>
        <v>878.24545454545455</v>
      </c>
      <c r="I923" s="8">
        <f t="shared" si="58"/>
        <v>446.75454545454545</v>
      </c>
      <c r="J923" s="9">
        <f t="shared" si="59"/>
        <v>0.5086898464914551</v>
      </c>
      <c r="K923" s="7" t="s">
        <v>81</v>
      </c>
    </row>
    <row r="924" spans="1:11" x14ac:dyDescent="0.25">
      <c r="A924" s="7" t="s">
        <v>1601</v>
      </c>
      <c r="B924" s="7" t="s">
        <v>17</v>
      </c>
      <c r="C924" s="7" t="s">
        <v>1602</v>
      </c>
      <c r="D924" s="7" t="s">
        <v>15</v>
      </c>
      <c r="E924" s="16">
        <v>11200</v>
      </c>
      <c r="F924" s="16">
        <v>7900.33</v>
      </c>
      <c r="G924" s="8">
        <f t="shared" si="56"/>
        <v>718.21181818181822</v>
      </c>
      <c r="H924" s="8">
        <f t="shared" si="57"/>
        <v>7182.1181818181813</v>
      </c>
      <c r="I924" s="8">
        <f t="shared" si="58"/>
        <v>4017.8818181818187</v>
      </c>
      <c r="J924" s="9">
        <f t="shared" si="59"/>
        <v>0.55942853020063732</v>
      </c>
      <c r="K924" s="7" t="s">
        <v>16</v>
      </c>
    </row>
    <row r="925" spans="1:11" x14ac:dyDescent="0.25">
      <c r="A925" s="7" t="s">
        <v>1618</v>
      </c>
      <c r="B925" s="7" t="s">
        <v>1619</v>
      </c>
      <c r="C925" s="7" t="s">
        <v>1621</v>
      </c>
      <c r="D925" s="7" t="s">
        <v>15</v>
      </c>
      <c r="E925" s="16">
        <v>2650</v>
      </c>
      <c r="F925" s="16">
        <v>2741.46</v>
      </c>
      <c r="G925" s="8">
        <f t="shared" si="56"/>
        <v>249.22363636363636</v>
      </c>
      <c r="H925" s="8">
        <f t="shared" si="57"/>
        <v>2492.2363636363639</v>
      </c>
      <c r="I925" s="8">
        <f t="shared" si="58"/>
        <v>157.76363636363612</v>
      </c>
      <c r="J925" s="9">
        <f t="shared" si="59"/>
        <v>6.3302036141326054E-2</v>
      </c>
      <c r="K925" s="7" t="s">
        <v>16</v>
      </c>
    </row>
    <row r="926" spans="1:11" x14ac:dyDescent="0.25">
      <c r="A926" s="7" t="s">
        <v>1618</v>
      </c>
      <c r="B926" s="7" t="s">
        <v>1619</v>
      </c>
      <c r="C926" s="7" t="s">
        <v>1622</v>
      </c>
      <c r="D926" s="7" t="s">
        <v>15</v>
      </c>
      <c r="E926" s="16">
        <v>2650</v>
      </c>
      <c r="F926" s="16">
        <v>2741.46</v>
      </c>
      <c r="G926" s="8">
        <f t="shared" si="56"/>
        <v>249.22363636363636</v>
      </c>
      <c r="H926" s="8">
        <f t="shared" si="57"/>
        <v>2492.2363636363639</v>
      </c>
      <c r="I926" s="8">
        <f t="shared" si="58"/>
        <v>157.76363636363612</v>
      </c>
      <c r="J926" s="9">
        <f t="shared" si="59"/>
        <v>6.3302036141326054E-2</v>
      </c>
      <c r="K926" s="7" t="s">
        <v>16</v>
      </c>
    </row>
    <row r="927" spans="1:11" x14ac:dyDescent="0.25">
      <c r="A927" s="7" t="s">
        <v>1618</v>
      </c>
      <c r="B927" s="7" t="s">
        <v>439</v>
      </c>
      <c r="C927" s="7" t="s">
        <v>1632</v>
      </c>
      <c r="D927" s="7" t="s">
        <v>15</v>
      </c>
      <c r="E927" s="16">
        <v>770</v>
      </c>
      <c r="F927" s="16">
        <v>841.5</v>
      </c>
      <c r="G927" s="8">
        <f t="shared" si="56"/>
        <v>76.5</v>
      </c>
      <c r="H927" s="8">
        <f t="shared" si="57"/>
        <v>765</v>
      </c>
      <c r="I927" s="8">
        <f t="shared" si="58"/>
        <v>5</v>
      </c>
      <c r="J927" s="9">
        <f t="shared" si="59"/>
        <v>6.5359477124183009E-3</v>
      </c>
      <c r="K927" s="7" t="s">
        <v>16</v>
      </c>
    </row>
    <row r="928" spans="1:11" x14ac:dyDescent="0.25">
      <c r="A928" s="7" t="s">
        <v>1618</v>
      </c>
      <c r="B928" s="7" t="s">
        <v>439</v>
      </c>
      <c r="C928" s="7" t="s">
        <v>1633</v>
      </c>
      <c r="D928" s="7" t="s">
        <v>15</v>
      </c>
      <c r="E928" s="16">
        <v>770</v>
      </c>
      <c r="F928" s="16">
        <v>841.5</v>
      </c>
      <c r="G928" s="8">
        <f t="shared" si="56"/>
        <v>76.5</v>
      </c>
      <c r="H928" s="8">
        <f t="shared" si="57"/>
        <v>765</v>
      </c>
      <c r="I928" s="8">
        <f t="shared" si="58"/>
        <v>5</v>
      </c>
      <c r="J928" s="9">
        <f t="shared" si="59"/>
        <v>6.5359477124183009E-3</v>
      </c>
      <c r="K928" s="7" t="s">
        <v>16</v>
      </c>
    </row>
    <row r="929" spans="1:11" x14ac:dyDescent="0.25">
      <c r="A929" s="7" t="s">
        <v>1618</v>
      </c>
      <c r="B929" s="7" t="s">
        <v>439</v>
      </c>
      <c r="C929" s="7" t="s">
        <v>1634</v>
      </c>
      <c r="D929" s="7" t="s">
        <v>15</v>
      </c>
      <c r="E929" s="16">
        <v>770</v>
      </c>
      <c r="F929" s="16">
        <v>841.5</v>
      </c>
      <c r="G929" s="8">
        <f t="shared" si="56"/>
        <v>76.5</v>
      </c>
      <c r="H929" s="8">
        <f t="shared" si="57"/>
        <v>765</v>
      </c>
      <c r="I929" s="8">
        <f t="shared" si="58"/>
        <v>5</v>
      </c>
      <c r="J929" s="9">
        <f t="shared" si="59"/>
        <v>6.5359477124183009E-3</v>
      </c>
      <c r="K929" s="7" t="s">
        <v>16</v>
      </c>
    </row>
    <row r="930" spans="1:11" x14ac:dyDescent="0.25">
      <c r="A930" s="13" t="s">
        <v>1649</v>
      </c>
      <c r="B930" s="13" t="s">
        <v>1000</v>
      </c>
      <c r="C930" s="13" t="s">
        <v>1677</v>
      </c>
      <c r="D930" s="13" t="s">
        <v>15</v>
      </c>
      <c r="E930" s="17">
        <v>1150</v>
      </c>
      <c r="F930" s="17">
        <v>1314.3</v>
      </c>
      <c r="G930" s="14">
        <f t="shared" si="56"/>
        <v>119.48181818181818</v>
      </c>
      <c r="H930" s="14">
        <f t="shared" si="57"/>
        <v>1194.8181818181818</v>
      </c>
      <c r="I930" s="14">
        <f t="shared" si="58"/>
        <v>-44.818181818181756</v>
      </c>
      <c r="J930" s="15">
        <f t="shared" si="59"/>
        <v>-3.7510461842806007E-2</v>
      </c>
      <c r="K930" s="13" t="s">
        <v>16</v>
      </c>
    </row>
    <row r="931" spans="1:11" x14ac:dyDescent="0.25">
      <c r="A931" s="7" t="s">
        <v>1649</v>
      </c>
      <c r="B931" s="7" t="s">
        <v>439</v>
      </c>
      <c r="C931" s="7" t="s">
        <v>1690</v>
      </c>
      <c r="D931" s="7" t="s">
        <v>15</v>
      </c>
      <c r="E931" s="16">
        <v>770</v>
      </c>
      <c r="F931" s="16">
        <v>841.5</v>
      </c>
      <c r="G931" s="8">
        <f t="shared" si="56"/>
        <v>76.5</v>
      </c>
      <c r="H931" s="8">
        <f t="shared" si="57"/>
        <v>765</v>
      </c>
      <c r="I931" s="8">
        <f t="shared" si="58"/>
        <v>5</v>
      </c>
      <c r="J931" s="9">
        <f t="shared" si="59"/>
        <v>6.5359477124183009E-3</v>
      </c>
      <c r="K931" s="7" t="s">
        <v>16</v>
      </c>
    </row>
    <row r="932" spans="1:11" x14ac:dyDescent="0.25">
      <c r="A932" s="7" t="s">
        <v>1649</v>
      </c>
      <c r="B932" s="7" t="s">
        <v>439</v>
      </c>
      <c r="C932" s="7" t="s">
        <v>1691</v>
      </c>
      <c r="D932" s="7" t="s">
        <v>15</v>
      </c>
      <c r="E932" s="16">
        <v>770</v>
      </c>
      <c r="F932" s="16">
        <v>841.5</v>
      </c>
      <c r="G932" s="8">
        <f t="shared" si="56"/>
        <v>76.5</v>
      </c>
      <c r="H932" s="8">
        <f t="shared" si="57"/>
        <v>765</v>
      </c>
      <c r="I932" s="8">
        <f t="shared" si="58"/>
        <v>5</v>
      </c>
      <c r="J932" s="9">
        <f t="shared" si="59"/>
        <v>6.5359477124183009E-3</v>
      </c>
      <c r="K932" s="7" t="s">
        <v>16</v>
      </c>
    </row>
    <row r="933" spans="1:11" x14ac:dyDescent="0.25">
      <c r="A933" s="7" t="s">
        <v>1649</v>
      </c>
      <c r="B933" s="7" t="s">
        <v>439</v>
      </c>
      <c r="C933" s="7" t="s">
        <v>1692</v>
      </c>
      <c r="D933" s="7" t="s">
        <v>15</v>
      </c>
      <c r="E933" s="16">
        <v>770</v>
      </c>
      <c r="F933" s="16">
        <v>841.5</v>
      </c>
      <c r="G933" s="8">
        <f t="shared" si="56"/>
        <v>76.5</v>
      </c>
      <c r="H933" s="8">
        <f t="shared" si="57"/>
        <v>765</v>
      </c>
      <c r="I933" s="8">
        <f t="shared" si="58"/>
        <v>5</v>
      </c>
      <c r="J933" s="9">
        <f t="shared" si="59"/>
        <v>6.5359477124183009E-3</v>
      </c>
      <c r="K933" s="7" t="s">
        <v>16</v>
      </c>
    </row>
    <row r="934" spans="1:11" x14ac:dyDescent="0.25">
      <c r="A934" s="13" t="s">
        <v>390</v>
      </c>
      <c r="B934" s="13" t="s">
        <v>448</v>
      </c>
      <c r="C934" s="41" t="s">
        <v>456</v>
      </c>
      <c r="D934" s="13" t="s">
        <v>15</v>
      </c>
      <c r="E934" s="17">
        <v>850</v>
      </c>
      <c r="F934" s="17">
        <v>1258.25</v>
      </c>
      <c r="G934" s="14">
        <f t="shared" si="56"/>
        <v>114.38636363636364</v>
      </c>
      <c r="H934" s="14">
        <f t="shared" si="57"/>
        <v>1143.8636363636363</v>
      </c>
      <c r="I934" s="14">
        <f t="shared" si="58"/>
        <v>-293.86363636363626</v>
      </c>
      <c r="J934" s="15">
        <f t="shared" si="59"/>
        <v>-0.2569044307570037</v>
      </c>
      <c r="K934" s="13" t="s">
        <v>16</v>
      </c>
    </row>
    <row r="935" spans="1:11" x14ac:dyDescent="0.25">
      <c r="A935" s="13" t="s">
        <v>390</v>
      </c>
      <c r="B935" s="13" t="s">
        <v>448</v>
      </c>
      <c r="C935" s="41" t="s">
        <v>458</v>
      </c>
      <c r="D935" s="13" t="s">
        <v>15</v>
      </c>
      <c r="E935" s="17">
        <v>850</v>
      </c>
      <c r="F935" s="17">
        <v>1258.25</v>
      </c>
      <c r="G935" s="14">
        <f t="shared" si="56"/>
        <v>114.38636363636364</v>
      </c>
      <c r="H935" s="14">
        <f t="shared" si="57"/>
        <v>1143.8636363636363</v>
      </c>
      <c r="I935" s="14">
        <f t="shared" si="58"/>
        <v>-293.86363636363626</v>
      </c>
      <c r="J935" s="15">
        <f t="shared" si="59"/>
        <v>-0.2569044307570037</v>
      </c>
      <c r="K935" s="13" t="s">
        <v>16</v>
      </c>
    </row>
    <row r="936" spans="1:11" x14ac:dyDescent="0.25">
      <c r="A936" s="13" t="s">
        <v>390</v>
      </c>
      <c r="B936" s="13" t="s">
        <v>448</v>
      </c>
      <c r="C936" s="41" t="s">
        <v>460</v>
      </c>
      <c r="D936" s="13" t="s">
        <v>15</v>
      </c>
      <c r="E936" s="17">
        <v>850</v>
      </c>
      <c r="F936" s="17">
        <v>1258.25</v>
      </c>
      <c r="G936" s="14">
        <f t="shared" si="56"/>
        <v>114.38636363636364</v>
      </c>
      <c r="H936" s="14">
        <f t="shared" si="57"/>
        <v>1143.8636363636363</v>
      </c>
      <c r="I936" s="14">
        <f t="shared" si="58"/>
        <v>-293.86363636363626</v>
      </c>
      <c r="J936" s="15">
        <f t="shared" si="59"/>
        <v>-0.2569044307570037</v>
      </c>
      <c r="K936" s="13" t="s">
        <v>16</v>
      </c>
    </row>
    <row r="937" spans="1:11" x14ac:dyDescent="0.25">
      <c r="A937" s="13" t="s">
        <v>390</v>
      </c>
      <c r="B937" s="13" t="s">
        <v>448</v>
      </c>
      <c r="C937" s="41" t="s">
        <v>461</v>
      </c>
      <c r="D937" s="13" t="s">
        <v>15</v>
      </c>
      <c r="E937" s="17">
        <v>850</v>
      </c>
      <c r="F937" s="17">
        <v>1258.25</v>
      </c>
      <c r="G937" s="14">
        <f t="shared" si="56"/>
        <v>114.38636363636364</v>
      </c>
      <c r="H937" s="14">
        <f t="shared" si="57"/>
        <v>1143.8636363636363</v>
      </c>
      <c r="I937" s="14">
        <f t="shared" si="58"/>
        <v>-293.86363636363626</v>
      </c>
      <c r="J937" s="15">
        <f t="shared" si="59"/>
        <v>-0.2569044307570037</v>
      </c>
      <c r="K937" s="13" t="s">
        <v>16</v>
      </c>
    </row>
    <row r="938" spans="1:11" x14ac:dyDescent="0.25">
      <c r="A938" s="55" t="s">
        <v>1693</v>
      </c>
      <c r="B938" s="55" t="s">
        <v>1337</v>
      </c>
      <c r="C938" s="55" t="s">
        <v>1975</v>
      </c>
      <c r="D938" s="55" t="s">
        <v>15</v>
      </c>
      <c r="E938" s="29">
        <v>2500</v>
      </c>
      <c r="F938" s="29">
        <v>2393.1999999999998</v>
      </c>
      <c r="G938" s="8">
        <f t="shared" si="56"/>
        <v>217.56363636363633</v>
      </c>
      <c r="H938" s="8">
        <f t="shared" si="57"/>
        <v>2175.6363636363635</v>
      </c>
      <c r="I938" s="8">
        <f t="shared" si="58"/>
        <v>324.36363636363649</v>
      </c>
      <c r="J938" s="9">
        <f t="shared" si="59"/>
        <v>0.14908908574293839</v>
      </c>
      <c r="K938" s="55" t="s">
        <v>16</v>
      </c>
    </row>
    <row r="939" spans="1:11" x14ac:dyDescent="0.25">
      <c r="A939" s="55" t="s">
        <v>1740</v>
      </c>
      <c r="B939" s="55" t="s">
        <v>1976</v>
      </c>
      <c r="C939" s="55" t="s">
        <v>1977</v>
      </c>
      <c r="D939" s="55" t="s">
        <v>15</v>
      </c>
      <c r="E939" s="29">
        <v>265</v>
      </c>
      <c r="F939" s="29">
        <v>253</v>
      </c>
      <c r="G939" s="8">
        <f t="shared" si="56"/>
        <v>23</v>
      </c>
      <c r="H939" s="8">
        <f t="shared" si="57"/>
        <v>230</v>
      </c>
      <c r="I939" s="8">
        <f t="shared" si="58"/>
        <v>35</v>
      </c>
      <c r="J939" s="9">
        <f t="shared" si="59"/>
        <v>0.15217391304347827</v>
      </c>
      <c r="K939" s="55" t="s">
        <v>16</v>
      </c>
    </row>
    <row r="940" spans="1:11" x14ac:dyDescent="0.25">
      <c r="A940" s="55" t="s">
        <v>1740</v>
      </c>
      <c r="B940" s="55" t="s">
        <v>1976</v>
      </c>
      <c r="C940" s="55" t="s">
        <v>1978</v>
      </c>
      <c r="D940" s="55" t="s">
        <v>15</v>
      </c>
      <c r="E940" s="29">
        <v>265</v>
      </c>
      <c r="F940" s="29">
        <v>253</v>
      </c>
      <c r="G940" s="8">
        <f t="shared" si="56"/>
        <v>23</v>
      </c>
      <c r="H940" s="8">
        <f t="shared" si="57"/>
        <v>230</v>
      </c>
      <c r="I940" s="8">
        <f t="shared" si="58"/>
        <v>35</v>
      </c>
      <c r="J940" s="9">
        <f t="shared" si="59"/>
        <v>0.15217391304347827</v>
      </c>
      <c r="K940" s="55" t="s">
        <v>16</v>
      </c>
    </row>
    <row r="941" spans="1:11" x14ac:dyDescent="0.25">
      <c r="A941" s="55" t="s">
        <v>1740</v>
      </c>
      <c r="B941" s="55" t="s">
        <v>1976</v>
      </c>
      <c r="C941" s="55" t="s">
        <v>1979</v>
      </c>
      <c r="D941" s="55" t="s">
        <v>15</v>
      </c>
      <c r="E941" s="29">
        <v>265</v>
      </c>
      <c r="F941" s="29">
        <v>253</v>
      </c>
      <c r="G941" s="8">
        <f t="shared" si="56"/>
        <v>23</v>
      </c>
      <c r="H941" s="8">
        <f t="shared" si="57"/>
        <v>230</v>
      </c>
      <c r="I941" s="8">
        <f t="shared" si="58"/>
        <v>35</v>
      </c>
      <c r="J941" s="9">
        <f t="shared" si="59"/>
        <v>0.15217391304347827</v>
      </c>
      <c r="K941" s="55" t="s">
        <v>16</v>
      </c>
    </row>
    <row r="942" spans="1:11" x14ac:dyDescent="0.25">
      <c r="A942" s="55" t="s">
        <v>1740</v>
      </c>
      <c r="B942" s="55" t="s">
        <v>1976</v>
      </c>
      <c r="C942" s="55" t="s">
        <v>1980</v>
      </c>
      <c r="D942" s="55" t="s">
        <v>15</v>
      </c>
      <c r="E942" s="29">
        <v>265</v>
      </c>
      <c r="F942" s="29">
        <v>253</v>
      </c>
      <c r="G942" s="8">
        <f t="shared" si="56"/>
        <v>23</v>
      </c>
      <c r="H942" s="8">
        <f t="shared" si="57"/>
        <v>230</v>
      </c>
      <c r="I942" s="8">
        <f t="shared" si="58"/>
        <v>35</v>
      </c>
      <c r="J942" s="9">
        <f t="shared" si="59"/>
        <v>0.15217391304347827</v>
      </c>
      <c r="K942" s="55" t="s">
        <v>16</v>
      </c>
    </row>
    <row r="943" spans="1:11" x14ac:dyDescent="0.25">
      <c r="A943" s="55" t="s">
        <v>1740</v>
      </c>
      <c r="B943" s="55" t="s">
        <v>1976</v>
      </c>
      <c r="C943" s="55" t="s">
        <v>1981</v>
      </c>
      <c r="D943" s="55" t="s">
        <v>15</v>
      </c>
      <c r="E943" s="29">
        <v>265</v>
      </c>
      <c r="F943" s="29">
        <v>253</v>
      </c>
      <c r="G943" s="8">
        <f t="shared" si="56"/>
        <v>23</v>
      </c>
      <c r="H943" s="8">
        <f t="shared" si="57"/>
        <v>230</v>
      </c>
      <c r="I943" s="8">
        <f t="shared" si="58"/>
        <v>35</v>
      </c>
      <c r="J943" s="9">
        <f t="shared" si="59"/>
        <v>0.15217391304347827</v>
      </c>
      <c r="K943" s="55" t="s">
        <v>16</v>
      </c>
    </row>
    <row r="944" spans="1:11" x14ac:dyDescent="0.25">
      <c r="A944" s="55" t="s">
        <v>1740</v>
      </c>
      <c r="B944" s="55" t="s">
        <v>1976</v>
      </c>
      <c r="C944" s="55" t="s">
        <v>1982</v>
      </c>
      <c r="D944" s="55" t="s">
        <v>15</v>
      </c>
      <c r="E944" s="29">
        <v>265</v>
      </c>
      <c r="F944" s="29">
        <v>253</v>
      </c>
      <c r="G944" s="8">
        <f t="shared" si="56"/>
        <v>23</v>
      </c>
      <c r="H944" s="8">
        <f t="shared" si="57"/>
        <v>230</v>
      </c>
      <c r="I944" s="8">
        <f t="shared" si="58"/>
        <v>35</v>
      </c>
      <c r="J944" s="9">
        <f t="shared" si="59"/>
        <v>0.15217391304347827</v>
      </c>
      <c r="K944" s="55" t="s">
        <v>16</v>
      </c>
    </row>
    <row r="945" spans="1:11" x14ac:dyDescent="0.25">
      <c r="A945" s="55" t="s">
        <v>1740</v>
      </c>
      <c r="B945" s="55" t="s">
        <v>1976</v>
      </c>
      <c r="C945" s="55" t="s">
        <v>1983</v>
      </c>
      <c r="D945" s="55" t="s">
        <v>15</v>
      </c>
      <c r="E945" s="29">
        <v>265</v>
      </c>
      <c r="F945" s="29">
        <v>253</v>
      </c>
      <c r="G945" s="8">
        <f t="shared" si="56"/>
        <v>23</v>
      </c>
      <c r="H945" s="8">
        <f t="shared" si="57"/>
        <v>230</v>
      </c>
      <c r="I945" s="8">
        <f t="shared" si="58"/>
        <v>35</v>
      </c>
      <c r="J945" s="9">
        <f t="shared" si="59"/>
        <v>0.15217391304347827</v>
      </c>
      <c r="K945" s="55" t="s">
        <v>16</v>
      </c>
    </row>
    <row r="946" spans="1:11" x14ac:dyDescent="0.25">
      <c r="A946" s="7" t="s">
        <v>1740</v>
      </c>
      <c r="B946" s="7" t="s">
        <v>1984</v>
      </c>
      <c r="C946" s="7" t="s">
        <v>1985</v>
      </c>
      <c r="D946" s="7" t="s">
        <v>15</v>
      </c>
      <c r="E946" s="16">
        <v>1260</v>
      </c>
      <c r="F946" s="16">
        <v>1376.27</v>
      </c>
      <c r="G946" s="8">
        <f t="shared" si="56"/>
        <v>125.11545454545454</v>
      </c>
      <c r="H946" s="8">
        <f t="shared" si="57"/>
        <v>1251.1545454545455</v>
      </c>
      <c r="I946" s="8">
        <f t="shared" si="58"/>
        <v>8.8454545454544586</v>
      </c>
      <c r="J946" s="9">
        <f t="shared" si="59"/>
        <v>7.0698336808910347E-3</v>
      </c>
      <c r="K946" s="7" t="s">
        <v>16</v>
      </c>
    </row>
    <row r="947" spans="1:11" x14ac:dyDescent="0.25">
      <c r="A947" s="7" t="s">
        <v>1740</v>
      </c>
      <c r="B947" s="7" t="s">
        <v>1984</v>
      </c>
      <c r="C947" s="7" t="s">
        <v>1986</v>
      </c>
      <c r="D947" s="7" t="s">
        <v>15</v>
      </c>
      <c r="E947" s="16">
        <v>1260</v>
      </c>
      <c r="F947" s="16">
        <v>1376.27</v>
      </c>
      <c r="G947" s="8">
        <f t="shared" si="56"/>
        <v>125.11545454545454</v>
      </c>
      <c r="H947" s="8">
        <f t="shared" si="57"/>
        <v>1251.1545454545455</v>
      </c>
      <c r="I947" s="8">
        <f t="shared" si="58"/>
        <v>8.8454545454544586</v>
      </c>
      <c r="J947" s="9">
        <f t="shared" si="59"/>
        <v>7.0698336808910347E-3</v>
      </c>
      <c r="K947" s="7" t="s">
        <v>16</v>
      </c>
    </row>
    <row r="948" spans="1:11" x14ac:dyDescent="0.25">
      <c r="A948" s="7" t="s">
        <v>1740</v>
      </c>
      <c r="B948" s="7" t="s">
        <v>1984</v>
      </c>
      <c r="C948" s="7" t="s">
        <v>1987</v>
      </c>
      <c r="D948" s="7" t="s">
        <v>15</v>
      </c>
      <c r="E948" s="16">
        <v>1260</v>
      </c>
      <c r="F948" s="16">
        <v>1376.27</v>
      </c>
      <c r="G948" s="8">
        <f t="shared" si="56"/>
        <v>125.11545454545454</v>
      </c>
      <c r="H948" s="8">
        <f t="shared" si="57"/>
        <v>1251.1545454545455</v>
      </c>
      <c r="I948" s="8">
        <f t="shared" si="58"/>
        <v>8.8454545454544586</v>
      </c>
      <c r="J948" s="9">
        <f t="shared" si="59"/>
        <v>7.0698336808910347E-3</v>
      </c>
      <c r="K948" s="7" t="s">
        <v>16</v>
      </c>
    </row>
    <row r="949" spans="1:11" x14ac:dyDescent="0.25">
      <c r="A949" s="7" t="s">
        <v>1740</v>
      </c>
      <c r="B949" s="7" t="s">
        <v>1984</v>
      </c>
      <c r="C949" s="7" t="s">
        <v>1988</v>
      </c>
      <c r="D949" s="7" t="s">
        <v>15</v>
      </c>
      <c r="E949" s="16">
        <v>1260</v>
      </c>
      <c r="F949" s="16">
        <v>1376.27</v>
      </c>
      <c r="G949" s="8">
        <f t="shared" si="56"/>
        <v>125.11545454545454</v>
      </c>
      <c r="H949" s="8">
        <f t="shared" si="57"/>
        <v>1251.1545454545455</v>
      </c>
      <c r="I949" s="8">
        <f t="shared" si="58"/>
        <v>8.8454545454544586</v>
      </c>
      <c r="J949" s="9">
        <f t="shared" si="59"/>
        <v>7.0698336808910347E-3</v>
      </c>
      <c r="K949" s="7" t="s">
        <v>16</v>
      </c>
    </row>
    <row r="950" spans="1:11" x14ac:dyDescent="0.25">
      <c r="A950" s="7" t="s">
        <v>1740</v>
      </c>
      <c r="B950" s="7" t="s">
        <v>1984</v>
      </c>
      <c r="C950" s="7" t="s">
        <v>1989</v>
      </c>
      <c r="D950" s="7" t="s">
        <v>15</v>
      </c>
      <c r="E950" s="16">
        <v>1260</v>
      </c>
      <c r="F950" s="16">
        <v>1376.27</v>
      </c>
      <c r="G950" s="8">
        <f t="shared" si="56"/>
        <v>125.11545454545454</v>
      </c>
      <c r="H950" s="8">
        <f t="shared" si="57"/>
        <v>1251.1545454545455</v>
      </c>
      <c r="I950" s="8">
        <f t="shared" si="58"/>
        <v>8.8454545454544586</v>
      </c>
      <c r="J950" s="9">
        <f t="shared" si="59"/>
        <v>7.0698336808910347E-3</v>
      </c>
      <c r="K950" s="7" t="s">
        <v>16</v>
      </c>
    </row>
    <row r="951" spans="1:11" x14ac:dyDescent="0.25">
      <c r="A951" s="7" t="s">
        <v>1740</v>
      </c>
      <c r="B951" s="7" t="s">
        <v>1984</v>
      </c>
      <c r="C951" s="7" t="s">
        <v>1990</v>
      </c>
      <c r="D951" s="7" t="s">
        <v>15</v>
      </c>
      <c r="E951" s="16">
        <v>1260</v>
      </c>
      <c r="F951" s="16">
        <v>1376.27</v>
      </c>
      <c r="G951" s="8">
        <f t="shared" si="56"/>
        <v>125.11545454545454</v>
      </c>
      <c r="H951" s="8">
        <f t="shared" si="57"/>
        <v>1251.1545454545455</v>
      </c>
      <c r="I951" s="8">
        <f t="shared" si="58"/>
        <v>8.8454545454544586</v>
      </c>
      <c r="J951" s="9">
        <f t="shared" si="59"/>
        <v>7.0698336808910347E-3</v>
      </c>
      <c r="K951" s="7" t="s">
        <v>16</v>
      </c>
    </row>
    <row r="952" spans="1:11" x14ac:dyDescent="0.25">
      <c r="A952" s="7" t="s">
        <v>1740</v>
      </c>
      <c r="B952" s="7" t="s">
        <v>1984</v>
      </c>
      <c r="C952" s="7" t="s">
        <v>1991</v>
      </c>
      <c r="D952" s="7" t="s">
        <v>15</v>
      </c>
      <c r="E952" s="16">
        <v>1260</v>
      </c>
      <c r="F952" s="16">
        <v>1376.27</v>
      </c>
      <c r="G952" s="8">
        <f t="shared" si="56"/>
        <v>125.11545454545454</v>
      </c>
      <c r="H952" s="8">
        <f t="shared" si="57"/>
        <v>1251.1545454545455</v>
      </c>
      <c r="I952" s="8">
        <f t="shared" si="58"/>
        <v>8.8454545454544586</v>
      </c>
      <c r="J952" s="9">
        <f t="shared" si="59"/>
        <v>7.0698336808910347E-3</v>
      </c>
      <c r="K952" s="7" t="s">
        <v>16</v>
      </c>
    </row>
    <row r="953" spans="1:11" x14ac:dyDescent="0.25">
      <c r="A953" s="7" t="s">
        <v>1740</v>
      </c>
      <c r="B953" s="7" t="s">
        <v>1984</v>
      </c>
      <c r="C953" s="7" t="s">
        <v>1992</v>
      </c>
      <c r="D953" s="7" t="s">
        <v>15</v>
      </c>
      <c r="E953" s="16">
        <v>1260</v>
      </c>
      <c r="F953" s="16">
        <v>1376.27</v>
      </c>
      <c r="G953" s="8">
        <f t="shared" si="56"/>
        <v>125.11545454545454</v>
      </c>
      <c r="H953" s="8">
        <f t="shared" si="57"/>
        <v>1251.1545454545455</v>
      </c>
      <c r="I953" s="8">
        <f t="shared" si="58"/>
        <v>8.8454545454544586</v>
      </c>
      <c r="J953" s="9">
        <f t="shared" si="59"/>
        <v>7.0698336808910347E-3</v>
      </c>
      <c r="K953" s="7" t="s">
        <v>16</v>
      </c>
    </row>
    <row r="954" spans="1:11" x14ac:dyDescent="0.25">
      <c r="A954" s="7" t="s">
        <v>1740</v>
      </c>
      <c r="B954" s="7" t="s">
        <v>1984</v>
      </c>
      <c r="C954" s="7" t="s">
        <v>1993</v>
      </c>
      <c r="D954" s="7" t="s">
        <v>15</v>
      </c>
      <c r="E954" s="16">
        <v>1260</v>
      </c>
      <c r="F954" s="16">
        <v>1376.27</v>
      </c>
      <c r="G954" s="8">
        <f t="shared" si="56"/>
        <v>125.11545454545454</v>
      </c>
      <c r="H954" s="8">
        <f t="shared" si="57"/>
        <v>1251.1545454545455</v>
      </c>
      <c r="I954" s="8">
        <f t="shared" si="58"/>
        <v>8.8454545454544586</v>
      </c>
      <c r="J954" s="9">
        <f t="shared" si="59"/>
        <v>7.0698336808910347E-3</v>
      </c>
      <c r="K954" s="7" t="s">
        <v>16</v>
      </c>
    </row>
    <row r="955" spans="1:11" x14ac:dyDescent="0.25">
      <c r="A955" s="7" t="s">
        <v>1740</v>
      </c>
      <c r="B955" s="7" t="s">
        <v>1984</v>
      </c>
      <c r="C955" s="7" t="s">
        <v>1994</v>
      </c>
      <c r="D955" s="7" t="s">
        <v>15</v>
      </c>
      <c r="E955" s="16">
        <v>1260</v>
      </c>
      <c r="F955" s="16">
        <v>1376.27</v>
      </c>
      <c r="G955" s="8">
        <f t="shared" si="56"/>
        <v>125.11545454545454</v>
      </c>
      <c r="H955" s="8">
        <f t="shared" si="57"/>
        <v>1251.1545454545455</v>
      </c>
      <c r="I955" s="8">
        <f t="shared" si="58"/>
        <v>8.8454545454544586</v>
      </c>
      <c r="J955" s="9">
        <f t="shared" si="59"/>
        <v>7.0698336808910347E-3</v>
      </c>
      <c r="K955" s="7" t="s">
        <v>16</v>
      </c>
    </row>
    <row r="956" spans="1:11" x14ac:dyDescent="0.25">
      <c r="A956" s="7" t="s">
        <v>1740</v>
      </c>
      <c r="B956" s="7" t="s">
        <v>1984</v>
      </c>
      <c r="C956" s="7" t="s">
        <v>1995</v>
      </c>
      <c r="D956" s="7" t="s">
        <v>15</v>
      </c>
      <c r="E956" s="16">
        <v>1260</v>
      </c>
      <c r="F956" s="16">
        <v>1376.27</v>
      </c>
      <c r="G956" s="8">
        <f t="shared" si="56"/>
        <v>125.11545454545454</v>
      </c>
      <c r="H956" s="8">
        <f t="shared" si="57"/>
        <v>1251.1545454545455</v>
      </c>
      <c r="I956" s="8">
        <f t="shared" si="58"/>
        <v>8.8454545454544586</v>
      </c>
      <c r="J956" s="9">
        <f t="shared" si="59"/>
        <v>7.0698336808910347E-3</v>
      </c>
      <c r="K956" s="7" t="s">
        <v>16</v>
      </c>
    </row>
    <row r="957" spans="1:11" x14ac:dyDescent="0.25">
      <c r="A957" s="7" t="s">
        <v>1740</v>
      </c>
      <c r="B957" s="7" t="s">
        <v>1984</v>
      </c>
      <c r="C957" s="7" t="s">
        <v>1996</v>
      </c>
      <c r="D957" s="7" t="s">
        <v>15</v>
      </c>
      <c r="E957" s="16">
        <v>1260</v>
      </c>
      <c r="F957" s="16">
        <v>1376.27</v>
      </c>
      <c r="G957" s="8">
        <f t="shared" si="56"/>
        <v>125.11545454545454</v>
      </c>
      <c r="H957" s="8">
        <f t="shared" si="57"/>
        <v>1251.1545454545455</v>
      </c>
      <c r="I957" s="8">
        <f t="shared" si="58"/>
        <v>8.8454545454544586</v>
      </c>
      <c r="J957" s="9">
        <f t="shared" si="59"/>
        <v>7.0698336808910347E-3</v>
      </c>
      <c r="K957" s="7" t="s">
        <v>16</v>
      </c>
    </row>
    <row r="958" spans="1:11" x14ac:dyDescent="0.25">
      <c r="A958" s="7" t="s">
        <v>1740</v>
      </c>
      <c r="B958" s="7" t="s">
        <v>1984</v>
      </c>
      <c r="C958" s="7" t="s">
        <v>1997</v>
      </c>
      <c r="D958" s="7" t="s">
        <v>15</v>
      </c>
      <c r="E958" s="16">
        <v>1260</v>
      </c>
      <c r="F958" s="16">
        <v>1376.27</v>
      </c>
      <c r="G958" s="8">
        <f t="shared" si="56"/>
        <v>125.11545454545454</v>
      </c>
      <c r="H958" s="8">
        <f t="shared" si="57"/>
        <v>1251.1545454545455</v>
      </c>
      <c r="I958" s="8">
        <f t="shared" si="58"/>
        <v>8.8454545454544586</v>
      </c>
      <c r="J958" s="9">
        <f t="shared" si="59"/>
        <v>7.0698336808910347E-3</v>
      </c>
      <c r="K958" s="7" t="s">
        <v>16</v>
      </c>
    </row>
    <row r="959" spans="1:11" x14ac:dyDescent="0.25">
      <c r="A959" s="7" t="s">
        <v>1740</v>
      </c>
      <c r="B959" s="7" t="s">
        <v>1984</v>
      </c>
      <c r="C959" s="7" t="s">
        <v>1998</v>
      </c>
      <c r="D959" s="7" t="s">
        <v>15</v>
      </c>
      <c r="E959" s="16">
        <v>1260</v>
      </c>
      <c r="F959" s="16">
        <v>1376.27</v>
      </c>
      <c r="G959" s="8">
        <f t="shared" si="56"/>
        <v>125.11545454545454</v>
      </c>
      <c r="H959" s="8">
        <f t="shared" si="57"/>
        <v>1251.1545454545455</v>
      </c>
      <c r="I959" s="8">
        <f t="shared" si="58"/>
        <v>8.8454545454544586</v>
      </c>
      <c r="J959" s="9">
        <f t="shared" si="59"/>
        <v>7.0698336808910347E-3</v>
      </c>
      <c r="K959" s="7" t="s">
        <v>16</v>
      </c>
    </row>
    <row r="960" spans="1:11" x14ac:dyDescent="0.25">
      <c r="A960" s="7" t="s">
        <v>1740</v>
      </c>
      <c r="B960" s="7" t="s">
        <v>1984</v>
      </c>
      <c r="C960" s="7" t="s">
        <v>1999</v>
      </c>
      <c r="D960" s="7" t="s">
        <v>15</v>
      </c>
      <c r="E960" s="16">
        <v>1260</v>
      </c>
      <c r="F960" s="16">
        <v>1376.27</v>
      </c>
      <c r="G960" s="8">
        <f t="shared" si="56"/>
        <v>125.11545454545454</v>
      </c>
      <c r="H960" s="8">
        <f t="shared" si="57"/>
        <v>1251.1545454545455</v>
      </c>
      <c r="I960" s="8">
        <f t="shared" si="58"/>
        <v>8.8454545454544586</v>
      </c>
      <c r="J960" s="9">
        <f t="shared" si="59"/>
        <v>7.0698336808910347E-3</v>
      </c>
      <c r="K960" s="7" t="s">
        <v>16</v>
      </c>
    </row>
    <row r="961" spans="1:11" x14ac:dyDescent="0.25">
      <c r="A961" s="7" t="s">
        <v>1740</v>
      </c>
      <c r="B961" s="7" t="s">
        <v>1984</v>
      </c>
      <c r="C961" s="7" t="s">
        <v>2000</v>
      </c>
      <c r="D961" s="7" t="s">
        <v>15</v>
      </c>
      <c r="E961" s="16">
        <v>1260</v>
      </c>
      <c r="F961" s="16">
        <v>1376.27</v>
      </c>
      <c r="G961" s="8">
        <f t="shared" si="56"/>
        <v>125.11545454545454</v>
      </c>
      <c r="H961" s="8">
        <f t="shared" si="57"/>
        <v>1251.1545454545455</v>
      </c>
      <c r="I961" s="8">
        <f t="shared" si="58"/>
        <v>8.8454545454544586</v>
      </c>
      <c r="J961" s="9">
        <f t="shared" si="59"/>
        <v>7.0698336808910347E-3</v>
      </c>
      <c r="K961" s="7" t="s">
        <v>16</v>
      </c>
    </row>
    <row r="962" spans="1:11" x14ac:dyDescent="0.25">
      <c r="A962" s="7" t="s">
        <v>1740</v>
      </c>
      <c r="B962" s="7" t="s">
        <v>1984</v>
      </c>
      <c r="C962" s="7" t="s">
        <v>2001</v>
      </c>
      <c r="D962" s="7" t="s">
        <v>15</v>
      </c>
      <c r="E962" s="16">
        <v>1260</v>
      </c>
      <c r="F962" s="16">
        <v>1376.27</v>
      </c>
      <c r="G962" s="8">
        <f t="shared" si="56"/>
        <v>125.11545454545454</v>
      </c>
      <c r="H962" s="8">
        <f t="shared" si="57"/>
        <v>1251.1545454545455</v>
      </c>
      <c r="I962" s="8">
        <f t="shared" si="58"/>
        <v>8.8454545454544586</v>
      </c>
      <c r="J962" s="9">
        <f t="shared" si="59"/>
        <v>7.0698336808910347E-3</v>
      </c>
      <c r="K962" s="7" t="s">
        <v>16</v>
      </c>
    </row>
    <row r="963" spans="1:11" x14ac:dyDescent="0.25">
      <c r="A963" s="7" t="s">
        <v>1740</v>
      </c>
      <c r="B963" s="7" t="s">
        <v>1984</v>
      </c>
      <c r="C963" s="7" t="s">
        <v>2002</v>
      </c>
      <c r="D963" s="7" t="s">
        <v>15</v>
      </c>
      <c r="E963" s="16">
        <v>1260</v>
      </c>
      <c r="F963" s="16">
        <v>1376.27</v>
      </c>
      <c r="G963" s="8">
        <f t="shared" ref="G963:G1023" si="60">F963/11</f>
        <v>125.11545454545454</v>
      </c>
      <c r="H963" s="8">
        <f t="shared" ref="H963:H1023" si="61">F963-G963</f>
        <v>1251.1545454545455</v>
      </c>
      <c r="I963" s="8">
        <f t="shared" ref="I963:I1023" si="62">E963-H963</f>
        <v>8.8454545454544586</v>
      </c>
      <c r="J963" s="9">
        <f t="shared" ref="J963:J1023" si="63">(E963-H963)/H963</f>
        <v>7.0698336808910347E-3</v>
      </c>
      <c r="K963" s="7" t="s">
        <v>16</v>
      </c>
    </row>
    <row r="964" spans="1:11" x14ac:dyDescent="0.25">
      <c r="A964" s="7" t="s">
        <v>1740</v>
      </c>
      <c r="B964" s="7" t="s">
        <v>1984</v>
      </c>
      <c r="C964" s="7" t="s">
        <v>2003</v>
      </c>
      <c r="D964" s="7" t="s">
        <v>15</v>
      </c>
      <c r="E964" s="16">
        <v>1260</v>
      </c>
      <c r="F964" s="16">
        <v>1376.27</v>
      </c>
      <c r="G964" s="8">
        <f t="shared" si="60"/>
        <v>125.11545454545454</v>
      </c>
      <c r="H964" s="8">
        <f t="shared" si="61"/>
        <v>1251.1545454545455</v>
      </c>
      <c r="I964" s="8">
        <f t="shared" si="62"/>
        <v>8.8454545454544586</v>
      </c>
      <c r="J964" s="9">
        <f t="shared" si="63"/>
        <v>7.0698336808910347E-3</v>
      </c>
      <c r="K964" s="7" t="s">
        <v>16</v>
      </c>
    </row>
    <row r="965" spans="1:11" x14ac:dyDescent="0.25">
      <c r="A965" s="7" t="s">
        <v>1740</v>
      </c>
      <c r="B965" s="7" t="s">
        <v>1984</v>
      </c>
      <c r="C965" s="7" t="s">
        <v>2004</v>
      </c>
      <c r="D965" s="7" t="s">
        <v>15</v>
      </c>
      <c r="E965" s="16">
        <v>1260</v>
      </c>
      <c r="F965" s="16">
        <v>1376.27</v>
      </c>
      <c r="G965" s="8">
        <f t="shared" si="60"/>
        <v>125.11545454545454</v>
      </c>
      <c r="H965" s="8">
        <f t="shared" si="61"/>
        <v>1251.1545454545455</v>
      </c>
      <c r="I965" s="8">
        <f t="shared" si="62"/>
        <v>8.8454545454544586</v>
      </c>
      <c r="J965" s="9">
        <f t="shared" si="63"/>
        <v>7.0698336808910347E-3</v>
      </c>
      <c r="K965" s="7" t="s">
        <v>16</v>
      </c>
    </row>
    <row r="966" spans="1:11" x14ac:dyDescent="0.25">
      <c r="A966" s="55" t="s">
        <v>1740</v>
      </c>
      <c r="B966" s="55" t="s">
        <v>254</v>
      </c>
      <c r="C966" s="55" t="s">
        <v>2005</v>
      </c>
      <c r="D966" s="55" t="s">
        <v>15</v>
      </c>
      <c r="E966" s="29">
        <v>346</v>
      </c>
      <c r="F966" s="29">
        <v>313.98</v>
      </c>
      <c r="G966" s="8">
        <f t="shared" si="60"/>
        <v>28.543636363636367</v>
      </c>
      <c r="H966" s="8">
        <f t="shared" si="61"/>
        <v>285.43636363636364</v>
      </c>
      <c r="I966" s="8">
        <f t="shared" si="62"/>
        <v>60.563636363636363</v>
      </c>
      <c r="J966" s="9">
        <f t="shared" si="63"/>
        <v>0.21217911968915218</v>
      </c>
      <c r="K966" s="55" t="s">
        <v>81</v>
      </c>
    </row>
    <row r="967" spans="1:11" x14ac:dyDescent="0.25">
      <c r="A967" s="55" t="s">
        <v>1740</v>
      </c>
      <c r="B967" s="55" t="s">
        <v>254</v>
      </c>
      <c r="C967" s="55" t="s">
        <v>2006</v>
      </c>
      <c r="D967" s="55" t="s">
        <v>15</v>
      </c>
      <c r="E967" s="29">
        <v>346</v>
      </c>
      <c r="F967" s="29">
        <v>313.98</v>
      </c>
      <c r="G967" s="8">
        <f t="shared" si="60"/>
        <v>28.543636363636367</v>
      </c>
      <c r="H967" s="8">
        <f t="shared" si="61"/>
        <v>285.43636363636364</v>
      </c>
      <c r="I967" s="8">
        <f t="shared" si="62"/>
        <v>60.563636363636363</v>
      </c>
      <c r="J967" s="9">
        <f t="shared" si="63"/>
        <v>0.21217911968915218</v>
      </c>
      <c r="K967" s="55" t="s">
        <v>81</v>
      </c>
    </row>
    <row r="968" spans="1:11" x14ac:dyDescent="0.25">
      <c r="A968" s="55" t="s">
        <v>1740</v>
      </c>
      <c r="B968" s="55" t="s">
        <v>254</v>
      </c>
      <c r="C968" s="55" t="s">
        <v>2007</v>
      </c>
      <c r="D968" s="55" t="s">
        <v>15</v>
      </c>
      <c r="E968" s="29">
        <v>346</v>
      </c>
      <c r="F968" s="29">
        <v>313.98</v>
      </c>
      <c r="G968" s="8">
        <f t="shared" si="60"/>
        <v>28.543636363636367</v>
      </c>
      <c r="H968" s="8">
        <f t="shared" si="61"/>
        <v>285.43636363636364</v>
      </c>
      <c r="I968" s="8">
        <f t="shared" si="62"/>
        <v>60.563636363636363</v>
      </c>
      <c r="J968" s="9">
        <f t="shared" si="63"/>
        <v>0.21217911968915218</v>
      </c>
      <c r="K968" s="55" t="s">
        <v>81</v>
      </c>
    </row>
    <row r="969" spans="1:11" x14ac:dyDescent="0.25">
      <c r="A969" s="55" t="s">
        <v>1740</v>
      </c>
      <c r="B969" s="55" t="s">
        <v>254</v>
      </c>
      <c r="C969" s="55" t="s">
        <v>2008</v>
      </c>
      <c r="D969" s="55" t="s">
        <v>15</v>
      </c>
      <c r="E969" s="29">
        <v>346</v>
      </c>
      <c r="F969" s="29">
        <v>313.98</v>
      </c>
      <c r="G969" s="8">
        <f t="shared" si="60"/>
        <v>28.543636363636367</v>
      </c>
      <c r="H969" s="8">
        <f t="shared" si="61"/>
        <v>285.43636363636364</v>
      </c>
      <c r="I969" s="8">
        <f t="shared" si="62"/>
        <v>60.563636363636363</v>
      </c>
      <c r="J969" s="9">
        <f t="shared" si="63"/>
        <v>0.21217911968915218</v>
      </c>
      <c r="K969" s="55" t="s">
        <v>81</v>
      </c>
    </row>
    <row r="970" spans="1:11" x14ac:dyDescent="0.25">
      <c r="A970" s="55" t="s">
        <v>1740</v>
      </c>
      <c r="B970" s="55" t="s">
        <v>254</v>
      </c>
      <c r="C970" s="55" t="s">
        <v>2009</v>
      </c>
      <c r="D970" s="55" t="s">
        <v>15</v>
      </c>
      <c r="E970" s="29">
        <v>346</v>
      </c>
      <c r="F970" s="29">
        <v>313.98</v>
      </c>
      <c r="G970" s="8">
        <f t="shared" si="60"/>
        <v>28.543636363636367</v>
      </c>
      <c r="H970" s="8">
        <f t="shared" si="61"/>
        <v>285.43636363636364</v>
      </c>
      <c r="I970" s="8">
        <f t="shared" si="62"/>
        <v>60.563636363636363</v>
      </c>
      <c r="J970" s="9">
        <f t="shared" si="63"/>
        <v>0.21217911968915218</v>
      </c>
      <c r="K970" s="55" t="s">
        <v>81</v>
      </c>
    </row>
    <row r="971" spans="1:11" x14ac:dyDescent="0.25">
      <c r="A971" s="55" t="s">
        <v>1740</v>
      </c>
      <c r="B971" s="55" t="s">
        <v>254</v>
      </c>
      <c r="C971" s="55" t="s">
        <v>2010</v>
      </c>
      <c r="D971" s="55" t="s">
        <v>15</v>
      </c>
      <c r="E971" s="29">
        <v>346</v>
      </c>
      <c r="F971" s="29">
        <v>313.98</v>
      </c>
      <c r="G971" s="8">
        <f t="shared" si="60"/>
        <v>28.543636363636367</v>
      </c>
      <c r="H971" s="8">
        <f t="shared" si="61"/>
        <v>285.43636363636364</v>
      </c>
      <c r="I971" s="8">
        <f t="shared" si="62"/>
        <v>60.563636363636363</v>
      </c>
      <c r="J971" s="9">
        <f t="shared" si="63"/>
        <v>0.21217911968915218</v>
      </c>
      <c r="K971" s="55" t="s">
        <v>81</v>
      </c>
    </row>
    <row r="972" spans="1:11" x14ac:dyDescent="0.25">
      <c r="A972" s="55" t="s">
        <v>1740</v>
      </c>
      <c r="B972" s="55" t="s">
        <v>254</v>
      </c>
      <c r="C972" s="55" t="s">
        <v>2011</v>
      </c>
      <c r="D972" s="55" t="s">
        <v>15</v>
      </c>
      <c r="E972" s="29">
        <v>346</v>
      </c>
      <c r="F972" s="29">
        <v>313.98</v>
      </c>
      <c r="G972" s="8">
        <f t="shared" si="60"/>
        <v>28.543636363636367</v>
      </c>
      <c r="H972" s="8">
        <f t="shared" si="61"/>
        <v>285.43636363636364</v>
      </c>
      <c r="I972" s="8">
        <f t="shared" si="62"/>
        <v>60.563636363636363</v>
      </c>
      <c r="J972" s="9">
        <f t="shared" si="63"/>
        <v>0.21217911968915218</v>
      </c>
      <c r="K972" s="55" t="s">
        <v>81</v>
      </c>
    </row>
    <row r="973" spans="1:11" x14ac:dyDescent="0.25">
      <c r="A973" s="55" t="s">
        <v>1740</v>
      </c>
      <c r="B973" s="55" t="s">
        <v>254</v>
      </c>
      <c r="C973" s="55" t="s">
        <v>2012</v>
      </c>
      <c r="D973" s="55" t="s">
        <v>15</v>
      </c>
      <c r="E973" s="29">
        <v>346</v>
      </c>
      <c r="F973" s="29">
        <v>313.98</v>
      </c>
      <c r="G973" s="8">
        <f t="shared" si="60"/>
        <v>28.543636363636367</v>
      </c>
      <c r="H973" s="8">
        <f t="shared" si="61"/>
        <v>285.43636363636364</v>
      </c>
      <c r="I973" s="8">
        <f t="shared" si="62"/>
        <v>60.563636363636363</v>
      </c>
      <c r="J973" s="9">
        <f t="shared" si="63"/>
        <v>0.21217911968915218</v>
      </c>
      <c r="K973" s="55" t="s">
        <v>81</v>
      </c>
    </row>
    <row r="974" spans="1:11" x14ac:dyDescent="0.25">
      <c r="A974" s="55" t="s">
        <v>1740</v>
      </c>
      <c r="B974" s="55" t="s">
        <v>254</v>
      </c>
      <c r="C974" s="55" t="s">
        <v>2013</v>
      </c>
      <c r="D974" s="55" t="s">
        <v>15</v>
      </c>
      <c r="E974" s="29">
        <v>346</v>
      </c>
      <c r="F974" s="29">
        <v>313.98</v>
      </c>
      <c r="G974" s="8">
        <f t="shared" si="60"/>
        <v>28.543636363636367</v>
      </c>
      <c r="H974" s="8">
        <f t="shared" si="61"/>
        <v>285.43636363636364</v>
      </c>
      <c r="I974" s="8">
        <f t="shared" si="62"/>
        <v>60.563636363636363</v>
      </c>
      <c r="J974" s="9">
        <f t="shared" si="63"/>
        <v>0.21217911968915218</v>
      </c>
      <c r="K974" s="55" t="s">
        <v>81</v>
      </c>
    </row>
    <row r="975" spans="1:11" x14ac:dyDescent="0.25">
      <c r="A975" s="55" t="s">
        <v>1740</v>
      </c>
      <c r="B975" s="55" t="s">
        <v>254</v>
      </c>
      <c r="C975" s="55" t="s">
        <v>2014</v>
      </c>
      <c r="D975" s="55" t="s">
        <v>15</v>
      </c>
      <c r="E975" s="29">
        <v>346</v>
      </c>
      <c r="F975" s="29">
        <v>313.98</v>
      </c>
      <c r="G975" s="8">
        <f t="shared" si="60"/>
        <v>28.543636363636367</v>
      </c>
      <c r="H975" s="8">
        <f t="shared" si="61"/>
        <v>285.43636363636364</v>
      </c>
      <c r="I975" s="8">
        <f t="shared" si="62"/>
        <v>60.563636363636363</v>
      </c>
      <c r="J975" s="9">
        <f t="shared" si="63"/>
        <v>0.21217911968915218</v>
      </c>
      <c r="K975" s="55" t="s">
        <v>81</v>
      </c>
    </row>
    <row r="976" spans="1:11" x14ac:dyDescent="0.25">
      <c r="A976" s="55" t="s">
        <v>1740</v>
      </c>
      <c r="B976" s="55" t="s">
        <v>254</v>
      </c>
      <c r="C976" s="55" t="s">
        <v>2015</v>
      </c>
      <c r="D976" s="55" t="s">
        <v>15</v>
      </c>
      <c r="E976" s="29">
        <v>346</v>
      </c>
      <c r="F976" s="29">
        <v>313.98</v>
      </c>
      <c r="G976" s="8">
        <f t="shared" si="60"/>
        <v>28.543636363636367</v>
      </c>
      <c r="H976" s="8">
        <f t="shared" si="61"/>
        <v>285.43636363636364</v>
      </c>
      <c r="I976" s="8">
        <f t="shared" si="62"/>
        <v>60.563636363636363</v>
      </c>
      <c r="J976" s="9">
        <f t="shared" si="63"/>
        <v>0.21217911968915218</v>
      </c>
      <c r="K976" s="55" t="s">
        <v>81</v>
      </c>
    </row>
    <row r="977" spans="1:11" x14ac:dyDescent="0.25">
      <c r="A977" s="55" t="s">
        <v>1740</v>
      </c>
      <c r="B977" s="55" t="s">
        <v>254</v>
      </c>
      <c r="C977" s="55" t="s">
        <v>2016</v>
      </c>
      <c r="D977" s="55" t="s">
        <v>15</v>
      </c>
      <c r="E977" s="29">
        <v>346</v>
      </c>
      <c r="F977" s="29">
        <v>313.98</v>
      </c>
      <c r="G977" s="8">
        <f t="shared" si="60"/>
        <v>28.543636363636367</v>
      </c>
      <c r="H977" s="8">
        <f t="shared" si="61"/>
        <v>285.43636363636364</v>
      </c>
      <c r="I977" s="8">
        <f t="shared" si="62"/>
        <v>60.563636363636363</v>
      </c>
      <c r="J977" s="9">
        <f t="shared" si="63"/>
        <v>0.21217911968915218</v>
      </c>
      <c r="K977" s="55" t="s">
        <v>81</v>
      </c>
    </row>
    <row r="978" spans="1:11" x14ac:dyDescent="0.25">
      <c r="A978" s="55" t="s">
        <v>1740</v>
      </c>
      <c r="B978" s="55" t="s">
        <v>254</v>
      </c>
      <c r="C978" s="55" t="s">
        <v>2017</v>
      </c>
      <c r="D978" s="55" t="s">
        <v>15</v>
      </c>
      <c r="E978" s="29">
        <v>346</v>
      </c>
      <c r="F978" s="29">
        <v>313.98</v>
      </c>
      <c r="G978" s="8">
        <f t="shared" si="60"/>
        <v>28.543636363636367</v>
      </c>
      <c r="H978" s="8">
        <f t="shared" si="61"/>
        <v>285.43636363636364</v>
      </c>
      <c r="I978" s="8">
        <f t="shared" si="62"/>
        <v>60.563636363636363</v>
      </c>
      <c r="J978" s="9">
        <f t="shared" si="63"/>
        <v>0.21217911968915218</v>
      </c>
      <c r="K978" s="55" t="s">
        <v>81</v>
      </c>
    </row>
    <row r="979" spans="1:11" x14ac:dyDescent="0.25">
      <c r="A979" s="55" t="s">
        <v>1740</v>
      </c>
      <c r="B979" s="55" t="s">
        <v>254</v>
      </c>
      <c r="C979" s="55" t="s">
        <v>2018</v>
      </c>
      <c r="D979" s="55" t="s">
        <v>15</v>
      </c>
      <c r="E979" s="29">
        <v>346</v>
      </c>
      <c r="F979" s="29">
        <v>313.98</v>
      </c>
      <c r="G979" s="8">
        <f t="shared" si="60"/>
        <v>28.543636363636367</v>
      </c>
      <c r="H979" s="8">
        <f t="shared" si="61"/>
        <v>285.43636363636364</v>
      </c>
      <c r="I979" s="8">
        <f t="shared" si="62"/>
        <v>60.563636363636363</v>
      </c>
      <c r="J979" s="9">
        <f t="shared" si="63"/>
        <v>0.21217911968915218</v>
      </c>
      <c r="K979" s="55" t="s">
        <v>81</v>
      </c>
    </row>
    <row r="980" spans="1:11" x14ac:dyDescent="0.25">
      <c r="A980" s="55" t="s">
        <v>1740</v>
      </c>
      <c r="B980" s="55" t="s">
        <v>254</v>
      </c>
      <c r="C980" s="55" t="s">
        <v>2019</v>
      </c>
      <c r="D980" s="55" t="s">
        <v>15</v>
      </c>
      <c r="E980" s="29">
        <v>346</v>
      </c>
      <c r="F980" s="29">
        <v>313.98</v>
      </c>
      <c r="G980" s="8">
        <f t="shared" si="60"/>
        <v>28.543636363636367</v>
      </c>
      <c r="H980" s="8">
        <f t="shared" si="61"/>
        <v>285.43636363636364</v>
      </c>
      <c r="I980" s="8">
        <f t="shared" si="62"/>
        <v>60.563636363636363</v>
      </c>
      <c r="J980" s="9">
        <f t="shared" si="63"/>
        <v>0.21217911968915218</v>
      </c>
      <c r="K980" s="55" t="s">
        <v>81</v>
      </c>
    </row>
    <row r="981" spans="1:11" x14ac:dyDescent="0.25">
      <c r="A981" s="55" t="s">
        <v>1740</v>
      </c>
      <c r="B981" s="55" t="s">
        <v>254</v>
      </c>
      <c r="C981" s="55" t="s">
        <v>2020</v>
      </c>
      <c r="D981" s="55" t="s">
        <v>15</v>
      </c>
      <c r="E981" s="29">
        <v>346</v>
      </c>
      <c r="F981" s="29">
        <v>313.98</v>
      </c>
      <c r="G981" s="8">
        <f t="shared" si="60"/>
        <v>28.543636363636367</v>
      </c>
      <c r="H981" s="8">
        <f t="shared" si="61"/>
        <v>285.43636363636364</v>
      </c>
      <c r="I981" s="8">
        <f t="shared" si="62"/>
        <v>60.563636363636363</v>
      </c>
      <c r="J981" s="9">
        <f t="shared" si="63"/>
        <v>0.21217911968915218</v>
      </c>
      <c r="K981" s="55" t="s">
        <v>81</v>
      </c>
    </row>
    <row r="982" spans="1:11" x14ac:dyDescent="0.25">
      <c r="A982" s="55" t="s">
        <v>1740</v>
      </c>
      <c r="B982" s="55" t="s">
        <v>254</v>
      </c>
      <c r="C982" s="55" t="s">
        <v>2021</v>
      </c>
      <c r="D982" s="55" t="s">
        <v>15</v>
      </c>
      <c r="E982" s="29">
        <v>346</v>
      </c>
      <c r="F982" s="29">
        <v>313.98</v>
      </c>
      <c r="G982" s="8">
        <f t="shared" si="60"/>
        <v>28.543636363636367</v>
      </c>
      <c r="H982" s="8">
        <f t="shared" si="61"/>
        <v>285.43636363636364</v>
      </c>
      <c r="I982" s="8">
        <f t="shared" si="62"/>
        <v>60.563636363636363</v>
      </c>
      <c r="J982" s="9">
        <f t="shared" si="63"/>
        <v>0.21217911968915218</v>
      </c>
      <c r="K982" s="55" t="s">
        <v>81</v>
      </c>
    </row>
    <row r="983" spans="1:11" x14ac:dyDescent="0.25">
      <c r="A983" s="55" t="s">
        <v>1740</v>
      </c>
      <c r="B983" s="55" t="s">
        <v>254</v>
      </c>
      <c r="C983" s="55" t="s">
        <v>2022</v>
      </c>
      <c r="D983" s="55" t="s">
        <v>15</v>
      </c>
      <c r="E983" s="29">
        <v>346</v>
      </c>
      <c r="F983" s="29">
        <v>313.98</v>
      </c>
      <c r="G983" s="8">
        <f t="shared" si="60"/>
        <v>28.543636363636367</v>
      </c>
      <c r="H983" s="8">
        <f t="shared" si="61"/>
        <v>285.43636363636364</v>
      </c>
      <c r="I983" s="8">
        <f t="shared" si="62"/>
        <v>60.563636363636363</v>
      </c>
      <c r="J983" s="9">
        <f t="shared" si="63"/>
        <v>0.21217911968915218</v>
      </c>
      <c r="K983" s="55" t="s">
        <v>81</v>
      </c>
    </row>
    <row r="984" spans="1:11" x14ac:dyDescent="0.25">
      <c r="A984" s="55" t="s">
        <v>1740</v>
      </c>
      <c r="B984" s="55" t="s">
        <v>254</v>
      </c>
      <c r="C984" s="55" t="s">
        <v>2023</v>
      </c>
      <c r="D984" s="55" t="s">
        <v>15</v>
      </c>
      <c r="E984" s="29">
        <v>346</v>
      </c>
      <c r="F984" s="29">
        <v>313.98</v>
      </c>
      <c r="G984" s="8">
        <f t="shared" si="60"/>
        <v>28.543636363636367</v>
      </c>
      <c r="H984" s="8">
        <f t="shared" si="61"/>
        <v>285.43636363636364</v>
      </c>
      <c r="I984" s="8">
        <f t="shared" si="62"/>
        <v>60.563636363636363</v>
      </c>
      <c r="J984" s="9">
        <f t="shared" si="63"/>
        <v>0.21217911968915218</v>
      </c>
      <c r="K984" s="55" t="s">
        <v>81</v>
      </c>
    </row>
    <row r="985" spans="1:11" x14ac:dyDescent="0.25">
      <c r="A985" s="55" t="s">
        <v>1740</v>
      </c>
      <c r="B985" s="55" t="s">
        <v>254</v>
      </c>
      <c r="C985" s="55" t="s">
        <v>2024</v>
      </c>
      <c r="D985" s="55" t="s">
        <v>15</v>
      </c>
      <c r="E985" s="29">
        <v>346</v>
      </c>
      <c r="F985" s="29">
        <v>313.98</v>
      </c>
      <c r="G985" s="8">
        <f t="shared" si="60"/>
        <v>28.543636363636367</v>
      </c>
      <c r="H985" s="8">
        <f t="shared" si="61"/>
        <v>285.43636363636364</v>
      </c>
      <c r="I985" s="8">
        <f t="shared" si="62"/>
        <v>60.563636363636363</v>
      </c>
      <c r="J985" s="9">
        <f t="shared" si="63"/>
        <v>0.21217911968915218</v>
      </c>
      <c r="K985" s="55" t="s">
        <v>81</v>
      </c>
    </row>
    <row r="986" spans="1:11" x14ac:dyDescent="0.25">
      <c r="A986" s="55" t="s">
        <v>1740</v>
      </c>
      <c r="B986" s="55" t="s">
        <v>254</v>
      </c>
      <c r="C986" s="55" t="s">
        <v>2025</v>
      </c>
      <c r="D986" s="55" t="s">
        <v>15</v>
      </c>
      <c r="E986" s="29">
        <v>346</v>
      </c>
      <c r="F986" s="29">
        <v>313.98</v>
      </c>
      <c r="G986" s="8">
        <f t="shared" si="60"/>
        <v>28.543636363636367</v>
      </c>
      <c r="H986" s="8">
        <f t="shared" si="61"/>
        <v>285.43636363636364</v>
      </c>
      <c r="I986" s="8">
        <f t="shared" si="62"/>
        <v>60.563636363636363</v>
      </c>
      <c r="J986" s="9">
        <f t="shared" si="63"/>
        <v>0.21217911968915218</v>
      </c>
      <c r="K986" s="55" t="s">
        <v>81</v>
      </c>
    </row>
    <row r="987" spans="1:11" x14ac:dyDescent="0.25">
      <c r="A987" s="55" t="s">
        <v>1740</v>
      </c>
      <c r="B987" s="55" t="s">
        <v>254</v>
      </c>
      <c r="C987" s="55" t="s">
        <v>2026</v>
      </c>
      <c r="D987" s="55" t="s">
        <v>15</v>
      </c>
      <c r="E987" s="29">
        <v>346</v>
      </c>
      <c r="F987" s="29">
        <v>313.98</v>
      </c>
      <c r="G987" s="8">
        <f t="shared" si="60"/>
        <v>28.543636363636367</v>
      </c>
      <c r="H987" s="8">
        <f t="shared" si="61"/>
        <v>285.43636363636364</v>
      </c>
      <c r="I987" s="8">
        <f t="shared" si="62"/>
        <v>60.563636363636363</v>
      </c>
      <c r="J987" s="9">
        <f t="shared" si="63"/>
        <v>0.21217911968915218</v>
      </c>
      <c r="K987" s="55" t="s">
        <v>81</v>
      </c>
    </row>
    <row r="988" spans="1:11" x14ac:dyDescent="0.25">
      <c r="A988" s="55" t="s">
        <v>1740</v>
      </c>
      <c r="B988" s="55" t="s">
        <v>254</v>
      </c>
      <c r="C988" s="55" t="s">
        <v>2027</v>
      </c>
      <c r="D988" s="55" t="s">
        <v>15</v>
      </c>
      <c r="E988" s="29">
        <v>346</v>
      </c>
      <c r="F988" s="29">
        <v>313.98</v>
      </c>
      <c r="G988" s="8">
        <f t="shared" si="60"/>
        <v>28.543636363636367</v>
      </c>
      <c r="H988" s="8">
        <f t="shared" si="61"/>
        <v>285.43636363636364</v>
      </c>
      <c r="I988" s="8">
        <f t="shared" si="62"/>
        <v>60.563636363636363</v>
      </c>
      <c r="J988" s="9">
        <f t="shared" si="63"/>
        <v>0.21217911968915218</v>
      </c>
      <c r="K988" s="55" t="s">
        <v>81</v>
      </c>
    </row>
    <row r="989" spans="1:11" x14ac:dyDescent="0.25">
      <c r="A989" s="55" t="s">
        <v>1740</v>
      </c>
      <c r="B989" s="55" t="s">
        <v>254</v>
      </c>
      <c r="C989" s="55" t="s">
        <v>2028</v>
      </c>
      <c r="D989" s="55" t="s">
        <v>15</v>
      </c>
      <c r="E989" s="29">
        <v>346</v>
      </c>
      <c r="F989" s="29">
        <v>313.98</v>
      </c>
      <c r="G989" s="8">
        <f t="shared" si="60"/>
        <v>28.543636363636367</v>
      </c>
      <c r="H989" s="8">
        <f t="shared" si="61"/>
        <v>285.43636363636364</v>
      </c>
      <c r="I989" s="8">
        <f t="shared" si="62"/>
        <v>60.563636363636363</v>
      </c>
      <c r="J989" s="9">
        <f t="shared" si="63"/>
        <v>0.21217911968915218</v>
      </c>
      <c r="K989" s="55" t="s">
        <v>81</v>
      </c>
    </row>
    <row r="990" spans="1:11" x14ac:dyDescent="0.25">
      <c r="A990" s="55" t="s">
        <v>1740</v>
      </c>
      <c r="B990" s="55" t="s">
        <v>254</v>
      </c>
      <c r="C990" s="55" t="s">
        <v>2029</v>
      </c>
      <c r="D990" s="55" t="s">
        <v>15</v>
      </c>
      <c r="E990" s="29">
        <v>346</v>
      </c>
      <c r="F990" s="29">
        <v>313.98</v>
      </c>
      <c r="G990" s="8">
        <f t="shared" si="60"/>
        <v>28.543636363636367</v>
      </c>
      <c r="H990" s="8">
        <f t="shared" si="61"/>
        <v>285.43636363636364</v>
      </c>
      <c r="I990" s="8">
        <f t="shared" si="62"/>
        <v>60.563636363636363</v>
      </c>
      <c r="J990" s="9">
        <f t="shared" si="63"/>
        <v>0.21217911968915218</v>
      </c>
      <c r="K990" s="55" t="s">
        <v>81</v>
      </c>
    </row>
    <row r="991" spans="1:11" x14ac:dyDescent="0.25">
      <c r="A991" s="55" t="s">
        <v>1740</v>
      </c>
      <c r="B991" s="55" t="s">
        <v>254</v>
      </c>
      <c r="C991" s="55" t="s">
        <v>2030</v>
      </c>
      <c r="D991" s="55" t="s">
        <v>15</v>
      </c>
      <c r="E991" s="29">
        <v>346</v>
      </c>
      <c r="F991" s="29">
        <v>313.98</v>
      </c>
      <c r="G991" s="8">
        <f t="shared" si="60"/>
        <v>28.543636363636367</v>
      </c>
      <c r="H991" s="8">
        <f t="shared" si="61"/>
        <v>285.43636363636364</v>
      </c>
      <c r="I991" s="8">
        <f t="shared" si="62"/>
        <v>60.563636363636363</v>
      </c>
      <c r="J991" s="9">
        <f t="shared" si="63"/>
        <v>0.21217911968915218</v>
      </c>
      <c r="K991" s="55" t="s">
        <v>81</v>
      </c>
    </row>
    <row r="992" spans="1:11" x14ac:dyDescent="0.25">
      <c r="A992" s="55" t="s">
        <v>1740</v>
      </c>
      <c r="B992" s="55" t="s">
        <v>254</v>
      </c>
      <c r="C992" s="55" t="s">
        <v>2031</v>
      </c>
      <c r="D992" s="55" t="s">
        <v>15</v>
      </c>
      <c r="E992" s="29">
        <v>346</v>
      </c>
      <c r="F992" s="29">
        <v>313.98</v>
      </c>
      <c r="G992" s="8">
        <f t="shared" si="60"/>
        <v>28.543636363636367</v>
      </c>
      <c r="H992" s="8">
        <f t="shared" si="61"/>
        <v>285.43636363636364</v>
      </c>
      <c r="I992" s="8">
        <f t="shared" si="62"/>
        <v>60.563636363636363</v>
      </c>
      <c r="J992" s="9">
        <f t="shared" si="63"/>
        <v>0.21217911968915218</v>
      </c>
      <c r="K992" s="55" t="s">
        <v>81</v>
      </c>
    </row>
    <row r="993" spans="1:11" x14ac:dyDescent="0.25">
      <c r="A993" s="55" t="s">
        <v>1740</v>
      </c>
      <c r="B993" s="55" t="s">
        <v>254</v>
      </c>
      <c r="C993" s="55" t="s">
        <v>2032</v>
      </c>
      <c r="D993" s="55" t="s">
        <v>15</v>
      </c>
      <c r="E993" s="29">
        <v>346</v>
      </c>
      <c r="F993" s="29">
        <v>313.98</v>
      </c>
      <c r="G993" s="8">
        <f t="shared" si="60"/>
        <v>28.543636363636367</v>
      </c>
      <c r="H993" s="8">
        <f t="shared" si="61"/>
        <v>285.43636363636364</v>
      </c>
      <c r="I993" s="8">
        <f t="shared" si="62"/>
        <v>60.563636363636363</v>
      </c>
      <c r="J993" s="9">
        <f t="shared" si="63"/>
        <v>0.21217911968915218</v>
      </c>
      <c r="K993" s="55" t="s">
        <v>81</v>
      </c>
    </row>
    <row r="994" spans="1:11" x14ac:dyDescent="0.25">
      <c r="A994" s="55" t="s">
        <v>1740</v>
      </c>
      <c r="B994" s="55" t="s">
        <v>254</v>
      </c>
      <c r="C994" s="55" t="s">
        <v>2033</v>
      </c>
      <c r="D994" s="55" t="s">
        <v>15</v>
      </c>
      <c r="E994" s="29">
        <v>346</v>
      </c>
      <c r="F994" s="29">
        <v>313.98</v>
      </c>
      <c r="G994" s="8">
        <f t="shared" si="60"/>
        <v>28.543636363636367</v>
      </c>
      <c r="H994" s="8">
        <f t="shared" si="61"/>
        <v>285.43636363636364</v>
      </c>
      <c r="I994" s="8">
        <f t="shared" si="62"/>
        <v>60.563636363636363</v>
      </c>
      <c r="J994" s="9">
        <f t="shared" si="63"/>
        <v>0.21217911968915218</v>
      </c>
      <c r="K994" s="55" t="s">
        <v>81</v>
      </c>
    </row>
    <row r="995" spans="1:11" x14ac:dyDescent="0.25">
      <c r="A995" s="55" t="s">
        <v>1740</v>
      </c>
      <c r="B995" s="55" t="s">
        <v>254</v>
      </c>
      <c r="C995" s="55" t="s">
        <v>2034</v>
      </c>
      <c r="D995" s="55" t="s">
        <v>15</v>
      </c>
      <c r="E995" s="29">
        <v>346</v>
      </c>
      <c r="F995" s="29">
        <v>313.98</v>
      </c>
      <c r="G995" s="8">
        <f t="shared" si="60"/>
        <v>28.543636363636367</v>
      </c>
      <c r="H995" s="8">
        <f t="shared" si="61"/>
        <v>285.43636363636364</v>
      </c>
      <c r="I995" s="8">
        <f t="shared" si="62"/>
        <v>60.563636363636363</v>
      </c>
      <c r="J995" s="9">
        <f t="shared" si="63"/>
        <v>0.21217911968915218</v>
      </c>
      <c r="K995" s="55" t="s">
        <v>81</v>
      </c>
    </row>
    <row r="996" spans="1:11" x14ac:dyDescent="0.25">
      <c r="A996" s="55" t="s">
        <v>1740</v>
      </c>
      <c r="B996" s="55" t="s">
        <v>254</v>
      </c>
      <c r="C996" s="55" t="s">
        <v>2035</v>
      </c>
      <c r="D996" s="55" t="s">
        <v>15</v>
      </c>
      <c r="E996" s="29">
        <v>346</v>
      </c>
      <c r="F996" s="29">
        <v>313.98</v>
      </c>
      <c r="G996" s="8">
        <f t="shared" si="60"/>
        <v>28.543636363636367</v>
      </c>
      <c r="H996" s="8">
        <f t="shared" si="61"/>
        <v>285.43636363636364</v>
      </c>
      <c r="I996" s="8">
        <f t="shared" si="62"/>
        <v>60.563636363636363</v>
      </c>
      <c r="J996" s="9">
        <f t="shared" si="63"/>
        <v>0.21217911968915218</v>
      </c>
      <c r="K996" s="55" t="s">
        <v>81</v>
      </c>
    </row>
    <row r="997" spans="1:11" x14ac:dyDescent="0.25">
      <c r="A997" s="13" t="s">
        <v>1927</v>
      </c>
      <c r="B997" s="13" t="s">
        <v>1000</v>
      </c>
      <c r="C997" s="13" t="s">
        <v>2036</v>
      </c>
      <c r="D997" s="13" t="s">
        <v>15</v>
      </c>
      <c r="E997" s="17">
        <v>1150</v>
      </c>
      <c r="F997" s="17">
        <v>1314.3</v>
      </c>
      <c r="G997" s="14">
        <f t="shared" si="60"/>
        <v>119.48181818181818</v>
      </c>
      <c r="H997" s="14">
        <f t="shared" si="61"/>
        <v>1194.8181818181818</v>
      </c>
      <c r="I997" s="14">
        <f t="shared" si="62"/>
        <v>-44.818181818181756</v>
      </c>
      <c r="J997" s="15">
        <f t="shared" si="63"/>
        <v>-3.7510461842806007E-2</v>
      </c>
      <c r="K997" s="13" t="s">
        <v>16</v>
      </c>
    </row>
    <row r="998" spans="1:11" x14ac:dyDescent="0.25">
      <c r="A998" s="13" t="s">
        <v>1927</v>
      </c>
      <c r="B998" s="13" t="s">
        <v>1000</v>
      </c>
      <c r="C998" s="13" t="s">
        <v>2037</v>
      </c>
      <c r="D998" s="13" t="s">
        <v>15</v>
      </c>
      <c r="E998" s="17">
        <v>1150</v>
      </c>
      <c r="F998" s="17">
        <v>1314.3</v>
      </c>
      <c r="G998" s="14">
        <f t="shared" si="60"/>
        <v>119.48181818181818</v>
      </c>
      <c r="H998" s="14">
        <f t="shared" si="61"/>
        <v>1194.8181818181818</v>
      </c>
      <c r="I998" s="14">
        <f t="shared" si="62"/>
        <v>-44.818181818181756</v>
      </c>
      <c r="J998" s="15">
        <f t="shared" si="63"/>
        <v>-3.7510461842806007E-2</v>
      </c>
      <c r="K998" s="13" t="s">
        <v>16</v>
      </c>
    </row>
    <row r="999" spans="1:11" x14ac:dyDescent="0.25">
      <c r="A999" s="7" t="s">
        <v>1927</v>
      </c>
      <c r="B999" s="7" t="s">
        <v>206</v>
      </c>
      <c r="C999" s="36">
        <v>351737652283591</v>
      </c>
      <c r="D999" s="7" t="s">
        <v>644</v>
      </c>
      <c r="E999" s="16">
        <v>3075</v>
      </c>
      <c r="F999" s="16">
        <v>3270.3</v>
      </c>
      <c r="G999" s="8">
        <f t="shared" si="60"/>
        <v>297.3</v>
      </c>
      <c r="H999" s="8">
        <f t="shared" si="61"/>
        <v>2973</v>
      </c>
      <c r="I999" s="8">
        <f t="shared" si="62"/>
        <v>102</v>
      </c>
      <c r="J999" s="9">
        <f t="shared" si="63"/>
        <v>3.4308779011099896E-2</v>
      </c>
      <c r="K999" s="7" t="s">
        <v>81</v>
      </c>
    </row>
    <row r="1000" spans="1:11" x14ac:dyDescent="0.25">
      <c r="A1000" s="7" t="s">
        <v>1927</v>
      </c>
      <c r="B1000" s="7" t="s">
        <v>206</v>
      </c>
      <c r="C1000" s="36">
        <v>353065380365300</v>
      </c>
      <c r="D1000" s="7" t="s">
        <v>644</v>
      </c>
      <c r="E1000" s="16">
        <v>3075</v>
      </c>
      <c r="F1000" s="16">
        <v>3274.67</v>
      </c>
      <c r="G1000" s="8">
        <f t="shared" si="60"/>
        <v>297.69727272727272</v>
      </c>
      <c r="H1000" s="8">
        <f t="shared" si="61"/>
        <v>2976.9727272727273</v>
      </c>
      <c r="I1000" s="8">
        <f t="shared" si="62"/>
        <v>98.027272727272702</v>
      </c>
      <c r="J1000" s="9">
        <f t="shared" si="63"/>
        <v>3.292850882684361E-2</v>
      </c>
      <c r="K1000" s="7" t="s">
        <v>81</v>
      </c>
    </row>
    <row r="1001" spans="1:11" x14ac:dyDescent="0.25">
      <c r="A1001" s="7" t="s">
        <v>1927</v>
      </c>
      <c r="B1001" s="7" t="s">
        <v>206</v>
      </c>
      <c r="C1001" s="36">
        <v>353065382766703</v>
      </c>
      <c r="D1001" s="7" t="s">
        <v>644</v>
      </c>
      <c r="E1001" s="16">
        <v>3075</v>
      </c>
      <c r="F1001" s="16">
        <v>3270.3</v>
      </c>
      <c r="G1001" s="8">
        <f t="shared" si="60"/>
        <v>297.3</v>
      </c>
      <c r="H1001" s="8">
        <f t="shared" si="61"/>
        <v>2973</v>
      </c>
      <c r="I1001" s="8">
        <f t="shared" si="62"/>
        <v>102</v>
      </c>
      <c r="J1001" s="9">
        <f t="shared" si="63"/>
        <v>3.4308779011099896E-2</v>
      </c>
      <c r="K1001" s="7" t="s">
        <v>81</v>
      </c>
    </row>
    <row r="1002" spans="1:11" x14ac:dyDescent="0.25">
      <c r="A1002" s="7" t="s">
        <v>1927</v>
      </c>
      <c r="B1002" s="7" t="s">
        <v>206</v>
      </c>
      <c r="C1002" s="36">
        <v>353065382846091</v>
      </c>
      <c r="D1002" s="7" t="s">
        <v>644</v>
      </c>
      <c r="E1002" s="16">
        <v>3075</v>
      </c>
      <c r="F1002" s="16">
        <v>3270.3</v>
      </c>
      <c r="G1002" s="8">
        <f t="shared" si="60"/>
        <v>297.3</v>
      </c>
      <c r="H1002" s="8">
        <f t="shared" si="61"/>
        <v>2973</v>
      </c>
      <c r="I1002" s="8">
        <f t="shared" si="62"/>
        <v>102</v>
      </c>
      <c r="J1002" s="9">
        <f t="shared" si="63"/>
        <v>3.4308779011099896E-2</v>
      </c>
      <c r="K1002" s="7" t="s">
        <v>81</v>
      </c>
    </row>
    <row r="1003" spans="1:11" x14ac:dyDescent="0.25">
      <c r="A1003" s="13" t="s">
        <v>1927</v>
      </c>
      <c r="B1003" s="13" t="s">
        <v>206</v>
      </c>
      <c r="C1003" s="60">
        <v>353065383441389</v>
      </c>
      <c r="D1003" s="13" t="s">
        <v>644</v>
      </c>
      <c r="E1003" s="17">
        <v>3075</v>
      </c>
      <c r="F1003" s="17">
        <v>3383.25</v>
      </c>
      <c r="G1003" s="14">
        <f t="shared" si="60"/>
        <v>307.56818181818181</v>
      </c>
      <c r="H1003" s="14">
        <f t="shared" si="61"/>
        <v>3075.681818181818</v>
      </c>
      <c r="I1003" s="14">
        <f t="shared" si="62"/>
        <v>-0.68181818181801646</v>
      </c>
      <c r="J1003" s="15">
        <f t="shared" si="63"/>
        <v>-2.2168033695405841E-4</v>
      </c>
      <c r="K1003" s="13" t="s">
        <v>81</v>
      </c>
    </row>
    <row r="1004" spans="1:11" x14ac:dyDescent="0.25">
      <c r="A1004" s="13" t="s">
        <v>1927</v>
      </c>
      <c r="B1004" s="13" t="s">
        <v>206</v>
      </c>
      <c r="C1004" s="60">
        <v>353065383522717</v>
      </c>
      <c r="D1004" s="13" t="s">
        <v>644</v>
      </c>
      <c r="E1004" s="17">
        <v>3075</v>
      </c>
      <c r="F1004" s="17">
        <v>3383.25</v>
      </c>
      <c r="G1004" s="14">
        <f t="shared" si="60"/>
        <v>307.56818181818181</v>
      </c>
      <c r="H1004" s="14">
        <f t="shared" si="61"/>
        <v>3075.681818181818</v>
      </c>
      <c r="I1004" s="14">
        <f t="shared" si="62"/>
        <v>-0.68181818181801646</v>
      </c>
      <c r="J1004" s="15">
        <f t="shared" si="63"/>
        <v>-2.2168033695405841E-4</v>
      </c>
      <c r="K1004" s="13" t="s">
        <v>81</v>
      </c>
    </row>
    <row r="1005" spans="1:11" x14ac:dyDescent="0.25">
      <c r="A1005" s="7" t="s">
        <v>1927</v>
      </c>
      <c r="B1005" s="7" t="s">
        <v>206</v>
      </c>
      <c r="C1005" s="36">
        <v>353065383930746</v>
      </c>
      <c r="D1005" s="7" t="s">
        <v>644</v>
      </c>
      <c r="E1005" s="16">
        <v>3075</v>
      </c>
      <c r="F1005" s="16">
        <v>3274.67</v>
      </c>
      <c r="G1005" s="8">
        <f t="shared" si="60"/>
        <v>297.69727272727272</v>
      </c>
      <c r="H1005" s="8">
        <f t="shared" si="61"/>
        <v>2976.9727272727273</v>
      </c>
      <c r="I1005" s="8">
        <f t="shared" si="62"/>
        <v>98.027272727272702</v>
      </c>
      <c r="J1005" s="9">
        <f t="shared" si="63"/>
        <v>3.292850882684361E-2</v>
      </c>
      <c r="K1005" s="7" t="s">
        <v>81</v>
      </c>
    </row>
    <row r="1006" spans="1:11" x14ac:dyDescent="0.25">
      <c r="A1006" s="13" t="s">
        <v>1927</v>
      </c>
      <c r="B1006" s="13" t="s">
        <v>206</v>
      </c>
      <c r="C1006" s="60">
        <v>354514922160777</v>
      </c>
      <c r="D1006" s="13" t="s">
        <v>15</v>
      </c>
      <c r="E1006" s="17">
        <v>3075</v>
      </c>
      <c r="F1006" s="17">
        <v>3393</v>
      </c>
      <c r="G1006" s="14">
        <f t="shared" si="60"/>
        <v>308.45454545454544</v>
      </c>
      <c r="H1006" s="14">
        <f t="shared" si="61"/>
        <v>3084.5454545454545</v>
      </c>
      <c r="I1006" s="14">
        <f t="shared" si="62"/>
        <v>-9.5454545454545041</v>
      </c>
      <c r="J1006" s="15">
        <f t="shared" si="63"/>
        <v>-3.0946065428823916E-3</v>
      </c>
      <c r="K1006" s="13" t="s">
        <v>81</v>
      </c>
    </row>
    <row r="1007" spans="1:11" x14ac:dyDescent="0.25">
      <c r="A1007" s="13" t="s">
        <v>1927</v>
      </c>
      <c r="B1007" s="13" t="s">
        <v>206</v>
      </c>
      <c r="C1007" s="60">
        <v>354514926154594</v>
      </c>
      <c r="D1007" s="13" t="s">
        <v>15</v>
      </c>
      <c r="E1007" s="17">
        <v>3075</v>
      </c>
      <c r="F1007" s="17">
        <v>3393</v>
      </c>
      <c r="G1007" s="14">
        <f t="shared" si="60"/>
        <v>308.45454545454544</v>
      </c>
      <c r="H1007" s="14">
        <f t="shared" si="61"/>
        <v>3084.5454545454545</v>
      </c>
      <c r="I1007" s="14">
        <f t="shared" si="62"/>
        <v>-9.5454545454545041</v>
      </c>
      <c r="J1007" s="15">
        <f t="shared" si="63"/>
        <v>-3.0946065428823916E-3</v>
      </c>
      <c r="K1007" s="13" t="s">
        <v>81</v>
      </c>
    </row>
    <row r="1008" spans="1:11" x14ac:dyDescent="0.25">
      <c r="A1008" s="13" t="s">
        <v>1927</v>
      </c>
      <c r="B1008" s="13" t="s">
        <v>206</v>
      </c>
      <c r="C1008" s="60">
        <v>356182200979447</v>
      </c>
      <c r="D1008" s="13" t="s">
        <v>644</v>
      </c>
      <c r="E1008" s="17">
        <v>3075</v>
      </c>
      <c r="F1008" s="17">
        <v>3383.25</v>
      </c>
      <c r="G1008" s="14">
        <f t="shared" si="60"/>
        <v>307.56818181818181</v>
      </c>
      <c r="H1008" s="14">
        <f t="shared" si="61"/>
        <v>3075.681818181818</v>
      </c>
      <c r="I1008" s="14">
        <f t="shared" si="62"/>
        <v>-0.68181818181801646</v>
      </c>
      <c r="J1008" s="15">
        <f t="shared" si="63"/>
        <v>-2.2168033695405841E-4</v>
      </c>
      <c r="K1008" s="13" t="s">
        <v>81</v>
      </c>
    </row>
    <row r="1009" spans="1:11" x14ac:dyDescent="0.25">
      <c r="A1009" s="13" t="s">
        <v>1927</v>
      </c>
      <c r="B1009" s="13" t="s">
        <v>206</v>
      </c>
      <c r="C1009" s="60">
        <v>356182201321532</v>
      </c>
      <c r="D1009" s="13" t="s">
        <v>644</v>
      </c>
      <c r="E1009" s="17">
        <v>3075</v>
      </c>
      <c r="F1009" s="17">
        <v>3383.25</v>
      </c>
      <c r="G1009" s="14">
        <f t="shared" si="60"/>
        <v>307.56818181818181</v>
      </c>
      <c r="H1009" s="14">
        <f t="shared" si="61"/>
        <v>3075.681818181818</v>
      </c>
      <c r="I1009" s="14">
        <f t="shared" si="62"/>
        <v>-0.68181818181801646</v>
      </c>
      <c r="J1009" s="15">
        <f t="shared" si="63"/>
        <v>-2.2168033695405841E-4</v>
      </c>
      <c r="K1009" s="13" t="s">
        <v>81</v>
      </c>
    </row>
    <row r="1010" spans="1:11" x14ac:dyDescent="0.25">
      <c r="A1010" s="7" t="s">
        <v>1927</v>
      </c>
      <c r="B1010" s="7" t="s">
        <v>206</v>
      </c>
      <c r="C1010" s="36">
        <v>356182202549131</v>
      </c>
      <c r="D1010" s="7" t="s">
        <v>644</v>
      </c>
      <c r="E1010" s="16">
        <v>3075</v>
      </c>
      <c r="F1010" s="16">
        <v>3274.67</v>
      </c>
      <c r="G1010" s="8">
        <f t="shared" si="60"/>
        <v>297.69727272727272</v>
      </c>
      <c r="H1010" s="8">
        <f t="shared" si="61"/>
        <v>2976.9727272727273</v>
      </c>
      <c r="I1010" s="8">
        <f t="shared" si="62"/>
        <v>98.027272727272702</v>
      </c>
      <c r="J1010" s="9">
        <f t="shared" si="63"/>
        <v>3.292850882684361E-2</v>
      </c>
      <c r="K1010" s="7" t="s">
        <v>81</v>
      </c>
    </row>
    <row r="1011" spans="1:11" x14ac:dyDescent="0.25">
      <c r="A1011" s="7" t="s">
        <v>1927</v>
      </c>
      <c r="B1011" s="7" t="s">
        <v>206</v>
      </c>
      <c r="C1011" s="36">
        <v>356182203812850</v>
      </c>
      <c r="D1011" s="7" t="s">
        <v>644</v>
      </c>
      <c r="E1011" s="16">
        <v>3075</v>
      </c>
      <c r="F1011" s="16">
        <v>3270.3</v>
      </c>
      <c r="G1011" s="8">
        <f t="shared" si="60"/>
        <v>297.3</v>
      </c>
      <c r="H1011" s="8">
        <f t="shared" si="61"/>
        <v>2973</v>
      </c>
      <c r="I1011" s="8">
        <f t="shared" si="62"/>
        <v>102</v>
      </c>
      <c r="J1011" s="9">
        <f t="shared" si="63"/>
        <v>3.4308779011099896E-2</v>
      </c>
      <c r="K1011" s="7" t="s">
        <v>81</v>
      </c>
    </row>
    <row r="1012" spans="1:11" x14ac:dyDescent="0.25">
      <c r="A1012" s="7" t="s">
        <v>1927</v>
      </c>
      <c r="B1012" s="7" t="s">
        <v>206</v>
      </c>
      <c r="C1012" s="36">
        <v>356182204104018</v>
      </c>
      <c r="D1012" s="7" t="s">
        <v>644</v>
      </c>
      <c r="E1012" s="16">
        <v>3075</v>
      </c>
      <c r="F1012" s="16">
        <v>3274.67</v>
      </c>
      <c r="G1012" s="8">
        <f t="shared" si="60"/>
        <v>297.69727272727272</v>
      </c>
      <c r="H1012" s="8">
        <f t="shared" si="61"/>
        <v>2976.9727272727273</v>
      </c>
      <c r="I1012" s="8">
        <f t="shared" si="62"/>
        <v>98.027272727272702</v>
      </c>
      <c r="J1012" s="9">
        <f t="shared" si="63"/>
        <v>3.292850882684361E-2</v>
      </c>
      <c r="K1012" s="7" t="s">
        <v>81</v>
      </c>
    </row>
    <row r="1013" spans="1:11" x14ac:dyDescent="0.25">
      <c r="A1013" s="13" t="s">
        <v>1927</v>
      </c>
      <c r="B1013" s="13" t="s">
        <v>206</v>
      </c>
      <c r="C1013" s="60">
        <v>356523761667352</v>
      </c>
      <c r="D1013" s="13" t="s">
        <v>644</v>
      </c>
      <c r="E1013" s="17">
        <v>3075</v>
      </c>
      <c r="F1013" s="17">
        <v>3383.25</v>
      </c>
      <c r="G1013" s="14">
        <f t="shared" si="60"/>
        <v>307.56818181818181</v>
      </c>
      <c r="H1013" s="14">
        <f t="shared" si="61"/>
        <v>3075.681818181818</v>
      </c>
      <c r="I1013" s="14">
        <f t="shared" si="62"/>
        <v>-0.68181818181801646</v>
      </c>
      <c r="J1013" s="15">
        <f t="shared" si="63"/>
        <v>-2.2168033695405841E-4</v>
      </c>
      <c r="K1013" s="13" t="s">
        <v>81</v>
      </c>
    </row>
    <row r="1014" spans="1:11" x14ac:dyDescent="0.25">
      <c r="A1014" s="13" t="s">
        <v>1927</v>
      </c>
      <c r="B1014" s="13" t="s">
        <v>206</v>
      </c>
      <c r="C1014" s="60">
        <v>356523761791970</v>
      </c>
      <c r="D1014" s="13" t="s">
        <v>644</v>
      </c>
      <c r="E1014" s="17">
        <v>3075</v>
      </c>
      <c r="F1014" s="17">
        <v>3383.25</v>
      </c>
      <c r="G1014" s="14">
        <f t="shared" si="60"/>
        <v>307.56818181818181</v>
      </c>
      <c r="H1014" s="14">
        <f t="shared" si="61"/>
        <v>3075.681818181818</v>
      </c>
      <c r="I1014" s="14">
        <f t="shared" si="62"/>
        <v>-0.68181818181801646</v>
      </c>
      <c r="J1014" s="15">
        <f t="shared" si="63"/>
        <v>-2.2168033695405841E-4</v>
      </c>
      <c r="K1014" s="13" t="s">
        <v>81</v>
      </c>
    </row>
    <row r="1015" spans="1:11" x14ac:dyDescent="0.25">
      <c r="A1015" s="13" t="s">
        <v>1927</v>
      </c>
      <c r="B1015" s="13" t="s">
        <v>206</v>
      </c>
      <c r="C1015" s="60">
        <v>356523761888081</v>
      </c>
      <c r="D1015" s="13" t="s">
        <v>15</v>
      </c>
      <c r="E1015" s="17">
        <v>3075</v>
      </c>
      <c r="F1015" s="17">
        <v>3393</v>
      </c>
      <c r="G1015" s="14">
        <f t="shared" si="60"/>
        <v>308.45454545454544</v>
      </c>
      <c r="H1015" s="14">
        <f t="shared" si="61"/>
        <v>3084.5454545454545</v>
      </c>
      <c r="I1015" s="14">
        <f t="shared" si="62"/>
        <v>-9.5454545454545041</v>
      </c>
      <c r="J1015" s="15">
        <f t="shared" si="63"/>
        <v>-3.0946065428823916E-3</v>
      </c>
      <c r="K1015" s="13" t="s">
        <v>81</v>
      </c>
    </row>
    <row r="1016" spans="1:11" x14ac:dyDescent="0.25">
      <c r="A1016" s="13" t="s">
        <v>1927</v>
      </c>
      <c r="B1016" s="13" t="s">
        <v>206</v>
      </c>
      <c r="C1016" s="60">
        <v>356523761963934</v>
      </c>
      <c r="D1016" s="13" t="s">
        <v>644</v>
      </c>
      <c r="E1016" s="17">
        <v>3075</v>
      </c>
      <c r="F1016" s="17">
        <v>3383.25</v>
      </c>
      <c r="G1016" s="14">
        <f t="shared" si="60"/>
        <v>307.56818181818181</v>
      </c>
      <c r="H1016" s="14">
        <f t="shared" si="61"/>
        <v>3075.681818181818</v>
      </c>
      <c r="I1016" s="14">
        <f t="shared" si="62"/>
        <v>-0.68181818181801646</v>
      </c>
      <c r="J1016" s="15">
        <f t="shared" si="63"/>
        <v>-2.2168033695405841E-4</v>
      </c>
      <c r="K1016" s="13" t="s">
        <v>81</v>
      </c>
    </row>
    <row r="1017" spans="1:11" x14ac:dyDescent="0.25">
      <c r="A1017" s="13" t="s">
        <v>1927</v>
      </c>
      <c r="B1017" s="13" t="s">
        <v>206</v>
      </c>
      <c r="C1017" s="60">
        <v>356523762750090</v>
      </c>
      <c r="D1017" s="13" t="s">
        <v>644</v>
      </c>
      <c r="E1017" s="17">
        <v>3075</v>
      </c>
      <c r="F1017" s="17">
        <v>3383.25</v>
      </c>
      <c r="G1017" s="14">
        <f t="shared" si="60"/>
        <v>307.56818181818181</v>
      </c>
      <c r="H1017" s="14">
        <f t="shared" si="61"/>
        <v>3075.681818181818</v>
      </c>
      <c r="I1017" s="14">
        <f t="shared" si="62"/>
        <v>-0.68181818181801646</v>
      </c>
      <c r="J1017" s="15">
        <f t="shared" si="63"/>
        <v>-2.2168033695405841E-4</v>
      </c>
      <c r="K1017" s="13" t="s">
        <v>81</v>
      </c>
    </row>
    <row r="1018" spans="1:11" x14ac:dyDescent="0.25">
      <c r="A1018" s="13" t="s">
        <v>1927</v>
      </c>
      <c r="B1018" s="13" t="s">
        <v>206</v>
      </c>
      <c r="C1018" s="60">
        <v>358258282013129</v>
      </c>
      <c r="D1018" s="13" t="s">
        <v>644</v>
      </c>
      <c r="E1018" s="17">
        <v>3075</v>
      </c>
      <c r="F1018" s="17">
        <v>3383.25</v>
      </c>
      <c r="G1018" s="14">
        <f t="shared" si="60"/>
        <v>307.56818181818181</v>
      </c>
      <c r="H1018" s="14">
        <f t="shared" si="61"/>
        <v>3075.681818181818</v>
      </c>
      <c r="I1018" s="14">
        <f t="shared" si="62"/>
        <v>-0.68181818181801646</v>
      </c>
      <c r="J1018" s="15">
        <f t="shared" si="63"/>
        <v>-2.2168033695405841E-4</v>
      </c>
      <c r="K1018" s="13" t="s">
        <v>81</v>
      </c>
    </row>
    <row r="1019" spans="1:11" x14ac:dyDescent="0.25">
      <c r="A1019" s="13" t="s">
        <v>1927</v>
      </c>
      <c r="B1019" s="13" t="s">
        <v>206</v>
      </c>
      <c r="C1019" s="60">
        <v>358378921566780</v>
      </c>
      <c r="D1019" s="13" t="s">
        <v>644</v>
      </c>
      <c r="E1019" s="17">
        <v>3075</v>
      </c>
      <c r="F1019" s="17">
        <v>3385.68</v>
      </c>
      <c r="G1019" s="14">
        <f t="shared" si="60"/>
        <v>307.78909090909087</v>
      </c>
      <c r="H1019" s="14">
        <f t="shared" si="61"/>
        <v>3077.8909090909092</v>
      </c>
      <c r="I1019" s="14">
        <f t="shared" si="62"/>
        <v>-2.8909090909091901</v>
      </c>
      <c r="J1019" s="15">
        <f t="shared" si="63"/>
        <v>-9.3925001772173064E-4</v>
      </c>
      <c r="K1019" s="13" t="s">
        <v>81</v>
      </c>
    </row>
    <row r="1020" spans="1:11" x14ac:dyDescent="0.25">
      <c r="A1020" s="13" t="s">
        <v>1927</v>
      </c>
      <c r="B1020" s="13" t="s">
        <v>206</v>
      </c>
      <c r="C1020" s="60">
        <v>358378923991010</v>
      </c>
      <c r="D1020" s="13" t="s">
        <v>644</v>
      </c>
      <c r="E1020" s="17">
        <v>3075</v>
      </c>
      <c r="F1020" s="17">
        <v>3385.68</v>
      </c>
      <c r="G1020" s="14">
        <f t="shared" si="60"/>
        <v>307.78909090909087</v>
      </c>
      <c r="H1020" s="14">
        <f t="shared" si="61"/>
        <v>3077.8909090909092</v>
      </c>
      <c r="I1020" s="14">
        <f t="shared" si="62"/>
        <v>-2.8909090909091901</v>
      </c>
      <c r="J1020" s="15">
        <f t="shared" si="63"/>
        <v>-9.3925001772173064E-4</v>
      </c>
      <c r="K1020" s="13" t="s">
        <v>81</v>
      </c>
    </row>
    <row r="1021" spans="1:11" x14ac:dyDescent="0.25">
      <c r="A1021" s="7" t="s">
        <v>1927</v>
      </c>
      <c r="B1021" s="7" t="s">
        <v>206</v>
      </c>
      <c r="C1021" s="36">
        <v>358918501178686</v>
      </c>
      <c r="D1021" s="7" t="s">
        <v>644</v>
      </c>
      <c r="E1021" s="16">
        <v>3075</v>
      </c>
      <c r="F1021" s="16">
        <v>3270.3</v>
      </c>
      <c r="G1021" s="8">
        <f t="shared" si="60"/>
        <v>297.3</v>
      </c>
      <c r="H1021" s="8">
        <f t="shared" si="61"/>
        <v>2973</v>
      </c>
      <c r="I1021" s="8">
        <f t="shared" si="62"/>
        <v>102</v>
      </c>
      <c r="J1021" s="9">
        <f t="shared" si="63"/>
        <v>3.4308779011099896E-2</v>
      </c>
      <c r="K1021" s="7" t="s">
        <v>81</v>
      </c>
    </row>
    <row r="1022" spans="1:11" x14ac:dyDescent="0.25">
      <c r="A1022" s="13" t="s">
        <v>1927</v>
      </c>
      <c r="B1022" s="13" t="s">
        <v>206</v>
      </c>
      <c r="C1022" s="60">
        <v>358918502652432</v>
      </c>
      <c r="D1022" s="13" t="s">
        <v>644</v>
      </c>
      <c r="E1022" s="17">
        <v>3075</v>
      </c>
      <c r="F1022" s="17">
        <v>3383.25</v>
      </c>
      <c r="G1022" s="14">
        <f t="shared" si="60"/>
        <v>307.56818181818181</v>
      </c>
      <c r="H1022" s="14">
        <f t="shared" si="61"/>
        <v>3075.681818181818</v>
      </c>
      <c r="I1022" s="14">
        <f t="shared" si="62"/>
        <v>-0.68181818181801646</v>
      </c>
      <c r="J1022" s="15">
        <f t="shared" si="63"/>
        <v>-2.2168033695405841E-4</v>
      </c>
      <c r="K1022" s="13" t="s">
        <v>81</v>
      </c>
    </row>
    <row r="1023" spans="1:11" x14ac:dyDescent="0.25">
      <c r="A1023" s="13" t="s">
        <v>1927</v>
      </c>
      <c r="B1023" s="13" t="s">
        <v>206</v>
      </c>
      <c r="C1023" s="60">
        <v>358918503424849</v>
      </c>
      <c r="D1023" s="13" t="s">
        <v>644</v>
      </c>
      <c r="E1023" s="17">
        <v>3075</v>
      </c>
      <c r="F1023" s="17">
        <v>3383.25</v>
      </c>
      <c r="G1023" s="14">
        <f t="shared" si="60"/>
        <v>307.56818181818181</v>
      </c>
      <c r="H1023" s="14">
        <f t="shared" si="61"/>
        <v>3075.681818181818</v>
      </c>
      <c r="I1023" s="14">
        <f t="shared" si="62"/>
        <v>-0.68181818181801646</v>
      </c>
      <c r="J1023" s="15">
        <f t="shared" si="63"/>
        <v>-2.2168033695405841E-4</v>
      </c>
      <c r="K1023" s="13" t="s">
        <v>81</v>
      </c>
    </row>
    <row r="1024" spans="1:11" x14ac:dyDescent="0.25">
      <c r="E1024" s="10" t="s">
        <v>1727</v>
      </c>
      <c r="F1024" s="10" t="s">
        <v>1726</v>
      </c>
      <c r="G1024" s="11" t="s">
        <v>1723</v>
      </c>
      <c r="H1024" s="11" t="s">
        <v>1724</v>
      </c>
      <c r="I1024" s="11" t="s">
        <v>1722</v>
      </c>
      <c r="J1024" s="10" t="s">
        <v>1725</v>
      </c>
      <c r="K1024" s="55"/>
    </row>
    <row r="1025" spans="2:11" x14ac:dyDescent="0.25">
      <c r="E1025" s="18">
        <f t="shared" ref="E1025:I1025" si="64">SUM(E2:E1024)</f>
        <v>1529906</v>
      </c>
      <c r="F1025" s="18">
        <f t="shared" si="64"/>
        <v>1320133.0300000033</v>
      </c>
      <c r="G1025" s="20">
        <f t="shared" si="64"/>
        <v>120012.09363636328</v>
      </c>
      <c r="H1025" s="20">
        <f t="shared" si="64"/>
        <v>1200120.9363636319</v>
      </c>
      <c r="I1025" s="20">
        <f t="shared" si="64"/>
        <v>329785.06363635982</v>
      </c>
      <c r="J1025" s="21">
        <v>0.30609999999999998</v>
      </c>
      <c r="K1025" s="55"/>
    </row>
    <row r="1030" spans="2:11" x14ac:dyDescent="0.25">
      <c r="B1030" s="55" t="s">
        <v>2063</v>
      </c>
      <c r="C1030" s="55">
        <v>14038.4</v>
      </c>
    </row>
    <row r="1031" spans="2:11" x14ac:dyDescent="0.25">
      <c r="B1031" s="55" t="s">
        <v>2064</v>
      </c>
      <c r="C1031" s="55">
        <v>31745</v>
      </c>
    </row>
    <row r="1032" spans="2:11" x14ac:dyDescent="0.25">
      <c r="B1032" s="55" t="s">
        <v>2066</v>
      </c>
      <c r="C1032" s="55">
        <v>11413</v>
      </c>
    </row>
    <row r="1033" spans="2:11" x14ac:dyDescent="0.25">
      <c r="B1033" s="55" t="s">
        <v>2067</v>
      </c>
      <c r="C1033" s="55">
        <v>10000</v>
      </c>
    </row>
    <row r="1034" spans="2:11" x14ac:dyDescent="0.25">
      <c r="B1034" s="55"/>
      <c r="C1034" s="55"/>
    </row>
    <row r="1035" spans="2:11" x14ac:dyDescent="0.25">
      <c r="B1035" s="62" t="s">
        <v>2070</v>
      </c>
      <c r="C1035" s="63">
        <f>SUM(C1030:C1034)</f>
        <v>67196.399999999994</v>
      </c>
    </row>
    <row r="1036" spans="2:11" x14ac:dyDescent="0.25">
      <c r="B1036" s="55"/>
      <c r="C1036" s="55"/>
    </row>
    <row r="1037" spans="2:11" ht="21" x14ac:dyDescent="0.35">
      <c r="B1037" s="64" t="s">
        <v>2071</v>
      </c>
      <c r="C1037" s="65">
        <f>I1025-C1035</f>
        <v>262588.66363635985</v>
      </c>
    </row>
  </sheetData>
  <conditionalFormatting sqref="C934:C937">
    <cfRule type="duplicateValues" dxfId="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7F802-0E3E-497C-AA87-7BB7CC6DCE8D}">
  <dimension ref="A1:I688"/>
  <sheetViews>
    <sheetView topLeftCell="A652" zoomScale="80" zoomScaleNormal="80" workbookViewId="0">
      <selection activeCell="E688" sqref="E688"/>
    </sheetView>
  </sheetViews>
  <sheetFormatPr defaultRowHeight="15" x14ac:dyDescent="0.25"/>
  <cols>
    <col min="1" max="1" width="12.28515625" customWidth="1"/>
    <col min="2" max="2" width="36.28515625" customWidth="1"/>
    <col min="3" max="3" width="33.140625" style="40" customWidth="1"/>
    <col min="4" max="4" width="31.7109375" customWidth="1"/>
    <col min="5" max="5" width="22.7109375" customWidth="1"/>
    <col min="6" max="6" width="16.42578125" customWidth="1"/>
    <col min="7" max="7" width="17.42578125" customWidth="1"/>
    <col min="8" max="8" width="19.7109375" style="5" customWidth="1"/>
    <col min="9" max="9" width="24.7109375" customWidth="1"/>
    <col min="10" max="10" width="32.140625" customWidth="1"/>
  </cols>
  <sheetData>
    <row r="1" spans="1:9" ht="20.45" customHeight="1" x14ac:dyDescent="0.25">
      <c r="A1" s="43" t="s">
        <v>3</v>
      </c>
      <c r="B1" s="43" t="s">
        <v>4</v>
      </c>
      <c r="C1" s="42" t="s">
        <v>5</v>
      </c>
      <c r="D1" s="43" t="s">
        <v>6</v>
      </c>
      <c r="E1" s="43" t="s">
        <v>7</v>
      </c>
      <c r="F1" s="43" t="s">
        <v>8</v>
      </c>
      <c r="G1" s="43" t="s">
        <v>9</v>
      </c>
      <c r="H1" s="44" t="s">
        <v>10</v>
      </c>
      <c r="I1" s="43" t="s">
        <v>11</v>
      </c>
    </row>
    <row r="2" spans="1:9" x14ac:dyDescent="0.25">
      <c r="A2" s="6" t="s">
        <v>42</v>
      </c>
      <c r="B2" s="6" t="s">
        <v>43</v>
      </c>
      <c r="C2" s="38">
        <v>358135792616791</v>
      </c>
      <c r="D2" s="6" t="s">
        <v>15</v>
      </c>
      <c r="E2" s="29">
        <v>2530</v>
      </c>
      <c r="F2" s="29">
        <v>2380</v>
      </c>
      <c r="G2" s="16">
        <f t="shared" ref="G2:G65" si="0">E2-F2</f>
        <v>150</v>
      </c>
      <c r="H2" s="9">
        <f t="shared" ref="H2:H65" si="1">(E2-F2)/F2</f>
        <v>6.3025210084033612E-2</v>
      </c>
      <c r="I2" s="6" t="s">
        <v>29</v>
      </c>
    </row>
    <row r="3" spans="1:9" x14ac:dyDescent="0.25">
      <c r="A3" s="6" t="s">
        <v>42</v>
      </c>
      <c r="B3" s="6" t="s">
        <v>43</v>
      </c>
      <c r="C3" s="38">
        <v>358135792871644</v>
      </c>
      <c r="D3" s="6" t="s">
        <v>15</v>
      </c>
      <c r="E3" s="29">
        <v>2530</v>
      </c>
      <c r="F3" s="29">
        <v>2380</v>
      </c>
      <c r="G3" s="16">
        <f t="shared" si="0"/>
        <v>150</v>
      </c>
      <c r="H3" s="9">
        <f t="shared" si="1"/>
        <v>6.3025210084033612E-2</v>
      </c>
      <c r="I3" s="6" t="s">
        <v>29</v>
      </c>
    </row>
    <row r="4" spans="1:9" x14ac:dyDescent="0.25">
      <c r="A4" s="6" t="s">
        <v>42</v>
      </c>
      <c r="B4" s="6" t="s">
        <v>43</v>
      </c>
      <c r="C4" s="38">
        <v>358135792930002</v>
      </c>
      <c r="D4" s="6" t="s">
        <v>15</v>
      </c>
      <c r="E4" s="29">
        <v>2530</v>
      </c>
      <c r="F4" s="29">
        <v>2380</v>
      </c>
      <c r="G4" s="16">
        <f t="shared" si="0"/>
        <v>150</v>
      </c>
      <c r="H4" s="9">
        <f t="shared" si="1"/>
        <v>6.3025210084033612E-2</v>
      </c>
      <c r="I4" s="6" t="s">
        <v>29</v>
      </c>
    </row>
    <row r="5" spans="1:9" x14ac:dyDescent="0.25">
      <c r="A5" s="6" t="s">
        <v>42</v>
      </c>
      <c r="B5" s="6" t="s">
        <v>43</v>
      </c>
      <c r="C5" s="38">
        <v>358135793507676</v>
      </c>
      <c r="D5" s="6" t="s">
        <v>15</v>
      </c>
      <c r="E5" s="29">
        <v>2530</v>
      </c>
      <c r="F5" s="29">
        <v>2380</v>
      </c>
      <c r="G5" s="16">
        <f t="shared" si="0"/>
        <v>150</v>
      </c>
      <c r="H5" s="9">
        <f t="shared" si="1"/>
        <v>6.3025210084033612E-2</v>
      </c>
      <c r="I5" s="6" t="s">
        <v>29</v>
      </c>
    </row>
    <row r="6" spans="1:9" x14ac:dyDescent="0.25">
      <c r="A6" s="6" t="s">
        <v>42</v>
      </c>
      <c r="B6" s="6" t="s">
        <v>33</v>
      </c>
      <c r="C6" s="38">
        <v>350599869504909</v>
      </c>
      <c r="D6" s="6" t="s">
        <v>15</v>
      </c>
      <c r="E6" s="29">
        <v>3580</v>
      </c>
      <c r="F6" s="29">
        <v>3450</v>
      </c>
      <c r="G6" s="16">
        <f t="shared" si="0"/>
        <v>130</v>
      </c>
      <c r="H6" s="9">
        <f t="shared" si="1"/>
        <v>3.7681159420289857E-2</v>
      </c>
      <c r="I6" s="6" t="s">
        <v>29</v>
      </c>
    </row>
    <row r="7" spans="1:9" x14ac:dyDescent="0.25">
      <c r="A7" s="6" t="s">
        <v>42</v>
      </c>
      <c r="B7" s="6" t="s">
        <v>33</v>
      </c>
      <c r="C7" s="38">
        <v>356605227652662</v>
      </c>
      <c r="D7" s="6" t="s">
        <v>15</v>
      </c>
      <c r="E7" s="29">
        <v>3570</v>
      </c>
      <c r="F7" s="29">
        <v>3450</v>
      </c>
      <c r="G7" s="16">
        <f t="shared" si="0"/>
        <v>120</v>
      </c>
      <c r="H7" s="9">
        <f t="shared" si="1"/>
        <v>3.4782608695652174E-2</v>
      </c>
      <c r="I7" s="6" t="s">
        <v>29</v>
      </c>
    </row>
    <row r="8" spans="1:9" x14ac:dyDescent="0.25">
      <c r="A8" s="6" t="s">
        <v>42</v>
      </c>
      <c r="B8" s="6" t="s">
        <v>33</v>
      </c>
      <c r="C8" s="38">
        <v>357586348307940</v>
      </c>
      <c r="D8" s="6" t="s">
        <v>15</v>
      </c>
      <c r="E8" s="29">
        <v>3780</v>
      </c>
      <c r="F8" s="29">
        <v>3600</v>
      </c>
      <c r="G8" s="16">
        <f t="shared" si="0"/>
        <v>180</v>
      </c>
      <c r="H8" s="9">
        <f t="shared" si="1"/>
        <v>0.05</v>
      </c>
      <c r="I8" s="6" t="s">
        <v>29</v>
      </c>
    </row>
    <row r="9" spans="1:9" x14ac:dyDescent="0.25">
      <c r="A9" s="6" t="s">
        <v>69</v>
      </c>
      <c r="B9" s="6" t="s">
        <v>100</v>
      </c>
      <c r="C9" s="38">
        <v>351878871577510</v>
      </c>
      <c r="D9" s="6" t="s">
        <v>15</v>
      </c>
      <c r="E9" s="29">
        <v>2040</v>
      </c>
      <c r="F9" s="29">
        <v>1880</v>
      </c>
      <c r="G9" s="16">
        <f t="shared" si="0"/>
        <v>160</v>
      </c>
      <c r="H9" s="9">
        <f t="shared" si="1"/>
        <v>8.5106382978723402E-2</v>
      </c>
      <c r="I9" s="6" t="s">
        <v>29</v>
      </c>
    </row>
    <row r="10" spans="1:9" x14ac:dyDescent="0.25">
      <c r="A10" s="6" t="s">
        <v>69</v>
      </c>
      <c r="B10" s="6" t="s">
        <v>100</v>
      </c>
      <c r="C10" s="38">
        <v>351878871686550</v>
      </c>
      <c r="D10" s="6" t="s">
        <v>15</v>
      </c>
      <c r="E10" s="29">
        <v>2040</v>
      </c>
      <c r="F10" s="29">
        <v>1880</v>
      </c>
      <c r="G10" s="16">
        <f t="shared" si="0"/>
        <v>160</v>
      </c>
      <c r="H10" s="9">
        <f t="shared" si="1"/>
        <v>8.5106382978723402E-2</v>
      </c>
      <c r="I10" s="6" t="s">
        <v>29</v>
      </c>
    </row>
    <row r="11" spans="1:9" x14ac:dyDescent="0.25">
      <c r="A11" s="6" t="s">
        <v>69</v>
      </c>
      <c r="B11" s="6" t="s">
        <v>100</v>
      </c>
      <c r="C11" s="38">
        <v>351878872024330</v>
      </c>
      <c r="D11" s="6" t="s">
        <v>15</v>
      </c>
      <c r="E11" s="29">
        <v>2040</v>
      </c>
      <c r="F11" s="29">
        <v>1880</v>
      </c>
      <c r="G11" s="16">
        <f t="shared" si="0"/>
        <v>160</v>
      </c>
      <c r="H11" s="9">
        <f t="shared" si="1"/>
        <v>8.5106382978723402E-2</v>
      </c>
      <c r="I11" s="6" t="s">
        <v>29</v>
      </c>
    </row>
    <row r="12" spans="1:9" x14ac:dyDescent="0.25">
      <c r="A12" s="6" t="s">
        <v>69</v>
      </c>
      <c r="B12" s="6" t="s">
        <v>100</v>
      </c>
      <c r="C12" s="38">
        <v>351878872078856</v>
      </c>
      <c r="D12" s="6" t="s">
        <v>15</v>
      </c>
      <c r="E12" s="29">
        <v>2040</v>
      </c>
      <c r="F12" s="29">
        <v>1880</v>
      </c>
      <c r="G12" s="16">
        <f t="shared" si="0"/>
        <v>160</v>
      </c>
      <c r="H12" s="9">
        <f t="shared" si="1"/>
        <v>8.5106382978723402E-2</v>
      </c>
      <c r="I12" s="6" t="s">
        <v>29</v>
      </c>
    </row>
    <row r="13" spans="1:9" x14ac:dyDescent="0.25">
      <c r="A13" s="6" t="s">
        <v>69</v>
      </c>
      <c r="B13" s="6" t="s">
        <v>206</v>
      </c>
      <c r="C13" s="38">
        <v>350795045798791</v>
      </c>
      <c r="D13" s="6" t="s">
        <v>15</v>
      </c>
      <c r="E13" s="29">
        <v>2130</v>
      </c>
      <c r="F13" s="29">
        <v>1920</v>
      </c>
      <c r="G13" s="16">
        <f t="shared" si="0"/>
        <v>210</v>
      </c>
      <c r="H13" s="9">
        <f t="shared" si="1"/>
        <v>0.109375</v>
      </c>
      <c r="I13" s="6" t="s">
        <v>29</v>
      </c>
    </row>
    <row r="14" spans="1:9" x14ac:dyDescent="0.25">
      <c r="A14" s="6" t="s">
        <v>69</v>
      </c>
      <c r="B14" s="6" t="s">
        <v>206</v>
      </c>
      <c r="C14" s="38">
        <v>350795045828762</v>
      </c>
      <c r="D14" s="6" t="s">
        <v>15</v>
      </c>
      <c r="E14" s="29">
        <v>2130</v>
      </c>
      <c r="F14" s="29">
        <v>1920</v>
      </c>
      <c r="G14" s="16">
        <f t="shared" si="0"/>
        <v>210</v>
      </c>
      <c r="H14" s="9">
        <f t="shared" si="1"/>
        <v>0.109375</v>
      </c>
      <c r="I14" s="6" t="s">
        <v>29</v>
      </c>
    </row>
    <row r="15" spans="1:9" x14ac:dyDescent="0.25">
      <c r="A15" s="6" t="s">
        <v>69</v>
      </c>
      <c r="B15" s="6" t="s">
        <v>206</v>
      </c>
      <c r="C15" s="38">
        <v>350795045916294</v>
      </c>
      <c r="D15" s="6" t="s">
        <v>15</v>
      </c>
      <c r="E15" s="29">
        <v>2130</v>
      </c>
      <c r="F15" s="29">
        <v>1920</v>
      </c>
      <c r="G15" s="16">
        <f t="shared" si="0"/>
        <v>210</v>
      </c>
      <c r="H15" s="9">
        <f t="shared" si="1"/>
        <v>0.109375</v>
      </c>
      <c r="I15" s="6" t="s">
        <v>29</v>
      </c>
    </row>
    <row r="16" spans="1:9" x14ac:dyDescent="0.25">
      <c r="A16" s="6" t="s">
        <v>69</v>
      </c>
      <c r="B16" s="6" t="s">
        <v>206</v>
      </c>
      <c r="C16" s="38">
        <v>350795046044732</v>
      </c>
      <c r="D16" s="6" t="s">
        <v>15</v>
      </c>
      <c r="E16" s="29">
        <v>2130</v>
      </c>
      <c r="F16" s="29">
        <v>1920</v>
      </c>
      <c r="G16" s="16">
        <f t="shared" si="0"/>
        <v>210</v>
      </c>
      <c r="H16" s="9">
        <f t="shared" si="1"/>
        <v>0.109375</v>
      </c>
      <c r="I16" s="6" t="s">
        <v>29</v>
      </c>
    </row>
    <row r="17" spans="1:9" x14ac:dyDescent="0.25">
      <c r="A17" s="6" t="s">
        <v>69</v>
      </c>
      <c r="B17" s="6" t="s">
        <v>206</v>
      </c>
      <c r="C17" s="38">
        <v>357223746136966</v>
      </c>
      <c r="D17" s="6" t="s">
        <v>15</v>
      </c>
      <c r="E17" s="29">
        <v>2130</v>
      </c>
      <c r="F17" s="29">
        <v>1920</v>
      </c>
      <c r="G17" s="16">
        <f t="shared" si="0"/>
        <v>210</v>
      </c>
      <c r="H17" s="9">
        <f t="shared" si="1"/>
        <v>0.109375</v>
      </c>
      <c r="I17" s="6" t="s">
        <v>29</v>
      </c>
    </row>
    <row r="18" spans="1:9" x14ac:dyDescent="0.25">
      <c r="A18" s="6" t="s">
        <v>69</v>
      </c>
      <c r="B18" s="6" t="s">
        <v>206</v>
      </c>
      <c r="C18" s="38">
        <v>357247592397729</v>
      </c>
      <c r="D18" s="6" t="s">
        <v>15</v>
      </c>
      <c r="E18" s="29">
        <v>2130</v>
      </c>
      <c r="F18" s="29">
        <v>1920</v>
      </c>
      <c r="G18" s="16">
        <f t="shared" si="0"/>
        <v>210</v>
      </c>
      <c r="H18" s="9">
        <f t="shared" si="1"/>
        <v>0.109375</v>
      </c>
      <c r="I18" s="6" t="s">
        <v>29</v>
      </c>
    </row>
    <row r="19" spans="1:9" x14ac:dyDescent="0.25">
      <c r="A19" s="6" t="s">
        <v>69</v>
      </c>
      <c r="B19" s="6" t="s">
        <v>206</v>
      </c>
      <c r="C19" s="38">
        <v>357247592806984</v>
      </c>
      <c r="D19" s="6" t="s">
        <v>15</v>
      </c>
      <c r="E19" s="29">
        <v>2130</v>
      </c>
      <c r="F19" s="29">
        <v>1920</v>
      </c>
      <c r="G19" s="16">
        <f t="shared" si="0"/>
        <v>210</v>
      </c>
      <c r="H19" s="9">
        <f t="shared" si="1"/>
        <v>0.109375</v>
      </c>
      <c r="I19" s="6" t="s">
        <v>29</v>
      </c>
    </row>
    <row r="20" spans="1:9" x14ac:dyDescent="0.25">
      <c r="A20" s="6" t="s">
        <v>69</v>
      </c>
      <c r="B20" s="6" t="s">
        <v>206</v>
      </c>
      <c r="C20" s="38">
        <v>357247593362060</v>
      </c>
      <c r="D20" s="6" t="s">
        <v>15</v>
      </c>
      <c r="E20" s="29">
        <v>2130</v>
      </c>
      <c r="F20" s="29">
        <v>1920</v>
      </c>
      <c r="G20" s="16">
        <f t="shared" si="0"/>
        <v>210</v>
      </c>
      <c r="H20" s="9">
        <f t="shared" si="1"/>
        <v>0.109375</v>
      </c>
      <c r="I20" s="6" t="s">
        <v>29</v>
      </c>
    </row>
    <row r="21" spans="1:9" x14ac:dyDescent="0.25">
      <c r="A21" s="6" t="s">
        <v>69</v>
      </c>
      <c r="B21" s="6" t="s">
        <v>215</v>
      </c>
      <c r="C21" s="38">
        <v>355832517114960</v>
      </c>
      <c r="D21" s="6" t="s">
        <v>15</v>
      </c>
      <c r="E21" s="29">
        <v>2950</v>
      </c>
      <c r="F21" s="29">
        <v>2500</v>
      </c>
      <c r="G21" s="16">
        <f t="shared" si="0"/>
        <v>450</v>
      </c>
      <c r="H21" s="9">
        <f t="shared" si="1"/>
        <v>0.18</v>
      </c>
      <c r="I21" s="6" t="s">
        <v>29</v>
      </c>
    </row>
    <row r="22" spans="1:9" x14ac:dyDescent="0.25">
      <c r="A22" s="6" t="s">
        <v>69</v>
      </c>
      <c r="B22" s="6" t="s">
        <v>215</v>
      </c>
      <c r="C22" s="38">
        <v>355832517794936</v>
      </c>
      <c r="D22" s="6" t="s">
        <v>15</v>
      </c>
      <c r="E22" s="29">
        <v>2950</v>
      </c>
      <c r="F22" s="29">
        <v>2500</v>
      </c>
      <c r="G22" s="16">
        <f t="shared" si="0"/>
        <v>450</v>
      </c>
      <c r="H22" s="9">
        <f t="shared" si="1"/>
        <v>0.18</v>
      </c>
      <c r="I22" s="6" t="s">
        <v>29</v>
      </c>
    </row>
    <row r="23" spans="1:9" x14ac:dyDescent="0.25">
      <c r="A23" s="6" t="s">
        <v>69</v>
      </c>
      <c r="B23" s="6" t="s">
        <v>215</v>
      </c>
      <c r="C23" s="38">
        <v>356250544736300</v>
      </c>
      <c r="D23" s="6" t="s">
        <v>15</v>
      </c>
      <c r="E23" s="29">
        <v>2980</v>
      </c>
      <c r="F23" s="29">
        <v>2730</v>
      </c>
      <c r="G23" s="16">
        <f t="shared" si="0"/>
        <v>250</v>
      </c>
      <c r="H23" s="9">
        <f t="shared" si="1"/>
        <v>9.1575091575091569E-2</v>
      </c>
      <c r="I23" s="6" t="s">
        <v>29</v>
      </c>
    </row>
    <row r="24" spans="1:9" x14ac:dyDescent="0.25">
      <c r="A24" s="6" t="s">
        <v>69</v>
      </c>
      <c r="B24" s="6" t="s">
        <v>33</v>
      </c>
      <c r="C24" s="38">
        <v>350599864265969</v>
      </c>
      <c r="D24" s="6" t="s">
        <v>15</v>
      </c>
      <c r="E24" s="29">
        <v>3570</v>
      </c>
      <c r="F24" s="29">
        <v>3450</v>
      </c>
      <c r="G24" s="16">
        <f t="shared" si="0"/>
        <v>120</v>
      </c>
      <c r="H24" s="9">
        <f t="shared" si="1"/>
        <v>3.4782608695652174E-2</v>
      </c>
      <c r="I24" s="6" t="s">
        <v>29</v>
      </c>
    </row>
    <row r="25" spans="1:9" x14ac:dyDescent="0.25">
      <c r="A25" s="6" t="s">
        <v>69</v>
      </c>
      <c r="B25" s="6" t="s">
        <v>33</v>
      </c>
      <c r="C25" s="38">
        <v>350599865976879</v>
      </c>
      <c r="D25" s="6" t="s">
        <v>15</v>
      </c>
      <c r="E25" s="29">
        <v>3380</v>
      </c>
      <c r="F25" s="29">
        <v>3130</v>
      </c>
      <c r="G25" s="16">
        <f t="shared" si="0"/>
        <v>250</v>
      </c>
      <c r="H25" s="9">
        <f t="shared" si="1"/>
        <v>7.9872204472843447E-2</v>
      </c>
      <c r="I25" s="6" t="s">
        <v>29</v>
      </c>
    </row>
    <row r="26" spans="1:9" x14ac:dyDescent="0.25">
      <c r="A26" s="6" t="s">
        <v>69</v>
      </c>
      <c r="B26" s="6" t="s">
        <v>33</v>
      </c>
      <c r="C26" s="38">
        <v>350599869739604</v>
      </c>
      <c r="D26" s="6" t="s">
        <v>15</v>
      </c>
      <c r="E26" s="29">
        <v>3570</v>
      </c>
      <c r="F26" s="29">
        <v>3450</v>
      </c>
      <c r="G26" s="16">
        <f t="shared" si="0"/>
        <v>120</v>
      </c>
      <c r="H26" s="9">
        <f t="shared" si="1"/>
        <v>3.4782608695652174E-2</v>
      </c>
      <c r="I26" s="6" t="s">
        <v>29</v>
      </c>
    </row>
    <row r="27" spans="1:9" x14ac:dyDescent="0.25">
      <c r="A27" s="6" t="s">
        <v>69</v>
      </c>
      <c r="B27" s="6" t="s">
        <v>33</v>
      </c>
      <c r="C27" s="38">
        <v>353263426837701</v>
      </c>
      <c r="D27" s="6" t="s">
        <v>15</v>
      </c>
      <c r="E27" s="29">
        <v>3570</v>
      </c>
      <c r="F27" s="29">
        <v>3450</v>
      </c>
      <c r="G27" s="16">
        <f t="shared" si="0"/>
        <v>120</v>
      </c>
      <c r="H27" s="9">
        <f t="shared" si="1"/>
        <v>3.4782608695652174E-2</v>
      </c>
      <c r="I27" s="6" t="s">
        <v>29</v>
      </c>
    </row>
    <row r="28" spans="1:9" x14ac:dyDescent="0.25">
      <c r="A28" s="6" t="s">
        <v>69</v>
      </c>
      <c r="B28" s="6" t="s">
        <v>33</v>
      </c>
      <c r="C28" s="38">
        <v>355224251777493</v>
      </c>
      <c r="D28" s="6" t="s">
        <v>15</v>
      </c>
      <c r="E28" s="29">
        <v>3380</v>
      </c>
      <c r="F28" s="29">
        <v>3130</v>
      </c>
      <c r="G28" s="16">
        <f t="shared" si="0"/>
        <v>250</v>
      </c>
      <c r="H28" s="9">
        <f t="shared" si="1"/>
        <v>7.9872204472843447E-2</v>
      </c>
      <c r="I28" s="6" t="s">
        <v>29</v>
      </c>
    </row>
    <row r="29" spans="1:9" x14ac:dyDescent="0.25">
      <c r="A29" s="6" t="s">
        <v>69</v>
      </c>
      <c r="B29" s="6" t="s">
        <v>33</v>
      </c>
      <c r="C29" s="38">
        <v>357586348499325</v>
      </c>
      <c r="D29" s="6" t="s">
        <v>15</v>
      </c>
      <c r="E29" s="29">
        <v>3730</v>
      </c>
      <c r="F29" s="29">
        <v>3600</v>
      </c>
      <c r="G29" s="16">
        <f t="shared" si="0"/>
        <v>130</v>
      </c>
      <c r="H29" s="9">
        <f t="shared" si="1"/>
        <v>3.6111111111111108E-2</v>
      </c>
      <c r="I29" s="6" t="s">
        <v>29</v>
      </c>
    </row>
    <row r="30" spans="1:9" x14ac:dyDescent="0.25">
      <c r="A30" s="6" t="s">
        <v>69</v>
      </c>
      <c r="B30" s="6" t="s">
        <v>33</v>
      </c>
      <c r="C30" s="38">
        <v>357586348762284</v>
      </c>
      <c r="D30" s="6" t="s">
        <v>15</v>
      </c>
      <c r="E30" s="29">
        <v>3380</v>
      </c>
      <c r="F30" s="29">
        <v>3130</v>
      </c>
      <c r="G30" s="16">
        <f t="shared" si="0"/>
        <v>250</v>
      </c>
      <c r="H30" s="9">
        <f t="shared" si="1"/>
        <v>7.9872204472843447E-2</v>
      </c>
      <c r="I30" s="6" t="s">
        <v>29</v>
      </c>
    </row>
    <row r="31" spans="1:9" x14ac:dyDescent="0.25">
      <c r="A31" s="6" t="s">
        <v>300</v>
      </c>
      <c r="B31" s="6" t="s">
        <v>43</v>
      </c>
      <c r="C31" s="38">
        <v>353938643621919</v>
      </c>
      <c r="D31" s="6" t="s">
        <v>15</v>
      </c>
      <c r="E31" s="29">
        <v>2510</v>
      </c>
      <c r="F31" s="29">
        <v>2380</v>
      </c>
      <c r="G31" s="16">
        <f t="shared" si="0"/>
        <v>130</v>
      </c>
      <c r="H31" s="9">
        <f t="shared" si="1"/>
        <v>5.4621848739495799E-2</v>
      </c>
      <c r="I31" s="6" t="s">
        <v>29</v>
      </c>
    </row>
    <row r="32" spans="1:9" x14ac:dyDescent="0.25">
      <c r="A32" s="6" t="s">
        <v>300</v>
      </c>
      <c r="B32" s="6" t="s">
        <v>43</v>
      </c>
      <c r="C32" s="38">
        <v>356187984681119</v>
      </c>
      <c r="D32" s="6" t="s">
        <v>15</v>
      </c>
      <c r="E32" s="29">
        <v>2510</v>
      </c>
      <c r="F32" s="29">
        <v>2380</v>
      </c>
      <c r="G32" s="16">
        <f t="shared" si="0"/>
        <v>130</v>
      </c>
      <c r="H32" s="9">
        <f t="shared" si="1"/>
        <v>5.4621848739495799E-2</v>
      </c>
      <c r="I32" s="6" t="s">
        <v>29</v>
      </c>
    </row>
    <row r="33" spans="1:9" x14ac:dyDescent="0.25">
      <c r="A33" s="6" t="s">
        <v>478</v>
      </c>
      <c r="B33" s="6" t="s">
        <v>206</v>
      </c>
      <c r="C33" s="38">
        <v>351605725846399</v>
      </c>
      <c r="D33" s="6" t="s">
        <v>481</v>
      </c>
      <c r="E33" s="29">
        <v>2140</v>
      </c>
      <c r="F33" s="29">
        <v>1870</v>
      </c>
      <c r="G33" s="16">
        <f t="shared" si="0"/>
        <v>270</v>
      </c>
      <c r="H33" s="9">
        <f t="shared" si="1"/>
        <v>0.14438502673796791</v>
      </c>
      <c r="I33" s="6" t="s">
        <v>29</v>
      </c>
    </row>
    <row r="34" spans="1:9" x14ac:dyDescent="0.25">
      <c r="A34" s="6" t="s">
        <v>478</v>
      </c>
      <c r="B34" s="6" t="s">
        <v>206</v>
      </c>
      <c r="C34" s="38">
        <v>351605725975859</v>
      </c>
      <c r="D34" s="6" t="s">
        <v>15</v>
      </c>
      <c r="E34" s="29">
        <v>2140</v>
      </c>
      <c r="F34" s="29">
        <v>1920</v>
      </c>
      <c r="G34" s="16">
        <f t="shared" si="0"/>
        <v>220</v>
      </c>
      <c r="H34" s="9">
        <f t="shared" si="1"/>
        <v>0.11458333333333333</v>
      </c>
      <c r="I34" s="6" t="s">
        <v>29</v>
      </c>
    </row>
    <row r="35" spans="1:9" x14ac:dyDescent="0.25">
      <c r="A35" s="6" t="s">
        <v>478</v>
      </c>
      <c r="B35" s="6" t="s">
        <v>206</v>
      </c>
      <c r="C35" s="38">
        <v>351605726004006</v>
      </c>
      <c r="D35" s="6" t="s">
        <v>15</v>
      </c>
      <c r="E35" s="29">
        <v>2140</v>
      </c>
      <c r="F35" s="29">
        <v>1920</v>
      </c>
      <c r="G35" s="16">
        <f t="shared" si="0"/>
        <v>220</v>
      </c>
      <c r="H35" s="9">
        <f t="shared" si="1"/>
        <v>0.11458333333333333</v>
      </c>
      <c r="I35" s="6" t="s">
        <v>29</v>
      </c>
    </row>
    <row r="36" spans="1:9" x14ac:dyDescent="0.25">
      <c r="A36" s="6" t="s">
        <v>478</v>
      </c>
      <c r="B36" s="6" t="s">
        <v>206</v>
      </c>
      <c r="C36" s="38">
        <v>351605726091755</v>
      </c>
      <c r="D36" s="6" t="s">
        <v>15</v>
      </c>
      <c r="E36" s="29">
        <v>2140</v>
      </c>
      <c r="F36" s="29">
        <v>1920</v>
      </c>
      <c r="G36" s="16">
        <f t="shared" si="0"/>
        <v>220</v>
      </c>
      <c r="H36" s="9">
        <f t="shared" si="1"/>
        <v>0.11458333333333333</v>
      </c>
      <c r="I36" s="6" t="s">
        <v>29</v>
      </c>
    </row>
    <row r="37" spans="1:9" x14ac:dyDescent="0.25">
      <c r="A37" s="6" t="s">
        <v>478</v>
      </c>
      <c r="B37" s="6" t="s">
        <v>206</v>
      </c>
      <c r="C37" s="38">
        <v>357223741959446</v>
      </c>
      <c r="D37" s="6" t="s">
        <v>15</v>
      </c>
      <c r="E37" s="29">
        <v>2140</v>
      </c>
      <c r="F37" s="29">
        <v>1920</v>
      </c>
      <c r="G37" s="16">
        <f t="shared" si="0"/>
        <v>220</v>
      </c>
      <c r="H37" s="9">
        <f t="shared" si="1"/>
        <v>0.11458333333333333</v>
      </c>
      <c r="I37" s="6" t="s">
        <v>29</v>
      </c>
    </row>
    <row r="38" spans="1:9" x14ac:dyDescent="0.25">
      <c r="A38" s="6" t="s">
        <v>478</v>
      </c>
      <c r="B38" s="6" t="s">
        <v>206</v>
      </c>
      <c r="C38" s="38">
        <v>357247595315819</v>
      </c>
      <c r="D38" s="6" t="s">
        <v>15</v>
      </c>
      <c r="E38" s="29">
        <v>2140</v>
      </c>
      <c r="F38" s="29">
        <v>1920</v>
      </c>
      <c r="G38" s="16">
        <f t="shared" si="0"/>
        <v>220</v>
      </c>
      <c r="H38" s="9">
        <f t="shared" si="1"/>
        <v>0.11458333333333333</v>
      </c>
      <c r="I38" s="6" t="s">
        <v>29</v>
      </c>
    </row>
    <row r="39" spans="1:9" x14ac:dyDescent="0.25">
      <c r="A39" s="7" t="s">
        <v>478</v>
      </c>
      <c r="B39" s="7" t="s">
        <v>215</v>
      </c>
      <c r="C39" s="39">
        <v>351317523248402</v>
      </c>
      <c r="D39" s="7" t="s">
        <v>488</v>
      </c>
      <c r="E39" s="16">
        <v>2900</v>
      </c>
      <c r="F39" s="16">
        <v>2600</v>
      </c>
      <c r="G39" s="16">
        <f t="shared" si="0"/>
        <v>300</v>
      </c>
      <c r="H39" s="9">
        <f t="shared" si="1"/>
        <v>0.11538461538461539</v>
      </c>
      <c r="I39" s="7" t="s">
        <v>29</v>
      </c>
    </row>
    <row r="40" spans="1:9" x14ac:dyDescent="0.25">
      <c r="A40" s="7" t="s">
        <v>478</v>
      </c>
      <c r="B40" s="7" t="s">
        <v>215</v>
      </c>
      <c r="C40" s="39">
        <v>355832515680889</v>
      </c>
      <c r="D40" s="7" t="s">
        <v>490</v>
      </c>
      <c r="E40" s="16">
        <v>2900</v>
      </c>
      <c r="F40" s="16">
        <v>2600</v>
      </c>
      <c r="G40" s="16">
        <f t="shared" si="0"/>
        <v>300</v>
      </c>
      <c r="H40" s="9">
        <f t="shared" si="1"/>
        <v>0.11538461538461539</v>
      </c>
      <c r="I40" s="7" t="s">
        <v>29</v>
      </c>
    </row>
    <row r="41" spans="1:9" x14ac:dyDescent="0.25">
      <c r="A41" s="6" t="s">
        <v>478</v>
      </c>
      <c r="B41" s="6" t="s">
        <v>215</v>
      </c>
      <c r="C41" s="38">
        <v>355832519622440</v>
      </c>
      <c r="D41" s="6" t="s">
        <v>15</v>
      </c>
      <c r="E41" s="29">
        <v>2900</v>
      </c>
      <c r="F41" s="29">
        <v>2350</v>
      </c>
      <c r="G41" s="16">
        <f t="shared" si="0"/>
        <v>550</v>
      </c>
      <c r="H41" s="9">
        <f t="shared" si="1"/>
        <v>0.23404255319148937</v>
      </c>
      <c r="I41" s="6" t="s">
        <v>29</v>
      </c>
    </row>
    <row r="42" spans="1:9" x14ac:dyDescent="0.25">
      <c r="A42" s="6" t="s">
        <v>478</v>
      </c>
      <c r="B42" s="6" t="s">
        <v>215</v>
      </c>
      <c r="C42" s="38">
        <v>356250549992031</v>
      </c>
      <c r="D42" s="6" t="s">
        <v>15</v>
      </c>
      <c r="E42" s="29">
        <v>3130</v>
      </c>
      <c r="F42" s="29">
        <v>2750</v>
      </c>
      <c r="G42" s="16">
        <f t="shared" si="0"/>
        <v>380</v>
      </c>
      <c r="H42" s="9">
        <f t="shared" si="1"/>
        <v>0.13818181818181818</v>
      </c>
      <c r="I42" s="6" t="s">
        <v>29</v>
      </c>
    </row>
    <row r="43" spans="1:9" x14ac:dyDescent="0.25">
      <c r="A43" s="6" t="s">
        <v>478</v>
      </c>
      <c r="B43" s="6" t="s">
        <v>33</v>
      </c>
      <c r="C43" s="38">
        <v>355224250496475</v>
      </c>
      <c r="D43" s="6" t="s">
        <v>15</v>
      </c>
      <c r="E43" s="29">
        <v>3570</v>
      </c>
      <c r="F43" s="29">
        <v>3450</v>
      </c>
      <c r="G43" s="16">
        <f t="shared" si="0"/>
        <v>120</v>
      </c>
      <c r="H43" s="9">
        <f t="shared" si="1"/>
        <v>3.4782608695652174E-2</v>
      </c>
      <c r="I43" s="6" t="s">
        <v>29</v>
      </c>
    </row>
    <row r="44" spans="1:9" x14ac:dyDescent="0.25">
      <c r="A44" s="6" t="s">
        <v>478</v>
      </c>
      <c r="B44" s="6" t="s">
        <v>33</v>
      </c>
      <c r="C44" s="38">
        <v>356605226749428</v>
      </c>
      <c r="D44" s="6" t="s">
        <v>15</v>
      </c>
      <c r="E44" s="29">
        <v>3570</v>
      </c>
      <c r="F44" s="29">
        <v>3450</v>
      </c>
      <c r="G44" s="16">
        <f t="shared" si="0"/>
        <v>120</v>
      </c>
      <c r="H44" s="9">
        <f t="shared" si="1"/>
        <v>3.4782608695652174E-2</v>
      </c>
      <c r="I44" s="6" t="s">
        <v>29</v>
      </c>
    </row>
    <row r="45" spans="1:9" x14ac:dyDescent="0.25">
      <c r="A45" s="6" t="s">
        <v>478</v>
      </c>
      <c r="B45" s="6" t="s">
        <v>33</v>
      </c>
      <c r="C45" s="38">
        <v>356605226917652</v>
      </c>
      <c r="D45" s="6" t="s">
        <v>15</v>
      </c>
      <c r="E45" s="29">
        <v>3570</v>
      </c>
      <c r="F45" s="29">
        <v>3450</v>
      </c>
      <c r="G45" s="16">
        <f t="shared" si="0"/>
        <v>120</v>
      </c>
      <c r="H45" s="9">
        <f t="shared" si="1"/>
        <v>3.4782608695652174E-2</v>
      </c>
      <c r="I45" s="6" t="s">
        <v>29</v>
      </c>
    </row>
    <row r="46" spans="1:9" x14ac:dyDescent="0.25">
      <c r="A46" s="6" t="s">
        <v>478</v>
      </c>
      <c r="B46" s="6" t="s">
        <v>33</v>
      </c>
      <c r="C46" s="38">
        <v>357586348055192</v>
      </c>
      <c r="D46" s="6" t="s">
        <v>15</v>
      </c>
      <c r="E46" s="29">
        <v>3340</v>
      </c>
      <c r="F46" s="29">
        <v>3130</v>
      </c>
      <c r="G46" s="16">
        <f t="shared" si="0"/>
        <v>210</v>
      </c>
      <c r="H46" s="9">
        <f t="shared" si="1"/>
        <v>6.7092651757188496E-2</v>
      </c>
      <c r="I46" s="6" t="s">
        <v>29</v>
      </c>
    </row>
    <row r="47" spans="1:9" x14ac:dyDescent="0.25">
      <c r="A47" s="6" t="s">
        <v>478</v>
      </c>
      <c r="B47" s="6" t="s">
        <v>33</v>
      </c>
      <c r="C47" s="38">
        <v>358051326198919</v>
      </c>
      <c r="D47" s="6" t="s">
        <v>490</v>
      </c>
      <c r="E47" s="29">
        <v>3380</v>
      </c>
      <c r="F47" s="29">
        <v>3130</v>
      </c>
      <c r="G47" s="16">
        <f t="shared" si="0"/>
        <v>250</v>
      </c>
      <c r="H47" s="9">
        <f t="shared" si="1"/>
        <v>7.9872204472843447E-2</v>
      </c>
      <c r="I47" s="6" t="s">
        <v>29</v>
      </c>
    </row>
    <row r="48" spans="1:9" x14ac:dyDescent="0.25">
      <c r="A48" s="6" t="s">
        <v>478</v>
      </c>
      <c r="B48" s="6" t="s">
        <v>33</v>
      </c>
      <c r="C48" s="38">
        <v>359912581596726</v>
      </c>
      <c r="D48" s="6" t="s">
        <v>15</v>
      </c>
      <c r="E48" s="29">
        <v>3570</v>
      </c>
      <c r="F48" s="29">
        <v>3450</v>
      </c>
      <c r="G48" s="16">
        <f t="shared" si="0"/>
        <v>120</v>
      </c>
      <c r="H48" s="9">
        <f t="shared" si="1"/>
        <v>3.4782608695652174E-2</v>
      </c>
      <c r="I48" s="6" t="s">
        <v>29</v>
      </c>
    </row>
    <row r="49" spans="1:9" x14ac:dyDescent="0.25">
      <c r="A49" s="26" t="s">
        <v>623</v>
      </c>
      <c r="B49" s="26" t="s">
        <v>624</v>
      </c>
      <c r="C49" s="37">
        <v>352673831095177</v>
      </c>
      <c r="D49" s="26" t="s">
        <v>15</v>
      </c>
      <c r="E49" s="27">
        <v>730</v>
      </c>
      <c r="F49" s="27">
        <v>900</v>
      </c>
      <c r="G49" s="27">
        <f t="shared" si="0"/>
        <v>-170</v>
      </c>
      <c r="H49" s="28">
        <f t="shared" si="1"/>
        <v>-0.18888888888888888</v>
      </c>
      <c r="I49" s="26" t="s">
        <v>29</v>
      </c>
    </row>
    <row r="50" spans="1:9" x14ac:dyDescent="0.25">
      <c r="A50" s="6" t="s">
        <v>623</v>
      </c>
      <c r="B50" s="6" t="s">
        <v>626</v>
      </c>
      <c r="C50" s="38">
        <v>356865260896796</v>
      </c>
      <c r="D50" s="6" t="s">
        <v>15</v>
      </c>
      <c r="E50" s="29">
        <v>1250</v>
      </c>
      <c r="F50" s="29">
        <v>1250</v>
      </c>
      <c r="G50" s="16">
        <f t="shared" si="0"/>
        <v>0</v>
      </c>
      <c r="H50" s="9">
        <f t="shared" si="1"/>
        <v>0</v>
      </c>
      <c r="I50" s="6" t="s">
        <v>29</v>
      </c>
    </row>
    <row r="51" spans="1:9" x14ac:dyDescent="0.25">
      <c r="A51" s="6" t="s">
        <v>623</v>
      </c>
      <c r="B51" s="6" t="s">
        <v>630</v>
      </c>
      <c r="C51" s="38">
        <v>357324132104624</v>
      </c>
      <c r="D51" s="6" t="s">
        <v>15</v>
      </c>
      <c r="E51" s="29">
        <v>1350</v>
      </c>
      <c r="F51" s="29">
        <v>1350</v>
      </c>
      <c r="G51" s="16">
        <f t="shared" si="0"/>
        <v>0</v>
      </c>
      <c r="H51" s="9">
        <f t="shared" si="1"/>
        <v>0</v>
      </c>
      <c r="I51" s="6" t="s">
        <v>29</v>
      </c>
    </row>
    <row r="52" spans="1:9" x14ac:dyDescent="0.25">
      <c r="A52" s="6" t="s">
        <v>623</v>
      </c>
      <c r="B52" s="6" t="s">
        <v>43</v>
      </c>
      <c r="C52" s="38">
        <v>353938643664943</v>
      </c>
      <c r="D52" s="6" t="s">
        <v>15</v>
      </c>
      <c r="E52" s="29">
        <v>2510</v>
      </c>
      <c r="F52" s="29">
        <v>2380</v>
      </c>
      <c r="G52" s="16">
        <f t="shared" si="0"/>
        <v>130</v>
      </c>
      <c r="H52" s="9">
        <f t="shared" si="1"/>
        <v>5.4621848739495799E-2</v>
      </c>
      <c r="I52" s="6" t="s">
        <v>29</v>
      </c>
    </row>
    <row r="53" spans="1:9" x14ac:dyDescent="0.25">
      <c r="A53" s="6" t="s">
        <v>1063</v>
      </c>
      <c r="B53" s="6" t="s">
        <v>33</v>
      </c>
      <c r="C53" s="38">
        <v>357586348706521</v>
      </c>
      <c r="D53" s="6" t="s">
        <v>15</v>
      </c>
      <c r="E53" s="29">
        <v>3700</v>
      </c>
      <c r="F53" s="29">
        <v>3500</v>
      </c>
      <c r="G53" s="16">
        <f t="shared" si="0"/>
        <v>200</v>
      </c>
      <c r="H53" s="9">
        <f t="shared" si="1"/>
        <v>5.7142857142857141E-2</v>
      </c>
      <c r="I53" s="6" t="s">
        <v>29</v>
      </c>
    </row>
    <row r="54" spans="1:9" x14ac:dyDescent="0.25">
      <c r="A54" s="6" t="s">
        <v>1146</v>
      </c>
      <c r="B54" s="6" t="s">
        <v>1147</v>
      </c>
      <c r="C54" s="38">
        <v>353660340448400</v>
      </c>
      <c r="D54" s="6" t="s">
        <v>1149</v>
      </c>
      <c r="E54" s="29">
        <v>830</v>
      </c>
      <c r="F54" s="29">
        <v>800</v>
      </c>
      <c r="G54" s="16">
        <f t="shared" si="0"/>
        <v>30</v>
      </c>
      <c r="H54" s="9">
        <f t="shared" si="1"/>
        <v>3.7499999999999999E-2</v>
      </c>
      <c r="I54" s="6" t="s">
        <v>29</v>
      </c>
    </row>
    <row r="55" spans="1:9" x14ac:dyDescent="0.25">
      <c r="A55" s="6" t="s">
        <v>1146</v>
      </c>
      <c r="B55" s="6" t="s">
        <v>43</v>
      </c>
      <c r="C55" s="38">
        <v>353938640642165</v>
      </c>
      <c r="D55" s="6" t="s">
        <v>1151</v>
      </c>
      <c r="E55" s="29">
        <v>2500</v>
      </c>
      <c r="F55" s="29">
        <v>2380</v>
      </c>
      <c r="G55" s="16">
        <f t="shared" si="0"/>
        <v>120</v>
      </c>
      <c r="H55" s="9">
        <f t="shared" si="1"/>
        <v>5.0420168067226892E-2</v>
      </c>
      <c r="I55" s="6" t="s">
        <v>29</v>
      </c>
    </row>
    <row r="56" spans="1:9" x14ac:dyDescent="0.25">
      <c r="A56" s="6" t="s">
        <v>1146</v>
      </c>
      <c r="B56" s="6" t="s">
        <v>43</v>
      </c>
      <c r="C56" s="38">
        <v>353938642685824</v>
      </c>
      <c r="D56" s="6" t="s">
        <v>1153</v>
      </c>
      <c r="E56" s="29">
        <v>2500</v>
      </c>
      <c r="F56" s="29">
        <v>2380</v>
      </c>
      <c r="G56" s="16">
        <f t="shared" si="0"/>
        <v>120</v>
      </c>
      <c r="H56" s="9">
        <f t="shared" si="1"/>
        <v>5.0420168067226892E-2</v>
      </c>
      <c r="I56" s="6" t="s">
        <v>29</v>
      </c>
    </row>
    <row r="57" spans="1:9" x14ac:dyDescent="0.25">
      <c r="A57" s="6" t="s">
        <v>1146</v>
      </c>
      <c r="B57" s="6" t="s">
        <v>43</v>
      </c>
      <c r="C57" s="38">
        <v>353938642689149</v>
      </c>
      <c r="D57" s="6" t="s">
        <v>1153</v>
      </c>
      <c r="E57" s="29">
        <v>2500</v>
      </c>
      <c r="F57" s="29">
        <v>2380</v>
      </c>
      <c r="G57" s="16">
        <f t="shared" si="0"/>
        <v>120</v>
      </c>
      <c r="H57" s="9">
        <f t="shared" si="1"/>
        <v>5.0420168067226892E-2</v>
      </c>
      <c r="I57" s="6" t="s">
        <v>29</v>
      </c>
    </row>
    <row r="58" spans="1:9" x14ac:dyDescent="0.25">
      <c r="A58" s="6" t="s">
        <v>1146</v>
      </c>
      <c r="B58" s="6" t="s">
        <v>43</v>
      </c>
      <c r="C58" s="38">
        <v>355827874088450</v>
      </c>
      <c r="D58" s="6" t="s">
        <v>1153</v>
      </c>
      <c r="E58" s="29">
        <v>2500</v>
      </c>
      <c r="F58" s="29">
        <v>2380</v>
      </c>
      <c r="G58" s="16">
        <f t="shared" si="0"/>
        <v>120</v>
      </c>
      <c r="H58" s="9">
        <f t="shared" si="1"/>
        <v>5.0420168067226892E-2</v>
      </c>
      <c r="I58" s="6" t="s">
        <v>29</v>
      </c>
    </row>
    <row r="59" spans="1:9" x14ac:dyDescent="0.25">
      <c r="A59" s="6" t="s">
        <v>1146</v>
      </c>
      <c r="B59" s="6" t="s">
        <v>43</v>
      </c>
      <c r="C59" s="38">
        <v>356187980708502</v>
      </c>
      <c r="D59" s="6" t="s">
        <v>1157</v>
      </c>
      <c r="E59" s="29">
        <v>2500</v>
      </c>
      <c r="F59" s="29">
        <v>2380</v>
      </c>
      <c r="G59" s="16">
        <f t="shared" si="0"/>
        <v>120</v>
      </c>
      <c r="H59" s="9">
        <f t="shared" si="1"/>
        <v>5.0420168067226892E-2</v>
      </c>
      <c r="I59" s="6" t="s">
        <v>29</v>
      </c>
    </row>
    <row r="60" spans="1:9" x14ac:dyDescent="0.25">
      <c r="A60" s="6" t="s">
        <v>1146</v>
      </c>
      <c r="B60" s="6" t="s">
        <v>43</v>
      </c>
      <c r="C60" s="38">
        <v>356187982562022</v>
      </c>
      <c r="D60" s="6" t="s">
        <v>1151</v>
      </c>
      <c r="E60" s="29">
        <v>2500</v>
      </c>
      <c r="F60" s="29">
        <v>2380</v>
      </c>
      <c r="G60" s="16">
        <f t="shared" si="0"/>
        <v>120</v>
      </c>
      <c r="H60" s="9">
        <f t="shared" si="1"/>
        <v>5.0420168067226892E-2</v>
      </c>
      <c r="I60" s="6" t="s">
        <v>29</v>
      </c>
    </row>
    <row r="61" spans="1:9" x14ac:dyDescent="0.25">
      <c r="A61" s="6" t="s">
        <v>1146</v>
      </c>
      <c r="B61" s="6" t="s">
        <v>43</v>
      </c>
      <c r="C61" s="38">
        <v>356187983701322</v>
      </c>
      <c r="D61" s="6" t="s">
        <v>1151</v>
      </c>
      <c r="E61" s="29">
        <v>2500</v>
      </c>
      <c r="F61" s="29">
        <v>2380</v>
      </c>
      <c r="G61" s="16">
        <f t="shared" si="0"/>
        <v>120</v>
      </c>
      <c r="H61" s="9">
        <f t="shared" si="1"/>
        <v>5.0420168067226892E-2</v>
      </c>
      <c r="I61" s="6" t="s">
        <v>29</v>
      </c>
    </row>
    <row r="62" spans="1:9" x14ac:dyDescent="0.25">
      <c r="A62" s="6" t="s">
        <v>1146</v>
      </c>
      <c r="B62" s="6" t="s">
        <v>43</v>
      </c>
      <c r="C62" s="38">
        <v>356187983977641</v>
      </c>
      <c r="D62" s="6" t="s">
        <v>1161</v>
      </c>
      <c r="E62" s="29">
        <v>2510</v>
      </c>
      <c r="F62" s="29">
        <v>2380</v>
      </c>
      <c r="G62" s="16">
        <f t="shared" si="0"/>
        <v>130</v>
      </c>
      <c r="H62" s="9">
        <f t="shared" si="1"/>
        <v>5.4621848739495799E-2</v>
      </c>
      <c r="I62" s="6" t="s">
        <v>29</v>
      </c>
    </row>
    <row r="63" spans="1:9" x14ac:dyDescent="0.25">
      <c r="A63" s="6" t="s">
        <v>1146</v>
      </c>
      <c r="B63" s="6" t="s">
        <v>43</v>
      </c>
      <c r="C63" s="38">
        <v>356187984996814</v>
      </c>
      <c r="D63" s="6" t="s">
        <v>1161</v>
      </c>
      <c r="E63" s="29">
        <v>2510</v>
      </c>
      <c r="F63" s="29">
        <v>2380</v>
      </c>
      <c r="G63" s="16">
        <f t="shared" si="0"/>
        <v>130</v>
      </c>
      <c r="H63" s="9">
        <f t="shared" si="1"/>
        <v>5.4621848739495799E-2</v>
      </c>
      <c r="I63" s="6" t="s">
        <v>29</v>
      </c>
    </row>
    <row r="64" spans="1:9" x14ac:dyDescent="0.25">
      <c r="A64" s="6" t="s">
        <v>1146</v>
      </c>
      <c r="B64" s="6" t="s">
        <v>43</v>
      </c>
      <c r="C64" s="38">
        <v>358135790659777</v>
      </c>
      <c r="D64" s="6" t="s">
        <v>1161</v>
      </c>
      <c r="E64" s="29">
        <v>2510</v>
      </c>
      <c r="F64" s="29">
        <v>2380</v>
      </c>
      <c r="G64" s="16">
        <f t="shared" si="0"/>
        <v>130</v>
      </c>
      <c r="H64" s="9">
        <f t="shared" si="1"/>
        <v>5.4621848739495799E-2</v>
      </c>
      <c r="I64" s="6" t="s">
        <v>29</v>
      </c>
    </row>
    <row r="65" spans="1:9" x14ac:dyDescent="0.25">
      <c r="A65" s="6" t="s">
        <v>1146</v>
      </c>
      <c r="B65" s="6" t="s">
        <v>43</v>
      </c>
      <c r="C65" s="38">
        <v>358135792981187</v>
      </c>
      <c r="D65" s="6" t="s">
        <v>1153</v>
      </c>
      <c r="E65" s="29">
        <v>2500</v>
      </c>
      <c r="F65" s="29">
        <v>2380</v>
      </c>
      <c r="G65" s="16">
        <f t="shared" si="0"/>
        <v>120</v>
      </c>
      <c r="H65" s="9">
        <f t="shared" si="1"/>
        <v>5.0420168067226892E-2</v>
      </c>
      <c r="I65" s="6" t="s">
        <v>29</v>
      </c>
    </row>
    <row r="66" spans="1:9" x14ac:dyDescent="0.25">
      <c r="A66" s="6" t="s">
        <v>1335</v>
      </c>
      <c r="B66" s="6" t="s">
        <v>215</v>
      </c>
      <c r="C66" s="38">
        <v>355832512695849</v>
      </c>
      <c r="D66" s="6" t="s">
        <v>15</v>
      </c>
      <c r="E66" s="29">
        <v>2950</v>
      </c>
      <c r="F66" s="29">
        <v>2650</v>
      </c>
      <c r="G66" s="16">
        <f t="shared" ref="G66:G129" si="2">E66-F66</f>
        <v>300</v>
      </c>
      <c r="H66" s="9">
        <f t="shared" ref="H66:H129" si="3">(E66-F66)/F66</f>
        <v>0.11320754716981132</v>
      </c>
      <c r="I66" s="6" t="s">
        <v>29</v>
      </c>
    </row>
    <row r="67" spans="1:9" x14ac:dyDescent="0.25">
      <c r="A67" s="6" t="s">
        <v>1335</v>
      </c>
      <c r="B67" s="6" t="s">
        <v>33</v>
      </c>
      <c r="C67" s="38">
        <v>350889869652414</v>
      </c>
      <c r="D67" s="6" t="s">
        <v>15</v>
      </c>
      <c r="E67" s="29">
        <v>3300</v>
      </c>
      <c r="F67" s="29">
        <v>3200</v>
      </c>
      <c r="G67" s="16">
        <f t="shared" si="2"/>
        <v>100</v>
      </c>
      <c r="H67" s="9">
        <f t="shared" si="3"/>
        <v>3.125E-2</v>
      </c>
      <c r="I67" s="6" t="s">
        <v>29</v>
      </c>
    </row>
    <row r="68" spans="1:9" x14ac:dyDescent="0.25">
      <c r="A68" s="6" t="s">
        <v>1335</v>
      </c>
      <c r="B68" s="6" t="s">
        <v>33</v>
      </c>
      <c r="C68" s="38">
        <v>355246651890659</v>
      </c>
      <c r="D68" s="6" t="s">
        <v>15</v>
      </c>
      <c r="E68" s="29">
        <v>3300</v>
      </c>
      <c r="F68" s="29">
        <v>3200</v>
      </c>
      <c r="G68" s="16">
        <f t="shared" si="2"/>
        <v>100</v>
      </c>
      <c r="H68" s="9">
        <f t="shared" si="3"/>
        <v>3.125E-2</v>
      </c>
      <c r="I68" s="6" t="s">
        <v>29</v>
      </c>
    </row>
    <row r="69" spans="1:9" x14ac:dyDescent="0.25">
      <c r="A69" s="6" t="s">
        <v>1335</v>
      </c>
      <c r="B69" s="6" t="s">
        <v>33</v>
      </c>
      <c r="C69" s="38">
        <v>356605223104544</v>
      </c>
      <c r="D69" s="6" t="s">
        <v>15</v>
      </c>
      <c r="E69" s="29">
        <v>3300</v>
      </c>
      <c r="F69" s="29">
        <v>3200</v>
      </c>
      <c r="G69" s="16">
        <f t="shared" si="2"/>
        <v>100</v>
      </c>
      <c r="H69" s="9">
        <f t="shared" si="3"/>
        <v>3.125E-2</v>
      </c>
      <c r="I69" s="6" t="s">
        <v>29</v>
      </c>
    </row>
    <row r="70" spans="1:9" x14ac:dyDescent="0.25">
      <c r="A70" s="6" t="s">
        <v>1450</v>
      </c>
      <c r="B70" s="6" t="s">
        <v>100</v>
      </c>
      <c r="C70" s="38">
        <v>351878871583716</v>
      </c>
      <c r="D70" s="6" t="s">
        <v>15</v>
      </c>
      <c r="E70" s="29">
        <v>2000</v>
      </c>
      <c r="F70" s="29">
        <v>1880</v>
      </c>
      <c r="G70" s="16">
        <f t="shared" si="2"/>
        <v>120</v>
      </c>
      <c r="H70" s="9">
        <f t="shared" si="3"/>
        <v>6.3829787234042548E-2</v>
      </c>
      <c r="I70" s="6" t="s">
        <v>29</v>
      </c>
    </row>
    <row r="71" spans="1:9" x14ac:dyDescent="0.25">
      <c r="A71" s="6" t="s">
        <v>1450</v>
      </c>
      <c r="B71" s="6" t="s">
        <v>100</v>
      </c>
      <c r="C71" s="38">
        <v>351878872026194</v>
      </c>
      <c r="D71" s="6" t="s">
        <v>15</v>
      </c>
      <c r="E71" s="29">
        <v>2000</v>
      </c>
      <c r="F71" s="29">
        <v>1880</v>
      </c>
      <c r="G71" s="16">
        <f t="shared" si="2"/>
        <v>120</v>
      </c>
      <c r="H71" s="9">
        <f t="shared" si="3"/>
        <v>6.3829787234042548E-2</v>
      </c>
      <c r="I71" s="6" t="s">
        <v>29</v>
      </c>
    </row>
    <row r="72" spans="1:9" x14ac:dyDescent="0.25">
      <c r="A72" s="6" t="s">
        <v>1450</v>
      </c>
      <c r="B72" s="6" t="s">
        <v>100</v>
      </c>
      <c r="C72" s="38">
        <v>351878872065606</v>
      </c>
      <c r="D72" s="6" t="s">
        <v>15</v>
      </c>
      <c r="E72" s="29">
        <v>2000</v>
      </c>
      <c r="F72" s="29">
        <v>1880</v>
      </c>
      <c r="G72" s="16">
        <f t="shared" si="2"/>
        <v>120</v>
      </c>
      <c r="H72" s="9">
        <f t="shared" si="3"/>
        <v>6.3829787234042548E-2</v>
      </c>
      <c r="I72" s="6" t="s">
        <v>29</v>
      </c>
    </row>
    <row r="73" spans="1:9" x14ac:dyDescent="0.25">
      <c r="A73" s="6" t="s">
        <v>1450</v>
      </c>
      <c r="B73" s="6" t="s">
        <v>100</v>
      </c>
      <c r="C73" s="38">
        <v>351878872070945</v>
      </c>
      <c r="D73" s="6" t="s">
        <v>15</v>
      </c>
      <c r="E73" s="29">
        <v>2000</v>
      </c>
      <c r="F73" s="29">
        <v>1880</v>
      </c>
      <c r="G73" s="16">
        <f t="shared" si="2"/>
        <v>120</v>
      </c>
      <c r="H73" s="9">
        <f t="shared" si="3"/>
        <v>6.3829787234042548E-2</v>
      </c>
      <c r="I73" s="6" t="s">
        <v>29</v>
      </c>
    </row>
    <row r="74" spans="1:9" x14ac:dyDescent="0.25">
      <c r="A74" s="6" t="s">
        <v>1450</v>
      </c>
      <c r="B74" s="6" t="s">
        <v>100</v>
      </c>
      <c r="C74" s="38">
        <v>351878872135193</v>
      </c>
      <c r="D74" s="6" t="s">
        <v>15</v>
      </c>
      <c r="E74" s="29">
        <v>2000</v>
      </c>
      <c r="F74" s="29">
        <v>1880</v>
      </c>
      <c r="G74" s="16">
        <f t="shared" si="2"/>
        <v>120</v>
      </c>
      <c r="H74" s="9">
        <f t="shared" si="3"/>
        <v>6.3829787234042548E-2</v>
      </c>
      <c r="I74" s="6" t="s">
        <v>29</v>
      </c>
    </row>
    <row r="75" spans="1:9" x14ac:dyDescent="0.25">
      <c r="A75" s="6" t="s">
        <v>1450</v>
      </c>
      <c r="B75" s="6" t="s">
        <v>100</v>
      </c>
      <c r="C75" s="38">
        <v>351878872298041</v>
      </c>
      <c r="D75" s="6" t="s">
        <v>15</v>
      </c>
      <c r="E75" s="29">
        <v>2000</v>
      </c>
      <c r="F75" s="29">
        <v>1880</v>
      </c>
      <c r="G75" s="16">
        <f t="shared" si="2"/>
        <v>120</v>
      </c>
      <c r="H75" s="9">
        <f t="shared" si="3"/>
        <v>6.3829787234042548E-2</v>
      </c>
      <c r="I75" s="6" t="s">
        <v>29</v>
      </c>
    </row>
    <row r="76" spans="1:9" x14ac:dyDescent="0.25">
      <c r="A76" s="6" t="s">
        <v>1450</v>
      </c>
      <c r="B76" s="6" t="s">
        <v>100</v>
      </c>
      <c r="C76" s="38">
        <v>351878872313915</v>
      </c>
      <c r="D76" s="6" t="s">
        <v>15</v>
      </c>
      <c r="E76" s="29">
        <v>2000</v>
      </c>
      <c r="F76" s="29">
        <v>1880</v>
      </c>
      <c r="G76" s="16">
        <f t="shared" si="2"/>
        <v>120</v>
      </c>
      <c r="H76" s="9">
        <f t="shared" si="3"/>
        <v>6.3829787234042548E-2</v>
      </c>
      <c r="I76" s="6" t="s">
        <v>29</v>
      </c>
    </row>
    <row r="77" spans="1:9" x14ac:dyDescent="0.25">
      <c r="A77" s="26" t="s">
        <v>1450</v>
      </c>
      <c r="B77" s="26" t="s">
        <v>1458</v>
      </c>
      <c r="C77" s="37">
        <v>353478903515030</v>
      </c>
      <c r="D77" s="26" t="s">
        <v>15</v>
      </c>
      <c r="E77" s="27">
        <v>3050</v>
      </c>
      <c r="F77" s="27">
        <v>3250</v>
      </c>
      <c r="G77" s="27">
        <f t="shared" si="2"/>
        <v>-200</v>
      </c>
      <c r="H77" s="28">
        <f t="shared" si="3"/>
        <v>-6.1538461538461542E-2</v>
      </c>
      <c r="I77" s="26" t="s">
        <v>29</v>
      </c>
    </row>
    <row r="78" spans="1:9" x14ac:dyDescent="0.25">
      <c r="A78" s="7" t="s">
        <v>1618</v>
      </c>
      <c r="B78" s="7" t="s">
        <v>215</v>
      </c>
      <c r="C78" s="39">
        <v>352190328154797</v>
      </c>
      <c r="D78" s="7" t="s">
        <v>15</v>
      </c>
      <c r="E78" s="16">
        <v>3000</v>
      </c>
      <c r="F78" s="16">
        <v>2850</v>
      </c>
      <c r="G78" s="16">
        <f t="shared" si="2"/>
        <v>150</v>
      </c>
      <c r="H78" s="9">
        <f t="shared" si="3"/>
        <v>5.2631578947368418E-2</v>
      </c>
      <c r="I78" s="7" t="s">
        <v>29</v>
      </c>
    </row>
    <row r="79" spans="1:9" x14ac:dyDescent="0.25">
      <c r="A79" s="7" t="s">
        <v>1618</v>
      </c>
      <c r="B79" s="7" t="s">
        <v>215</v>
      </c>
      <c r="C79" s="39">
        <v>352190328534956</v>
      </c>
      <c r="D79" s="7" t="s">
        <v>15</v>
      </c>
      <c r="E79" s="16">
        <v>3000</v>
      </c>
      <c r="F79" s="16">
        <v>2850</v>
      </c>
      <c r="G79" s="16">
        <f t="shared" si="2"/>
        <v>150</v>
      </c>
      <c r="H79" s="9">
        <f t="shared" si="3"/>
        <v>5.2631578947368418E-2</v>
      </c>
      <c r="I79" s="7" t="s">
        <v>29</v>
      </c>
    </row>
    <row r="80" spans="1:9" x14ac:dyDescent="0.25">
      <c r="A80" s="6" t="s">
        <v>1618</v>
      </c>
      <c r="B80" s="6" t="s">
        <v>215</v>
      </c>
      <c r="C80" s="38">
        <v>355832512664332</v>
      </c>
      <c r="D80" s="6" t="s">
        <v>15</v>
      </c>
      <c r="E80" s="29">
        <v>2900</v>
      </c>
      <c r="F80" s="29">
        <v>2700</v>
      </c>
      <c r="G80" s="16">
        <f t="shared" si="2"/>
        <v>200</v>
      </c>
      <c r="H80" s="9">
        <f t="shared" si="3"/>
        <v>7.407407407407407E-2</v>
      </c>
      <c r="I80" s="6" t="s">
        <v>29</v>
      </c>
    </row>
    <row r="81" spans="1:9" x14ac:dyDescent="0.25">
      <c r="A81" s="6" t="s">
        <v>1618</v>
      </c>
      <c r="B81" s="6" t="s">
        <v>215</v>
      </c>
      <c r="C81" s="38">
        <v>355832513724234</v>
      </c>
      <c r="D81" s="6" t="s">
        <v>15</v>
      </c>
      <c r="E81" s="29">
        <v>3100</v>
      </c>
      <c r="F81" s="29">
        <v>3000</v>
      </c>
      <c r="G81" s="16">
        <f t="shared" si="2"/>
        <v>100</v>
      </c>
      <c r="H81" s="9">
        <f t="shared" si="3"/>
        <v>3.3333333333333333E-2</v>
      </c>
      <c r="I81" s="6" t="s">
        <v>29</v>
      </c>
    </row>
    <row r="82" spans="1:9" x14ac:dyDescent="0.25">
      <c r="A82" s="6" t="s">
        <v>1618</v>
      </c>
      <c r="B82" s="6" t="s">
        <v>215</v>
      </c>
      <c r="C82" s="38">
        <v>355832516130116</v>
      </c>
      <c r="D82" s="6" t="s">
        <v>15</v>
      </c>
      <c r="E82" s="29">
        <v>2950</v>
      </c>
      <c r="F82" s="29">
        <v>2700</v>
      </c>
      <c r="G82" s="16">
        <f t="shared" si="2"/>
        <v>250</v>
      </c>
      <c r="H82" s="9">
        <f t="shared" si="3"/>
        <v>9.2592592592592587E-2</v>
      </c>
      <c r="I82" s="6" t="s">
        <v>29</v>
      </c>
    </row>
    <row r="83" spans="1:9" x14ac:dyDescent="0.25">
      <c r="A83" s="6" t="s">
        <v>1618</v>
      </c>
      <c r="B83" s="6" t="s">
        <v>215</v>
      </c>
      <c r="C83" s="38">
        <v>355832516958219</v>
      </c>
      <c r="D83" s="6" t="s">
        <v>15</v>
      </c>
      <c r="E83" s="29">
        <v>2900</v>
      </c>
      <c r="F83" s="29">
        <v>2700</v>
      </c>
      <c r="G83" s="16">
        <f t="shared" si="2"/>
        <v>200</v>
      </c>
      <c r="H83" s="9">
        <f t="shared" si="3"/>
        <v>7.407407407407407E-2</v>
      </c>
      <c r="I83" s="6" t="s">
        <v>29</v>
      </c>
    </row>
    <row r="84" spans="1:9" x14ac:dyDescent="0.25">
      <c r="A84" s="6" t="s">
        <v>1618</v>
      </c>
      <c r="B84" s="6" t="s">
        <v>215</v>
      </c>
      <c r="C84" s="38">
        <v>359477632806128</v>
      </c>
      <c r="D84" s="6" t="s">
        <v>15</v>
      </c>
      <c r="E84" s="29">
        <v>3100</v>
      </c>
      <c r="F84" s="29">
        <v>3000</v>
      </c>
      <c r="G84" s="16">
        <f t="shared" si="2"/>
        <v>100</v>
      </c>
      <c r="H84" s="9">
        <f t="shared" si="3"/>
        <v>3.3333333333333333E-2</v>
      </c>
      <c r="I84" s="6" t="s">
        <v>29</v>
      </c>
    </row>
    <row r="85" spans="1:9" x14ac:dyDescent="0.25">
      <c r="A85" s="6" t="s">
        <v>1647</v>
      </c>
      <c r="B85" s="6" t="s">
        <v>215</v>
      </c>
      <c r="C85" s="38">
        <v>355832516469084</v>
      </c>
      <c r="D85" s="6" t="s">
        <v>15</v>
      </c>
      <c r="E85" s="29">
        <v>2950</v>
      </c>
      <c r="F85" s="29">
        <v>2650</v>
      </c>
      <c r="G85" s="16">
        <f t="shared" si="2"/>
        <v>300</v>
      </c>
      <c r="H85" s="9">
        <f t="shared" si="3"/>
        <v>0.11320754716981132</v>
      </c>
      <c r="I85" s="6" t="s">
        <v>29</v>
      </c>
    </row>
    <row r="86" spans="1:9" x14ac:dyDescent="0.25">
      <c r="A86" s="6" t="s">
        <v>1649</v>
      </c>
      <c r="B86" s="6" t="s">
        <v>43</v>
      </c>
      <c r="C86" s="38">
        <v>356187984887690</v>
      </c>
      <c r="D86" s="6" t="s">
        <v>1151</v>
      </c>
      <c r="E86" s="29">
        <v>2480</v>
      </c>
      <c r="F86" s="29">
        <v>2380</v>
      </c>
      <c r="G86" s="16">
        <f t="shared" si="2"/>
        <v>100</v>
      </c>
      <c r="H86" s="9">
        <f t="shared" si="3"/>
        <v>4.2016806722689079E-2</v>
      </c>
      <c r="I86" s="6" t="s">
        <v>29</v>
      </c>
    </row>
    <row r="87" spans="1:9" x14ac:dyDescent="0.25">
      <c r="A87" s="6" t="s">
        <v>1649</v>
      </c>
      <c r="B87" s="6" t="s">
        <v>43</v>
      </c>
      <c r="C87" s="38">
        <v>358135792802425</v>
      </c>
      <c r="D87" s="6" t="s">
        <v>1153</v>
      </c>
      <c r="E87" s="29">
        <v>2480</v>
      </c>
      <c r="F87" s="29">
        <v>2380</v>
      </c>
      <c r="G87" s="16">
        <f t="shared" si="2"/>
        <v>100</v>
      </c>
      <c r="H87" s="9">
        <f t="shared" si="3"/>
        <v>4.2016806722689079E-2</v>
      </c>
      <c r="I87" s="6" t="s">
        <v>29</v>
      </c>
    </row>
    <row r="88" spans="1:9" x14ac:dyDescent="0.25">
      <c r="A88" s="6" t="s">
        <v>1649</v>
      </c>
      <c r="B88" s="6" t="s">
        <v>100</v>
      </c>
      <c r="C88" s="38">
        <v>351878871545277</v>
      </c>
      <c r="D88" s="6" t="s">
        <v>15</v>
      </c>
      <c r="E88" s="29">
        <v>1920</v>
      </c>
      <c r="F88" s="29">
        <v>1880</v>
      </c>
      <c r="G88" s="16">
        <f t="shared" si="2"/>
        <v>40</v>
      </c>
      <c r="H88" s="9">
        <f t="shared" si="3"/>
        <v>2.1276595744680851E-2</v>
      </c>
      <c r="I88" s="6" t="s">
        <v>29</v>
      </c>
    </row>
    <row r="89" spans="1:9" x14ac:dyDescent="0.25">
      <c r="A89" s="6" t="s">
        <v>1649</v>
      </c>
      <c r="B89" s="6" t="s">
        <v>100</v>
      </c>
      <c r="C89" s="38">
        <v>351878872082296</v>
      </c>
      <c r="D89" s="6" t="s">
        <v>15</v>
      </c>
      <c r="E89" s="29">
        <v>1920</v>
      </c>
      <c r="F89" s="29">
        <v>1880</v>
      </c>
      <c r="G89" s="16">
        <f t="shared" si="2"/>
        <v>40</v>
      </c>
      <c r="H89" s="9">
        <f t="shared" si="3"/>
        <v>2.1276595744680851E-2</v>
      </c>
      <c r="I89" s="6" t="s">
        <v>29</v>
      </c>
    </row>
    <row r="90" spans="1:9" x14ac:dyDescent="0.25">
      <c r="A90" s="6" t="s">
        <v>1649</v>
      </c>
      <c r="B90" s="6" t="s">
        <v>100</v>
      </c>
      <c r="C90" s="38">
        <v>351878872148907</v>
      </c>
      <c r="D90" s="6" t="s">
        <v>15</v>
      </c>
      <c r="E90" s="29">
        <v>1920</v>
      </c>
      <c r="F90" s="29">
        <v>1880</v>
      </c>
      <c r="G90" s="16">
        <f t="shared" si="2"/>
        <v>40</v>
      </c>
      <c r="H90" s="9">
        <f t="shared" si="3"/>
        <v>2.1276595744680851E-2</v>
      </c>
      <c r="I90" s="6" t="s">
        <v>29</v>
      </c>
    </row>
    <row r="91" spans="1:9" x14ac:dyDescent="0.25">
      <c r="A91" s="6" t="s">
        <v>1649</v>
      </c>
      <c r="B91" s="6" t="s">
        <v>100</v>
      </c>
      <c r="C91" s="38">
        <v>351878872195262</v>
      </c>
      <c r="D91" s="6" t="s">
        <v>15</v>
      </c>
      <c r="E91" s="29">
        <v>1920</v>
      </c>
      <c r="F91" s="29">
        <v>1880</v>
      </c>
      <c r="G91" s="16">
        <f t="shared" si="2"/>
        <v>40</v>
      </c>
      <c r="H91" s="9">
        <f t="shared" si="3"/>
        <v>2.1276595744680851E-2</v>
      </c>
      <c r="I91" s="6" t="s">
        <v>29</v>
      </c>
    </row>
    <row r="92" spans="1:9" x14ac:dyDescent="0.25">
      <c r="A92" s="6" t="s">
        <v>1649</v>
      </c>
      <c r="B92" s="6" t="s">
        <v>100</v>
      </c>
      <c r="C92" s="38">
        <v>351878872230002</v>
      </c>
      <c r="D92" s="6" t="s">
        <v>15</v>
      </c>
      <c r="E92" s="29">
        <v>1920</v>
      </c>
      <c r="F92" s="29">
        <v>1880</v>
      </c>
      <c r="G92" s="16">
        <f t="shared" si="2"/>
        <v>40</v>
      </c>
      <c r="H92" s="9">
        <f t="shared" si="3"/>
        <v>2.1276595744680851E-2</v>
      </c>
      <c r="I92" s="6" t="s">
        <v>29</v>
      </c>
    </row>
    <row r="93" spans="1:9" x14ac:dyDescent="0.25">
      <c r="A93" s="6" t="s">
        <v>1649</v>
      </c>
      <c r="B93" s="6" t="s">
        <v>100</v>
      </c>
      <c r="C93" s="38">
        <v>351878872239300</v>
      </c>
      <c r="D93" s="6" t="s">
        <v>15</v>
      </c>
      <c r="E93" s="29">
        <v>1920</v>
      </c>
      <c r="F93" s="29">
        <v>1880</v>
      </c>
      <c r="G93" s="16">
        <f t="shared" si="2"/>
        <v>40</v>
      </c>
      <c r="H93" s="9">
        <f t="shared" si="3"/>
        <v>2.1276595744680851E-2</v>
      </c>
      <c r="I93" s="6" t="s">
        <v>29</v>
      </c>
    </row>
    <row r="94" spans="1:9" x14ac:dyDescent="0.25">
      <c r="A94" s="6" t="s">
        <v>1649</v>
      </c>
      <c r="B94" s="6" t="s">
        <v>100</v>
      </c>
      <c r="C94" s="38">
        <v>351878872247196</v>
      </c>
      <c r="D94" s="6" t="s">
        <v>15</v>
      </c>
      <c r="E94" s="29">
        <v>1920</v>
      </c>
      <c r="F94" s="29">
        <v>1880</v>
      </c>
      <c r="G94" s="16">
        <f t="shared" si="2"/>
        <v>40</v>
      </c>
      <c r="H94" s="9">
        <f t="shared" si="3"/>
        <v>2.1276595744680851E-2</v>
      </c>
      <c r="I94" s="6" t="s">
        <v>29</v>
      </c>
    </row>
    <row r="95" spans="1:9" x14ac:dyDescent="0.25">
      <c r="A95" s="6" t="s">
        <v>1649</v>
      </c>
      <c r="B95" s="6" t="s">
        <v>100</v>
      </c>
      <c r="C95" s="38">
        <v>351878872364561</v>
      </c>
      <c r="D95" s="6" t="s">
        <v>15</v>
      </c>
      <c r="E95" s="29">
        <v>1920</v>
      </c>
      <c r="F95" s="29">
        <v>1880</v>
      </c>
      <c r="G95" s="16">
        <f t="shared" si="2"/>
        <v>40</v>
      </c>
      <c r="H95" s="9">
        <f t="shared" si="3"/>
        <v>2.1276595744680851E-2</v>
      </c>
      <c r="I95" s="6" t="s">
        <v>29</v>
      </c>
    </row>
    <row r="96" spans="1:9" x14ac:dyDescent="0.25">
      <c r="A96" s="6" t="s">
        <v>1649</v>
      </c>
      <c r="B96" s="6" t="s">
        <v>1686</v>
      </c>
      <c r="C96" s="38">
        <v>351878870695198</v>
      </c>
      <c r="D96" s="6" t="s">
        <v>15</v>
      </c>
      <c r="E96" s="29">
        <v>2050</v>
      </c>
      <c r="F96" s="29">
        <v>1880</v>
      </c>
      <c r="G96" s="16">
        <f t="shared" si="2"/>
        <v>170</v>
      </c>
      <c r="H96" s="9">
        <f t="shared" si="3"/>
        <v>9.0425531914893623E-2</v>
      </c>
      <c r="I96" s="6" t="s">
        <v>29</v>
      </c>
    </row>
    <row r="97" spans="1:9" x14ac:dyDescent="0.25">
      <c r="A97" s="6" t="s">
        <v>1649</v>
      </c>
      <c r="B97" s="6" t="s">
        <v>1686</v>
      </c>
      <c r="C97" s="38">
        <v>351878872166503</v>
      </c>
      <c r="D97" s="6" t="s">
        <v>15</v>
      </c>
      <c r="E97" s="29">
        <v>2050</v>
      </c>
      <c r="F97" s="29">
        <v>1980</v>
      </c>
      <c r="G97" s="16">
        <f t="shared" si="2"/>
        <v>70</v>
      </c>
      <c r="H97" s="9">
        <f t="shared" si="3"/>
        <v>3.5353535353535352E-2</v>
      </c>
      <c r="I97" s="6" t="s">
        <v>29</v>
      </c>
    </row>
    <row r="98" spans="1:9" x14ac:dyDescent="0.25">
      <c r="A98" s="6" t="s">
        <v>1649</v>
      </c>
      <c r="B98" s="6" t="s">
        <v>1686</v>
      </c>
      <c r="C98" s="38">
        <v>351878872462159</v>
      </c>
      <c r="D98" s="6" t="s">
        <v>15</v>
      </c>
      <c r="E98" s="29">
        <v>2050</v>
      </c>
      <c r="F98" s="29">
        <v>1980</v>
      </c>
      <c r="G98" s="16">
        <f t="shared" si="2"/>
        <v>70</v>
      </c>
      <c r="H98" s="9">
        <f t="shared" si="3"/>
        <v>3.5353535353535352E-2</v>
      </c>
      <c r="I98" s="6" t="s">
        <v>29</v>
      </c>
    </row>
    <row r="99" spans="1:9" x14ac:dyDescent="0.25">
      <c r="A99" s="26" t="s">
        <v>1649</v>
      </c>
      <c r="B99" s="26" t="s">
        <v>1147</v>
      </c>
      <c r="C99" s="37">
        <v>353660340926249</v>
      </c>
      <c r="D99" s="26" t="s">
        <v>15</v>
      </c>
      <c r="E99" s="27">
        <v>850</v>
      </c>
      <c r="F99" s="27">
        <v>900</v>
      </c>
      <c r="G99" s="26">
        <f t="shared" si="2"/>
        <v>-50</v>
      </c>
      <c r="H99" s="28">
        <f t="shared" si="3"/>
        <v>-5.5555555555555552E-2</v>
      </c>
      <c r="I99" s="26" t="s">
        <v>29</v>
      </c>
    </row>
    <row r="100" spans="1:9" x14ac:dyDescent="0.25">
      <c r="A100" s="6" t="s">
        <v>1649</v>
      </c>
      <c r="B100" s="6" t="s">
        <v>43</v>
      </c>
      <c r="C100" s="38">
        <v>353938645582275</v>
      </c>
      <c r="D100" s="6" t="s">
        <v>1667</v>
      </c>
      <c r="E100" s="29">
        <v>2480</v>
      </c>
      <c r="F100" s="29">
        <v>2280</v>
      </c>
      <c r="G100" s="16">
        <f t="shared" si="2"/>
        <v>200</v>
      </c>
      <c r="H100" s="9">
        <f t="shared" si="3"/>
        <v>8.771929824561403E-2</v>
      </c>
      <c r="I100" s="6" t="s">
        <v>29</v>
      </c>
    </row>
    <row r="101" spans="1:9" x14ac:dyDescent="0.25">
      <c r="A101" s="6" t="s">
        <v>1649</v>
      </c>
      <c r="B101" s="6" t="s">
        <v>43</v>
      </c>
      <c r="C101" s="38">
        <v>356187982394590</v>
      </c>
      <c r="D101" s="6" t="s">
        <v>1153</v>
      </c>
      <c r="E101" s="29">
        <v>2480</v>
      </c>
      <c r="F101" s="29">
        <v>2380</v>
      </c>
      <c r="G101" s="16">
        <f t="shared" si="2"/>
        <v>100</v>
      </c>
      <c r="H101" s="9">
        <f t="shared" si="3"/>
        <v>4.2016806722689079E-2</v>
      </c>
      <c r="I101" s="6" t="s">
        <v>29</v>
      </c>
    </row>
    <row r="102" spans="1:9" x14ac:dyDescent="0.25">
      <c r="A102" s="6" t="s">
        <v>1649</v>
      </c>
      <c r="B102" s="6" t="s">
        <v>43</v>
      </c>
      <c r="C102" s="38">
        <v>356187982713435</v>
      </c>
      <c r="D102" s="6" t="s">
        <v>1151</v>
      </c>
      <c r="E102" s="29">
        <v>2480</v>
      </c>
      <c r="F102" s="29">
        <v>2380</v>
      </c>
      <c r="G102" s="16">
        <f t="shared" si="2"/>
        <v>100</v>
      </c>
      <c r="H102" s="9">
        <f t="shared" si="3"/>
        <v>4.2016806722689079E-2</v>
      </c>
      <c r="I102" s="6" t="s">
        <v>29</v>
      </c>
    </row>
    <row r="103" spans="1:9" x14ac:dyDescent="0.25">
      <c r="A103" s="7" t="s">
        <v>1649</v>
      </c>
      <c r="B103" s="7" t="s">
        <v>43</v>
      </c>
      <c r="C103" s="39">
        <v>356187982825569</v>
      </c>
      <c r="D103" s="7" t="s">
        <v>1157</v>
      </c>
      <c r="E103" s="16">
        <v>2480</v>
      </c>
      <c r="F103" s="16">
        <v>2380</v>
      </c>
      <c r="G103" s="7">
        <f t="shared" si="2"/>
        <v>100</v>
      </c>
      <c r="H103" s="9">
        <f t="shared" si="3"/>
        <v>4.2016806722689079E-2</v>
      </c>
      <c r="I103" s="7" t="s">
        <v>29</v>
      </c>
    </row>
    <row r="104" spans="1:9" x14ac:dyDescent="0.25">
      <c r="A104" s="26" t="s">
        <v>1649</v>
      </c>
      <c r="B104" s="26" t="s">
        <v>43</v>
      </c>
      <c r="C104" s="37">
        <v>356187983162202</v>
      </c>
      <c r="D104" s="26" t="s">
        <v>1151</v>
      </c>
      <c r="E104" s="27">
        <v>2200</v>
      </c>
      <c r="F104" s="27">
        <v>2380</v>
      </c>
      <c r="G104" s="26">
        <f t="shared" si="2"/>
        <v>-180</v>
      </c>
      <c r="H104" s="28">
        <f t="shared" si="3"/>
        <v>-7.5630252100840331E-2</v>
      </c>
      <c r="I104" s="26" t="s">
        <v>29</v>
      </c>
    </row>
    <row r="105" spans="1:9" x14ac:dyDescent="0.25">
      <c r="A105" s="6" t="s">
        <v>1649</v>
      </c>
      <c r="B105" s="6" t="s">
        <v>43</v>
      </c>
      <c r="C105" s="38">
        <v>356187983240560</v>
      </c>
      <c r="D105" s="6" t="s">
        <v>1151</v>
      </c>
      <c r="E105" s="29">
        <v>2480</v>
      </c>
      <c r="F105" s="29">
        <v>2380</v>
      </c>
      <c r="G105" s="16">
        <f t="shared" si="2"/>
        <v>100</v>
      </c>
      <c r="H105" s="9">
        <f t="shared" si="3"/>
        <v>4.2016806722689079E-2</v>
      </c>
      <c r="I105" s="6" t="s">
        <v>29</v>
      </c>
    </row>
    <row r="106" spans="1:9" x14ac:dyDescent="0.25">
      <c r="A106" s="6" t="s">
        <v>1649</v>
      </c>
      <c r="B106" s="6" t="s">
        <v>43</v>
      </c>
      <c r="C106" s="38">
        <v>356187983506895</v>
      </c>
      <c r="D106" s="6" t="s">
        <v>1151</v>
      </c>
      <c r="E106" s="29">
        <v>2480</v>
      </c>
      <c r="F106" s="29">
        <v>2380</v>
      </c>
      <c r="G106" s="16">
        <f t="shared" si="2"/>
        <v>100</v>
      </c>
      <c r="H106" s="9">
        <f t="shared" si="3"/>
        <v>4.2016806722689079E-2</v>
      </c>
      <c r="I106" s="6" t="s">
        <v>29</v>
      </c>
    </row>
    <row r="107" spans="1:9" x14ac:dyDescent="0.25">
      <c r="A107" s="6" t="s">
        <v>1649</v>
      </c>
      <c r="B107" s="6" t="s">
        <v>43</v>
      </c>
      <c r="C107" s="38">
        <v>356187984771530</v>
      </c>
      <c r="D107" s="6" t="s">
        <v>1153</v>
      </c>
      <c r="E107" s="29">
        <v>2480</v>
      </c>
      <c r="F107" s="29">
        <v>2380</v>
      </c>
      <c r="G107" s="16">
        <f t="shared" si="2"/>
        <v>100</v>
      </c>
      <c r="H107" s="9">
        <f t="shared" si="3"/>
        <v>4.2016806722689079E-2</v>
      </c>
      <c r="I107" s="6" t="s">
        <v>29</v>
      </c>
    </row>
    <row r="108" spans="1:9" x14ac:dyDescent="0.25">
      <c r="A108" s="6" t="s">
        <v>1649</v>
      </c>
      <c r="B108" s="6" t="s">
        <v>215</v>
      </c>
      <c r="C108" s="38">
        <v>351317527529104</v>
      </c>
      <c r="D108" s="6" t="s">
        <v>15</v>
      </c>
      <c r="E108" s="29">
        <v>2900</v>
      </c>
      <c r="F108" s="29">
        <v>2650</v>
      </c>
      <c r="G108" s="16">
        <f t="shared" si="2"/>
        <v>250</v>
      </c>
      <c r="H108" s="9">
        <f t="shared" si="3"/>
        <v>9.4339622641509441E-2</v>
      </c>
      <c r="I108" s="6" t="s">
        <v>29</v>
      </c>
    </row>
    <row r="109" spans="1:9" x14ac:dyDescent="0.25">
      <c r="A109" s="6" t="s">
        <v>1649</v>
      </c>
      <c r="B109" s="6" t="s">
        <v>215</v>
      </c>
      <c r="C109" s="38">
        <v>352190320080172</v>
      </c>
      <c r="D109" s="6" t="s">
        <v>15</v>
      </c>
      <c r="E109" s="29">
        <v>3000</v>
      </c>
      <c r="F109" s="29">
        <v>2850</v>
      </c>
      <c r="G109" s="16">
        <f t="shared" si="2"/>
        <v>150</v>
      </c>
      <c r="H109" s="9">
        <f t="shared" si="3"/>
        <v>5.2631578947368418E-2</v>
      </c>
      <c r="I109" s="6" t="s">
        <v>29</v>
      </c>
    </row>
    <row r="110" spans="1:9" x14ac:dyDescent="0.25">
      <c r="A110" s="7" t="s">
        <v>1649</v>
      </c>
      <c r="B110" s="7" t="s">
        <v>215</v>
      </c>
      <c r="C110" s="39">
        <v>355079360622984</v>
      </c>
      <c r="D110" s="7" t="s">
        <v>15</v>
      </c>
      <c r="E110" s="16">
        <v>3100</v>
      </c>
      <c r="F110" s="16">
        <v>3015</v>
      </c>
      <c r="G110" s="16">
        <f t="shared" si="2"/>
        <v>85</v>
      </c>
      <c r="H110" s="9">
        <f t="shared" si="3"/>
        <v>2.8192371475953566E-2</v>
      </c>
      <c r="I110" s="7" t="s">
        <v>29</v>
      </c>
    </row>
    <row r="111" spans="1:9" x14ac:dyDescent="0.25">
      <c r="A111" s="7" t="s">
        <v>1649</v>
      </c>
      <c r="B111" s="7" t="s">
        <v>215</v>
      </c>
      <c r="C111" s="39">
        <v>355832510336826</v>
      </c>
      <c r="D111" s="7" t="s">
        <v>15</v>
      </c>
      <c r="E111" s="16">
        <v>3100</v>
      </c>
      <c r="F111" s="16">
        <v>3015</v>
      </c>
      <c r="G111" s="16">
        <f t="shared" si="2"/>
        <v>85</v>
      </c>
      <c r="H111" s="9">
        <f t="shared" si="3"/>
        <v>2.8192371475953566E-2</v>
      </c>
      <c r="I111" s="7" t="s">
        <v>29</v>
      </c>
    </row>
    <row r="112" spans="1:9" x14ac:dyDescent="0.25">
      <c r="A112" s="7" t="s">
        <v>1649</v>
      </c>
      <c r="B112" s="7" t="s">
        <v>215</v>
      </c>
      <c r="C112" s="39">
        <v>355832512956787</v>
      </c>
      <c r="D112" s="7" t="s">
        <v>15</v>
      </c>
      <c r="E112" s="16">
        <v>2900</v>
      </c>
      <c r="F112" s="16">
        <v>2700</v>
      </c>
      <c r="G112" s="16">
        <f t="shared" si="2"/>
        <v>200</v>
      </c>
      <c r="H112" s="9">
        <f t="shared" si="3"/>
        <v>7.407407407407407E-2</v>
      </c>
      <c r="I112" s="7" t="s">
        <v>29</v>
      </c>
    </row>
    <row r="113" spans="1:9" x14ac:dyDescent="0.25">
      <c r="A113" s="7" t="s">
        <v>1649</v>
      </c>
      <c r="B113" s="7" t="s">
        <v>215</v>
      </c>
      <c r="C113" s="39">
        <v>357254470870983</v>
      </c>
      <c r="D113" s="7" t="s">
        <v>1956</v>
      </c>
      <c r="E113" s="16">
        <v>2860</v>
      </c>
      <c r="F113" s="16">
        <v>2600</v>
      </c>
      <c r="G113" s="16">
        <f t="shared" si="2"/>
        <v>260</v>
      </c>
      <c r="H113" s="9">
        <f t="shared" si="3"/>
        <v>0.1</v>
      </c>
      <c r="I113" s="7" t="s">
        <v>29</v>
      </c>
    </row>
    <row r="114" spans="1:9" x14ac:dyDescent="0.25">
      <c r="A114" s="7" t="s">
        <v>1649</v>
      </c>
      <c r="B114" s="7" t="s">
        <v>215</v>
      </c>
      <c r="C114" s="39">
        <v>359477635750687</v>
      </c>
      <c r="D114" s="7" t="s">
        <v>15</v>
      </c>
      <c r="E114" s="16">
        <v>3100</v>
      </c>
      <c r="F114" s="16">
        <v>3050</v>
      </c>
      <c r="G114" s="16">
        <f t="shared" si="2"/>
        <v>50</v>
      </c>
      <c r="H114" s="9">
        <f t="shared" si="3"/>
        <v>1.6393442622950821E-2</v>
      </c>
      <c r="I114" s="7" t="s">
        <v>29</v>
      </c>
    </row>
    <row r="115" spans="1:9" x14ac:dyDescent="0.25">
      <c r="A115" s="7" t="s">
        <v>1649</v>
      </c>
      <c r="B115" s="7" t="s">
        <v>33</v>
      </c>
      <c r="C115" s="39">
        <v>350599863966187</v>
      </c>
      <c r="D115" s="7" t="s">
        <v>15</v>
      </c>
      <c r="E115" s="16">
        <v>3280</v>
      </c>
      <c r="F115" s="16">
        <v>3200</v>
      </c>
      <c r="G115" s="16">
        <f t="shared" si="2"/>
        <v>80</v>
      </c>
      <c r="H115" s="9">
        <f t="shared" si="3"/>
        <v>2.5000000000000001E-2</v>
      </c>
      <c r="I115" s="7" t="s">
        <v>29</v>
      </c>
    </row>
    <row r="116" spans="1:9" x14ac:dyDescent="0.25">
      <c r="A116" s="7" t="s">
        <v>1649</v>
      </c>
      <c r="B116" s="7" t="s">
        <v>33</v>
      </c>
      <c r="C116" s="39">
        <v>350599866170662</v>
      </c>
      <c r="D116" s="7" t="s">
        <v>15</v>
      </c>
      <c r="E116" s="16">
        <v>3230</v>
      </c>
      <c r="F116" s="16">
        <v>3200</v>
      </c>
      <c r="G116" s="16">
        <f t="shared" si="2"/>
        <v>30</v>
      </c>
      <c r="H116" s="9">
        <f t="shared" si="3"/>
        <v>9.3749999999999997E-3</v>
      </c>
      <c r="I116" s="7" t="s">
        <v>29</v>
      </c>
    </row>
    <row r="117" spans="1:9" x14ac:dyDescent="0.25">
      <c r="A117" s="7" t="s">
        <v>1649</v>
      </c>
      <c r="B117" s="7" t="s">
        <v>33</v>
      </c>
      <c r="C117" s="39">
        <v>355246654779214</v>
      </c>
      <c r="D117" s="7" t="s">
        <v>15</v>
      </c>
      <c r="E117" s="16">
        <v>3700</v>
      </c>
      <c r="F117" s="16">
        <v>3446.4</v>
      </c>
      <c r="G117" s="16">
        <f t="shared" si="2"/>
        <v>253.59999999999991</v>
      </c>
      <c r="H117" s="9">
        <f t="shared" si="3"/>
        <v>7.3584029712163393E-2</v>
      </c>
      <c r="I117" s="7" t="s">
        <v>29</v>
      </c>
    </row>
    <row r="118" spans="1:9" x14ac:dyDescent="0.25">
      <c r="A118" s="6" t="s">
        <v>1649</v>
      </c>
      <c r="B118" s="6" t="s">
        <v>33</v>
      </c>
      <c r="C118" s="38">
        <v>355246655365252</v>
      </c>
      <c r="D118" s="6" t="s">
        <v>15</v>
      </c>
      <c r="E118" s="29">
        <v>3230</v>
      </c>
      <c r="F118" s="29">
        <v>3200</v>
      </c>
      <c r="G118" s="16">
        <f t="shared" si="2"/>
        <v>30</v>
      </c>
      <c r="H118" s="9">
        <f t="shared" si="3"/>
        <v>9.3749999999999997E-3</v>
      </c>
      <c r="I118" s="6" t="s">
        <v>29</v>
      </c>
    </row>
    <row r="119" spans="1:9" x14ac:dyDescent="0.25">
      <c r="A119" s="6" t="s">
        <v>1649</v>
      </c>
      <c r="B119" s="6" t="s">
        <v>33</v>
      </c>
      <c r="C119" s="38">
        <v>355246657858320</v>
      </c>
      <c r="D119" s="6" t="s">
        <v>15</v>
      </c>
      <c r="E119" s="29">
        <v>3500</v>
      </c>
      <c r="F119" s="29">
        <v>3500</v>
      </c>
      <c r="G119" s="16">
        <f t="shared" si="2"/>
        <v>0</v>
      </c>
      <c r="H119" s="9">
        <f t="shared" si="3"/>
        <v>0</v>
      </c>
      <c r="I119" s="6" t="s">
        <v>29</v>
      </c>
    </row>
    <row r="120" spans="1:9" x14ac:dyDescent="0.25">
      <c r="A120" s="6" t="s">
        <v>1693</v>
      </c>
      <c r="B120" s="6" t="s">
        <v>1730</v>
      </c>
      <c r="C120" s="38">
        <v>355714603395325</v>
      </c>
      <c r="D120" s="6" t="s">
        <v>15</v>
      </c>
      <c r="E120" s="29">
        <v>2110</v>
      </c>
      <c r="F120" s="29">
        <v>1920</v>
      </c>
      <c r="G120" s="16">
        <f t="shared" si="2"/>
        <v>190</v>
      </c>
      <c r="H120" s="9">
        <f t="shared" si="3"/>
        <v>9.8958333333333329E-2</v>
      </c>
      <c r="I120" s="6" t="s">
        <v>29</v>
      </c>
    </row>
    <row r="121" spans="1:9" x14ac:dyDescent="0.25">
      <c r="A121" s="6" t="s">
        <v>1693</v>
      </c>
      <c r="B121" s="6" t="s">
        <v>1730</v>
      </c>
      <c r="C121" s="38">
        <v>356305884004501</v>
      </c>
      <c r="D121" s="6" t="s">
        <v>15</v>
      </c>
      <c r="E121" s="29">
        <v>2110</v>
      </c>
      <c r="F121" s="29">
        <v>1950</v>
      </c>
      <c r="G121" s="16">
        <f t="shared" si="2"/>
        <v>160</v>
      </c>
      <c r="H121" s="9">
        <f t="shared" si="3"/>
        <v>8.2051282051282051E-2</v>
      </c>
      <c r="I121" s="6" t="s">
        <v>29</v>
      </c>
    </row>
    <row r="122" spans="1:9" x14ac:dyDescent="0.25">
      <c r="A122" s="6" t="s">
        <v>1693</v>
      </c>
      <c r="B122" s="6" t="s">
        <v>1730</v>
      </c>
      <c r="C122" s="38">
        <v>356305884416168</v>
      </c>
      <c r="D122" s="6" t="s">
        <v>15</v>
      </c>
      <c r="E122" s="29">
        <v>2110</v>
      </c>
      <c r="F122" s="29">
        <v>1950</v>
      </c>
      <c r="G122" s="16">
        <f t="shared" si="2"/>
        <v>160</v>
      </c>
      <c r="H122" s="9">
        <f t="shared" si="3"/>
        <v>8.2051282051282051E-2</v>
      </c>
      <c r="I122" s="6" t="s">
        <v>29</v>
      </c>
    </row>
    <row r="123" spans="1:9" x14ac:dyDescent="0.25">
      <c r="A123" s="6" t="s">
        <v>1927</v>
      </c>
      <c r="B123" s="6" t="s">
        <v>43</v>
      </c>
      <c r="C123" s="38">
        <v>355827875550953</v>
      </c>
      <c r="D123" s="6" t="s">
        <v>1153</v>
      </c>
      <c r="E123" s="29">
        <v>2480</v>
      </c>
      <c r="F123" s="29">
        <v>2380</v>
      </c>
      <c r="G123" s="16">
        <f t="shared" si="2"/>
        <v>100</v>
      </c>
      <c r="H123" s="9">
        <f t="shared" si="3"/>
        <v>4.2016806722689079E-2</v>
      </c>
      <c r="I123" s="6" t="s">
        <v>29</v>
      </c>
    </row>
    <row r="124" spans="1:9" x14ac:dyDescent="0.25">
      <c r="A124" s="26" t="s">
        <v>12</v>
      </c>
      <c r="B124" s="26" t="s">
        <v>21</v>
      </c>
      <c r="C124" s="37" t="s">
        <v>22</v>
      </c>
      <c r="D124" s="26" t="s">
        <v>15</v>
      </c>
      <c r="E124" s="27">
        <v>575</v>
      </c>
      <c r="F124" s="27">
        <v>629</v>
      </c>
      <c r="G124" s="27">
        <f t="shared" si="2"/>
        <v>-54</v>
      </c>
      <c r="H124" s="28">
        <f t="shared" si="3"/>
        <v>-8.5850556438791734E-2</v>
      </c>
      <c r="I124" s="26" t="s">
        <v>23</v>
      </c>
    </row>
    <row r="125" spans="1:9" x14ac:dyDescent="0.25">
      <c r="A125" s="6" t="s">
        <v>35</v>
      </c>
      <c r="B125" s="6" t="s">
        <v>36</v>
      </c>
      <c r="C125" s="38" t="s">
        <v>37</v>
      </c>
      <c r="D125" s="6" t="s">
        <v>15</v>
      </c>
      <c r="E125" s="29">
        <v>4300</v>
      </c>
      <c r="F125" s="29">
        <v>4026.4</v>
      </c>
      <c r="G125" s="16">
        <f t="shared" si="2"/>
        <v>273.59999999999991</v>
      </c>
      <c r="H125" s="9">
        <f t="shared" si="3"/>
        <v>6.7951519968209792E-2</v>
      </c>
      <c r="I125" s="6" t="s">
        <v>23</v>
      </c>
    </row>
    <row r="126" spans="1:9" x14ac:dyDescent="0.25">
      <c r="A126" s="6" t="s">
        <v>35</v>
      </c>
      <c r="B126" s="6" t="s">
        <v>38</v>
      </c>
      <c r="C126" s="38" t="s">
        <v>39</v>
      </c>
      <c r="D126" s="6" t="s">
        <v>15</v>
      </c>
      <c r="E126" s="29">
        <v>2430</v>
      </c>
      <c r="F126" s="29">
        <v>2300.8000000000002</v>
      </c>
      <c r="G126" s="16">
        <f t="shared" si="2"/>
        <v>129.19999999999982</v>
      </c>
      <c r="H126" s="9">
        <f t="shared" si="3"/>
        <v>5.6154381084839972E-2</v>
      </c>
      <c r="I126" s="6" t="s">
        <v>23</v>
      </c>
    </row>
    <row r="127" spans="1:9" x14ac:dyDescent="0.25">
      <c r="A127" s="6" t="s">
        <v>35</v>
      </c>
      <c r="B127" s="6" t="s">
        <v>38</v>
      </c>
      <c r="C127" s="38" t="s">
        <v>40</v>
      </c>
      <c r="D127" s="6" t="s">
        <v>15</v>
      </c>
      <c r="E127" s="29">
        <v>2430</v>
      </c>
      <c r="F127" s="29">
        <v>2300.8000000000002</v>
      </c>
      <c r="G127" s="16">
        <f t="shared" si="2"/>
        <v>129.19999999999982</v>
      </c>
      <c r="H127" s="9">
        <f t="shared" si="3"/>
        <v>5.6154381084839972E-2</v>
      </c>
      <c r="I127" s="6" t="s">
        <v>23</v>
      </c>
    </row>
    <row r="128" spans="1:9" x14ac:dyDescent="0.25">
      <c r="A128" s="6" t="s">
        <v>35</v>
      </c>
      <c r="B128" s="6" t="s">
        <v>38</v>
      </c>
      <c r="C128" s="38" t="s">
        <v>41</v>
      </c>
      <c r="D128" s="6" t="s">
        <v>15</v>
      </c>
      <c r="E128" s="29">
        <v>2430</v>
      </c>
      <c r="F128" s="29">
        <v>2300.8000000000002</v>
      </c>
      <c r="G128" s="16">
        <f t="shared" si="2"/>
        <v>129.19999999999982</v>
      </c>
      <c r="H128" s="9">
        <f t="shared" si="3"/>
        <v>5.6154381084839972E-2</v>
      </c>
      <c r="I128" s="6" t="s">
        <v>23</v>
      </c>
    </row>
    <row r="129" spans="1:9" x14ac:dyDescent="0.25">
      <c r="A129" s="6" t="s">
        <v>42</v>
      </c>
      <c r="B129" s="6" t="s">
        <v>43</v>
      </c>
      <c r="C129" s="38">
        <v>358135790631933</v>
      </c>
      <c r="D129" s="6" t="s">
        <v>15</v>
      </c>
      <c r="E129" s="29">
        <v>2530</v>
      </c>
      <c r="F129" s="29">
        <v>2373</v>
      </c>
      <c r="G129" s="16">
        <f t="shared" si="2"/>
        <v>157</v>
      </c>
      <c r="H129" s="9">
        <f t="shared" si="3"/>
        <v>6.6160977665402437E-2</v>
      </c>
      <c r="I129" s="6" t="s">
        <v>23</v>
      </c>
    </row>
    <row r="130" spans="1:9" x14ac:dyDescent="0.25">
      <c r="A130" s="6" t="s">
        <v>42</v>
      </c>
      <c r="B130" s="6" t="s">
        <v>43</v>
      </c>
      <c r="C130" s="38">
        <v>358135794155822</v>
      </c>
      <c r="D130" s="6" t="s">
        <v>15</v>
      </c>
      <c r="E130" s="29">
        <v>2530</v>
      </c>
      <c r="F130" s="29">
        <v>2373</v>
      </c>
      <c r="G130" s="16">
        <f t="shared" ref="G130:G193" si="4">E130-F130</f>
        <v>157</v>
      </c>
      <c r="H130" s="9">
        <f t="shared" ref="H130:H193" si="5">(E130-F130)/F130</f>
        <v>6.6160977665402437E-2</v>
      </c>
      <c r="I130" s="6" t="s">
        <v>23</v>
      </c>
    </row>
    <row r="131" spans="1:9" x14ac:dyDescent="0.25">
      <c r="A131" s="6" t="s">
        <v>42</v>
      </c>
      <c r="B131" s="6" t="s">
        <v>33</v>
      </c>
      <c r="C131" s="38">
        <v>350599861383278</v>
      </c>
      <c r="D131" s="6" t="s">
        <v>15</v>
      </c>
      <c r="E131" s="29">
        <v>3380</v>
      </c>
      <c r="F131" s="29">
        <v>3235</v>
      </c>
      <c r="G131" s="16">
        <f t="shared" si="4"/>
        <v>145</v>
      </c>
      <c r="H131" s="9">
        <f t="shared" si="5"/>
        <v>4.482225656877898E-2</v>
      </c>
      <c r="I131" s="6" t="s">
        <v>23</v>
      </c>
    </row>
    <row r="132" spans="1:9" x14ac:dyDescent="0.25">
      <c r="A132" s="6" t="s">
        <v>42</v>
      </c>
      <c r="B132" s="6" t="s">
        <v>33</v>
      </c>
      <c r="C132" s="38">
        <v>350599861807607</v>
      </c>
      <c r="D132" s="6" t="s">
        <v>15</v>
      </c>
      <c r="E132" s="29">
        <v>3380</v>
      </c>
      <c r="F132" s="29">
        <v>3235</v>
      </c>
      <c r="G132" s="16">
        <f t="shared" si="4"/>
        <v>145</v>
      </c>
      <c r="H132" s="9">
        <f t="shared" si="5"/>
        <v>4.482225656877898E-2</v>
      </c>
      <c r="I132" s="6" t="s">
        <v>23</v>
      </c>
    </row>
    <row r="133" spans="1:9" x14ac:dyDescent="0.25">
      <c r="A133" s="6" t="s">
        <v>42</v>
      </c>
      <c r="B133" s="6" t="s">
        <v>33</v>
      </c>
      <c r="C133" s="38">
        <v>350599862268221</v>
      </c>
      <c r="D133" s="6" t="s">
        <v>15</v>
      </c>
      <c r="E133" s="29">
        <v>3780</v>
      </c>
      <c r="F133" s="29">
        <v>3415</v>
      </c>
      <c r="G133" s="16">
        <f t="shared" si="4"/>
        <v>365</v>
      </c>
      <c r="H133" s="9">
        <f t="shared" si="5"/>
        <v>0.10688140556368961</v>
      </c>
      <c r="I133" s="6" t="s">
        <v>23</v>
      </c>
    </row>
    <row r="134" spans="1:9" x14ac:dyDescent="0.25">
      <c r="A134" s="6" t="s">
        <v>42</v>
      </c>
      <c r="B134" s="6" t="s">
        <v>33</v>
      </c>
      <c r="C134" s="38">
        <v>350599864494262</v>
      </c>
      <c r="D134" s="6" t="s">
        <v>15</v>
      </c>
      <c r="E134" s="29">
        <v>4050</v>
      </c>
      <c r="F134" s="29">
        <v>3649</v>
      </c>
      <c r="G134" s="16">
        <f t="shared" si="4"/>
        <v>401</v>
      </c>
      <c r="H134" s="9">
        <f t="shared" si="5"/>
        <v>0.10989312140312414</v>
      </c>
      <c r="I134" s="6" t="s">
        <v>23</v>
      </c>
    </row>
    <row r="135" spans="1:9" x14ac:dyDescent="0.25">
      <c r="A135" s="6" t="s">
        <v>42</v>
      </c>
      <c r="B135" s="6" t="s">
        <v>33</v>
      </c>
      <c r="C135" s="38">
        <v>350889866122700</v>
      </c>
      <c r="D135" s="6" t="s">
        <v>15</v>
      </c>
      <c r="E135" s="29">
        <v>3380</v>
      </c>
      <c r="F135" s="29">
        <v>3235</v>
      </c>
      <c r="G135" s="16">
        <f t="shared" si="4"/>
        <v>145</v>
      </c>
      <c r="H135" s="9">
        <f t="shared" si="5"/>
        <v>4.482225656877898E-2</v>
      </c>
      <c r="I135" s="6" t="s">
        <v>23</v>
      </c>
    </row>
    <row r="136" spans="1:9" x14ac:dyDescent="0.25">
      <c r="A136" s="6" t="s">
        <v>42</v>
      </c>
      <c r="B136" s="6" t="s">
        <v>33</v>
      </c>
      <c r="C136" s="38">
        <v>350889867584825</v>
      </c>
      <c r="D136" s="6" t="s">
        <v>15</v>
      </c>
      <c r="E136" s="29">
        <v>3380</v>
      </c>
      <c r="F136" s="29">
        <v>3235</v>
      </c>
      <c r="G136" s="16">
        <f t="shared" si="4"/>
        <v>145</v>
      </c>
      <c r="H136" s="9">
        <f t="shared" si="5"/>
        <v>4.482225656877898E-2</v>
      </c>
      <c r="I136" s="6" t="s">
        <v>23</v>
      </c>
    </row>
    <row r="137" spans="1:9" x14ac:dyDescent="0.25">
      <c r="A137" s="6" t="s">
        <v>42</v>
      </c>
      <c r="B137" s="6" t="s">
        <v>33</v>
      </c>
      <c r="C137" s="38">
        <v>353263429532580</v>
      </c>
      <c r="D137" s="6" t="s">
        <v>15</v>
      </c>
      <c r="E137" s="29">
        <v>4050</v>
      </c>
      <c r="F137" s="29">
        <v>3595</v>
      </c>
      <c r="G137" s="16">
        <f t="shared" si="4"/>
        <v>455</v>
      </c>
      <c r="H137" s="9">
        <f t="shared" si="5"/>
        <v>0.12656467315716272</v>
      </c>
      <c r="I137" s="6" t="s">
        <v>23</v>
      </c>
    </row>
    <row r="138" spans="1:9" x14ac:dyDescent="0.25">
      <c r="A138" s="6" t="s">
        <v>42</v>
      </c>
      <c r="B138" s="6" t="s">
        <v>33</v>
      </c>
      <c r="C138" s="38">
        <v>355224255218510</v>
      </c>
      <c r="D138" s="6" t="s">
        <v>15</v>
      </c>
      <c r="E138" s="29">
        <v>3380</v>
      </c>
      <c r="F138" s="29">
        <v>3235</v>
      </c>
      <c r="G138" s="16">
        <f t="shared" si="4"/>
        <v>145</v>
      </c>
      <c r="H138" s="9">
        <f t="shared" si="5"/>
        <v>4.482225656877898E-2</v>
      </c>
      <c r="I138" s="6" t="s">
        <v>23</v>
      </c>
    </row>
    <row r="139" spans="1:9" x14ac:dyDescent="0.25">
      <c r="A139" s="6" t="s">
        <v>42</v>
      </c>
      <c r="B139" s="6" t="s">
        <v>33</v>
      </c>
      <c r="C139" s="38">
        <v>355246657041414</v>
      </c>
      <c r="D139" s="6" t="s">
        <v>15</v>
      </c>
      <c r="E139" s="29">
        <v>4050</v>
      </c>
      <c r="F139" s="29">
        <v>3649</v>
      </c>
      <c r="G139" s="16">
        <f t="shared" si="4"/>
        <v>401</v>
      </c>
      <c r="H139" s="9">
        <f t="shared" si="5"/>
        <v>0.10989312140312414</v>
      </c>
      <c r="I139" s="6" t="s">
        <v>23</v>
      </c>
    </row>
    <row r="140" spans="1:9" x14ac:dyDescent="0.25">
      <c r="A140" s="6" t="s">
        <v>42</v>
      </c>
      <c r="B140" s="6" t="s">
        <v>33</v>
      </c>
      <c r="C140" s="38">
        <v>356605225521885</v>
      </c>
      <c r="D140" s="6" t="s">
        <v>15</v>
      </c>
      <c r="E140" s="29">
        <v>3740</v>
      </c>
      <c r="F140" s="29">
        <v>3397</v>
      </c>
      <c r="G140" s="16">
        <f t="shared" si="4"/>
        <v>343</v>
      </c>
      <c r="H140" s="9">
        <f t="shared" si="5"/>
        <v>0.10097144539299382</v>
      </c>
      <c r="I140" s="6" t="s">
        <v>23</v>
      </c>
    </row>
    <row r="141" spans="1:9" x14ac:dyDescent="0.25">
      <c r="A141" s="6" t="s">
        <v>42</v>
      </c>
      <c r="B141" s="6" t="s">
        <v>33</v>
      </c>
      <c r="C141" s="38">
        <v>356605226777189</v>
      </c>
      <c r="D141" s="6" t="s">
        <v>15</v>
      </c>
      <c r="E141" s="29">
        <v>3380</v>
      </c>
      <c r="F141" s="29">
        <v>3235</v>
      </c>
      <c r="G141" s="16">
        <f t="shared" si="4"/>
        <v>145</v>
      </c>
      <c r="H141" s="9">
        <f t="shared" si="5"/>
        <v>4.482225656877898E-2</v>
      </c>
      <c r="I141" s="6" t="s">
        <v>23</v>
      </c>
    </row>
    <row r="142" spans="1:9" x14ac:dyDescent="0.25">
      <c r="A142" s="6" t="s">
        <v>42</v>
      </c>
      <c r="B142" s="6" t="s">
        <v>33</v>
      </c>
      <c r="C142" s="38">
        <v>356605228962862</v>
      </c>
      <c r="D142" s="6" t="s">
        <v>15</v>
      </c>
      <c r="E142" s="29">
        <v>3780</v>
      </c>
      <c r="F142" s="29">
        <v>3397</v>
      </c>
      <c r="G142" s="16">
        <f t="shared" si="4"/>
        <v>383</v>
      </c>
      <c r="H142" s="9">
        <f t="shared" si="5"/>
        <v>0.11274654106564616</v>
      </c>
      <c r="I142" s="6" t="s">
        <v>23</v>
      </c>
    </row>
    <row r="143" spans="1:9" x14ac:dyDescent="0.25">
      <c r="A143" s="6" t="s">
        <v>42</v>
      </c>
      <c r="B143" s="6" t="s">
        <v>33</v>
      </c>
      <c r="C143" s="38">
        <v>356605229177262</v>
      </c>
      <c r="D143" s="6" t="s">
        <v>15</v>
      </c>
      <c r="E143" s="29">
        <v>3380</v>
      </c>
      <c r="F143" s="29">
        <v>3235</v>
      </c>
      <c r="G143" s="16">
        <f t="shared" si="4"/>
        <v>145</v>
      </c>
      <c r="H143" s="9">
        <f t="shared" si="5"/>
        <v>4.482225656877898E-2</v>
      </c>
      <c r="I143" s="6" t="s">
        <v>23</v>
      </c>
    </row>
    <row r="144" spans="1:9" x14ac:dyDescent="0.25">
      <c r="A144" s="6" t="s">
        <v>42</v>
      </c>
      <c r="B144" s="6" t="s">
        <v>33</v>
      </c>
      <c r="C144" s="38">
        <v>357586349420825</v>
      </c>
      <c r="D144" s="6" t="s">
        <v>15</v>
      </c>
      <c r="E144" s="29">
        <v>3600</v>
      </c>
      <c r="F144" s="29">
        <v>3344</v>
      </c>
      <c r="G144" s="16">
        <f t="shared" si="4"/>
        <v>256</v>
      </c>
      <c r="H144" s="9">
        <f t="shared" si="5"/>
        <v>7.6555023923444973E-2</v>
      </c>
      <c r="I144" s="6" t="s">
        <v>23</v>
      </c>
    </row>
    <row r="145" spans="1:9" x14ac:dyDescent="0.25">
      <c r="A145" s="6" t="s">
        <v>42</v>
      </c>
      <c r="B145" s="6" t="s">
        <v>33</v>
      </c>
      <c r="C145" s="38">
        <v>358051326483055</v>
      </c>
      <c r="D145" s="6" t="s">
        <v>15</v>
      </c>
      <c r="E145" s="29">
        <v>3380</v>
      </c>
      <c r="F145" s="29">
        <v>3235</v>
      </c>
      <c r="G145" s="16">
        <f t="shared" si="4"/>
        <v>145</v>
      </c>
      <c r="H145" s="9">
        <f t="shared" si="5"/>
        <v>4.482225656877898E-2</v>
      </c>
      <c r="I145" s="6" t="s">
        <v>23</v>
      </c>
    </row>
    <row r="146" spans="1:9" x14ac:dyDescent="0.25">
      <c r="A146" s="6" t="s">
        <v>42</v>
      </c>
      <c r="B146" s="6" t="s">
        <v>33</v>
      </c>
      <c r="C146" s="38">
        <v>359614549213846</v>
      </c>
      <c r="D146" s="6" t="s">
        <v>15</v>
      </c>
      <c r="E146" s="29">
        <v>4050</v>
      </c>
      <c r="F146" s="29">
        <v>3595</v>
      </c>
      <c r="G146" s="16">
        <f t="shared" si="4"/>
        <v>455</v>
      </c>
      <c r="H146" s="9">
        <f t="shared" si="5"/>
        <v>0.12656467315716272</v>
      </c>
      <c r="I146" s="6" t="s">
        <v>23</v>
      </c>
    </row>
    <row r="147" spans="1:9" x14ac:dyDescent="0.25">
      <c r="A147" s="6" t="s">
        <v>69</v>
      </c>
      <c r="B147" s="6" t="s">
        <v>215</v>
      </c>
      <c r="C147" s="38">
        <v>350208035593446</v>
      </c>
      <c r="D147" s="6" t="s">
        <v>15</v>
      </c>
      <c r="E147" s="29">
        <v>3030</v>
      </c>
      <c r="F147" s="29">
        <v>2948</v>
      </c>
      <c r="G147" s="16">
        <f t="shared" si="4"/>
        <v>82</v>
      </c>
      <c r="H147" s="9">
        <f t="shared" si="5"/>
        <v>2.7815468113975575E-2</v>
      </c>
      <c r="I147" s="6" t="s">
        <v>23</v>
      </c>
    </row>
    <row r="148" spans="1:9" x14ac:dyDescent="0.25">
      <c r="A148" s="6" t="s">
        <v>69</v>
      </c>
      <c r="B148" s="6" t="s">
        <v>215</v>
      </c>
      <c r="C148" s="38">
        <v>350208035900146</v>
      </c>
      <c r="D148" s="6" t="s">
        <v>15</v>
      </c>
      <c r="E148" s="29">
        <v>3030</v>
      </c>
      <c r="F148" s="29">
        <v>2948</v>
      </c>
      <c r="G148" s="16">
        <f t="shared" si="4"/>
        <v>82</v>
      </c>
      <c r="H148" s="9">
        <f t="shared" si="5"/>
        <v>2.7815468113975575E-2</v>
      </c>
      <c r="I148" s="6" t="s">
        <v>23</v>
      </c>
    </row>
    <row r="149" spans="1:9" x14ac:dyDescent="0.25">
      <c r="A149" s="6" t="s">
        <v>69</v>
      </c>
      <c r="B149" s="6" t="s">
        <v>215</v>
      </c>
      <c r="C149" s="38">
        <v>355832515765870</v>
      </c>
      <c r="D149" s="6" t="s">
        <v>15</v>
      </c>
      <c r="E149" s="29">
        <v>3030</v>
      </c>
      <c r="F149" s="29">
        <v>2948</v>
      </c>
      <c r="G149" s="16">
        <f t="shared" si="4"/>
        <v>82</v>
      </c>
      <c r="H149" s="9">
        <f t="shared" si="5"/>
        <v>2.7815468113975575E-2</v>
      </c>
      <c r="I149" s="6" t="s">
        <v>23</v>
      </c>
    </row>
    <row r="150" spans="1:9" x14ac:dyDescent="0.25">
      <c r="A150" s="6" t="s">
        <v>69</v>
      </c>
      <c r="B150" s="6" t="s">
        <v>33</v>
      </c>
      <c r="C150" s="38">
        <v>350599860076667</v>
      </c>
      <c r="D150" s="6" t="s">
        <v>15</v>
      </c>
      <c r="E150" s="29">
        <v>3570</v>
      </c>
      <c r="F150" s="29">
        <v>3343</v>
      </c>
      <c r="G150" s="16">
        <f t="shared" si="4"/>
        <v>227</v>
      </c>
      <c r="H150" s="9">
        <f t="shared" si="5"/>
        <v>6.7903081064911761E-2</v>
      </c>
      <c r="I150" s="6" t="s">
        <v>23</v>
      </c>
    </row>
    <row r="151" spans="1:9" x14ac:dyDescent="0.25">
      <c r="A151" s="6" t="s">
        <v>69</v>
      </c>
      <c r="B151" s="6" t="s">
        <v>33</v>
      </c>
      <c r="C151" s="38">
        <v>350599860131520</v>
      </c>
      <c r="D151" s="6" t="s">
        <v>15</v>
      </c>
      <c r="E151" s="29">
        <v>3570</v>
      </c>
      <c r="F151" s="29">
        <v>3343</v>
      </c>
      <c r="G151" s="16">
        <f t="shared" si="4"/>
        <v>227</v>
      </c>
      <c r="H151" s="9">
        <f t="shared" si="5"/>
        <v>6.7903081064911761E-2</v>
      </c>
      <c r="I151" s="6" t="s">
        <v>23</v>
      </c>
    </row>
    <row r="152" spans="1:9" x14ac:dyDescent="0.25">
      <c r="A152" s="6" t="s">
        <v>69</v>
      </c>
      <c r="B152" s="6" t="s">
        <v>33</v>
      </c>
      <c r="C152" s="38">
        <v>350599860798815</v>
      </c>
      <c r="D152" s="6" t="s">
        <v>15</v>
      </c>
      <c r="E152" s="29">
        <v>3570</v>
      </c>
      <c r="F152" s="29">
        <v>3344</v>
      </c>
      <c r="G152" s="16">
        <f t="shared" si="4"/>
        <v>226</v>
      </c>
      <c r="H152" s="9">
        <f t="shared" si="5"/>
        <v>6.7583732057416274E-2</v>
      </c>
      <c r="I152" s="6" t="s">
        <v>23</v>
      </c>
    </row>
    <row r="153" spans="1:9" x14ac:dyDescent="0.25">
      <c r="A153" s="6" t="s">
        <v>69</v>
      </c>
      <c r="B153" s="6" t="s">
        <v>33</v>
      </c>
      <c r="C153" s="38">
        <v>350599861007257</v>
      </c>
      <c r="D153" s="6" t="s">
        <v>15</v>
      </c>
      <c r="E153" s="29">
        <v>3570</v>
      </c>
      <c r="F153" s="29">
        <v>3343</v>
      </c>
      <c r="G153" s="16">
        <f t="shared" si="4"/>
        <v>227</v>
      </c>
      <c r="H153" s="9">
        <f t="shared" si="5"/>
        <v>6.7903081064911761E-2</v>
      </c>
      <c r="I153" s="6" t="s">
        <v>23</v>
      </c>
    </row>
    <row r="154" spans="1:9" x14ac:dyDescent="0.25">
      <c r="A154" s="6" t="s">
        <v>69</v>
      </c>
      <c r="B154" s="6" t="s">
        <v>33</v>
      </c>
      <c r="C154" s="38">
        <v>353263423774428</v>
      </c>
      <c r="D154" s="6" t="s">
        <v>15</v>
      </c>
      <c r="E154" s="29">
        <v>3520</v>
      </c>
      <c r="F154" s="29">
        <v>3344</v>
      </c>
      <c r="G154" s="16">
        <f t="shared" si="4"/>
        <v>176</v>
      </c>
      <c r="H154" s="9">
        <f t="shared" si="5"/>
        <v>5.2631578947368418E-2</v>
      </c>
      <c r="I154" s="6" t="s">
        <v>23</v>
      </c>
    </row>
    <row r="155" spans="1:9" x14ac:dyDescent="0.25">
      <c r="A155" s="6" t="s">
        <v>69</v>
      </c>
      <c r="B155" s="6" t="s">
        <v>33</v>
      </c>
      <c r="C155" s="38">
        <v>355246652423377</v>
      </c>
      <c r="D155" s="6" t="s">
        <v>15</v>
      </c>
      <c r="E155" s="29">
        <v>3570</v>
      </c>
      <c r="F155" s="29">
        <v>3344</v>
      </c>
      <c r="G155" s="16">
        <f t="shared" si="4"/>
        <v>226</v>
      </c>
      <c r="H155" s="9">
        <f t="shared" si="5"/>
        <v>6.7583732057416274E-2</v>
      </c>
      <c r="I155" s="6" t="s">
        <v>23</v>
      </c>
    </row>
    <row r="156" spans="1:9" x14ac:dyDescent="0.25">
      <c r="A156" s="6" t="s">
        <v>69</v>
      </c>
      <c r="B156" s="6" t="s">
        <v>33</v>
      </c>
      <c r="C156" s="38">
        <v>355246653388124</v>
      </c>
      <c r="D156" s="6" t="s">
        <v>15</v>
      </c>
      <c r="E156" s="29">
        <v>3570</v>
      </c>
      <c r="F156" s="29">
        <v>3344</v>
      </c>
      <c r="G156" s="16">
        <f t="shared" si="4"/>
        <v>226</v>
      </c>
      <c r="H156" s="9">
        <f t="shared" si="5"/>
        <v>6.7583732057416274E-2</v>
      </c>
      <c r="I156" s="6" t="s">
        <v>23</v>
      </c>
    </row>
    <row r="157" spans="1:9" x14ac:dyDescent="0.25">
      <c r="A157" s="6" t="s">
        <v>69</v>
      </c>
      <c r="B157" s="6" t="s">
        <v>33</v>
      </c>
      <c r="C157" s="38">
        <v>355246654440031</v>
      </c>
      <c r="D157" s="6" t="s">
        <v>15</v>
      </c>
      <c r="E157" s="29">
        <v>3520</v>
      </c>
      <c r="F157" s="29">
        <v>3344</v>
      </c>
      <c r="G157" s="16">
        <f t="shared" si="4"/>
        <v>176</v>
      </c>
      <c r="H157" s="9">
        <f t="shared" si="5"/>
        <v>5.2631578947368418E-2</v>
      </c>
      <c r="I157" s="6" t="s">
        <v>23</v>
      </c>
    </row>
    <row r="158" spans="1:9" x14ac:dyDescent="0.25">
      <c r="A158" s="6" t="s">
        <v>69</v>
      </c>
      <c r="B158" s="6" t="s">
        <v>33</v>
      </c>
      <c r="C158" s="38">
        <v>356188165683536</v>
      </c>
      <c r="D158" s="6" t="s">
        <v>15</v>
      </c>
      <c r="E158" s="29">
        <v>3570</v>
      </c>
      <c r="F158" s="29">
        <v>3343</v>
      </c>
      <c r="G158" s="16">
        <f t="shared" si="4"/>
        <v>227</v>
      </c>
      <c r="H158" s="9">
        <f t="shared" si="5"/>
        <v>6.7903081064911761E-2</v>
      </c>
      <c r="I158" s="6" t="s">
        <v>23</v>
      </c>
    </row>
    <row r="159" spans="1:9" x14ac:dyDescent="0.25">
      <c r="A159" s="6" t="s">
        <v>69</v>
      </c>
      <c r="B159" s="6" t="s">
        <v>33</v>
      </c>
      <c r="C159" s="38">
        <v>356188165867840</v>
      </c>
      <c r="D159" s="6" t="s">
        <v>15</v>
      </c>
      <c r="E159" s="29">
        <v>3570</v>
      </c>
      <c r="F159" s="29">
        <v>3344</v>
      </c>
      <c r="G159" s="16">
        <f t="shared" si="4"/>
        <v>226</v>
      </c>
      <c r="H159" s="9">
        <f t="shared" si="5"/>
        <v>6.7583732057416274E-2</v>
      </c>
      <c r="I159" s="6" t="s">
        <v>23</v>
      </c>
    </row>
    <row r="160" spans="1:9" x14ac:dyDescent="0.25">
      <c r="A160" s="6" t="s">
        <v>69</v>
      </c>
      <c r="B160" s="6" t="s">
        <v>33</v>
      </c>
      <c r="C160" s="38">
        <v>356605229794470</v>
      </c>
      <c r="D160" s="6" t="s">
        <v>15</v>
      </c>
      <c r="E160" s="29">
        <v>3570</v>
      </c>
      <c r="F160" s="29">
        <v>3343</v>
      </c>
      <c r="G160" s="16">
        <f t="shared" si="4"/>
        <v>227</v>
      </c>
      <c r="H160" s="9">
        <f t="shared" si="5"/>
        <v>6.7903081064911761E-2</v>
      </c>
      <c r="I160" s="6" t="s">
        <v>23</v>
      </c>
    </row>
    <row r="161" spans="1:9" x14ac:dyDescent="0.25">
      <c r="A161" s="6" t="s">
        <v>69</v>
      </c>
      <c r="B161" s="6" t="s">
        <v>33</v>
      </c>
      <c r="C161" s="38">
        <v>357586342027957</v>
      </c>
      <c r="D161" s="6" t="s">
        <v>15</v>
      </c>
      <c r="E161" s="29">
        <v>3570</v>
      </c>
      <c r="F161" s="29">
        <v>3343</v>
      </c>
      <c r="G161" s="16">
        <f t="shared" si="4"/>
        <v>227</v>
      </c>
      <c r="H161" s="9">
        <f t="shared" si="5"/>
        <v>6.7903081064911761E-2</v>
      </c>
      <c r="I161" s="6" t="s">
        <v>23</v>
      </c>
    </row>
    <row r="162" spans="1:9" x14ac:dyDescent="0.25">
      <c r="A162" s="6" t="s">
        <v>69</v>
      </c>
      <c r="B162" s="6" t="s">
        <v>33</v>
      </c>
      <c r="C162" s="38">
        <v>357586343122690</v>
      </c>
      <c r="D162" s="6" t="s">
        <v>15</v>
      </c>
      <c r="E162" s="29">
        <v>3570</v>
      </c>
      <c r="F162" s="29">
        <v>3344</v>
      </c>
      <c r="G162" s="16">
        <f t="shared" si="4"/>
        <v>226</v>
      </c>
      <c r="H162" s="9">
        <f t="shared" si="5"/>
        <v>6.7583732057416274E-2</v>
      </c>
      <c r="I162" s="6" t="s">
        <v>23</v>
      </c>
    </row>
    <row r="163" spans="1:9" x14ac:dyDescent="0.25">
      <c r="A163" s="6" t="s">
        <v>69</v>
      </c>
      <c r="B163" s="6" t="s">
        <v>33</v>
      </c>
      <c r="C163" s="38">
        <v>358051329690722</v>
      </c>
      <c r="D163" s="6" t="s">
        <v>15</v>
      </c>
      <c r="E163" s="29">
        <v>3520</v>
      </c>
      <c r="F163" s="29">
        <v>3344</v>
      </c>
      <c r="G163" s="16">
        <f t="shared" si="4"/>
        <v>176</v>
      </c>
      <c r="H163" s="9">
        <f t="shared" si="5"/>
        <v>5.2631578947368418E-2</v>
      </c>
      <c r="I163" s="6" t="s">
        <v>23</v>
      </c>
    </row>
    <row r="164" spans="1:9" x14ac:dyDescent="0.25">
      <c r="A164" s="6" t="s">
        <v>69</v>
      </c>
      <c r="B164" s="6" t="s">
        <v>33</v>
      </c>
      <c r="C164" s="38">
        <v>358051329731229</v>
      </c>
      <c r="D164" s="6" t="s">
        <v>15</v>
      </c>
      <c r="E164" s="29">
        <v>3570</v>
      </c>
      <c r="F164" s="29">
        <v>3344</v>
      </c>
      <c r="G164" s="16">
        <f t="shared" si="4"/>
        <v>226</v>
      </c>
      <c r="H164" s="9">
        <f t="shared" si="5"/>
        <v>6.7583732057416274E-2</v>
      </c>
      <c r="I164" s="6" t="s">
        <v>23</v>
      </c>
    </row>
    <row r="165" spans="1:9" x14ac:dyDescent="0.25">
      <c r="A165" s="6" t="s">
        <v>69</v>
      </c>
      <c r="B165" s="6" t="s">
        <v>33</v>
      </c>
      <c r="C165" s="38">
        <v>359614541276585</v>
      </c>
      <c r="D165" s="6" t="s">
        <v>15</v>
      </c>
      <c r="E165" s="29">
        <v>3570</v>
      </c>
      <c r="F165" s="29">
        <v>3344</v>
      </c>
      <c r="G165" s="16">
        <f t="shared" si="4"/>
        <v>226</v>
      </c>
      <c r="H165" s="9">
        <f t="shared" si="5"/>
        <v>6.7583732057416274E-2</v>
      </c>
      <c r="I165" s="6" t="s">
        <v>23</v>
      </c>
    </row>
    <row r="166" spans="1:9" x14ac:dyDescent="0.25">
      <c r="A166" s="6" t="s">
        <v>69</v>
      </c>
      <c r="B166" s="6" t="s">
        <v>33</v>
      </c>
      <c r="C166" s="38">
        <v>359614541474362</v>
      </c>
      <c r="D166" s="6" t="s">
        <v>15</v>
      </c>
      <c r="E166" s="29">
        <v>3570</v>
      </c>
      <c r="F166" s="29">
        <v>3343</v>
      </c>
      <c r="G166" s="16">
        <f t="shared" si="4"/>
        <v>227</v>
      </c>
      <c r="H166" s="9">
        <f t="shared" si="5"/>
        <v>6.7903081064911761E-2</v>
      </c>
      <c r="I166" s="6" t="s">
        <v>23</v>
      </c>
    </row>
    <row r="167" spans="1:9" x14ac:dyDescent="0.25">
      <c r="A167" s="6" t="s">
        <v>69</v>
      </c>
      <c r="B167" s="6" t="s">
        <v>33</v>
      </c>
      <c r="C167" s="38">
        <v>359614542852145</v>
      </c>
      <c r="D167" s="6" t="s">
        <v>15</v>
      </c>
      <c r="E167" s="29">
        <v>3570</v>
      </c>
      <c r="F167" s="29">
        <v>3343</v>
      </c>
      <c r="G167" s="16">
        <f t="shared" si="4"/>
        <v>227</v>
      </c>
      <c r="H167" s="9">
        <f t="shared" si="5"/>
        <v>6.7903081064911761E-2</v>
      </c>
      <c r="I167" s="6" t="s">
        <v>23</v>
      </c>
    </row>
    <row r="168" spans="1:9" x14ac:dyDescent="0.25">
      <c r="A168" s="6" t="s">
        <v>69</v>
      </c>
      <c r="B168" s="6" t="s">
        <v>33</v>
      </c>
      <c r="C168" s="38">
        <v>359614548897359</v>
      </c>
      <c r="D168" s="6" t="s">
        <v>15</v>
      </c>
      <c r="E168" s="29">
        <v>3570</v>
      </c>
      <c r="F168" s="29">
        <v>3343</v>
      </c>
      <c r="G168" s="16">
        <f t="shared" si="4"/>
        <v>227</v>
      </c>
      <c r="H168" s="9">
        <f t="shared" si="5"/>
        <v>6.7903081064911761E-2</v>
      </c>
      <c r="I168" s="6" t="s">
        <v>23</v>
      </c>
    </row>
    <row r="169" spans="1:9" x14ac:dyDescent="0.25">
      <c r="A169" s="6" t="s">
        <v>69</v>
      </c>
      <c r="B169" s="6" t="s">
        <v>33</v>
      </c>
      <c r="C169" s="38">
        <v>359614548970909</v>
      </c>
      <c r="D169" s="6" t="s">
        <v>15</v>
      </c>
      <c r="E169" s="29">
        <v>3570</v>
      </c>
      <c r="F169" s="29">
        <v>3343</v>
      </c>
      <c r="G169" s="16">
        <f t="shared" si="4"/>
        <v>227</v>
      </c>
      <c r="H169" s="9">
        <f t="shared" si="5"/>
        <v>6.7903081064911761E-2</v>
      </c>
      <c r="I169" s="6" t="s">
        <v>23</v>
      </c>
    </row>
    <row r="170" spans="1:9" x14ac:dyDescent="0.25">
      <c r="A170" s="6" t="s">
        <v>69</v>
      </c>
      <c r="B170" s="6" t="s">
        <v>33</v>
      </c>
      <c r="C170" s="38">
        <v>359614549197783</v>
      </c>
      <c r="D170" s="6" t="s">
        <v>15</v>
      </c>
      <c r="E170" s="29">
        <v>3520</v>
      </c>
      <c r="F170" s="29">
        <v>3344</v>
      </c>
      <c r="G170" s="16">
        <f t="shared" si="4"/>
        <v>176</v>
      </c>
      <c r="H170" s="9">
        <f t="shared" si="5"/>
        <v>5.2631578947368418E-2</v>
      </c>
      <c r="I170" s="6" t="s">
        <v>23</v>
      </c>
    </row>
    <row r="171" spans="1:9" x14ac:dyDescent="0.25">
      <c r="A171" s="6" t="s">
        <v>69</v>
      </c>
      <c r="B171" s="6" t="s">
        <v>33</v>
      </c>
      <c r="C171" s="38">
        <v>359614549472368</v>
      </c>
      <c r="D171" s="6" t="s">
        <v>15</v>
      </c>
      <c r="E171" s="29">
        <v>3570</v>
      </c>
      <c r="F171" s="29">
        <v>3343</v>
      </c>
      <c r="G171" s="16">
        <f t="shared" si="4"/>
        <v>227</v>
      </c>
      <c r="H171" s="9">
        <f t="shared" si="5"/>
        <v>6.7903081064911761E-2</v>
      </c>
      <c r="I171" s="6" t="s">
        <v>23</v>
      </c>
    </row>
    <row r="172" spans="1:9" x14ac:dyDescent="0.25">
      <c r="A172" s="6" t="s">
        <v>69</v>
      </c>
      <c r="B172" s="6" t="s">
        <v>33</v>
      </c>
      <c r="C172" s="38">
        <v>359614549578180</v>
      </c>
      <c r="D172" s="6" t="s">
        <v>15</v>
      </c>
      <c r="E172" s="29">
        <v>3570</v>
      </c>
      <c r="F172" s="29">
        <v>3343</v>
      </c>
      <c r="G172" s="16">
        <f t="shared" si="4"/>
        <v>227</v>
      </c>
      <c r="H172" s="9">
        <f t="shared" si="5"/>
        <v>6.7903081064911761E-2</v>
      </c>
      <c r="I172" s="6" t="s">
        <v>23</v>
      </c>
    </row>
    <row r="173" spans="1:9" x14ac:dyDescent="0.25">
      <c r="A173" s="6" t="s">
        <v>69</v>
      </c>
      <c r="B173" s="6" t="s">
        <v>33</v>
      </c>
      <c r="C173" s="38">
        <v>359614549584527</v>
      </c>
      <c r="D173" s="6" t="s">
        <v>15</v>
      </c>
      <c r="E173" s="29">
        <v>3570</v>
      </c>
      <c r="F173" s="29">
        <v>3343</v>
      </c>
      <c r="G173" s="16">
        <f t="shared" si="4"/>
        <v>227</v>
      </c>
      <c r="H173" s="9">
        <f t="shared" si="5"/>
        <v>6.7903081064911761E-2</v>
      </c>
      <c r="I173" s="6" t="s">
        <v>23</v>
      </c>
    </row>
    <row r="174" spans="1:9" x14ac:dyDescent="0.25">
      <c r="A174" s="6" t="s">
        <v>69</v>
      </c>
      <c r="B174" s="6" t="s">
        <v>33</v>
      </c>
      <c r="C174" s="38">
        <v>359614549647191</v>
      </c>
      <c r="D174" s="6" t="s">
        <v>15</v>
      </c>
      <c r="E174" s="29">
        <v>3570</v>
      </c>
      <c r="F174" s="29">
        <v>3343</v>
      </c>
      <c r="G174" s="16">
        <f t="shared" si="4"/>
        <v>227</v>
      </c>
      <c r="H174" s="9">
        <f t="shared" si="5"/>
        <v>6.7903081064911761E-2</v>
      </c>
      <c r="I174" s="6" t="s">
        <v>23</v>
      </c>
    </row>
    <row r="175" spans="1:9" x14ac:dyDescent="0.25">
      <c r="A175" s="6" t="s">
        <v>69</v>
      </c>
      <c r="B175" s="6" t="s">
        <v>288</v>
      </c>
      <c r="C175" s="38" t="s">
        <v>289</v>
      </c>
      <c r="D175" s="6" t="s">
        <v>15</v>
      </c>
      <c r="E175" s="29">
        <v>1655</v>
      </c>
      <c r="F175" s="29">
        <v>1528</v>
      </c>
      <c r="G175" s="16">
        <f t="shared" si="4"/>
        <v>127</v>
      </c>
      <c r="H175" s="9">
        <f t="shared" si="5"/>
        <v>8.3115183246073296E-2</v>
      </c>
      <c r="I175" s="6" t="s">
        <v>23</v>
      </c>
    </row>
    <row r="176" spans="1:9" x14ac:dyDescent="0.25">
      <c r="A176" s="6" t="s">
        <v>69</v>
      </c>
      <c r="B176" s="6" t="s">
        <v>288</v>
      </c>
      <c r="C176" s="38" t="s">
        <v>290</v>
      </c>
      <c r="D176" s="6" t="s">
        <v>15</v>
      </c>
      <c r="E176" s="29">
        <v>1655</v>
      </c>
      <c r="F176" s="29">
        <v>1528</v>
      </c>
      <c r="G176" s="16">
        <f t="shared" si="4"/>
        <v>127</v>
      </c>
      <c r="H176" s="9">
        <f t="shared" si="5"/>
        <v>8.3115183246073296E-2</v>
      </c>
      <c r="I176" s="6" t="s">
        <v>23</v>
      </c>
    </row>
    <row r="177" spans="1:9" x14ac:dyDescent="0.25">
      <c r="A177" s="6" t="s">
        <v>69</v>
      </c>
      <c r="B177" s="6" t="s">
        <v>288</v>
      </c>
      <c r="C177" s="38" t="s">
        <v>291</v>
      </c>
      <c r="D177" s="6" t="s">
        <v>15</v>
      </c>
      <c r="E177" s="29">
        <v>1655</v>
      </c>
      <c r="F177" s="29">
        <v>1527.75</v>
      </c>
      <c r="G177" s="16">
        <f t="shared" si="4"/>
        <v>127.25</v>
      </c>
      <c r="H177" s="9">
        <f t="shared" si="5"/>
        <v>8.3292423498609061E-2</v>
      </c>
      <c r="I177" s="6" t="s">
        <v>23</v>
      </c>
    </row>
    <row r="178" spans="1:9" x14ac:dyDescent="0.25">
      <c r="A178" s="6" t="s">
        <v>69</v>
      </c>
      <c r="B178" s="6" t="s">
        <v>288</v>
      </c>
      <c r="C178" s="38" t="s">
        <v>292</v>
      </c>
      <c r="D178" s="6" t="s">
        <v>15</v>
      </c>
      <c r="E178" s="29">
        <v>1655</v>
      </c>
      <c r="F178" s="29">
        <v>1527.75</v>
      </c>
      <c r="G178" s="16">
        <f t="shared" si="4"/>
        <v>127.25</v>
      </c>
      <c r="H178" s="9">
        <f t="shared" si="5"/>
        <v>8.3292423498609061E-2</v>
      </c>
      <c r="I178" s="6" t="s">
        <v>23</v>
      </c>
    </row>
    <row r="179" spans="1:9" x14ac:dyDescent="0.25">
      <c r="A179" s="6" t="s">
        <v>69</v>
      </c>
      <c r="B179" s="6" t="s">
        <v>288</v>
      </c>
      <c r="C179" s="38" t="s">
        <v>293</v>
      </c>
      <c r="D179" s="6" t="s">
        <v>15</v>
      </c>
      <c r="E179" s="29">
        <v>1655</v>
      </c>
      <c r="F179" s="29">
        <v>1527.75</v>
      </c>
      <c r="G179" s="16">
        <f t="shared" si="4"/>
        <v>127.25</v>
      </c>
      <c r="H179" s="9">
        <f t="shared" si="5"/>
        <v>8.3292423498609061E-2</v>
      </c>
      <c r="I179" s="6" t="s">
        <v>23</v>
      </c>
    </row>
    <row r="180" spans="1:9" x14ac:dyDescent="0.25">
      <c r="A180" s="6" t="s">
        <v>69</v>
      </c>
      <c r="B180" s="6" t="s">
        <v>288</v>
      </c>
      <c r="C180" s="38" t="s">
        <v>294</v>
      </c>
      <c r="D180" s="6" t="s">
        <v>15</v>
      </c>
      <c r="E180" s="29">
        <v>1655</v>
      </c>
      <c r="F180" s="29">
        <v>1528</v>
      </c>
      <c r="G180" s="16">
        <f t="shared" si="4"/>
        <v>127</v>
      </c>
      <c r="H180" s="9">
        <f t="shared" si="5"/>
        <v>8.3115183246073296E-2</v>
      </c>
      <c r="I180" s="6" t="s">
        <v>23</v>
      </c>
    </row>
    <row r="181" spans="1:9" x14ac:dyDescent="0.25">
      <c r="A181" s="6" t="s">
        <v>69</v>
      </c>
      <c r="B181" s="6" t="s">
        <v>288</v>
      </c>
      <c r="C181" s="38" t="s">
        <v>295</v>
      </c>
      <c r="D181" s="6" t="s">
        <v>15</v>
      </c>
      <c r="E181" s="29">
        <v>1655</v>
      </c>
      <c r="F181" s="29">
        <v>1527.88</v>
      </c>
      <c r="G181" s="16">
        <f t="shared" si="4"/>
        <v>127.11999999999989</v>
      </c>
      <c r="H181" s="9">
        <f t="shared" si="5"/>
        <v>8.32002513286383E-2</v>
      </c>
      <c r="I181" s="6" t="s">
        <v>23</v>
      </c>
    </row>
    <row r="182" spans="1:9" x14ac:dyDescent="0.25">
      <c r="A182" s="6" t="s">
        <v>69</v>
      </c>
      <c r="B182" s="6" t="s">
        <v>288</v>
      </c>
      <c r="C182" s="38" t="s">
        <v>296</v>
      </c>
      <c r="D182" s="6" t="s">
        <v>15</v>
      </c>
      <c r="E182" s="29">
        <v>1655</v>
      </c>
      <c r="F182" s="29">
        <v>1527.88</v>
      </c>
      <c r="G182" s="16">
        <f t="shared" si="4"/>
        <v>127.11999999999989</v>
      </c>
      <c r="H182" s="9">
        <f t="shared" si="5"/>
        <v>8.32002513286383E-2</v>
      </c>
      <c r="I182" s="6" t="s">
        <v>23</v>
      </c>
    </row>
    <row r="183" spans="1:9" x14ac:dyDescent="0.25">
      <c r="A183" s="6" t="s">
        <v>69</v>
      </c>
      <c r="B183" s="6" t="s">
        <v>288</v>
      </c>
      <c r="C183" s="38" t="s">
        <v>297</v>
      </c>
      <c r="D183" s="6" t="s">
        <v>15</v>
      </c>
      <c r="E183" s="29">
        <v>1655</v>
      </c>
      <c r="F183" s="29">
        <v>1528</v>
      </c>
      <c r="G183" s="16">
        <f t="shared" si="4"/>
        <v>127</v>
      </c>
      <c r="H183" s="9">
        <f t="shared" si="5"/>
        <v>8.3115183246073296E-2</v>
      </c>
      <c r="I183" s="6" t="s">
        <v>23</v>
      </c>
    </row>
    <row r="184" spans="1:9" x14ac:dyDescent="0.25">
      <c r="A184" s="6" t="s">
        <v>69</v>
      </c>
      <c r="B184" s="6" t="s">
        <v>288</v>
      </c>
      <c r="C184" s="38" t="s">
        <v>298</v>
      </c>
      <c r="D184" s="6" t="s">
        <v>15</v>
      </c>
      <c r="E184" s="29">
        <v>1655</v>
      </c>
      <c r="F184" s="29">
        <v>1527.88</v>
      </c>
      <c r="G184" s="16">
        <f t="shared" si="4"/>
        <v>127.11999999999989</v>
      </c>
      <c r="H184" s="9">
        <f t="shared" si="5"/>
        <v>8.32002513286383E-2</v>
      </c>
      <c r="I184" s="6" t="s">
        <v>23</v>
      </c>
    </row>
    <row r="185" spans="1:9" x14ac:dyDescent="0.25">
      <c r="A185" s="6" t="s">
        <v>69</v>
      </c>
      <c r="B185" s="6" t="s">
        <v>288</v>
      </c>
      <c r="C185" s="38" t="s">
        <v>299</v>
      </c>
      <c r="D185" s="6" t="s">
        <v>15</v>
      </c>
      <c r="E185" s="29">
        <v>1655</v>
      </c>
      <c r="F185" s="29">
        <v>1527.88</v>
      </c>
      <c r="G185" s="16">
        <f t="shared" si="4"/>
        <v>127.11999999999989</v>
      </c>
      <c r="H185" s="9">
        <f t="shared" si="5"/>
        <v>8.32002513286383E-2</v>
      </c>
      <c r="I185" s="6" t="s">
        <v>23</v>
      </c>
    </row>
    <row r="186" spans="1:9" x14ac:dyDescent="0.25">
      <c r="A186" s="6" t="s">
        <v>300</v>
      </c>
      <c r="B186" s="6" t="s">
        <v>33</v>
      </c>
      <c r="C186" s="38">
        <v>350889861073445</v>
      </c>
      <c r="D186" s="6" t="s">
        <v>15</v>
      </c>
      <c r="E186" s="29">
        <v>3470</v>
      </c>
      <c r="F186" s="29">
        <v>3344</v>
      </c>
      <c r="G186" s="16">
        <f t="shared" si="4"/>
        <v>126</v>
      </c>
      <c r="H186" s="9">
        <f t="shared" si="5"/>
        <v>3.7679425837320576E-2</v>
      </c>
      <c r="I186" s="6" t="s">
        <v>23</v>
      </c>
    </row>
    <row r="187" spans="1:9" x14ac:dyDescent="0.25">
      <c r="A187" s="6" t="s">
        <v>390</v>
      </c>
      <c r="B187" s="6" t="s">
        <v>402</v>
      </c>
      <c r="C187" s="38" t="s">
        <v>403</v>
      </c>
      <c r="D187" s="6" t="s">
        <v>15</v>
      </c>
      <c r="E187" s="29">
        <v>1470</v>
      </c>
      <c r="F187" s="29">
        <v>1078</v>
      </c>
      <c r="G187" s="16">
        <f t="shared" si="4"/>
        <v>392</v>
      </c>
      <c r="H187" s="9">
        <f t="shared" si="5"/>
        <v>0.36363636363636365</v>
      </c>
      <c r="I187" s="6" t="s">
        <v>23</v>
      </c>
    </row>
    <row r="188" spans="1:9" x14ac:dyDescent="0.25">
      <c r="A188" s="6" t="s">
        <v>390</v>
      </c>
      <c r="B188" s="6" t="s">
        <v>402</v>
      </c>
      <c r="C188" s="38" t="s">
        <v>404</v>
      </c>
      <c r="D188" s="6" t="s">
        <v>15</v>
      </c>
      <c r="E188" s="29">
        <v>1470</v>
      </c>
      <c r="F188" s="29">
        <v>1080</v>
      </c>
      <c r="G188" s="16">
        <f t="shared" si="4"/>
        <v>390</v>
      </c>
      <c r="H188" s="9">
        <f t="shared" si="5"/>
        <v>0.3611111111111111</v>
      </c>
      <c r="I188" s="6" t="s">
        <v>23</v>
      </c>
    </row>
    <row r="189" spans="1:9" x14ac:dyDescent="0.25">
      <c r="A189" s="6" t="s">
        <v>390</v>
      </c>
      <c r="B189" s="6" t="s">
        <v>402</v>
      </c>
      <c r="C189" s="38" t="s">
        <v>405</v>
      </c>
      <c r="D189" s="6" t="s">
        <v>15</v>
      </c>
      <c r="E189" s="29">
        <v>1470</v>
      </c>
      <c r="F189" s="29">
        <v>1078</v>
      </c>
      <c r="G189" s="16">
        <f t="shared" si="4"/>
        <v>392</v>
      </c>
      <c r="H189" s="9">
        <f t="shared" si="5"/>
        <v>0.36363636363636365</v>
      </c>
      <c r="I189" s="6" t="s">
        <v>23</v>
      </c>
    </row>
    <row r="190" spans="1:9" x14ac:dyDescent="0.25">
      <c r="A190" s="6" t="s">
        <v>390</v>
      </c>
      <c r="B190" s="6" t="s">
        <v>402</v>
      </c>
      <c r="C190" s="38" t="s">
        <v>406</v>
      </c>
      <c r="D190" s="6" t="s">
        <v>15</v>
      </c>
      <c r="E190" s="29">
        <v>1470</v>
      </c>
      <c r="F190" s="29">
        <v>1078</v>
      </c>
      <c r="G190" s="16">
        <f t="shared" si="4"/>
        <v>392</v>
      </c>
      <c r="H190" s="9">
        <f t="shared" si="5"/>
        <v>0.36363636363636365</v>
      </c>
      <c r="I190" s="6" t="s">
        <v>23</v>
      </c>
    </row>
    <row r="191" spans="1:9" x14ac:dyDescent="0.25">
      <c r="A191" s="6" t="s">
        <v>390</v>
      </c>
      <c r="B191" s="6" t="s">
        <v>402</v>
      </c>
      <c r="C191" s="38" t="s">
        <v>407</v>
      </c>
      <c r="D191" s="6" t="s">
        <v>15</v>
      </c>
      <c r="E191" s="29">
        <v>1470</v>
      </c>
      <c r="F191" s="29">
        <v>1078</v>
      </c>
      <c r="G191" s="16">
        <f t="shared" si="4"/>
        <v>392</v>
      </c>
      <c r="H191" s="9">
        <f t="shared" si="5"/>
        <v>0.36363636363636365</v>
      </c>
      <c r="I191" s="6" t="s">
        <v>23</v>
      </c>
    </row>
    <row r="192" spans="1:9" x14ac:dyDescent="0.25">
      <c r="A192" s="6" t="s">
        <v>390</v>
      </c>
      <c r="B192" s="6" t="s">
        <v>402</v>
      </c>
      <c r="C192" s="38" t="s">
        <v>408</v>
      </c>
      <c r="D192" s="6" t="s">
        <v>15</v>
      </c>
      <c r="E192" s="29">
        <v>1470</v>
      </c>
      <c r="F192" s="29">
        <v>1078</v>
      </c>
      <c r="G192" s="16">
        <f t="shared" si="4"/>
        <v>392</v>
      </c>
      <c r="H192" s="9">
        <f t="shared" si="5"/>
        <v>0.36363636363636365</v>
      </c>
      <c r="I192" s="6" t="s">
        <v>23</v>
      </c>
    </row>
    <row r="193" spans="1:9" x14ac:dyDescent="0.25">
      <c r="A193" s="26" t="s">
        <v>390</v>
      </c>
      <c r="B193" s="26" t="s">
        <v>409</v>
      </c>
      <c r="C193" s="37" t="s">
        <v>410</v>
      </c>
      <c r="D193" s="27" t="s">
        <v>15</v>
      </c>
      <c r="E193" s="27">
        <v>850</v>
      </c>
      <c r="F193" s="27">
        <v>1080</v>
      </c>
      <c r="G193" s="27">
        <f t="shared" si="4"/>
        <v>-230</v>
      </c>
      <c r="H193" s="28">
        <f t="shared" si="5"/>
        <v>-0.21296296296296297</v>
      </c>
      <c r="I193" s="26" t="s">
        <v>23</v>
      </c>
    </row>
    <row r="194" spans="1:9" x14ac:dyDescent="0.25">
      <c r="A194" s="6" t="s">
        <v>390</v>
      </c>
      <c r="B194" s="6" t="s">
        <v>411</v>
      </c>
      <c r="C194" s="38" t="s">
        <v>412</v>
      </c>
      <c r="D194" s="6" t="s">
        <v>15</v>
      </c>
      <c r="E194" s="29">
        <v>1250</v>
      </c>
      <c r="F194" s="29">
        <v>1080</v>
      </c>
      <c r="G194" s="16">
        <f t="shared" ref="G194:G227" si="6">E194-F194</f>
        <v>170</v>
      </c>
      <c r="H194" s="9">
        <f t="shared" ref="H194:H227" si="7">(E194-F194)/F194</f>
        <v>0.15740740740740741</v>
      </c>
      <c r="I194" s="6" t="s">
        <v>23</v>
      </c>
    </row>
    <row r="195" spans="1:9" x14ac:dyDescent="0.25">
      <c r="A195" s="6" t="s">
        <v>390</v>
      </c>
      <c r="B195" s="6" t="s">
        <v>411</v>
      </c>
      <c r="C195" s="38" t="s">
        <v>413</v>
      </c>
      <c r="D195" s="6" t="s">
        <v>15</v>
      </c>
      <c r="E195" s="29">
        <v>1470</v>
      </c>
      <c r="F195" s="29">
        <v>1079</v>
      </c>
      <c r="G195" s="16">
        <f t="shared" si="6"/>
        <v>391</v>
      </c>
      <c r="H195" s="9">
        <f t="shared" si="7"/>
        <v>0.3623725671918443</v>
      </c>
      <c r="I195" s="6" t="s">
        <v>23</v>
      </c>
    </row>
    <row r="196" spans="1:9" x14ac:dyDescent="0.25">
      <c r="A196" s="6" t="s">
        <v>390</v>
      </c>
      <c r="B196" s="6" t="s">
        <v>411</v>
      </c>
      <c r="C196" s="38" t="s">
        <v>414</v>
      </c>
      <c r="D196" s="6" t="s">
        <v>15</v>
      </c>
      <c r="E196" s="29">
        <v>1470</v>
      </c>
      <c r="F196" s="29">
        <v>1079</v>
      </c>
      <c r="G196" s="16">
        <f t="shared" si="6"/>
        <v>391</v>
      </c>
      <c r="H196" s="9">
        <f t="shared" si="7"/>
        <v>0.3623725671918443</v>
      </c>
      <c r="I196" s="6" t="s">
        <v>23</v>
      </c>
    </row>
    <row r="197" spans="1:9" x14ac:dyDescent="0.25">
      <c r="A197" s="6" t="s">
        <v>390</v>
      </c>
      <c r="B197" s="6" t="s">
        <v>411</v>
      </c>
      <c r="C197" s="38" t="s">
        <v>415</v>
      </c>
      <c r="D197" s="6" t="s">
        <v>15</v>
      </c>
      <c r="E197" s="29">
        <v>1470</v>
      </c>
      <c r="F197" s="29">
        <v>1079</v>
      </c>
      <c r="G197" s="16">
        <f t="shared" si="6"/>
        <v>391</v>
      </c>
      <c r="H197" s="9">
        <f t="shared" si="7"/>
        <v>0.3623725671918443</v>
      </c>
      <c r="I197" s="6" t="s">
        <v>23</v>
      </c>
    </row>
    <row r="198" spans="1:9" x14ac:dyDescent="0.25">
      <c r="A198" s="6" t="s">
        <v>390</v>
      </c>
      <c r="B198" s="6" t="s">
        <v>411</v>
      </c>
      <c r="C198" s="38" t="s">
        <v>416</v>
      </c>
      <c r="D198" s="6" t="s">
        <v>15</v>
      </c>
      <c r="E198" s="29">
        <v>1470</v>
      </c>
      <c r="F198" s="29">
        <v>1079</v>
      </c>
      <c r="G198" s="16">
        <f t="shared" si="6"/>
        <v>391</v>
      </c>
      <c r="H198" s="9">
        <f t="shared" si="7"/>
        <v>0.3623725671918443</v>
      </c>
      <c r="I198" s="6" t="s">
        <v>23</v>
      </c>
    </row>
    <row r="199" spans="1:9" x14ac:dyDescent="0.25">
      <c r="A199" s="6" t="s">
        <v>390</v>
      </c>
      <c r="B199" s="6" t="s">
        <v>411</v>
      </c>
      <c r="C199" s="38" t="s">
        <v>417</v>
      </c>
      <c r="D199" s="6" t="s">
        <v>15</v>
      </c>
      <c r="E199" s="29">
        <v>1470</v>
      </c>
      <c r="F199" s="29">
        <v>1080</v>
      </c>
      <c r="G199" s="16">
        <f t="shared" si="6"/>
        <v>390</v>
      </c>
      <c r="H199" s="9">
        <f t="shared" si="7"/>
        <v>0.3611111111111111</v>
      </c>
      <c r="I199" s="6" t="s">
        <v>23</v>
      </c>
    </row>
    <row r="200" spans="1:9" x14ac:dyDescent="0.25">
      <c r="A200" s="6" t="s">
        <v>390</v>
      </c>
      <c r="B200" s="6" t="s">
        <v>411</v>
      </c>
      <c r="C200" s="38" t="s">
        <v>418</v>
      </c>
      <c r="D200" s="6" t="s">
        <v>15</v>
      </c>
      <c r="E200" s="29">
        <v>1470</v>
      </c>
      <c r="F200" s="29">
        <v>1079</v>
      </c>
      <c r="G200" s="16">
        <f t="shared" si="6"/>
        <v>391</v>
      </c>
      <c r="H200" s="9">
        <f t="shared" si="7"/>
        <v>0.3623725671918443</v>
      </c>
      <c r="I200" s="6" t="s">
        <v>23</v>
      </c>
    </row>
    <row r="201" spans="1:9" x14ac:dyDescent="0.25">
      <c r="A201" s="6" t="s">
        <v>390</v>
      </c>
      <c r="B201" s="6" t="s">
        <v>411</v>
      </c>
      <c r="C201" s="38" t="s">
        <v>419</v>
      </c>
      <c r="D201" s="6" t="s">
        <v>15</v>
      </c>
      <c r="E201" s="29">
        <v>1470</v>
      </c>
      <c r="F201" s="29">
        <v>1079</v>
      </c>
      <c r="G201" s="16">
        <f t="shared" si="6"/>
        <v>391</v>
      </c>
      <c r="H201" s="9">
        <f t="shared" si="7"/>
        <v>0.3623725671918443</v>
      </c>
      <c r="I201" s="6" t="s">
        <v>23</v>
      </c>
    </row>
    <row r="202" spans="1:9" x14ac:dyDescent="0.25">
      <c r="A202" s="6" t="s">
        <v>390</v>
      </c>
      <c r="B202" s="6" t="s">
        <v>411</v>
      </c>
      <c r="C202" s="38" t="s">
        <v>420</v>
      </c>
      <c r="D202" s="6" t="s">
        <v>15</v>
      </c>
      <c r="E202" s="29">
        <v>1470</v>
      </c>
      <c r="F202" s="29">
        <v>1079</v>
      </c>
      <c r="G202" s="16">
        <f t="shared" si="6"/>
        <v>391</v>
      </c>
      <c r="H202" s="9">
        <f t="shared" si="7"/>
        <v>0.3623725671918443</v>
      </c>
      <c r="I202" s="6" t="s">
        <v>23</v>
      </c>
    </row>
    <row r="203" spans="1:9" x14ac:dyDescent="0.25">
      <c r="A203" s="6" t="s">
        <v>390</v>
      </c>
      <c r="B203" s="6" t="s">
        <v>411</v>
      </c>
      <c r="C203" s="38" t="s">
        <v>421</v>
      </c>
      <c r="D203" s="6" t="s">
        <v>15</v>
      </c>
      <c r="E203" s="29">
        <v>1470</v>
      </c>
      <c r="F203" s="29">
        <v>1079</v>
      </c>
      <c r="G203" s="16">
        <f t="shared" si="6"/>
        <v>391</v>
      </c>
      <c r="H203" s="9">
        <f t="shared" si="7"/>
        <v>0.3623725671918443</v>
      </c>
      <c r="I203" s="6" t="s">
        <v>23</v>
      </c>
    </row>
    <row r="204" spans="1:9" x14ac:dyDescent="0.25">
      <c r="A204" s="6" t="s">
        <v>390</v>
      </c>
      <c r="B204" s="6" t="s">
        <v>422</v>
      </c>
      <c r="C204" s="38" t="s">
        <v>423</v>
      </c>
      <c r="D204" s="6" t="s">
        <v>15</v>
      </c>
      <c r="E204" s="29">
        <v>1550</v>
      </c>
      <c r="F204" s="29">
        <v>1366</v>
      </c>
      <c r="G204" s="16">
        <f t="shared" si="6"/>
        <v>184</v>
      </c>
      <c r="H204" s="9">
        <f t="shared" si="7"/>
        <v>0.13469985358711567</v>
      </c>
      <c r="I204" s="6" t="s">
        <v>23</v>
      </c>
    </row>
    <row r="205" spans="1:9" x14ac:dyDescent="0.25">
      <c r="A205" s="6" t="s">
        <v>390</v>
      </c>
      <c r="B205" s="6" t="s">
        <v>422</v>
      </c>
      <c r="C205" s="38" t="s">
        <v>424</v>
      </c>
      <c r="D205" s="6" t="s">
        <v>15</v>
      </c>
      <c r="E205" s="29">
        <v>1550</v>
      </c>
      <c r="F205" s="29">
        <v>1438</v>
      </c>
      <c r="G205" s="16">
        <f t="shared" si="6"/>
        <v>112</v>
      </c>
      <c r="H205" s="9">
        <f t="shared" si="7"/>
        <v>7.7885952712100137E-2</v>
      </c>
      <c r="I205" s="6" t="s">
        <v>23</v>
      </c>
    </row>
    <row r="206" spans="1:9" x14ac:dyDescent="0.25">
      <c r="A206" s="6" t="s">
        <v>390</v>
      </c>
      <c r="B206" s="6" t="s">
        <v>422</v>
      </c>
      <c r="C206" s="38" t="s">
        <v>425</v>
      </c>
      <c r="D206" s="6" t="s">
        <v>15</v>
      </c>
      <c r="E206" s="29">
        <v>1550</v>
      </c>
      <c r="F206" s="29">
        <v>1366</v>
      </c>
      <c r="G206" s="16">
        <f t="shared" si="6"/>
        <v>184</v>
      </c>
      <c r="H206" s="9">
        <f t="shared" si="7"/>
        <v>0.13469985358711567</v>
      </c>
      <c r="I206" s="6" t="s">
        <v>23</v>
      </c>
    </row>
    <row r="207" spans="1:9" x14ac:dyDescent="0.25">
      <c r="A207" s="26" t="s">
        <v>390</v>
      </c>
      <c r="B207" s="26" t="s">
        <v>426</v>
      </c>
      <c r="C207" s="37" t="s">
        <v>427</v>
      </c>
      <c r="D207" s="26" t="s">
        <v>15</v>
      </c>
      <c r="E207" s="27">
        <v>850</v>
      </c>
      <c r="F207" s="27">
        <v>1260</v>
      </c>
      <c r="G207" s="27">
        <f t="shared" si="6"/>
        <v>-410</v>
      </c>
      <c r="H207" s="28">
        <f t="shared" si="7"/>
        <v>-0.32539682539682541</v>
      </c>
      <c r="I207" s="26" t="s">
        <v>23</v>
      </c>
    </row>
    <row r="208" spans="1:9" x14ac:dyDescent="0.25">
      <c r="A208" s="6" t="s">
        <v>390</v>
      </c>
      <c r="B208" s="6" t="s">
        <v>428</v>
      </c>
      <c r="C208" s="38" t="s">
        <v>429</v>
      </c>
      <c r="D208" s="6" t="s">
        <v>15</v>
      </c>
      <c r="E208" s="29">
        <v>1470</v>
      </c>
      <c r="F208" s="29">
        <v>1258</v>
      </c>
      <c r="G208" s="16">
        <f t="shared" si="6"/>
        <v>212</v>
      </c>
      <c r="H208" s="9">
        <f t="shared" si="7"/>
        <v>0.16852146263910969</v>
      </c>
      <c r="I208" s="6" t="s">
        <v>23</v>
      </c>
    </row>
    <row r="209" spans="1:9" x14ac:dyDescent="0.25">
      <c r="A209" s="6" t="s">
        <v>390</v>
      </c>
      <c r="B209" s="6" t="s">
        <v>428</v>
      </c>
      <c r="C209" s="38" t="s">
        <v>430</v>
      </c>
      <c r="D209" s="6" t="s">
        <v>15</v>
      </c>
      <c r="E209" s="29">
        <v>1470</v>
      </c>
      <c r="F209" s="29">
        <v>1258</v>
      </c>
      <c r="G209" s="16">
        <f t="shared" si="6"/>
        <v>212</v>
      </c>
      <c r="H209" s="9">
        <f t="shared" si="7"/>
        <v>0.16852146263910969</v>
      </c>
      <c r="I209" s="6" t="s">
        <v>23</v>
      </c>
    </row>
    <row r="210" spans="1:9" x14ac:dyDescent="0.25">
      <c r="A210" s="6" t="s">
        <v>390</v>
      </c>
      <c r="B210" s="6" t="s">
        <v>428</v>
      </c>
      <c r="C210" s="38" t="s">
        <v>431</v>
      </c>
      <c r="D210" s="6" t="s">
        <v>15</v>
      </c>
      <c r="E210" s="29">
        <v>1470</v>
      </c>
      <c r="F210" s="29">
        <v>1258</v>
      </c>
      <c r="G210" s="16">
        <f t="shared" si="6"/>
        <v>212</v>
      </c>
      <c r="H210" s="9">
        <f t="shared" si="7"/>
        <v>0.16852146263910969</v>
      </c>
      <c r="I210" s="6" t="s">
        <v>23</v>
      </c>
    </row>
    <row r="211" spans="1:9" x14ac:dyDescent="0.25">
      <c r="A211" s="6" t="s">
        <v>390</v>
      </c>
      <c r="B211" s="6" t="s">
        <v>428</v>
      </c>
      <c r="C211" s="38" t="s">
        <v>432</v>
      </c>
      <c r="D211" s="6" t="s">
        <v>15</v>
      </c>
      <c r="E211" s="29">
        <v>1470</v>
      </c>
      <c r="F211" s="29">
        <v>1258</v>
      </c>
      <c r="G211" s="16">
        <f t="shared" si="6"/>
        <v>212</v>
      </c>
      <c r="H211" s="9">
        <f t="shared" si="7"/>
        <v>0.16852146263910969</v>
      </c>
      <c r="I211" s="6" t="s">
        <v>23</v>
      </c>
    </row>
    <row r="212" spans="1:9" x14ac:dyDescent="0.25">
      <c r="A212" s="6" t="s">
        <v>390</v>
      </c>
      <c r="B212" s="6" t="s">
        <v>428</v>
      </c>
      <c r="C212" s="38" t="s">
        <v>433</v>
      </c>
      <c r="D212" s="6" t="s">
        <v>15</v>
      </c>
      <c r="E212" s="29">
        <v>1286</v>
      </c>
      <c r="F212" s="29">
        <v>1260</v>
      </c>
      <c r="G212" s="16">
        <f t="shared" si="6"/>
        <v>26</v>
      </c>
      <c r="H212" s="9">
        <f t="shared" si="7"/>
        <v>2.0634920634920634E-2</v>
      </c>
      <c r="I212" s="6" t="s">
        <v>23</v>
      </c>
    </row>
    <row r="213" spans="1:9" x14ac:dyDescent="0.25">
      <c r="A213" s="6" t="s">
        <v>390</v>
      </c>
      <c r="B213" s="6" t="s">
        <v>428</v>
      </c>
      <c r="C213" s="38" t="s">
        <v>434</v>
      </c>
      <c r="D213" s="6" t="s">
        <v>15</v>
      </c>
      <c r="E213" s="29">
        <v>1470</v>
      </c>
      <c r="F213" s="29">
        <v>1258</v>
      </c>
      <c r="G213" s="16">
        <f t="shared" si="6"/>
        <v>212</v>
      </c>
      <c r="H213" s="9">
        <f t="shared" si="7"/>
        <v>0.16852146263910969</v>
      </c>
      <c r="I213" s="6" t="s">
        <v>23</v>
      </c>
    </row>
    <row r="214" spans="1:9" x14ac:dyDescent="0.25">
      <c r="A214" s="6" t="s">
        <v>390</v>
      </c>
      <c r="B214" s="6" t="s">
        <v>428</v>
      </c>
      <c r="C214" s="38" t="s">
        <v>435</v>
      </c>
      <c r="D214" s="6" t="s">
        <v>15</v>
      </c>
      <c r="E214" s="29">
        <v>1470</v>
      </c>
      <c r="F214" s="29">
        <v>1258</v>
      </c>
      <c r="G214" s="16">
        <f t="shared" si="6"/>
        <v>212</v>
      </c>
      <c r="H214" s="9">
        <f t="shared" si="7"/>
        <v>0.16852146263910969</v>
      </c>
      <c r="I214" s="6" t="s">
        <v>23</v>
      </c>
    </row>
    <row r="215" spans="1:9" x14ac:dyDescent="0.25">
      <c r="A215" s="6" t="s">
        <v>390</v>
      </c>
      <c r="B215" s="6" t="s">
        <v>428</v>
      </c>
      <c r="C215" s="38" t="s">
        <v>436</v>
      </c>
      <c r="D215" s="6" t="s">
        <v>15</v>
      </c>
      <c r="E215" s="29">
        <v>1470</v>
      </c>
      <c r="F215" s="29">
        <v>1258</v>
      </c>
      <c r="G215" s="16">
        <f t="shared" si="6"/>
        <v>212</v>
      </c>
      <c r="H215" s="9">
        <f t="shared" si="7"/>
        <v>0.16852146263910969</v>
      </c>
      <c r="I215" s="6" t="s">
        <v>23</v>
      </c>
    </row>
    <row r="216" spans="1:9" x14ac:dyDescent="0.25">
      <c r="A216" s="6" t="s">
        <v>390</v>
      </c>
      <c r="B216" s="6" t="s">
        <v>428</v>
      </c>
      <c r="C216" s="38" t="s">
        <v>437</v>
      </c>
      <c r="D216" s="6" t="s">
        <v>15</v>
      </c>
      <c r="E216" s="29">
        <v>1470</v>
      </c>
      <c r="F216" s="29">
        <v>1258</v>
      </c>
      <c r="G216" s="16">
        <f t="shared" si="6"/>
        <v>212</v>
      </c>
      <c r="H216" s="9">
        <f t="shared" si="7"/>
        <v>0.16852146263910969</v>
      </c>
      <c r="I216" s="6" t="s">
        <v>23</v>
      </c>
    </row>
    <row r="217" spans="1:9" x14ac:dyDescent="0.25">
      <c r="A217" s="6" t="s">
        <v>390</v>
      </c>
      <c r="B217" s="6" t="s">
        <v>428</v>
      </c>
      <c r="C217" s="38" t="s">
        <v>438</v>
      </c>
      <c r="D217" s="6" t="s">
        <v>15</v>
      </c>
      <c r="E217" s="29">
        <v>1470</v>
      </c>
      <c r="F217" s="29">
        <v>1258</v>
      </c>
      <c r="G217" s="16">
        <f t="shared" si="6"/>
        <v>212</v>
      </c>
      <c r="H217" s="9">
        <f t="shared" si="7"/>
        <v>0.16852146263910969</v>
      </c>
      <c r="I217" s="6" t="s">
        <v>23</v>
      </c>
    </row>
    <row r="218" spans="1:9" x14ac:dyDescent="0.25">
      <c r="A218" s="6" t="s">
        <v>390</v>
      </c>
      <c r="B218" s="6" t="s">
        <v>441</v>
      </c>
      <c r="C218" s="38" t="s">
        <v>442</v>
      </c>
      <c r="D218" s="6" t="s">
        <v>15</v>
      </c>
      <c r="E218" s="29">
        <v>1200</v>
      </c>
      <c r="F218" s="29">
        <v>900</v>
      </c>
      <c r="G218" s="16">
        <f t="shared" si="6"/>
        <v>300</v>
      </c>
      <c r="H218" s="9">
        <f t="shared" si="7"/>
        <v>0.33333333333333331</v>
      </c>
      <c r="I218" s="6" t="s">
        <v>23</v>
      </c>
    </row>
    <row r="219" spans="1:9" x14ac:dyDescent="0.25">
      <c r="A219" s="6" t="s">
        <v>390</v>
      </c>
      <c r="B219" s="6" t="s">
        <v>38</v>
      </c>
      <c r="C219" s="38" t="s">
        <v>447</v>
      </c>
      <c r="D219" s="6" t="s">
        <v>15</v>
      </c>
      <c r="E219" s="29">
        <v>2450</v>
      </c>
      <c r="F219" s="29">
        <v>2300.8000000000002</v>
      </c>
      <c r="G219" s="16">
        <f t="shared" si="6"/>
        <v>149.19999999999982</v>
      </c>
      <c r="H219" s="9">
        <f t="shared" si="7"/>
        <v>6.4847009735744005E-2</v>
      </c>
      <c r="I219" s="6" t="s">
        <v>23</v>
      </c>
    </row>
    <row r="220" spans="1:9" x14ac:dyDescent="0.25">
      <c r="A220" s="6" t="s">
        <v>390</v>
      </c>
      <c r="B220" s="6" t="s">
        <v>448</v>
      </c>
      <c r="C220" s="38" t="s">
        <v>454</v>
      </c>
      <c r="D220" s="6" t="s">
        <v>15</v>
      </c>
      <c r="E220" s="29">
        <v>850</v>
      </c>
      <c r="F220" s="29">
        <v>719</v>
      </c>
      <c r="G220" s="16">
        <f t="shared" si="6"/>
        <v>131</v>
      </c>
      <c r="H220" s="9">
        <f t="shared" si="7"/>
        <v>0.18219749652294853</v>
      </c>
      <c r="I220" s="6" t="s">
        <v>23</v>
      </c>
    </row>
    <row r="221" spans="1:9" x14ac:dyDescent="0.25">
      <c r="A221" s="6" t="s">
        <v>390</v>
      </c>
      <c r="B221" s="6" t="s">
        <v>448</v>
      </c>
      <c r="C221" s="38" t="s">
        <v>455</v>
      </c>
      <c r="D221" s="6" t="s">
        <v>15</v>
      </c>
      <c r="E221" s="29">
        <v>850</v>
      </c>
      <c r="F221" s="29">
        <v>629.12</v>
      </c>
      <c r="G221" s="16">
        <f t="shared" si="6"/>
        <v>220.88</v>
      </c>
      <c r="H221" s="9">
        <f t="shared" si="7"/>
        <v>0.35109359104781279</v>
      </c>
      <c r="I221" s="6" t="s">
        <v>23</v>
      </c>
    </row>
    <row r="222" spans="1:9" x14ac:dyDescent="0.25">
      <c r="A222" s="6" t="s">
        <v>390</v>
      </c>
      <c r="B222" s="6" t="s">
        <v>448</v>
      </c>
      <c r="C222" s="38" t="s">
        <v>457</v>
      </c>
      <c r="D222" s="6" t="s">
        <v>15</v>
      </c>
      <c r="E222" s="29">
        <v>850</v>
      </c>
      <c r="F222" s="29">
        <v>665.07</v>
      </c>
      <c r="G222" s="16">
        <f t="shared" si="6"/>
        <v>184.92999999999995</v>
      </c>
      <c r="H222" s="9">
        <f t="shared" si="7"/>
        <v>0.27806095598959496</v>
      </c>
      <c r="I222" s="6" t="s">
        <v>23</v>
      </c>
    </row>
    <row r="223" spans="1:9" x14ac:dyDescent="0.25">
      <c r="A223" s="6" t="s">
        <v>390</v>
      </c>
      <c r="B223" s="6" t="s">
        <v>448</v>
      </c>
      <c r="C223" s="38" t="s">
        <v>459</v>
      </c>
      <c r="D223" s="6" t="s">
        <v>15</v>
      </c>
      <c r="E223" s="29">
        <v>850</v>
      </c>
      <c r="F223" s="29">
        <v>629.12</v>
      </c>
      <c r="G223" s="16">
        <f t="shared" si="6"/>
        <v>220.88</v>
      </c>
      <c r="H223" s="9">
        <f t="shared" si="7"/>
        <v>0.35109359104781279</v>
      </c>
      <c r="I223" s="6" t="s">
        <v>23</v>
      </c>
    </row>
    <row r="224" spans="1:9" x14ac:dyDescent="0.25">
      <c r="A224" s="26" t="s">
        <v>390</v>
      </c>
      <c r="B224" s="26" t="s">
        <v>448</v>
      </c>
      <c r="C224" s="37" t="s">
        <v>463</v>
      </c>
      <c r="D224" s="26" t="s">
        <v>15</v>
      </c>
      <c r="E224" s="27">
        <v>1250</v>
      </c>
      <c r="F224" s="27">
        <v>1258.25</v>
      </c>
      <c r="G224" s="27">
        <f t="shared" si="6"/>
        <v>-8.25</v>
      </c>
      <c r="H224" s="28">
        <f t="shared" si="7"/>
        <v>-6.5567256109676135E-3</v>
      </c>
      <c r="I224" s="26" t="s">
        <v>23</v>
      </c>
    </row>
    <row r="225" spans="1:9" x14ac:dyDescent="0.25">
      <c r="A225" s="26" t="s">
        <v>390</v>
      </c>
      <c r="B225" s="26" t="s">
        <v>448</v>
      </c>
      <c r="C225" s="37" t="s">
        <v>466</v>
      </c>
      <c r="D225" s="26" t="s">
        <v>15</v>
      </c>
      <c r="E225" s="27">
        <v>1250</v>
      </c>
      <c r="F225" s="27">
        <v>1258.25</v>
      </c>
      <c r="G225" s="27">
        <f t="shared" si="6"/>
        <v>-8.25</v>
      </c>
      <c r="H225" s="28">
        <f t="shared" si="7"/>
        <v>-6.5567256109676135E-3</v>
      </c>
      <c r="I225" s="26" t="s">
        <v>23</v>
      </c>
    </row>
    <row r="226" spans="1:9" x14ac:dyDescent="0.25">
      <c r="A226" s="6" t="s">
        <v>390</v>
      </c>
      <c r="B226" s="6" t="s">
        <v>448</v>
      </c>
      <c r="C226" s="38" t="s">
        <v>467</v>
      </c>
      <c r="D226" s="6" t="s">
        <v>15</v>
      </c>
      <c r="E226" s="29">
        <v>1286</v>
      </c>
      <c r="F226" s="29">
        <v>1258.25</v>
      </c>
      <c r="G226" s="16">
        <f t="shared" si="6"/>
        <v>27.75</v>
      </c>
      <c r="H226" s="9">
        <f t="shared" si="7"/>
        <v>2.2054440691436521E-2</v>
      </c>
      <c r="I226" s="6" t="s">
        <v>23</v>
      </c>
    </row>
    <row r="227" spans="1:9" x14ac:dyDescent="0.25">
      <c r="A227" s="6" t="s">
        <v>390</v>
      </c>
      <c r="B227" s="6" t="s">
        <v>448</v>
      </c>
      <c r="C227" s="38" t="s">
        <v>468</v>
      </c>
      <c r="D227" s="6" t="s">
        <v>15</v>
      </c>
      <c r="E227" s="29">
        <v>1470</v>
      </c>
      <c r="F227" s="29">
        <v>1258.25</v>
      </c>
      <c r="G227" s="16">
        <f t="shared" si="6"/>
        <v>211.75</v>
      </c>
      <c r="H227" s="9">
        <f t="shared" si="7"/>
        <v>0.16828929068150209</v>
      </c>
      <c r="I227" s="6" t="s">
        <v>23</v>
      </c>
    </row>
    <row r="228" spans="1:9" x14ac:dyDescent="0.25">
      <c r="A228" s="6" t="s">
        <v>390</v>
      </c>
      <c r="B228" s="6" t="s">
        <v>448</v>
      </c>
      <c r="C228" s="47" t="s">
        <v>462</v>
      </c>
      <c r="D228" s="6" t="s">
        <v>15</v>
      </c>
      <c r="E228" s="29">
        <v>850</v>
      </c>
      <c r="F228" s="29">
        <v>629.12</v>
      </c>
      <c r="G228" s="29">
        <v>220.88</v>
      </c>
      <c r="H228" s="32">
        <v>35.11</v>
      </c>
      <c r="I228" s="6" t="s">
        <v>23</v>
      </c>
    </row>
    <row r="229" spans="1:9" x14ac:dyDescent="0.25">
      <c r="A229" s="6" t="s">
        <v>390</v>
      </c>
      <c r="B229" s="6" t="s">
        <v>476</v>
      </c>
      <c r="C229" s="38">
        <v>610528253621</v>
      </c>
      <c r="D229" s="6" t="s">
        <v>15</v>
      </c>
      <c r="E229" s="29">
        <v>1980</v>
      </c>
      <c r="F229" s="29">
        <v>1708</v>
      </c>
      <c r="G229" s="16">
        <f t="shared" ref="G229:G292" si="8">E229-F229</f>
        <v>272</v>
      </c>
      <c r="H229" s="9">
        <f t="shared" ref="H229:H292" si="9">(E229-F229)/F229</f>
        <v>0.15925058548009369</v>
      </c>
      <c r="I229" s="6" t="s">
        <v>23</v>
      </c>
    </row>
    <row r="230" spans="1:9" x14ac:dyDescent="0.25">
      <c r="A230" s="6" t="s">
        <v>545</v>
      </c>
      <c r="B230" s="6" t="s">
        <v>206</v>
      </c>
      <c r="C230" s="38">
        <v>358302115419374</v>
      </c>
      <c r="D230" s="6" t="s">
        <v>569</v>
      </c>
      <c r="E230" s="29">
        <v>2145</v>
      </c>
      <c r="F230" s="29">
        <v>1866.8</v>
      </c>
      <c r="G230" s="16">
        <f t="shared" si="8"/>
        <v>278.20000000000005</v>
      </c>
      <c r="H230" s="9">
        <f t="shared" si="9"/>
        <v>0.14902506963788303</v>
      </c>
      <c r="I230" s="6" t="s">
        <v>23</v>
      </c>
    </row>
    <row r="231" spans="1:9" x14ac:dyDescent="0.25">
      <c r="A231" s="6" t="s">
        <v>545</v>
      </c>
      <c r="B231" s="6" t="s">
        <v>206</v>
      </c>
      <c r="C231" s="38">
        <v>358838942194557</v>
      </c>
      <c r="D231" s="6" t="s">
        <v>571</v>
      </c>
      <c r="E231" s="29">
        <v>2145</v>
      </c>
      <c r="F231" s="29">
        <v>1866.8</v>
      </c>
      <c r="G231" s="16">
        <f t="shared" si="8"/>
        <v>278.20000000000005</v>
      </c>
      <c r="H231" s="9">
        <f t="shared" si="9"/>
        <v>0.14902506963788303</v>
      </c>
      <c r="I231" s="6" t="s">
        <v>23</v>
      </c>
    </row>
    <row r="232" spans="1:9" x14ac:dyDescent="0.25">
      <c r="A232" s="6" t="s">
        <v>545</v>
      </c>
      <c r="B232" s="6" t="s">
        <v>215</v>
      </c>
      <c r="C232" s="38">
        <v>351317522351918</v>
      </c>
      <c r="D232" s="6" t="s">
        <v>490</v>
      </c>
      <c r="E232" s="29">
        <v>2880</v>
      </c>
      <c r="F232" s="29">
        <v>2872</v>
      </c>
      <c r="G232" s="16">
        <f t="shared" si="8"/>
        <v>8</v>
      </c>
      <c r="H232" s="9">
        <f t="shared" si="9"/>
        <v>2.7855153203342618E-3</v>
      </c>
      <c r="I232" s="6" t="s">
        <v>23</v>
      </c>
    </row>
    <row r="233" spans="1:9" x14ac:dyDescent="0.25">
      <c r="A233" s="6" t="s">
        <v>545</v>
      </c>
      <c r="B233" s="6" t="s">
        <v>215</v>
      </c>
      <c r="C233" s="38">
        <v>357254473152595</v>
      </c>
      <c r="D233" s="6" t="s">
        <v>15</v>
      </c>
      <c r="E233" s="29">
        <v>2950</v>
      </c>
      <c r="F233" s="29">
        <v>2872</v>
      </c>
      <c r="G233" s="16">
        <f t="shared" si="8"/>
        <v>78</v>
      </c>
      <c r="H233" s="9">
        <f t="shared" si="9"/>
        <v>2.7158774373259052E-2</v>
      </c>
      <c r="I233" s="6" t="s">
        <v>23</v>
      </c>
    </row>
    <row r="234" spans="1:9" x14ac:dyDescent="0.25">
      <c r="A234" s="6" t="s">
        <v>545</v>
      </c>
      <c r="B234" s="6" t="s">
        <v>215</v>
      </c>
      <c r="C234" s="38">
        <v>357254473304543</v>
      </c>
      <c r="D234" s="6" t="s">
        <v>15</v>
      </c>
      <c r="E234" s="29">
        <v>2950</v>
      </c>
      <c r="F234" s="29">
        <v>2872</v>
      </c>
      <c r="G234" s="16">
        <f t="shared" si="8"/>
        <v>78</v>
      </c>
      <c r="H234" s="9">
        <f t="shared" si="9"/>
        <v>2.7158774373259052E-2</v>
      </c>
      <c r="I234" s="6" t="s">
        <v>23</v>
      </c>
    </row>
    <row r="235" spans="1:9" x14ac:dyDescent="0.25">
      <c r="A235" s="6" t="s">
        <v>545</v>
      </c>
      <c r="B235" s="6" t="s">
        <v>215</v>
      </c>
      <c r="C235" s="38">
        <v>357254473437210</v>
      </c>
      <c r="D235" s="6" t="s">
        <v>15</v>
      </c>
      <c r="E235" s="29">
        <v>2950</v>
      </c>
      <c r="F235" s="29">
        <v>2872</v>
      </c>
      <c r="G235" s="16">
        <f t="shared" si="8"/>
        <v>78</v>
      </c>
      <c r="H235" s="9">
        <f t="shared" si="9"/>
        <v>2.7158774373259052E-2</v>
      </c>
      <c r="I235" s="6" t="s">
        <v>23</v>
      </c>
    </row>
    <row r="236" spans="1:9" x14ac:dyDescent="0.25">
      <c r="A236" s="6" t="s">
        <v>545</v>
      </c>
      <c r="B236" s="6" t="s">
        <v>215</v>
      </c>
      <c r="C236" s="38">
        <v>357254473457093</v>
      </c>
      <c r="D236" s="6" t="s">
        <v>15</v>
      </c>
      <c r="E236" s="29">
        <v>2950</v>
      </c>
      <c r="F236" s="29">
        <v>2872</v>
      </c>
      <c r="G236" s="16">
        <f t="shared" si="8"/>
        <v>78</v>
      </c>
      <c r="H236" s="9">
        <f t="shared" si="9"/>
        <v>2.7158774373259052E-2</v>
      </c>
      <c r="I236" s="6" t="s">
        <v>23</v>
      </c>
    </row>
    <row r="237" spans="1:9" x14ac:dyDescent="0.25">
      <c r="A237" s="6" t="s">
        <v>545</v>
      </c>
      <c r="B237" s="6" t="s">
        <v>215</v>
      </c>
      <c r="C237" s="38">
        <v>357254473510214</v>
      </c>
      <c r="D237" s="6" t="s">
        <v>15</v>
      </c>
      <c r="E237" s="29">
        <v>2950</v>
      </c>
      <c r="F237" s="29">
        <v>2872</v>
      </c>
      <c r="G237" s="16">
        <f t="shared" si="8"/>
        <v>78</v>
      </c>
      <c r="H237" s="9">
        <f t="shared" si="9"/>
        <v>2.7158774373259052E-2</v>
      </c>
      <c r="I237" s="6" t="s">
        <v>23</v>
      </c>
    </row>
    <row r="238" spans="1:9" x14ac:dyDescent="0.25">
      <c r="A238" s="6" t="s">
        <v>545</v>
      </c>
      <c r="B238" s="6" t="s">
        <v>215</v>
      </c>
      <c r="C238" s="38">
        <v>357254473534115</v>
      </c>
      <c r="D238" s="6" t="s">
        <v>15</v>
      </c>
      <c r="E238" s="29">
        <v>2950</v>
      </c>
      <c r="F238" s="29">
        <v>2872</v>
      </c>
      <c r="G238" s="16">
        <f t="shared" si="8"/>
        <v>78</v>
      </c>
      <c r="H238" s="9">
        <f t="shared" si="9"/>
        <v>2.7158774373259052E-2</v>
      </c>
      <c r="I238" s="6" t="s">
        <v>23</v>
      </c>
    </row>
    <row r="239" spans="1:9" x14ac:dyDescent="0.25">
      <c r="A239" s="6" t="s">
        <v>545</v>
      </c>
      <c r="B239" s="6" t="s">
        <v>215</v>
      </c>
      <c r="C239" s="38">
        <v>357254473545210</v>
      </c>
      <c r="D239" s="6" t="s">
        <v>15</v>
      </c>
      <c r="E239" s="29">
        <v>2950</v>
      </c>
      <c r="F239" s="29">
        <v>2872</v>
      </c>
      <c r="G239" s="16">
        <f t="shared" si="8"/>
        <v>78</v>
      </c>
      <c r="H239" s="9">
        <f t="shared" si="9"/>
        <v>2.7158774373259052E-2</v>
      </c>
      <c r="I239" s="6" t="s">
        <v>23</v>
      </c>
    </row>
    <row r="240" spans="1:9" x14ac:dyDescent="0.25">
      <c r="A240" s="6" t="s">
        <v>545</v>
      </c>
      <c r="B240" s="6" t="s">
        <v>33</v>
      </c>
      <c r="C240" s="38">
        <v>350599868575991</v>
      </c>
      <c r="D240" s="6" t="s">
        <v>15</v>
      </c>
      <c r="E240" s="29">
        <v>3510</v>
      </c>
      <c r="F240" s="29">
        <v>3338.7</v>
      </c>
      <c r="G240" s="16">
        <f t="shared" si="8"/>
        <v>171.30000000000018</v>
      </c>
      <c r="H240" s="9">
        <f t="shared" si="9"/>
        <v>5.130739509389888E-2</v>
      </c>
      <c r="I240" s="6" t="s">
        <v>23</v>
      </c>
    </row>
    <row r="241" spans="1:9" x14ac:dyDescent="0.25">
      <c r="A241" s="6" t="s">
        <v>545</v>
      </c>
      <c r="B241" s="6" t="s">
        <v>33</v>
      </c>
      <c r="C241" s="38">
        <v>355246650625650</v>
      </c>
      <c r="D241" s="6" t="s">
        <v>490</v>
      </c>
      <c r="E241" s="29">
        <v>3570</v>
      </c>
      <c r="F241" s="29">
        <v>3338.7</v>
      </c>
      <c r="G241" s="16">
        <f t="shared" si="8"/>
        <v>231.30000000000018</v>
      </c>
      <c r="H241" s="9">
        <f t="shared" si="9"/>
        <v>6.927846167670057E-2</v>
      </c>
      <c r="I241" s="6" t="s">
        <v>23</v>
      </c>
    </row>
    <row r="242" spans="1:9" x14ac:dyDescent="0.25">
      <c r="A242" s="6" t="s">
        <v>545</v>
      </c>
      <c r="B242" s="6" t="s">
        <v>38</v>
      </c>
      <c r="C242" s="38" t="s">
        <v>586</v>
      </c>
      <c r="D242" s="6" t="s">
        <v>15</v>
      </c>
      <c r="E242" s="29">
        <v>2430</v>
      </c>
      <c r="F242" s="29">
        <v>2300.8000000000002</v>
      </c>
      <c r="G242" s="16">
        <f t="shared" si="8"/>
        <v>129.19999999999982</v>
      </c>
      <c r="H242" s="9">
        <f t="shared" si="9"/>
        <v>5.6154381084839972E-2</v>
      </c>
      <c r="I242" s="6" t="s">
        <v>23</v>
      </c>
    </row>
    <row r="243" spans="1:9" x14ac:dyDescent="0.25">
      <c r="A243" s="6" t="s">
        <v>545</v>
      </c>
      <c r="B243" s="6" t="s">
        <v>38</v>
      </c>
      <c r="C243" s="38" t="s">
        <v>587</v>
      </c>
      <c r="D243" s="6" t="s">
        <v>15</v>
      </c>
      <c r="E243" s="29">
        <v>2430</v>
      </c>
      <c r="F243" s="29">
        <v>2265</v>
      </c>
      <c r="G243" s="16">
        <f t="shared" si="8"/>
        <v>165</v>
      </c>
      <c r="H243" s="9">
        <f t="shared" si="9"/>
        <v>7.2847682119205295E-2</v>
      </c>
      <c r="I243" s="6" t="s">
        <v>23</v>
      </c>
    </row>
    <row r="244" spans="1:9" x14ac:dyDescent="0.25">
      <c r="A244" s="6" t="s">
        <v>545</v>
      </c>
      <c r="B244" s="6" t="s">
        <v>38</v>
      </c>
      <c r="C244" s="38" t="s">
        <v>588</v>
      </c>
      <c r="D244" s="6" t="s">
        <v>15</v>
      </c>
      <c r="E244" s="29">
        <v>2430</v>
      </c>
      <c r="F244" s="29">
        <v>2300.8000000000002</v>
      </c>
      <c r="G244" s="16">
        <f t="shared" si="8"/>
        <v>129.19999999999982</v>
      </c>
      <c r="H244" s="9">
        <f t="shared" si="9"/>
        <v>5.6154381084839972E-2</v>
      </c>
      <c r="I244" s="6" t="s">
        <v>23</v>
      </c>
    </row>
    <row r="245" spans="1:9" x14ac:dyDescent="0.25">
      <c r="A245" s="6" t="s">
        <v>623</v>
      </c>
      <c r="B245" s="6" t="s">
        <v>626</v>
      </c>
      <c r="C245" s="38" t="s">
        <v>628</v>
      </c>
      <c r="D245" s="6" t="s">
        <v>15</v>
      </c>
      <c r="E245" s="29">
        <v>1080</v>
      </c>
      <c r="F245" s="29">
        <v>1077</v>
      </c>
      <c r="G245" s="16">
        <f t="shared" si="8"/>
        <v>3</v>
      </c>
      <c r="H245" s="9">
        <f t="shared" si="9"/>
        <v>2.7855153203342618E-3</v>
      </c>
      <c r="I245" s="6" t="s">
        <v>23</v>
      </c>
    </row>
    <row r="246" spans="1:9" x14ac:dyDescent="0.25">
      <c r="A246" s="6" t="s">
        <v>623</v>
      </c>
      <c r="B246" s="6" t="s">
        <v>626</v>
      </c>
      <c r="C246" s="38" t="s">
        <v>629</v>
      </c>
      <c r="D246" s="6" t="s">
        <v>15</v>
      </c>
      <c r="E246" s="29">
        <v>1080</v>
      </c>
      <c r="F246" s="29">
        <v>1077</v>
      </c>
      <c r="G246" s="16">
        <f t="shared" si="8"/>
        <v>3</v>
      </c>
      <c r="H246" s="9">
        <f t="shared" si="9"/>
        <v>2.7855153203342618E-3</v>
      </c>
      <c r="I246" s="6" t="s">
        <v>23</v>
      </c>
    </row>
    <row r="247" spans="1:9" x14ac:dyDescent="0.25">
      <c r="A247" s="6" t="s">
        <v>623</v>
      </c>
      <c r="B247" s="6" t="s">
        <v>630</v>
      </c>
      <c r="C247" s="38" t="s">
        <v>632</v>
      </c>
      <c r="D247" s="6" t="s">
        <v>15</v>
      </c>
      <c r="E247" s="29">
        <v>1180</v>
      </c>
      <c r="F247" s="29">
        <v>1148.8</v>
      </c>
      <c r="G247" s="16">
        <f t="shared" si="8"/>
        <v>31.200000000000045</v>
      </c>
      <c r="H247" s="9">
        <f t="shared" si="9"/>
        <v>2.7158774373259094E-2</v>
      </c>
      <c r="I247" s="6" t="s">
        <v>23</v>
      </c>
    </row>
    <row r="248" spans="1:9" x14ac:dyDescent="0.25">
      <c r="A248" s="6" t="s">
        <v>623</v>
      </c>
      <c r="B248" s="6" t="s">
        <v>43</v>
      </c>
      <c r="C248" s="38">
        <v>355827872816332</v>
      </c>
      <c r="D248" s="6" t="s">
        <v>15</v>
      </c>
      <c r="E248" s="29">
        <v>2510</v>
      </c>
      <c r="F248" s="29">
        <v>2423.25</v>
      </c>
      <c r="G248" s="16">
        <f t="shared" si="8"/>
        <v>86.75</v>
      </c>
      <c r="H248" s="9">
        <f t="shared" si="9"/>
        <v>3.5799030227999587E-2</v>
      </c>
      <c r="I248" s="6" t="s">
        <v>23</v>
      </c>
    </row>
    <row r="249" spans="1:9" x14ac:dyDescent="0.25">
      <c r="A249" s="6" t="s">
        <v>623</v>
      </c>
      <c r="B249" s="6" t="s">
        <v>43</v>
      </c>
      <c r="C249" s="38">
        <v>356768325410696</v>
      </c>
      <c r="D249" s="6" t="s">
        <v>15</v>
      </c>
      <c r="E249" s="29">
        <v>2510</v>
      </c>
      <c r="F249" s="29">
        <v>2423.25</v>
      </c>
      <c r="G249" s="16">
        <f t="shared" si="8"/>
        <v>86.75</v>
      </c>
      <c r="H249" s="9">
        <f t="shared" si="9"/>
        <v>3.5799030227999587E-2</v>
      </c>
      <c r="I249" s="6" t="s">
        <v>23</v>
      </c>
    </row>
    <row r="250" spans="1:9" x14ac:dyDescent="0.25">
      <c r="A250" s="6" t="s">
        <v>623</v>
      </c>
      <c r="B250" s="6" t="s">
        <v>642</v>
      </c>
      <c r="C250" s="38">
        <v>355122365010001</v>
      </c>
      <c r="D250" s="6" t="s">
        <v>644</v>
      </c>
      <c r="E250" s="29">
        <v>4700</v>
      </c>
      <c r="F250" s="29">
        <v>4272.1000000000004</v>
      </c>
      <c r="G250" s="16">
        <f t="shared" si="8"/>
        <v>427.89999999999964</v>
      </c>
      <c r="H250" s="9">
        <f t="shared" si="9"/>
        <v>0.10016151307319576</v>
      </c>
      <c r="I250" s="6" t="s">
        <v>23</v>
      </c>
    </row>
    <row r="251" spans="1:9" x14ac:dyDescent="0.25">
      <c r="A251" s="6" t="s">
        <v>623</v>
      </c>
      <c r="B251" s="6" t="s">
        <v>33</v>
      </c>
      <c r="C251" s="38">
        <v>350599860400362</v>
      </c>
      <c r="D251" s="6" t="s">
        <v>646</v>
      </c>
      <c r="E251" s="29">
        <v>3880</v>
      </c>
      <c r="F251" s="29">
        <v>3482.3</v>
      </c>
      <c r="G251" s="16">
        <f t="shared" si="8"/>
        <v>397.69999999999982</v>
      </c>
      <c r="H251" s="9">
        <f t="shared" si="9"/>
        <v>0.11420612813370468</v>
      </c>
      <c r="I251" s="6" t="s">
        <v>23</v>
      </c>
    </row>
    <row r="252" spans="1:9" x14ac:dyDescent="0.25">
      <c r="A252" s="6" t="s">
        <v>623</v>
      </c>
      <c r="B252" s="6" t="s">
        <v>33</v>
      </c>
      <c r="C252" s="38">
        <v>350599860438636</v>
      </c>
      <c r="D252" s="6" t="s">
        <v>646</v>
      </c>
      <c r="E252" s="29">
        <v>3880</v>
      </c>
      <c r="F252" s="29">
        <v>3482.3</v>
      </c>
      <c r="G252" s="16">
        <f t="shared" si="8"/>
        <v>397.69999999999982</v>
      </c>
      <c r="H252" s="9">
        <f t="shared" si="9"/>
        <v>0.11420612813370468</v>
      </c>
      <c r="I252" s="6" t="s">
        <v>23</v>
      </c>
    </row>
    <row r="253" spans="1:9" x14ac:dyDescent="0.25">
      <c r="A253" s="6" t="s">
        <v>623</v>
      </c>
      <c r="B253" s="6" t="s">
        <v>33</v>
      </c>
      <c r="C253" s="38">
        <v>350599861997440</v>
      </c>
      <c r="D253" s="6" t="s">
        <v>646</v>
      </c>
      <c r="E253" s="29">
        <v>3880</v>
      </c>
      <c r="F253" s="29">
        <v>3482.3</v>
      </c>
      <c r="G253" s="16">
        <f t="shared" si="8"/>
        <v>397.69999999999982</v>
      </c>
      <c r="H253" s="9">
        <f t="shared" si="9"/>
        <v>0.11420612813370468</v>
      </c>
      <c r="I253" s="6" t="s">
        <v>23</v>
      </c>
    </row>
    <row r="254" spans="1:9" x14ac:dyDescent="0.25">
      <c r="A254" s="6" t="s">
        <v>623</v>
      </c>
      <c r="B254" s="6" t="s">
        <v>33</v>
      </c>
      <c r="C254" s="38">
        <v>350599864309106</v>
      </c>
      <c r="D254" s="6" t="s">
        <v>646</v>
      </c>
      <c r="E254" s="29">
        <v>3880</v>
      </c>
      <c r="F254" s="29">
        <v>3482.3</v>
      </c>
      <c r="G254" s="16">
        <f t="shared" si="8"/>
        <v>397.69999999999982</v>
      </c>
      <c r="H254" s="9">
        <f t="shared" si="9"/>
        <v>0.11420612813370468</v>
      </c>
      <c r="I254" s="6" t="s">
        <v>23</v>
      </c>
    </row>
    <row r="255" spans="1:9" x14ac:dyDescent="0.25">
      <c r="A255" s="6" t="s">
        <v>623</v>
      </c>
      <c r="B255" s="6" t="s">
        <v>33</v>
      </c>
      <c r="C255" s="38">
        <v>350889860270851</v>
      </c>
      <c r="D255" s="6" t="s">
        <v>652</v>
      </c>
      <c r="E255" s="29">
        <v>3880</v>
      </c>
      <c r="F255" s="29">
        <v>3446.4</v>
      </c>
      <c r="G255" s="16">
        <f t="shared" si="8"/>
        <v>433.59999999999991</v>
      </c>
      <c r="H255" s="9">
        <f t="shared" si="9"/>
        <v>0.1258124419684308</v>
      </c>
      <c r="I255" s="6" t="s">
        <v>23</v>
      </c>
    </row>
    <row r="256" spans="1:9" x14ac:dyDescent="0.25">
      <c r="A256" s="6" t="s">
        <v>623</v>
      </c>
      <c r="B256" s="6" t="s">
        <v>33</v>
      </c>
      <c r="C256" s="38">
        <v>353263423631370</v>
      </c>
      <c r="D256" s="6" t="s">
        <v>646</v>
      </c>
      <c r="E256" s="29">
        <v>3880</v>
      </c>
      <c r="F256" s="29">
        <v>3590</v>
      </c>
      <c r="G256" s="16">
        <f t="shared" si="8"/>
        <v>290</v>
      </c>
      <c r="H256" s="9">
        <f t="shared" si="9"/>
        <v>8.0779944289693595E-2</v>
      </c>
      <c r="I256" s="6" t="s">
        <v>23</v>
      </c>
    </row>
    <row r="257" spans="1:9" x14ac:dyDescent="0.25">
      <c r="A257" s="6" t="s">
        <v>623</v>
      </c>
      <c r="B257" s="6" t="s">
        <v>33</v>
      </c>
      <c r="C257" s="38">
        <v>353263423726956</v>
      </c>
      <c r="D257" s="6" t="s">
        <v>646</v>
      </c>
      <c r="E257" s="29">
        <v>3880</v>
      </c>
      <c r="F257" s="29">
        <v>3590</v>
      </c>
      <c r="G257" s="16">
        <f t="shared" si="8"/>
        <v>290</v>
      </c>
      <c r="H257" s="9">
        <f t="shared" si="9"/>
        <v>8.0779944289693595E-2</v>
      </c>
      <c r="I257" s="6" t="s">
        <v>23</v>
      </c>
    </row>
    <row r="258" spans="1:9" x14ac:dyDescent="0.25">
      <c r="A258" s="6" t="s">
        <v>623</v>
      </c>
      <c r="B258" s="6" t="s">
        <v>33</v>
      </c>
      <c r="C258" s="38">
        <v>353263423995601</v>
      </c>
      <c r="D258" s="6" t="s">
        <v>646</v>
      </c>
      <c r="E258" s="29">
        <v>3880</v>
      </c>
      <c r="F258" s="29">
        <v>3590</v>
      </c>
      <c r="G258" s="16">
        <f t="shared" si="8"/>
        <v>290</v>
      </c>
      <c r="H258" s="9">
        <f t="shared" si="9"/>
        <v>8.0779944289693595E-2</v>
      </c>
      <c r="I258" s="6" t="s">
        <v>23</v>
      </c>
    </row>
    <row r="259" spans="1:9" x14ac:dyDescent="0.25">
      <c r="A259" s="6" t="s">
        <v>623</v>
      </c>
      <c r="B259" s="6" t="s">
        <v>33</v>
      </c>
      <c r="C259" s="38">
        <v>353263424014055</v>
      </c>
      <c r="D259" s="6" t="s">
        <v>646</v>
      </c>
      <c r="E259" s="29">
        <v>3880</v>
      </c>
      <c r="F259" s="29">
        <v>3590</v>
      </c>
      <c r="G259" s="16">
        <f t="shared" si="8"/>
        <v>290</v>
      </c>
      <c r="H259" s="9">
        <f t="shared" si="9"/>
        <v>8.0779944289693595E-2</v>
      </c>
      <c r="I259" s="6" t="s">
        <v>23</v>
      </c>
    </row>
    <row r="260" spans="1:9" x14ac:dyDescent="0.25">
      <c r="A260" s="6" t="s">
        <v>623</v>
      </c>
      <c r="B260" s="6" t="s">
        <v>33</v>
      </c>
      <c r="C260" s="38">
        <v>353263424016977</v>
      </c>
      <c r="D260" s="6" t="s">
        <v>646</v>
      </c>
      <c r="E260" s="29">
        <v>3880</v>
      </c>
      <c r="F260" s="29">
        <v>3590</v>
      </c>
      <c r="G260" s="16">
        <f t="shared" si="8"/>
        <v>290</v>
      </c>
      <c r="H260" s="9">
        <f t="shared" si="9"/>
        <v>8.0779944289693595E-2</v>
      </c>
      <c r="I260" s="6" t="s">
        <v>23</v>
      </c>
    </row>
    <row r="261" spans="1:9" x14ac:dyDescent="0.25">
      <c r="A261" s="6" t="s">
        <v>623</v>
      </c>
      <c r="B261" s="6" t="s">
        <v>33</v>
      </c>
      <c r="C261" s="38">
        <v>353263424081401</v>
      </c>
      <c r="D261" s="6" t="s">
        <v>646</v>
      </c>
      <c r="E261" s="29">
        <v>3880</v>
      </c>
      <c r="F261" s="29">
        <v>3590</v>
      </c>
      <c r="G261" s="16">
        <f t="shared" si="8"/>
        <v>290</v>
      </c>
      <c r="H261" s="9">
        <f t="shared" si="9"/>
        <v>8.0779944289693595E-2</v>
      </c>
      <c r="I261" s="6" t="s">
        <v>23</v>
      </c>
    </row>
    <row r="262" spans="1:9" x14ac:dyDescent="0.25">
      <c r="A262" s="6" t="s">
        <v>623</v>
      </c>
      <c r="B262" s="6" t="s">
        <v>33</v>
      </c>
      <c r="C262" s="38">
        <v>353263424113543</v>
      </c>
      <c r="D262" s="6" t="s">
        <v>646</v>
      </c>
      <c r="E262" s="29">
        <v>3880</v>
      </c>
      <c r="F262" s="29">
        <v>3590</v>
      </c>
      <c r="G262" s="16">
        <f t="shared" si="8"/>
        <v>290</v>
      </c>
      <c r="H262" s="9">
        <f t="shared" si="9"/>
        <v>8.0779944289693595E-2</v>
      </c>
      <c r="I262" s="6" t="s">
        <v>23</v>
      </c>
    </row>
    <row r="263" spans="1:9" x14ac:dyDescent="0.25">
      <c r="A263" s="6" t="s">
        <v>623</v>
      </c>
      <c r="B263" s="6" t="s">
        <v>33</v>
      </c>
      <c r="C263" s="38">
        <v>353263424147939</v>
      </c>
      <c r="D263" s="6" t="s">
        <v>646</v>
      </c>
      <c r="E263" s="29">
        <v>3880</v>
      </c>
      <c r="F263" s="29">
        <v>3590</v>
      </c>
      <c r="G263" s="16">
        <f t="shared" si="8"/>
        <v>290</v>
      </c>
      <c r="H263" s="9">
        <f t="shared" si="9"/>
        <v>8.0779944289693595E-2</v>
      </c>
      <c r="I263" s="6" t="s">
        <v>23</v>
      </c>
    </row>
    <row r="264" spans="1:9" x14ac:dyDescent="0.25">
      <c r="A264" s="6" t="s">
        <v>623</v>
      </c>
      <c r="B264" s="6" t="s">
        <v>33</v>
      </c>
      <c r="C264" s="38">
        <v>353263424158514</v>
      </c>
      <c r="D264" s="6" t="s">
        <v>646</v>
      </c>
      <c r="E264" s="29">
        <v>3880</v>
      </c>
      <c r="F264" s="29">
        <v>3590</v>
      </c>
      <c r="G264" s="16">
        <f t="shared" si="8"/>
        <v>290</v>
      </c>
      <c r="H264" s="9">
        <f t="shared" si="9"/>
        <v>8.0779944289693595E-2</v>
      </c>
      <c r="I264" s="6" t="s">
        <v>23</v>
      </c>
    </row>
    <row r="265" spans="1:9" x14ac:dyDescent="0.25">
      <c r="A265" s="6" t="s">
        <v>623</v>
      </c>
      <c r="B265" s="6" t="s">
        <v>33</v>
      </c>
      <c r="C265" s="38">
        <v>353263424223136</v>
      </c>
      <c r="D265" s="6" t="s">
        <v>646</v>
      </c>
      <c r="E265" s="29">
        <v>3880</v>
      </c>
      <c r="F265" s="29">
        <v>3590</v>
      </c>
      <c r="G265" s="16">
        <f t="shared" si="8"/>
        <v>290</v>
      </c>
      <c r="H265" s="9">
        <f t="shared" si="9"/>
        <v>8.0779944289693595E-2</v>
      </c>
      <c r="I265" s="6" t="s">
        <v>23</v>
      </c>
    </row>
    <row r="266" spans="1:9" x14ac:dyDescent="0.25">
      <c r="A266" s="6" t="s">
        <v>623</v>
      </c>
      <c r="B266" s="6" t="s">
        <v>33</v>
      </c>
      <c r="C266" s="38">
        <v>353263424486485</v>
      </c>
      <c r="D266" s="6" t="s">
        <v>646</v>
      </c>
      <c r="E266" s="29">
        <v>3880</v>
      </c>
      <c r="F266" s="29">
        <v>3590</v>
      </c>
      <c r="G266" s="16">
        <f t="shared" si="8"/>
        <v>290</v>
      </c>
      <c r="H266" s="9">
        <f t="shared" si="9"/>
        <v>8.0779944289693595E-2</v>
      </c>
      <c r="I266" s="6" t="s">
        <v>23</v>
      </c>
    </row>
    <row r="267" spans="1:9" x14ac:dyDescent="0.25">
      <c r="A267" s="6" t="s">
        <v>623</v>
      </c>
      <c r="B267" s="6" t="s">
        <v>33</v>
      </c>
      <c r="C267" s="38">
        <v>353263429317628</v>
      </c>
      <c r="D267" s="6" t="s">
        <v>646</v>
      </c>
      <c r="E267" s="29">
        <v>3880</v>
      </c>
      <c r="F267" s="29">
        <v>3590</v>
      </c>
      <c r="G267" s="16">
        <f t="shared" si="8"/>
        <v>290</v>
      </c>
      <c r="H267" s="9">
        <f t="shared" si="9"/>
        <v>8.0779944289693595E-2</v>
      </c>
      <c r="I267" s="6" t="s">
        <v>23</v>
      </c>
    </row>
    <row r="268" spans="1:9" x14ac:dyDescent="0.25">
      <c r="A268" s="6" t="s">
        <v>623</v>
      </c>
      <c r="B268" s="6" t="s">
        <v>33</v>
      </c>
      <c r="C268" s="38">
        <v>353263429421313</v>
      </c>
      <c r="D268" s="6" t="s">
        <v>646</v>
      </c>
      <c r="E268" s="29">
        <v>3880</v>
      </c>
      <c r="F268" s="29">
        <v>3590</v>
      </c>
      <c r="G268" s="16">
        <f t="shared" si="8"/>
        <v>290</v>
      </c>
      <c r="H268" s="9">
        <f t="shared" si="9"/>
        <v>8.0779944289693595E-2</v>
      </c>
      <c r="I268" s="6" t="s">
        <v>23</v>
      </c>
    </row>
    <row r="269" spans="1:9" x14ac:dyDescent="0.25">
      <c r="A269" s="6" t="s">
        <v>623</v>
      </c>
      <c r="B269" s="6" t="s">
        <v>33</v>
      </c>
      <c r="C269" s="38">
        <v>356188168685678</v>
      </c>
      <c r="D269" s="6" t="s">
        <v>652</v>
      </c>
      <c r="E269" s="29">
        <v>3700</v>
      </c>
      <c r="F269" s="29">
        <v>3446.4</v>
      </c>
      <c r="G269" s="16">
        <f t="shared" si="8"/>
        <v>253.59999999999991</v>
      </c>
      <c r="H269" s="9">
        <f t="shared" si="9"/>
        <v>7.3584029712163393E-2</v>
      </c>
      <c r="I269" s="6" t="s">
        <v>23</v>
      </c>
    </row>
    <row r="270" spans="1:9" x14ac:dyDescent="0.25">
      <c r="A270" s="6" t="s">
        <v>623</v>
      </c>
      <c r="B270" s="6" t="s">
        <v>33</v>
      </c>
      <c r="C270" s="38">
        <v>356392240417536</v>
      </c>
      <c r="D270" s="6" t="s">
        <v>646</v>
      </c>
      <c r="E270" s="29">
        <v>3700</v>
      </c>
      <c r="F270" s="29">
        <v>3643.85</v>
      </c>
      <c r="G270" s="16">
        <f t="shared" si="8"/>
        <v>56.150000000000091</v>
      </c>
      <c r="H270" s="9">
        <f t="shared" si="9"/>
        <v>1.5409525639090548E-2</v>
      </c>
      <c r="I270" s="6" t="s">
        <v>23</v>
      </c>
    </row>
    <row r="271" spans="1:9" x14ac:dyDescent="0.25">
      <c r="A271" s="6" t="s">
        <v>623</v>
      </c>
      <c r="B271" s="6" t="s">
        <v>33</v>
      </c>
      <c r="C271" s="38">
        <v>358419941371486</v>
      </c>
      <c r="D271" s="6" t="s">
        <v>652</v>
      </c>
      <c r="E271" s="29">
        <v>3880</v>
      </c>
      <c r="F271" s="29">
        <v>3518.2</v>
      </c>
      <c r="G271" s="16">
        <f t="shared" si="8"/>
        <v>361.80000000000018</v>
      </c>
      <c r="H271" s="9">
        <f t="shared" si="9"/>
        <v>0.10283667784662617</v>
      </c>
      <c r="I271" s="6" t="s">
        <v>23</v>
      </c>
    </row>
    <row r="272" spans="1:9" x14ac:dyDescent="0.25">
      <c r="A272" s="6" t="s">
        <v>623</v>
      </c>
      <c r="B272" s="6" t="s">
        <v>33</v>
      </c>
      <c r="C272" s="38">
        <v>359614543570472</v>
      </c>
      <c r="D272" s="6" t="s">
        <v>652</v>
      </c>
      <c r="E272" s="29">
        <v>3880</v>
      </c>
      <c r="F272" s="29">
        <v>3590</v>
      </c>
      <c r="G272" s="16">
        <f t="shared" si="8"/>
        <v>290</v>
      </c>
      <c r="H272" s="9">
        <f t="shared" si="9"/>
        <v>8.0779944289693595E-2</v>
      </c>
      <c r="I272" s="6" t="s">
        <v>23</v>
      </c>
    </row>
    <row r="273" spans="1:9" x14ac:dyDescent="0.25">
      <c r="A273" s="6" t="s">
        <v>623</v>
      </c>
      <c r="B273" s="6" t="s">
        <v>33</v>
      </c>
      <c r="C273" s="38">
        <v>359614543648872</v>
      </c>
      <c r="D273" s="6" t="s">
        <v>646</v>
      </c>
      <c r="E273" s="29">
        <v>3880</v>
      </c>
      <c r="F273" s="29">
        <v>3590</v>
      </c>
      <c r="G273" s="16">
        <f t="shared" si="8"/>
        <v>290</v>
      </c>
      <c r="H273" s="9">
        <f t="shared" si="9"/>
        <v>8.0779944289693595E-2</v>
      </c>
      <c r="I273" s="6" t="s">
        <v>23</v>
      </c>
    </row>
    <row r="274" spans="1:9" x14ac:dyDescent="0.25">
      <c r="A274" s="6" t="s">
        <v>623</v>
      </c>
      <c r="B274" s="6" t="s">
        <v>33</v>
      </c>
      <c r="C274" s="38">
        <v>359614543832328</v>
      </c>
      <c r="D274" s="6" t="s">
        <v>646</v>
      </c>
      <c r="E274" s="29">
        <v>3880</v>
      </c>
      <c r="F274" s="29">
        <v>3590</v>
      </c>
      <c r="G274" s="16">
        <f t="shared" si="8"/>
        <v>290</v>
      </c>
      <c r="H274" s="9">
        <f t="shared" si="9"/>
        <v>8.0779944289693595E-2</v>
      </c>
      <c r="I274" s="6" t="s">
        <v>23</v>
      </c>
    </row>
    <row r="275" spans="1:9" x14ac:dyDescent="0.25">
      <c r="A275" s="6" t="s">
        <v>623</v>
      </c>
      <c r="B275" s="6" t="s">
        <v>33</v>
      </c>
      <c r="C275" s="38">
        <v>359614548991376</v>
      </c>
      <c r="D275" s="6" t="s">
        <v>646</v>
      </c>
      <c r="E275" s="29">
        <v>3880</v>
      </c>
      <c r="F275" s="29">
        <v>3590</v>
      </c>
      <c r="G275" s="16">
        <f t="shared" si="8"/>
        <v>290</v>
      </c>
      <c r="H275" s="9">
        <f t="shared" si="9"/>
        <v>8.0779944289693595E-2</v>
      </c>
      <c r="I275" s="6" t="s">
        <v>23</v>
      </c>
    </row>
    <row r="276" spans="1:9" x14ac:dyDescent="0.25">
      <c r="A276" s="6" t="s">
        <v>623</v>
      </c>
      <c r="B276" s="6" t="s">
        <v>673</v>
      </c>
      <c r="C276" s="38" t="s">
        <v>674</v>
      </c>
      <c r="D276" s="6" t="s">
        <v>15</v>
      </c>
      <c r="E276" s="29">
        <v>1450</v>
      </c>
      <c r="F276" s="29">
        <v>1186.3499999999999</v>
      </c>
      <c r="G276" s="16">
        <f t="shared" si="8"/>
        <v>263.65000000000009</v>
      </c>
      <c r="H276" s="9">
        <f t="shared" si="9"/>
        <v>0.22223627091499146</v>
      </c>
      <c r="I276" s="6" t="s">
        <v>23</v>
      </c>
    </row>
    <row r="277" spans="1:9" x14ac:dyDescent="0.25">
      <c r="A277" s="6" t="s">
        <v>726</v>
      </c>
      <c r="B277" s="6" t="s">
        <v>33</v>
      </c>
      <c r="C277" s="38">
        <v>350599860871810</v>
      </c>
      <c r="D277" s="6" t="s">
        <v>15</v>
      </c>
      <c r="E277" s="29">
        <v>3949.36</v>
      </c>
      <c r="F277" s="29">
        <v>3343.35</v>
      </c>
      <c r="G277" s="16">
        <f t="shared" si="8"/>
        <v>606.01000000000022</v>
      </c>
      <c r="H277" s="9">
        <f t="shared" si="9"/>
        <v>0.18125831875214987</v>
      </c>
      <c r="I277" s="6" t="s">
        <v>23</v>
      </c>
    </row>
    <row r="278" spans="1:9" x14ac:dyDescent="0.25">
      <c r="A278" s="6" t="s">
        <v>726</v>
      </c>
      <c r="B278" s="6" t="s">
        <v>33</v>
      </c>
      <c r="C278" s="38">
        <v>350599869476702</v>
      </c>
      <c r="D278" s="6" t="s">
        <v>15</v>
      </c>
      <c r="E278" s="29">
        <v>3550</v>
      </c>
      <c r="F278" s="29">
        <v>3231</v>
      </c>
      <c r="G278" s="16">
        <f t="shared" si="8"/>
        <v>319</v>
      </c>
      <c r="H278" s="9">
        <f t="shared" si="9"/>
        <v>9.8731043020736611E-2</v>
      </c>
      <c r="I278" s="6" t="s">
        <v>23</v>
      </c>
    </row>
    <row r="279" spans="1:9" x14ac:dyDescent="0.25">
      <c r="A279" s="6" t="s">
        <v>726</v>
      </c>
      <c r="B279" s="6" t="s">
        <v>33</v>
      </c>
      <c r="C279" s="38">
        <v>353263429694141</v>
      </c>
      <c r="D279" s="6" t="s">
        <v>15</v>
      </c>
      <c r="E279" s="29">
        <v>3550</v>
      </c>
      <c r="F279" s="29">
        <v>3231</v>
      </c>
      <c r="G279" s="16">
        <f t="shared" si="8"/>
        <v>319</v>
      </c>
      <c r="H279" s="9">
        <f t="shared" si="9"/>
        <v>9.8731043020736611E-2</v>
      </c>
      <c r="I279" s="6" t="s">
        <v>23</v>
      </c>
    </row>
    <row r="280" spans="1:9" x14ac:dyDescent="0.25">
      <c r="A280" s="6" t="s">
        <v>726</v>
      </c>
      <c r="B280" s="6" t="s">
        <v>33</v>
      </c>
      <c r="C280" s="38">
        <v>355246650228620</v>
      </c>
      <c r="D280" s="6" t="s">
        <v>15</v>
      </c>
      <c r="E280" s="29">
        <v>3550</v>
      </c>
      <c r="F280" s="29">
        <v>3338.7</v>
      </c>
      <c r="G280" s="16">
        <f t="shared" si="8"/>
        <v>211.30000000000018</v>
      </c>
      <c r="H280" s="9">
        <f t="shared" si="9"/>
        <v>6.3288106149100007E-2</v>
      </c>
      <c r="I280" s="6" t="s">
        <v>23</v>
      </c>
    </row>
    <row r="281" spans="1:9" x14ac:dyDescent="0.25">
      <c r="A281" s="26" t="s">
        <v>726</v>
      </c>
      <c r="B281" s="26" t="s">
        <v>850</v>
      </c>
      <c r="C281" s="37" t="s">
        <v>851</v>
      </c>
      <c r="D281" s="26" t="s">
        <v>15</v>
      </c>
      <c r="E281" s="27">
        <v>1130</v>
      </c>
      <c r="F281" s="27">
        <v>1438</v>
      </c>
      <c r="G281" s="27">
        <f t="shared" si="8"/>
        <v>-308</v>
      </c>
      <c r="H281" s="28">
        <f t="shared" si="9"/>
        <v>-0.21418636995827539</v>
      </c>
      <c r="I281" s="26" t="s">
        <v>23</v>
      </c>
    </row>
    <row r="282" spans="1:9" x14ac:dyDescent="0.25">
      <c r="A282" s="6" t="s">
        <v>726</v>
      </c>
      <c r="B282" s="6" t="s">
        <v>852</v>
      </c>
      <c r="C282" s="38" t="s">
        <v>853</v>
      </c>
      <c r="D282" s="6" t="s">
        <v>15</v>
      </c>
      <c r="E282" s="29">
        <v>2300</v>
      </c>
      <c r="F282" s="29">
        <v>2228.9</v>
      </c>
      <c r="G282" s="16">
        <f t="shared" si="8"/>
        <v>71.099999999999909</v>
      </c>
      <c r="H282" s="9">
        <f t="shared" si="9"/>
        <v>3.1899143075059401E-2</v>
      </c>
      <c r="I282" s="6" t="s">
        <v>23</v>
      </c>
    </row>
    <row r="283" spans="1:9" x14ac:dyDescent="0.25">
      <c r="A283" s="6" t="s">
        <v>726</v>
      </c>
      <c r="B283" s="6" t="s">
        <v>852</v>
      </c>
      <c r="C283" s="38" t="s">
        <v>854</v>
      </c>
      <c r="D283" s="6" t="s">
        <v>15</v>
      </c>
      <c r="E283" s="29">
        <v>2300</v>
      </c>
      <c r="F283" s="29">
        <v>2228.9</v>
      </c>
      <c r="G283" s="16">
        <f t="shared" si="8"/>
        <v>71.099999999999909</v>
      </c>
      <c r="H283" s="9">
        <f t="shared" si="9"/>
        <v>3.1899143075059401E-2</v>
      </c>
      <c r="I283" s="6" t="s">
        <v>23</v>
      </c>
    </row>
    <row r="284" spans="1:9" x14ac:dyDescent="0.25">
      <c r="A284" s="6" t="s">
        <v>726</v>
      </c>
      <c r="B284" s="6" t="s">
        <v>855</v>
      </c>
      <c r="C284" s="38" t="s">
        <v>856</v>
      </c>
      <c r="D284" s="6" t="s">
        <v>15</v>
      </c>
      <c r="E284" s="29">
        <v>1935</v>
      </c>
      <c r="F284" s="29">
        <v>1797.5</v>
      </c>
      <c r="G284" s="16">
        <f t="shared" si="8"/>
        <v>137.5</v>
      </c>
      <c r="H284" s="9">
        <f t="shared" si="9"/>
        <v>7.6495132127955487E-2</v>
      </c>
      <c r="I284" s="6" t="s">
        <v>23</v>
      </c>
    </row>
    <row r="285" spans="1:9" x14ac:dyDescent="0.25">
      <c r="A285" s="6" t="s">
        <v>857</v>
      </c>
      <c r="B285" s="6" t="s">
        <v>862</v>
      </c>
      <c r="C285" s="38" t="s">
        <v>863</v>
      </c>
      <c r="D285" s="6" t="s">
        <v>15</v>
      </c>
      <c r="E285" s="29">
        <v>760</v>
      </c>
      <c r="F285" s="29">
        <v>735.95</v>
      </c>
      <c r="G285" s="16">
        <f t="shared" si="8"/>
        <v>24.049999999999955</v>
      </c>
      <c r="H285" s="9">
        <f t="shared" si="9"/>
        <v>3.2678850465384809E-2</v>
      </c>
      <c r="I285" s="6" t="s">
        <v>23</v>
      </c>
    </row>
    <row r="286" spans="1:9" x14ac:dyDescent="0.25">
      <c r="A286" s="6" t="s">
        <v>857</v>
      </c>
      <c r="B286" s="6" t="s">
        <v>864</v>
      </c>
      <c r="C286" s="38" t="s">
        <v>865</v>
      </c>
      <c r="D286" s="6" t="s">
        <v>15</v>
      </c>
      <c r="E286" s="29">
        <v>1230</v>
      </c>
      <c r="F286" s="29">
        <v>629</v>
      </c>
      <c r="G286" s="16">
        <f t="shared" si="8"/>
        <v>601</v>
      </c>
      <c r="H286" s="9">
        <f t="shared" si="9"/>
        <v>0.95548489666136727</v>
      </c>
      <c r="I286" s="6" t="s">
        <v>23</v>
      </c>
    </row>
    <row r="287" spans="1:9" x14ac:dyDescent="0.25">
      <c r="A287" s="26" t="s">
        <v>857</v>
      </c>
      <c r="B287" s="26" t="s">
        <v>866</v>
      </c>
      <c r="C287" s="37" t="s">
        <v>867</v>
      </c>
      <c r="D287" s="26" t="s">
        <v>15</v>
      </c>
      <c r="E287" s="27">
        <v>180</v>
      </c>
      <c r="F287" s="27">
        <v>306</v>
      </c>
      <c r="G287" s="27">
        <f t="shared" si="8"/>
        <v>-126</v>
      </c>
      <c r="H287" s="28">
        <f t="shared" si="9"/>
        <v>-0.41176470588235292</v>
      </c>
      <c r="I287" s="26" t="s">
        <v>23</v>
      </c>
    </row>
    <row r="288" spans="1:9" x14ac:dyDescent="0.25">
      <c r="A288" s="6" t="s">
        <v>857</v>
      </c>
      <c r="B288" s="6" t="s">
        <v>215</v>
      </c>
      <c r="C288" s="38">
        <v>352190320562518</v>
      </c>
      <c r="D288" s="6" t="s">
        <v>644</v>
      </c>
      <c r="E288" s="29">
        <v>4120</v>
      </c>
      <c r="F288" s="29">
        <v>3823.35</v>
      </c>
      <c r="G288" s="16">
        <f t="shared" si="8"/>
        <v>296.65000000000009</v>
      </c>
      <c r="H288" s="9">
        <f t="shared" si="9"/>
        <v>7.7589025331188638E-2</v>
      </c>
      <c r="I288" s="6" t="s">
        <v>23</v>
      </c>
    </row>
    <row r="289" spans="1:9" x14ac:dyDescent="0.25">
      <c r="A289" s="6" t="s">
        <v>857</v>
      </c>
      <c r="B289" s="6" t="s">
        <v>215</v>
      </c>
      <c r="C289" s="38">
        <v>352190320801965</v>
      </c>
      <c r="D289" s="6" t="s">
        <v>644</v>
      </c>
      <c r="E289" s="29">
        <v>4120</v>
      </c>
      <c r="F289" s="29">
        <v>3823.35</v>
      </c>
      <c r="G289" s="16">
        <f t="shared" si="8"/>
        <v>296.65000000000009</v>
      </c>
      <c r="H289" s="9">
        <f t="shared" si="9"/>
        <v>7.7589025331188638E-2</v>
      </c>
      <c r="I289" s="6" t="s">
        <v>23</v>
      </c>
    </row>
    <row r="290" spans="1:9" x14ac:dyDescent="0.25">
      <c r="A290" s="6" t="s">
        <v>857</v>
      </c>
      <c r="B290" s="6" t="s">
        <v>215</v>
      </c>
      <c r="C290" s="38">
        <v>352440634409025</v>
      </c>
      <c r="D290" s="6" t="s">
        <v>644</v>
      </c>
      <c r="E290" s="29">
        <v>4120</v>
      </c>
      <c r="F290" s="29">
        <v>3823.35</v>
      </c>
      <c r="G290" s="16">
        <f t="shared" si="8"/>
        <v>296.65000000000009</v>
      </c>
      <c r="H290" s="9">
        <f t="shared" si="9"/>
        <v>7.7589025331188638E-2</v>
      </c>
      <c r="I290" s="6" t="s">
        <v>23</v>
      </c>
    </row>
    <row r="291" spans="1:9" x14ac:dyDescent="0.25">
      <c r="A291" s="6" t="s">
        <v>857</v>
      </c>
      <c r="B291" s="6" t="s">
        <v>215</v>
      </c>
      <c r="C291" s="38">
        <v>354956978099849</v>
      </c>
      <c r="D291" s="6" t="s">
        <v>15</v>
      </c>
      <c r="E291" s="29">
        <v>4120</v>
      </c>
      <c r="F291" s="29">
        <v>3774</v>
      </c>
      <c r="G291" s="16">
        <f t="shared" si="8"/>
        <v>346</v>
      </c>
      <c r="H291" s="9">
        <f t="shared" si="9"/>
        <v>9.1679915209326973E-2</v>
      </c>
      <c r="I291" s="6" t="s">
        <v>23</v>
      </c>
    </row>
    <row r="292" spans="1:9" x14ac:dyDescent="0.25">
      <c r="A292" s="6" t="s">
        <v>857</v>
      </c>
      <c r="B292" s="6" t="s">
        <v>33</v>
      </c>
      <c r="C292" s="38">
        <v>350889868201080</v>
      </c>
      <c r="D292" s="6" t="s">
        <v>490</v>
      </c>
      <c r="E292" s="29">
        <v>3290</v>
      </c>
      <c r="F292" s="29">
        <v>3231</v>
      </c>
      <c r="G292" s="16">
        <f t="shared" si="8"/>
        <v>59</v>
      </c>
      <c r="H292" s="9">
        <f t="shared" si="9"/>
        <v>1.8260600433302382E-2</v>
      </c>
      <c r="I292" s="6" t="s">
        <v>23</v>
      </c>
    </row>
    <row r="293" spans="1:9" x14ac:dyDescent="0.25">
      <c r="A293" s="6" t="s">
        <v>857</v>
      </c>
      <c r="B293" s="6" t="s">
        <v>33</v>
      </c>
      <c r="C293" s="38">
        <v>350889868387681</v>
      </c>
      <c r="D293" s="6" t="s">
        <v>490</v>
      </c>
      <c r="E293" s="29">
        <v>3290</v>
      </c>
      <c r="F293" s="29">
        <v>3231</v>
      </c>
      <c r="G293" s="16">
        <f t="shared" ref="G293:G356" si="10">E293-F293</f>
        <v>59</v>
      </c>
      <c r="H293" s="9">
        <f t="shared" ref="H293:H356" si="11">(E293-F293)/F293</f>
        <v>1.8260600433302382E-2</v>
      </c>
      <c r="I293" s="6" t="s">
        <v>23</v>
      </c>
    </row>
    <row r="294" spans="1:9" x14ac:dyDescent="0.25">
      <c r="A294" s="6" t="s">
        <v>857</v>
      </c>
      <c r="B294" s="6" t="s">
        <v>33</v>
      </c>
      <c r="C294" s="38">
        <v>355246656807930</v>
      </c>
      <c r="D294" s="6" t="s">
        <v>490</v>
      </c>
      <c r="E294" s="29">
        <v>3290</v>
      </c>
      <c r="F294" s="29">
        <v>3231</v>
      </c>
      <c r="G294" s="16">
        <f t="shared" si="10"/>
        <v>59</v>
      </c>
      <c r="H294" s="9">
        <f t="shared" si="11"/>
        <v>1.8260600433302382E-2</v>
      </c>
      <c r="I294" s="6" t="s">
        <v>23</v>
      </c>
    </row>
    <row r="295" spans="1:9" x14ac:dyDescent="0.25">
      <c r="A295" s="6" t="s">
        <v>857</v>
      </c>
      <c r="B295" s="6" t="s">
        <v>33</v>
      </c>
      <c r="C295" s="38">
        <v>357586348010205</v>
      </c>
      <c r="D295" s="6" t="s">
        <v>644</v>
      </c>
      <c r="E295" s="29">
        <v>4430</v>
      </c>
      <c r="F295" s="29">
        <v>3913.1</v>
      </c>
      <c r="G295" s="16">
        <f t="shared" si="10"/>
        <v>516.90000000000009</v>
      </c>
      <c r="H295" s="9">
        <f t="shared" si="11"/>
        <v>0.13209475863126424</v>
      </c>
      <c r="I295" s="6" t="s">
        <v>23</v>
      </c>
    </row>
    <row r="296" spans="1:9" x14ac:dyDescent="0.25">
      <c r="A296" s="6" t="s">
        <v>857</v>
      </c>
      <c r="B296" s="6" t="s">
        <v>33</v>
      </c>
      <c r="C296" s="38">
        <v>357586348769776</v>
      </c>
      <c r="D296" s="6" t="s">
        <v>644</v>
      </c>
      <c r="E296" s="29">
        <v>4430</v>
      </c>
      <c r="F296" s="29">
        <v>3913.1</v>
      </c>
      <c r="G296" s="16">
        <f t="shared" si="10"/>
        <v>516.90000000000009</v>
      </c>
      <c r="H296" s="9">
        <f t="shared" si="11"/>
        <v>0.13209475863126424</v>
      </c>
      <c r="I296" s="6" t="s">
        <v>23</v>
      </c>
    </row>
    <row r="297" spans="1:9" x14ac:dyDescent="0.25">
      <c r="A297" s="6" t="s">
        <v>857</v>
      </c>
      <c r="B297" s="6" t="s">
        <v>33</v>
      </c>
      <c r="C297" s="38">
        <v>357586349148152</v>
      </c>
      <c r="D297" s="6" t="s">
        <v>490</v>
      </c>
      <c r="E297" s="29">
        <v>3490</v>
      </c>
      <c r="F297" s="29">
        <v>3338.7</v>
      </c>
      <c r="G297" s="16">
        <f t="shared" si="10"/>
        <v>151.30000000000018</v>
      </c>
      <c r="H297" s="9">
        <f t="shared" si="11"/>
        <v>4.5317039566298317E-2</v>
      </c>
      <c r="I297" s="6" t="s">
        <v>23</v>
      </c>
    </row>
    <row r="298" spans="1:9" x14ac:dyDescent="0.25">
      <c r="A298" s="6" t="s">
        <v>857</v>
      </c>
      <c r="B298" s="6" t="s">
        <v>582</v>
      </c>
      <c r="C298" s="38">
        <v>355190203129630</v>
      </c>
      <c r="D298" s="6" t="s">
        <v>15</v>
      </c>
      <c r="E298" s="29">
        <v>5090</v>
      </c>
      <c r="F298" s="29">
        <v>4745</v>
      </c>
      <c r="G298" s="16">
        <f t="shared" si="10"/>
        <v>345</v>
      </c>
      <c r="H298" s="9">
        <f t="shared" si="11"/>
        <v>7.2708113804004215E-2</v>
      </c>
      <c r="I298" s="6" t="s">
        <v>23</v>
      </c>
    </row>
    <row r="299" spans="1:9" x14ac:dyDescent="0.25">
      <c r="A299" s="6" t="s">
        <v>857</v>
      </c>
      <c r="B299" s="6" t="s">
        <v>288</v>
      </c>
      <c r="C299" s="38" t="s">
        <v>928</v>
      </c>
      <c r="D299" s="6" t="s">
        <v>15</v>
      </c>
      <c r="E299" s="29">
        <v>1655</v>
      </c>
      <c r="F299" s="29">
        <v>1527.75</v>
      </c>
      <c r="G299" s="16">
        <f t="shared" si="10"/>
        <v>127.25</v>
      </c>
      <c r="H299" s="9">
        <f t="shared" si="11"/>
        <v>8.3292423498609061E-2</v>
      </c>
      <c r="I299" s="6" t="s">
        <v>23</v>
      </c>
    </row>
    <row r="300" spans="1:9" x14ac:dyDescent="0.25">
      <c r="A300" s="6" t="s">
        <v>857</v>
      </c>
      <c r="B300" s="6" t="s">
        <v>929</v>
      </c>
      <c r="C300" s="38" t="s">
        <v>930</v>
      </c>
      <c r="D300" s="6" t="s">
        <v>15</v>
      </c>
      <c r="E300" s="29">
        <v>860</v>
      </c>
      <c r="F300" s="29">
        <v>791</v>
      </c>
      <c r="G300" s="16">
        <f t="shared" si="10"/>
        <v>69</v>
      </c>
      <c r="H300" s="9">
        <f t="shared" si="11"/>
        <v>8.7231352718078387E-2</v>
      </c>
      <c r="I300" s="6" t="s">
        <v>23</v>
      </c>
    </row>
    <row r="301" spans="1:9" x14ac:dyDescent="0.25">
      <c r="A301" s="6" t="s">
        <v>857</v>
      </c>
      <c r="B301" s="6" t="s">
        <v>931</v>
      </c>
      <c r="C301" s="38" t="s">
        <v>934</v>
      </c>
      <c r="D301" s="6" t="s">
        <v>15</v>
      </c>
      <c r="E301" s="29">
        <v>1650</v>
      </c>
      <c r="F301" s="29">
        <v>1293.3800000000001</v>
      </c>
      <c r="G301" s="16">
        <f t="shared" si="10"/>
        <v>356.61999999999989</v>
      </c>
      <c r="H301" s="9">
        <f t="shared" si="11"/>
        <v>0.27572716448375562</v>
      </c>
      <c r="I301" s="6" t="s">
        <v>23</v>
      </c>
    </row>
    <row r="302" spans="1:9" x14ac:dyDescent="0.25">
      <c r="A302" s="6" t="s">
        <v>857</v>
      </c>
      <c r="B302" s="6" t="s">
        <v>935</v>
      </c>
      <c r="C302" s="38">
        <v>711719023227</v>
      </c>
      <c r="D302" s="6" t="s">
        <v>15</v>
      </c>
      <c r="E302" s="29">
        <v>190</v>
      </c>
      <c r="F302" s="29">
        <v>161.55000000000001</v>
      </c>
      <c r="G302" s="16">
        <f t="shared" si="10"/>
        <v>28.449999999999989</v>
      </c>
      <c r="H302" s="9">
        <f t="shared" si="11"/>
        <v>0.17610646858557713</v>
      </c>
      <c r="I302" s="6" t="s">
        <v>23</v>
      </c>
    </row>
    <row r="303" spans="1:9" x14ac:dyDescent="0.25">
      <c r="A303" s="6" t="s">
        <v>857</v>
      </c>
      <c r="B303" s="6" t="s">
        <v>935</v>
      </c>
      <c r="C303" s="38">
        <v>711719024422</v>
      </c>
      <c r="D303" s="6" t="s">
        <v>15</v>
      </c>
      <c r="E303" s="29">
        <v>190</v>
      </c>
      <c r="F303" s="29">
        <v>161.55000000000001</v>
      </c>
      <c r="G303" s="16">
        <f t="shared" si="10"/>
        <v>28.449999999999989</v>
      </c>
      <c r="H303" s="9">
        <f t="shared" si="11"/>
        <v>0.17610646858557713</v>
      </c>
      <c r="I303" s="6" t="s">
        <v>23</v>
      </c>
    </row>
    <row r="304" spans="1:9" x14ac:dyDescent="0.25">
      <c r="A304" s="6" t="s">
        <v>857</v>
      </c>
      <c r="B304" s="6" t="s">
        <v>935</v>
      </c>
      <c r="C304" s="38">
        <v>711719574309</v>
      </c>
      <c r="D304" s="6" t="s">
        <v>15</v>
      </c>
      <c r="E304" s="29">
        <v>190</v>
      </c>
      <c r="F304" s="29">
        <v>161.55000000000001</v>
      </c>
      <c r="G304" s="16">
        <f t="shared" si="10"/>
        <v>28.449999999999989</v>
      </c>
      <c r="H304" s="9">
        <f t="shared" si="11"/>
        <v>0.17610646858557713</v>
      </c>
      <c r="I304" s="6" t="s">
        <v>23</v>
      </c>
    </row>
    <row r="305" spans="1:9" x14ac:dyDescent="0.25">
      <c r="A305" s="6" t="s">
        <v>857</v>
      </c>
      <c r="B305" s="6" t="s">
        <v>935</v>
      </c>
      <c r="C305" s="38">
        <v>711719574330</v>
      </c>
      <c r="D305" s="6" t="s">
        <v>15</v>
      </c>
      <c r="E305" s="29">
        <v>190</v>
      </c>
      <c r="F305" s="29">
        <v>161.55000000000001</v>
      </c>
      <c r="G305" s="16">
        <f t="shared" si="10"/>
        <v>28.449999999999989</v>
      </c>
      <c r="H305" s="9">
        <f t="shared" si="11"/>
        <v>0.17610646858557713</v>
      </c>
      <c r="I305" s="6" t="s">
        <v>23</v>
      </c>
    </row>
    <row r="306" spans="1:9" x14ac:dyDescent="0.25">
      <c r="A306" s="26" t="s">
        <v>999</v>
      </c>
      <c r="B306" s="26" t="s">
        <v>27</v>
      </c>
      <c r="C306" s="37">
        <v>351420494380632</v>
      </c>
      <c r="D306" s="26" t="s">
        <v>15</v>
      </c>
      <c r="E306" s="27">
        <v>1650</v>
      </c>
      <c r="F306" s="27">
        <v>1869</v>
      </c>
      <c r="G306" s="27">
        <f t="shared" si="10"/>
        <v>-219</v>
      </c>
      <c r="H306" s="28">
        <f t="shared" si="11"/>
        <v>-0.11717495987158909</v>
      </c>
      <c r="I306" s="26" t="s">
        <v>23</v>
      </c>
    </row>
    <row r="307" spans="1:9" x14ac:dyDescent="0.25">
      <c r="A307" s="26" t="s">
        <v>999</v>
      </c>
      <c r="B307" s="26" t="s">
        <v>27</v>
      </c>
      <c r="C307" s="37">
        <v>351420494815363</v>
      </c>
      <c r="D307" s="26" t="s">
        <v>15</v>
      </c>
      <c r="E307" s="27">
        <v>1650</v>
      </c>
      <c r="F307" s="27">
        <v>1869</v>
      </c>
      <c r="G307" s="27">
        <f t="shared" si="10"/>
        <v>-219</v>
      </c>
      <c r="H307" s="28">
        <f t="shared" si="11"/>
        <v>-0.11717495987158909</v>
      </c>
      <c r="I307" s="26" t="s">
        <v>23</v>
      </c>
    </row>
    <row r="308" spans="1:9" x14ac:dyDescent="0.25">
      <c r="A308" s="26" t="s">
        <v>999</v>
      </c>
      <c r="B308" s="26" t="s">
        <v>393</v>
      </c>
      <c r="C308" s="37">
        <v>358594364461483</v>
      </c>
      <c r="D308" s="26" t="s">
        <v>15</v>
      </c>
      <c r="E308" s="27">
        <v>3200</v>
      </c>
      <c r="F308" s="27">
        <v>3523.1</v>
      </c>
      <c r="G308" s="27">
        <f t="shared" si="10"/>
        <v>-323.09999999999991</v>
      </c>
      <c r="H308" s="28">
        <f t="shared" si="11"/>
        <v>-9.1709006272884655E-2</v>
      </c>
      <c r="I308" s="26" t="s">
        <v>23</v>
      </c>
    </row>
    <row r="309" spans="1:9" x14ac:dyDescent="0.25">
      <c r="A309" s="6" t="s">
        <v>1063</v>
      </c>
      <c r="B309" s="6" t="s">
        <v>862</v>
      </c>
      <c r="C309" s="38" t="s">
        <v>1064</v>
      </c>
      <c r="D309" s="6" t="s">
        <v>15</v>
      </c>
      <c r="E309" s="29">
        <v>760</v>
      </c>
      <c r="F309" s="29">
        <v>735.95</v>
      </c>
      <c r="G309" s="16">
        <f t="shared" si="10"/>
        <v>24.049999999999955</v>
      </c>
      <c r="H309" s="9">
        <f t="shared" si="11"/>
        <v>3.2678850465384809E-2</v>
      </c>
      <c r="I309" s="6" t="s">
        <v>23</v>
      </c>
    </row>
    <row r="310" spans="1:9" x14ac:dyDescent="0.25">
      <c r="A310" s="6" t="s">
        <v>1063</v>
      </c>
      <c r="B310" s="6" t="s">
        <v>1066</v>
      </c>
      <c r="C310" s="38">
        <v>356605226479034</v>
      </c>
      <c r="D310" s="6" t="s">
        <v>644</v>
      </c>
      <c r="E310" s="29">
        <v>6850</v>
      </c>
      <c r="F310" s="29">
        <v>6390.2</v>
      </c>
      <c r="G310" s="16">
        <f t="shared" si="10"/>
        <v>459.80000000000018</v>
      </c>
      <c r="H310" s="9">
        <f t="shared" si="11"/>
        <v>7.1953929454477192E-2</v>
      </c>
      <c r="I310" s="6" t="s">
        <v>23</v>
      </c>
    </row>
    <row r="311" spans="1:9" x14ac:dyDescent="0.25">
      <c r="A311" s="6" t="s">
        <v>1063</v>
      </c>
      <c r="B311" s="6" t="s">
        <v>33</v>
      </c>
      <c r="C311" s="38">
        <v>350599867351444</v>
      </c>
      <c r="D311" s="6" t="s">
        <v>490</v>
      </c>
      <c r="E311" s="29">
        <v>3490</v>
      </c>
      <c r="F311" s="29">
        <v>3338.7</v>
      </c>
      <c r="G311" s="16">
        <f t="shared" si="10"/>
        <v>151.30000000000018</v>
      </c>
      <c r="H311" s="9">
        <f t="shared" si="11"/>
        <v>4.5317039566298317E-2</v>
      </c>
      <c r="I311" s="6" t="s">
        <v>23</v>
      </c>
    </row>
    <row r="312" spans="1:9" x14ac:dyDescent="0.25">
      <c r="A312" s="6" t="s">
        <v>1063</v>
      </c>
      <c r="B312" s="6" t="s">
        <v>33</v>
      </c>
      <c r="C312" s="38">
        <v>355224256001535</v>
      </c>
      <c r="D312" s="6" t="s">
        <v>490</v>
      </c>
      <c r="E312" s="29">
        <v>3490</v>
      </c>
      <c r="F312" s="29">
        <v>3338.7</v>
      </c>
      <c r="G312" s="16">
        <f t="shared" si="10"/>
        <v>151.30000000000018</v>
      </c>
      <c r="H312" s="9">
        <f t="shared" si="11"/>
        <v>4.5317039566298317E-2</v>
      </c>
      <c r="I312" s="6" t="s">
        <v>23</v>
      </c>
    </row>
    <row r="313" spans="1:9" x14ac:dyDescent="0.25">
      <c r="A313" s="6" t="s">
        <v>1063</v>
      </c>
      <c r="B313" s="6" t="s">
        <v>33</v>
      </c>
      <c r="C313" s="38">
        <v>355246652977711</v>
      </c>
      <c r="D313" s="6" t="s">
        <v>490</v>
      </c>
      <c r="E313" s="29">
        <v>3490</v>
      </c>
      <c r="F313" s="29">
        <v>3338.7</v>
      </c>
      <c r="G313" s="16">
        <f t="shared" si="10"/>
        <v>151.30000000000018</v>
      </c>
      <c r="H313" s="9">
        <f t="shared" si="11"/>
        <v>4.5317039566298317E-2</v>
      </c>
      <c r="I313" s="6" t="s">
        <v>23</v>
      </c>
    </row>
    <row r="314" spans="1:9" x14ac:dyDescent="0.25">
      <c r="A314" s="6" t="s">
        <v>1063</v>
      </c>
      <c r="B314" s="6" t="s">
        <v>33</v>
      </c>
      <c r="C314" s="38">
        <v>357586345594383</v>
      </c>
      <c r="D314" s="6" t="s">
        <v>644</v>
      </c>
      <c r="E314" s="29">
        <v>4430</v>
      </c>
      <c r="F314" s="29">
        <v>3338.7</v>
      </c>
      <c r="G314" s="16">
        <f t="shared" si="10"/>
        <v>1091.3000000000002</v>
      </c>
      <c r="H314" s="9">
        <f t="shared" si="11"/>
        <v>0.3268637493635248</v>
      </c>
      <c r="I314" s="6" t="s">
        <v>23</v>
      </c>
    </row>
    <row r="315" spans="1:9" x14ac:dyDescent="0.25">
      <c r="A315" s="6" t="s">
        <v>1063</v>
      </c>
      <c r="B315" s="6" t="s">
        <v>33</v>
      </c>
      <c r="C315" s="38">
        <v>357586345930520</v>
      </c>
      <c r="D315" s="6" t="s">
        <v>644</v>
      </c>
      <c r="E315" s="29">
        <v>4430</v>
      </c>
      <c r="F315" s="29">
        <v>3338.7</v>
      </c>
      <c r="G315" s="16">
        <f t="shared" si="10"/>
        <v>1091.3000000000002</v>
      </c>
      <c r="H315" s="9">
        <f t="shared" si="11"/>
        <v>0.3268637493635248</v>
      </c>
      <c r="I315" s="6" t="s">
        <v>23</v>
      </c>
    </row>
    <row r="316" spans="1:9" x14ac:dyDescent="0.25">
      <c r="A316" s="6" t="s">
        <v>1063</v>
      </c>
      <c r="B316" s="6" t="s">
        <v>33</v>
      </c>
      <c r="C316" s="38">
        <v>357586349172541</v>
      </c>
      <c r="D316" s="6" t="s">
        <v>490</v>
      </c>
      <c r="E316" s="29">
        <v>3490</v>
      </c>
      <c r="F316" s="29">
        <v>3338.7</v>
      </c>
      <c r="G316" s="16">
        <f t="shared" si="10"/>
        <v>151.30000000000018</v>
      </c>
      <c r="H316" s="9">
        <f t="shared" si="11"/>
        <v>4.5317039566298317E-2</v>
      </c>
      <c r="I316" s="6" t="s">
        <v>23</v>
      </c>
    </row>
    <row r="317" spans="1:9" x14ac:dyDescent="0.25">
      <c r="A317" s="6" t="s">
        <v>1063</v>
      </c>
      <c r="B317" s="6" t="s">
        <v>33</v>
      </c>
      <c r="C317" s="38">
        <v>358051328938171</v>
      </c>
      <c r="D317" s="6" t="s">
        <v>644</v>
      </c>
      <c r="E317" s="29">
        <v>4430</v>
      </c>
      <c r="F317" s="29">
        <v>3913.1</v>
      </c>
      <c r="G317" s="16">
        <f t="shared" si="10"/>
        <v>516.90000000000009</v>
      </c>
      <c r="H317" s="9">
        <f t="shared" si="11"/>
        <v>0.13209475863126424</v>
      </c>
      <c r="I317" s="6" t="s">
        <v>23</v>
      </c>
    </row>
    <row r="318" spans="1:9" x14ac:dyDescent="0.25">
      <c r="A318" s="6" t="s">
        <v>1063</v>
      </c>
      <c r="B318" s="6" t="s">
        <v>33</v>
      </c>
      <c r="C318" s="38">
        <v>359614544569002</v>
      </c>
      <c r="D318" s="6" t="s">
        <v>644</v>
      </c>
      <c r="E318" s="29">
        <v>4430</v>
      </c>
      <c r="F318" s="29">
        <v>3913.1</v>
      </c>
      <c r="G318" s="16">
        <f t="shared" si="10"/>
        <v>516.90000000000009</v>
      </c>
      <c r="H318" s="9">
        <f t="shared" si="11"/>
        <v>0.13209475863126424</v>
      </c>
      <c r="I318" s="6" t="s">
        <v>23</v>
      </c>
    </row>
    <row r="319" spans="1:9" x14ac:dyDescent="0.25">
      <c r="A319" s="6" t="s">
        <v>1063</v>
      </c>
      <c r="B319" s="6" t="s">
        <v>33</v>
      </c>
      <c r="C319" s="38">
        <v>359614547404140</v>
      </c>
      <c r="D319" s="6" t="s">
        <v>644</v>
      </c>
      <c r="E319" s="29">
        <v>4430</v>
      </c>
      <c r="F319" s="29">
        <v>3338.7</v>
      </c>
      <c r="G319" s="16">
        <f t="shared" si="10"/>
        <v>1091.3000000000002</v>
      </c>
      <c r="H319" s="9">
        <f t="shared" si="11"/>
        <v>0.3268637493635248</v>
      </c>
      <c r="I319" s="6" t="s">
        <v>23</v>
      </c>
    </row>
    <row r="320" spans="1:9" x14ac:dyDescent="0.25">
      <c r="A320" s="6" t="s">
        <v>1063</v>
      </c>
      <c r="B320" s="6" t="s">
        <v>38</v>
      </c>
      <c r="C320" s="38" t="s">
        <v>1078</v>
      </c>
      <c r="D320" s="6" t="s">
        <v>15</v>
      </c>
      <c r="E320" s="29">
        <v>2440</v>
      </c>
      <c r="F320" s="29">
        <v>2300.8000000000002</v>
      </c>
      <c r="G320" s="16">
        <f t="shared" si="10"/>
        <v>139.19999999999982</v>
      </c>
      <c r="H320" s="9">
        <f t="shared" si="11"/>
        <v>6.0500695410291988E-2</v>
      </c>
      <c r="I320" s="6" t="s">
        <v>23</v>
      </c>
    </row>
    <row r="321" spans="1:9" x14ac:dyDescent="0.25">
      <c r="A321" s="6" t="s">
        <v>1063</v>
      </c>
      <c r="B321" s="6" t="s">
        <v>38</v>
      </c>
      <c r="C321" s="38" t="s">
        <v>1079</v>
      </c>
      <c r="D321" s="6" t="s">
        <v>15</v>
      </c>
      <c r="E321" s="29">
        <v>2440</v>
      </c>
      <c r="F321" s="29">
        <v>2300.8000000000002</v>
      </c>
      <c r="G321" s="16">
        <f t="shared" si="10"/>
        <v>139.19999999999982</v>
      </c>
      <c r="H321" s="9">
        <f t="shared" si="11"/>
        <v>6.0500695410291988E-2</v>
      </c>
      <c r="I321" s="6" t="s">
        <v>23</v>
      </c>
    </row>
    <row r="322" spans="1:9" x14ac:dyDescent="0.25">
      <c r="A322" s="6" t="s">
        <v>1063</v>
      </c>
      <c r="B322" s="6" t="s">
        <v>38</v>
      </c>
      <c r="C322" s="38" t="s">
        <v>1080</v>
      </c>
      <c r="D322" s="6" t="s">
        <v>15</v>
      </c>
      <c r="E322" s="29">
        <v>2440</v>
      </c>
      <c r="F322" s="29">
        <v>2300.8000000000002</v>
      </c>
      <c r="G322" s="16">
        <f t="shared" si="10"/>
        <v>139.19999999999982</v>
      </c>
      <c r="H322" s="9">
        <f t="shared" si="11"/>
        <v>6.0500695410291988E-2</v>
      </c>
      <c r="I322" s="6" t="s">
        <v>23</v>
      </c>
    </row>
    <row r="323" spans="1:9" x14ac:dyDescent="0.25">
      <c r="A323" s="26" t="s">
        <v>1146</v>
      </c>
      <c r="B323" s="26" t="s">
        <v>206</v>
      </c>
      <c r="C323" s="37">
        <v>358302110725908</v>
      </c>
      <c r="D323" s="26" t="s">
        <v>646</v>
      </c>
      <c r="E323" s="27">
        <v>2550</v>
      </c>
      <c r="F323" s="27">
        <v>2856</v>
      </c>
      <c r="G323" s="27">
        <f t="shared" si="10"/>
        <v>-306</v>
      </c>
      <c r="H323" s="28">
        <f t="shared" si="11"/>
        <v>-0.10714285714285714</v>
      </c>
      <c r="I323" s="26" t="s">
        <v>23</v>
      </c>
    </row>
    <row r="324" spans="1:9" x14ac:dyDescent="0.25">
      <c r="A324" s="6" t="s">
        <v>1146</v>
      </c>
      <c r="B324" s="6" t="s">
        <v>33</v>
      </c>
      <c r="C324" s="38">
        <v>350599869770708</v>
      </c>
      <c r="D324" s="6" t="s">
        <v>644</v>
      </c>
      <c r="E324" s="29">
        <v>4440</v>
      </c>
      <c r="F324" s="29">
        <v>4212.6000000000004</v>
      </c>
      <c r="G324" s="16">
        <f t="shared" si="10"/>
        <v>227.39999999999964</v>
      </c>
      <c r="H324" s="9">
        <f t="shared" si="11"/>
        <v>5.3980914399658075E-2</v>
      </c>
      <c r="I324" s="6" t="s">
        <v>23</v>
      </c>
    </row>
    <row r="325" spans="1:9" x14ac:dyDescent="0.25">
      <c r="A325" s="6" t="s">
        <v>1146</v>
      </c>
      <c r="B325" s="6" t="s">
        <v>33</v>
      </c>
      <c r="C325" s="38">
        <v>350599869958063</v>
      </c>
      <c r="D325" s="6" t="s">
        <v>644</v>
      </c>
      <c r="E325" s="29">
        <v>4440</v>
      </c>
      <c r="F325" s="29">
        <v>4212.6000000000004</v>
      </c>
      <c r="G325" s="16">
        <f t="shared" si="10"/>
        <v>227.39999999999964</v>
      </c>
      <c r="H325" s="9">
        <f t="shared" si="11"/>
        <v>5.3980914399658075E-2</v>
      </c>
      <c r="I325" s="6" t="s">
        <v>23</v>
      </c>
    </row>
    <row r="326" spans="1:9" x14ac:dyDescent="0.25">
      <c r="A326" s="6" t="s">
        <v>1146</v>
      </c>
      <c r="B326" s="6" t="s">
        <v>33</v>
      </c>
      <c r="C326" s="38">
        <v>353263424525753</v>
      </c>
      <c r="D326" s="6" t="s">
        <v>644</v>
      </c>
      <c r="E326" s="29">
        <v>4440</v>
      </c>
      <c r="F326" s="29">
        <v>4212.6000000000004</v>
      </c>
      <c r="G326" s="16">
        <f t="shared" si="10"/>
        <v>227.39999999999964</v>
      </c>
      <c r="H326" s="9">
        <f t="shared" si="11"/>
        <v>5.3980914399658075E-2</v>
      </c>
      <c r="I326" s="6" t="s">
        <v>23</v>
      </c>
    </row>
    <row r="327" spans="1:9" x14ac:dyDescent="0.25">
      <c r="A327" s="6" t="s">
        <v>1146</v>
      </c>
      <c r="B327" s="6" t="s">
        <v>33</v>
      </c>
      <c r="C327" s="38">
        <v>353263424600770</v>
      </c>
      <c r="D327" s="6" t="s">
        <v>644</v>
      </c>
      <c r="E327" s="29">
        <v>4440</v>
      </c>
      <c r="F327" s="29">
        <v>4212.6000000000004</v>
      </c>
      <c r="G327" s="16">
        <f t="shared" si="10"/>
        <v>227.39999999999964</v>
      </c>
      <c r="H327" s="9">
        <f t="shared" si="11"/>
        <v>5.3980914399658075E-2</v>
      </c>
      <c r="I327" s="6" t="s">
        <v>23</v>
      </c>
    </row>
    <row r="328" spans="1:9" x14ac:dyDescent="0.25">
      <c r="A328" s="6" t="s">
        <v>1146</v>
      </c>
      <c r="B328" s="6" t="s">
        <v>33</v>
      </c>
      <c r="C328" s="38">
        <v>353263429425751</v>
      </c>
      <c r="D328" s="6" t="s">
        <v>644</v>
      </c>
      <c r="E328" s="29">
        <v>4440</v>
      </c>
      <c r="F328" s="29">
        <v>4212.6000000000004</v>
      </c>
      <c r="G328" s="16">
        <f t="shared" si="10"/>
        <v>227.39999999999964</v>
      </c>
      <c r="H328" s="9">
        <f t="shared" si="11"/>
        <v>5.3980914399658075E-2</v>
      </c>
      <c r="I328" s="6" t="s">
        <v>23</v>
      </c>
    </row>
    <row r="329" spans="1:9" x14ac:dyDescent="0.25">
      <c r="A329" s="6" t="s">
        <v>1146</v>
      </c>
      <c r="B329" s="6" t="s">
        <v>33</v>
      </c>
      <c r="C329" s="38">
        <v>355224257755600</v>
      </c>
      <c r="D329" s="6" t="s">
        <v>644</v>
      </c>
      <c r="E329" s="29">
        <v>4440</v>
      </c>
      <c r="F329" s="29">
        <v>4212.6000000000004</v>
      </c>
      <c r="G329" s="16">
        <f t="shared" si="10"/>
        <v>227.39999999999964</v>
      </c>
      <c r="H329" s="9">
        <f t="shared" si="11"/>
        <v>5.3980914399658075E-2</v>
      </c>
      <c r="I329" s="6" t="s">
        <v>23</v>
      </c>
    </row>
    <row r="330" spans="1:9" x14ac:dyDescent="0.25">
      <c r="A330" s="6" t="s">
        <v>1146</v>
      </c>
      <c r="B330" s="6" t="s">
        <v>33</v>
      </c>
      <c r="C330" s="38">
        <v>355224258441432</v>
      </c>
      <c r="D330" s="6" t="s">
        <v>644</v>
      </c>
      <c r="E330" s="29">
        <v>4440</v>
      </c>
      <c r="F330" s="29">
        <v>4212.6000000000004</v>
      </c>
      <c r="G330" s="16">
        <f t="shared" si="10"/>
        <v>227.39999999999964</v>
      </c>
      <c r="H330" s="9">
        <f t="shared" si="11"/>
        <v>5.3980914399658075E-2</v>
      </c>
      <c r="I330" s="6" t="s">
        <v>23</v>
      </c>
    </row>
    <row r="331" spans="1:9" x14ac:dyDescent="0.25">
      <c r="A331" s="6" t="s">
        <v>1146</v>
      </c>
      <c r="B331" s="6" t="s">
        <v>33</v>
      </c>
      <c r="C331" s="38">
        <v>357586343876725</v>
      </c>
      <c r="D331" s="6" t="s">
        <v>644</v>
      </c>
      <c r="E331" s="29">
        <v>4440</v>
      </c>
      <c r="F331" s="29">
        <v>4212.6000000000004</v>
      </c>
      <c r="G331" s="16">
        <f t="shared" si="10"/>
        <v>227.39999999999964</v>
      </c>
      <c r="H331" s="9">
        <f t="shared" si="11"/>
        <v>5.3980914399658075E-2</v>
      </c>
      <c r="I331" s="6" t="s">
        <v>23</v>
      </c>
    </row>
    <row r="332" spans="1:9" x14ac:dyDescent="0.25">
      <c r="A332" s="6" t="s">
        <v>1146</v>
      </c>
      <c r="B332" s="6" t="s">
        <v>33</v>
      </c>
      <c r="C332" s="38">
        <v>358051323667940</v>
      </c>
      <c r="D332" s="6" t="s">
        <v>646</v>
      </c>
      <c r="E332" s="29">
        <v>4000</v>
      </c>
      <c r="F332" s="29">
        <v>3623.55</v>
      </c>
      <c r="G332" s="16">
        <f t="shared" si="10"/>
        <v>376.44999999999982</v>
      </c>
      <c r="H332" s="9">
        <f t="shared" si="11"/>
        <v>0.10388983179478682</v>
      </c>
      <c r="I332" s="6" t="s">
        <v>23</v>
      </c>
    </row>
    <row r="333" spans="1:9" x14ac:dyDescent="0.25">
      <c r="A333" s="6" t="s">
        <v>1146</v>
      </c>
      <c r="B333" s="6" t="s">
        <v>33</v>
      </c>
      <c r="C333" s="38">
        <v>358051324028654</v>
      </c>
      <c r="D333" s="6" t="s">
        <v>646</v>
      </c>
      <c r="E333" s="29">
        <v>4000</v>
      </c>
      <c r="F333" s="29">
        <v>3623.55</v>
      </c>
      <c r="G333" s="16">
        <f t="shared" si="10"/>
        <v>376.44999999999982</v>
      </c>
      <c r="H333" s="9">
        <f t="shared" si="11"/>
        <v>0.10388983179478682</v>
      </c>
      <c r="I333" s="6" t="s">
        <v>23</v>
      </c>
    </row>
    <row r="334" spans="1:9" x14ac:dyDescent="0.25">
      <c r="A334" s="6" t="s">
        <v>1146</v>
      </c>
      <c r="B334" s="6" t="s">
        <v>33</v>
      </c>
      <c r="C334" s="38">
        <v>358051324119321</v>
      </c>
      <c r="D334" s="6" t="s">
        <v>646</v>
      </c>
      <c r="E334" s="29">
        <v>4000</v>
      </c>
      <c r="F334" s="29">
        <v>3623.55</v>
      </c>
      <c r="G334" s="16">
        <f t="shared" si="10"/>
        <v>376.44999999999982</v>
      </c>
      <c r="H334" s="9">
        <f t="shared" si="11"/>
        <v>0.10388983179478682</v>
      </c>
      <c r="I334" s="6" t="s">
        <v>23</v>
      </c>
    </row>
    <row r="335" spans="1:9" x14ac:dyDescent="0.25">
      <c r="A335" s="6" t="s">
        <v>1146</v>
      </c>
      <c r="B335" s="6" t="s">
        <v>33</v>
      </c>
      <c r="C335" s="38">
        <v>358051324181743</v>
      </c>
      <c r="D335" s="6" t="s">
        <v>646</v>
      </c>
      <c r="E335" s="29">
        <v>4000</v>
      </c>
      <c r="F335" s="29">
        <v>3623.55</v>
      </c>
      <c r="G335" s="16">
        <f t="shared" si="10"/>
        <v>376.44999999999982</v>
      </c>
      <c r="H335" s="9">
        <f t="shared" si="11"/>
        <v>0.10388983179478682</v>
      </c>
      <c r="I335" s="6" t="s">
        <v>23</v>
      </c>
    </row>
    <row r="336" spans="1:9" x14ac:dyDescent="0.25">
      <c r="A336" s="6" t="s">
        <v>1146</v>
      </c>
      <c r="B336" s="6" t="s">
        <v>33</v>
      </c>
      <c r="C336" s="38">
        <v>358051324209452</v>
      </c>
      <c r="D336" s="6" t="s">
        <v>646</v>
      </c>
      <c r="E336" s="29">
        <v>4000</v>
      </c>
      <c r="F336" s="29">
        <v>3623.55</v>
      </c>
      <c r="G336" s="16">
        <f t="shared" si="10"/>
        <v>376.44999999999982</v>
      </c>
      <c r="H336" s="9">
        <f t="shared" si="11"/>
        <v>0.10388983179478682</v>
      </c>
      <c r="I336" s="6" t="s">
        <v>23</v>
      </c>
    </row>
    <row r="337" spans="1:9" x14ac:dyDescent="0.25">
      <c r="A337" s="6" t="s">
        <v>1146</v>
      </c>
      <c r="B337" s="6" t="s">
        <v>33</v>
      </c>
      <c r="C337" s="38">
        <v>358051324423301</v>
      </c>
      <c r="D337" s="6" t="s">
        <v>646</v>
      </c>
      <c r="E337" s="29">
        <v>4000</v>
      </c>
      <c r="F337" s="29">
        <v>3623.55</v>
      </c>
      <c r="G337" s="16">
        <f t="shared" si="10"/>
        <v>376.44999999999982</v>
      </c>
      <c r="H337" s="9">
        <f t="shared" si="11"/>
        <v>0.10388983179478682</v>
      </c>
      <c r="I337" s="6" t="s">
        <v>23</v>
      </c>
    </row>
    <row r="338" spans="1:9" x14ac:dyDescent="0.25">
      <c r="A338" s="6" t="s">
        <v>1146</v>
      </c>
      <c r="B338" s="6" t="s">
        <v>33</v>
      </c>
      <c r="C338" s="38">
        <v>358902511462249</v>
      </c>
      <c r="D338" s="6" t="s">
        <v>644</v>
      </c>
      <c r="E338" s="29">
        <v>4570</v>
      </c>
      <c r="F338" s="29">
        <v>4212.6000000000004</v>
      </c>
      <c r="G338" s="16">
        <f t="shared" si="10"/>
        <v>357.39999999999964</v>
      </c>
      <c r="H338" s="9">
        <f t="shared" si="11"/>
        <v>8.4840715947395812E-2</v>
      </c>
      <c r="I338" s="6" t="s">
        <v>23</v>
      </c>
    </row>
    <row r="339" spans="1:9" x14ac:dyDescent="0.25">
      <c r="A339" s="6" t="s">
        <v>1146</v>
      </c>
      <c r="B339" s="6" t="s">
        <v>33</v>
      </c>
      <c r="C339" s="38">
        <v>358902511663218</v>
      </c>
      <c r="D339" s="6" t="s">
        <v>644</v>
      </c>
      <c r="E339" s="29">
        <v>4570</v>
      </c>
      <c r="F339" s="29">
        <v>4212.6000000000004</v>
      </c>
      <c r="G339" s="16">
        <f t="shared" si="10"/>
        <v>357.39999999999964</v>
      </c>
      <c r="H339" s="9">
        <f t="shared" si="11"/>
        <v>8.4840715947395812E-2</v>
      </c>
      <c r="I339" s="6" t="s">
        <v>23</v>
      </c>
    </row>
    <row r="340" spans="1:9" x14ac:dyDescent="0.25">
      <c r="A340" s="6" t="s">
        <v>1146</v>
      </c>
      <c r="B340" s="6" t="s">
        <v>33</v>
      </c>
      <c r="C340" s="38">
        <v>358902512369583</v>
      </c>
      <c r="D340" s="6" t="s">
        <v>644</v>
      </c>
      <c r="E340" s="29">
        <v>4570</v>
      </c>
      <c r="F340" s="29">
        <v>4212.6000000000004</v>
      </c>
      <c r="G340" s="16">
        <f t="shared" si="10"/>
        <v>357.39999999999964</v>
      </c>
      <c r="H340" s="9">
        <f t="shared" si="11"/>
        <v>8.4840715947395812E-2</v>
      </c>
      <c r="I340" s="6" t="s">
        <v>23</v>
      </c>
    </row>
    <row r="341" spans="1:9" x14ac:dyDescent="0.25">
      <c r="A341" s="6" t="s">
        <v>1146</v>
      </c>
      <c r="B341" s="6" t="s">
        <v>33</v>
      </c>
      <c r="C341" s="38">
        <v>359614548969208</v>
      </c>
      <c r="D341" s="6" t="s">
        <v>644</v>
      </c>
      <c r="E341" s="29">
        <v>4440</v>
      </c>
      <c r="F341" s="29">
        <v>4212.6000000000004</v>
      </c>
      <c r="G341" s="16">
        <f t="shared" si="10"/>
        <v>227.39999999999964</v>
      </c>
      <c r="H341" s="9">
        <f t="shared" si="11"/>
        <v>5.3980914399658075E-2</v>
      </c>
      <c r="I341" s="6" t="s">
        <v>23</v>
      </c>
    </row>
    <row r="342" spans="1:9" x14ac:dyDescent="0.25">
      <c r="A342" s="6" t="s">
        <v>1146</v>
      </c>
      <c r="B342" s="6" t="s">
        <v>33</v>
      </c>
      <c r="C342" s="38">
        <v>359614549097686</v>
      </c>
      <c r="D342" s="6" t="s">
        <v>644</v>
      </c>
      <c r="E342" s="29">
        <v>4440</v>
      </c>
      <c r="F342" s="29">
        <v>4212.6000000000004</v>
      </c>
      <c r="G342" s="16">
        <f t="shared" si="10"/>
        <v>227.39999999999964</v>
      </c>
      <c r="H342" s="9">
        <f t="shared" si="11"/>
        <v>5.3980914399658075E-2</v>
      </c>
      <c r="I342" s="6" t="s">
        <v>23</v>
      </c>
    </row>
    <row r="343" spans="1:9" x14ac:dyDescent="0.25">
      <c r="A343" s="6" t="s">
        <v>1335</v>
      </c>
      <c r="B343" s="6" t="s">
        <v>215</v>
      </c>
      <c r="C343" s="38">
        <v>351317528497962</v>
      </c>
      <c r="D343" s="6" t="s">
        <v>644</v>
      </c>
      <c r="E343" s="29">
        <v>4120</v>
      </c>
      <c r="F343" s="29">
        <v>3909.15</v>
      </c>
      <c r="G343" s="16">
        <f t="shared" si="10"/>
        <v>210.84999999999991</v>
      </c>
      <c r="H343" s="9">
        <f t="shared" si="11"/>
        <v>5.3937556757862937E-2</v>
      </c>
      <c r="I343" s="6" t="s">
        <v>23</v>
      </c>
    </row>
    <row r="344" spans="1:9" x14ac:dyDescent="0.25">
      <c r="A344" s="6" t="s">
        <v>1335</v>
      </c>
      <c r="B344" s="6" t="s">
        <v>215</v>
      </c>
      <c r="C344" s="38">
        <v>353708846516277</v>
      </c>
      <c r="D344" s="6" t="s">
        <v>15</v>
      </c>
      <c r="E344" s="29">
        <v>3040</v>
      </c>
      <c r="F344" s="29">
        <v>2945.25</v>
      </c>
      <c r="G344" s="16">
        <f t="shared" si="10"/>
        <v>94.75</v>
      </c>
      <c r="H344" s="9">
        <f t="shared" si="11"/>
        <v>3.2170443935149819E-2</v>
      </c>
      <c r="I344" s="6" t="s">
        <v>23</v>
      </c>
    </row>
    <row r="345" spans="1:9" x14ac:dyDescent="0.25">
      <c r="A345" s="6" t="s">
        <v>1335</v>
      </c>
      <c r="B345" s="6" t="s">
        <v>215</v>
      </c>
      <c r="C345" s="38">
        <v>355820200559732</v>
      </c>
      <c r="D345" s="6" t="s">
        <v>490</v>
      </c>
      <c r="E345" s="29">
        <v>2950</v>
      </c>
      <c r="F345" s="29">
        <v>2856</v>
      </c>
      <c r="G345" s="16">
        <f t="shared" si="10"/>
        <v>94</v>
      </c>
      <c r="H345" s="9">
        <f t="shared" si="11"/>
        <v>3.2913165266106444E-2</v>
      </c>
      <c r="I345" s="6" t="s">
        <v>23</v>
      </c>
    </row>
    <row r="346" spans="1:9" x14ac:dyDescent="0.25">
      <c r="A346" s="6" t="s">
        <v>1335</v>
      </c>
      <c r="B346" s="6" t="s">
        <v>33</v>
      </c>
      <c r="C346" s="38">
        <v>350599860673851</v>
      </c>
      <c r="D346" s="6" t="s">
        <v>490</v>
      </c>
      <c r="E346" s="29">
        <v>3460</v>
      </c>
      <c r="F346" s="29">
        <v>3337.95</v>
      </c>
      <c r="G346" s="16">
        <f t="shared" si="10"/>
        <v>122.05000000000018</v>
      </c>
      <c r="H346" s="9">
        <f t="shared" si="11"/>
        <v>3.656435836366638E-2</v>
      </c>
      <c r="I346" s="6" t="s">
        <v>23</v>
      </c>
    </row>
    <row r="347" spans="1:9" x14ac:dyDescent="0.25">
      <c r="A347" s="6" t="s">
        <v>1335</v>
      </c>
      <c r="B347" s="6" t="s">
        <v>33</v>
      </c>
      <c r="C347" s="38">
        <v>350599863390958</v>
      </c>
      <c r="D347" s="6" t="s">
        <v>15</v>
      </c>
      <c r="E347" s="29">
        <v>4250</v>
      </c>
      <c r="F347" s="29">
        <v>4062</v>
      </c>
      <c r="G347" s="16">
        <f t="shared" si="10"/>
        <v>188</v>
      </c>
      <c r="H347" s="9">
        <f t="shared" si="11"/>
        <v>4.6282619399310686E-2</v>
      </c>
      <c r="I347" s="6" t="s">
        <v>23</v>
      </c>
    </row>
    <row r="348" spans="1:9" x14ac:dyDescent="0.25">
      <c r="A348" s="6" t="s">
        <v>1335</v>
      </c>
      <c r="B348" s="6" t="s">
        <v>33</v>
      </c>
      <c r="C348" s="38">
        <v>350599868319796</v>
      </c>
      <c r="D348" s="6" t="s">
        <v>15</v>
      </c>
      <c r="E348" s="29">
        <v>3530</v>
      </c>
      <c r="F348" s="29">
        <v>3337.95</v>
      </c>
      <c r="G348" s="16">
        <f t="shared" si="10"/>
        <v>192.05000000000018</v>
      </c>
      <c r="H348" s="9">
        <f t="shared" si="11"/>
        <v>5.753531359067697E-2</v>
      </c>
      <c r="I348" s="6" t="s">
        <v>23</v>
      </c>
    </row>
    <row r="349" spans="1:9" x14ac:dyDescent="0.25">
      <c r="A349" s="6" t="s">
        <v>1335</v>
      </c>
      <c r="B349" s="6" t="s">
        <v>33</v>
      </c>
      <c r="C349" s="38">
        <v>350599869599719</v>
      </c>
      <c r="D349" s="6" t="s">
        <v>15</v>
      </c>
      <c r="E349" s="29">
        <v>3530</v>
      </c>
      <c r="F349" s="29">
        <v>3337.95</v>
      </c>
      <c r="G349" s="16">
        <f t="shared" si="10"/>
        <v>192.05000000000018</v>
      </c>
      <c r="H349" s="9">
        <f t="shared" si="11"/>
        <v>5.753531359067697E-2</v>
      </c>
      <c r="I349" s="6" t="s">
        <v>23</v>
      </c>
    </row>
    <row r="350" spans="1:9" x14ac:dyDescent="0.25">
      <c r="A350" s="6" t="s">
        <v>1335</v>
      </c>
      <c r="B350" s="6" t="s">
        <v>33</v>
      </c>
      <c r="C350" s="38">
        <v>350889869613903</v>
      </c>
      <c r="D350" s="6" t="s">
        <v>490</v>
      </c>
      <c r="E350" s="29">
        <v>3660</v>
      </c>
      <c r="F350" s="29">
        <v>3409.35</v>
      </c>
      <c r="G350" s="16">
        <f t="shared" si="10"/>
        <v>250.65000000000009</v>
      </c>
      <c r="H350" s="9">
        <f t="shared" si="11"/>
        <v>7.3518412600642374E-2</v>
      </c>
      <c r="I350" s="6" t="s">
        <v>23</v>
      </c>
    </row>
    <row r="351" spans="1:9" x14ac:dyDescent="0.25">
      <c r="A351" s="6" t="s">
        <v>1335</v>
      </c>
      <c r="B351" s="6" t="s">
        <v>33</v>
      </c>
      <c r="C351" s="38">
        <v>353497850073967</v>
      </c>
      <c r="D351" s="6" t="s">
        <v>15</v>
      </c>
      <c r="E351" s="29">
        <v>3530</v>
      </c>
      <c r="F351" s="29">
        <v>3337.95</v>
      </c>
      <c r="G351" s="16">
        <f t="shared" si="10"/>
        <v>192.05000000000018</v>
      </c>
      <c r="H351" s="9">
        <f t="shared" si="11"/>
        <v>5.753531359067697E-2</v>
      </c>
      <c r="I351" s="6" t="s">
        <v>23</v>
      </c>
    </row>
    <row r="352" spans="1:9" x14ac:dyDescent="0.25">
      <c r="A352" s="6" t="s">
        <v>1335</v>
      </c>
      <c r="B352" s="6" t="s">
        <v>33</v>
      </c>
      <c r="C352" s="38">
        <v>353497853696020</v>
      </c>
      <c r="D352" s="6" t="s">
        <v>490</v>
      </c>
      <c r="E352" s="29">
        <v>3660</v>
      </c>
      <c r="F352" s="29">
        <v>3409.35</v>
      </c>
      <c r="G352" s="16">
        <f t="shared" si="10"/>
        <v>250.65000000000009</v>
      </c>
      <c r="H352" s="9">
        <f t="shared" si="11"/>
        <v>7.3518412600642374E-2</v>
      </c>
      <c r="I352" s="6" t="s">
        <v>23</v>
      </c>
    </row>
    <row r="353" spans="1:9" x14ac:dyDescent="0.25">
      <c r="A353" s="6" t="s">
        <v>1335</v>
      </c>
      <c r="B353" s="6" t="s">
        <v>33</v>
      </c>
      <c r="C353" s="38">
        <v>355224255215847</v>
      </c>
      <c r="D353" s="6" t="s">
        <v>15</v>
      </c>
      <c r="E353" s="29">
        <v>3710</v>
      </c>
      <c r="F353" s="29">
        <v>3409.35</v>
      </c>
      <c r="G353" s="16">
        <f t="shared" si="10"/>
        <v>300.65000000000009</v>
      </c>
      <c r="H353" s="9">
        <f t="shared" si="11"/>
        <v>8.8183964685350613E-2</v>
      </c>
      <c r="I353" s="6" t="s">
        <v>23</v>
      </c>
    </row>
    <row r="354" spans="1:9" x14ac:dyDescent="0.25">
      <c r="A354" s="6" t="s">
        <v>1335</v>
      </c>
      <c r="B354" s="6" t="s">
        <v>33</v>
      </c>
      <c r="C354" s="38">
        <v>355224259003793</v>
      </c>
      <c r="D354" s="6" t="s">
        <v>490</v>
      </c>
      <c r="E354" s="29">
        <v>3660</v>
      </c>
      <c r="F354" s="29">
        <v>3409.35</v>
      </c>
      <c r="G354" s="16">
        <f t="shared" si="10"/>
        <v>250.65000000000009</v>
      </c>
      <c r="H354" s="9">
        <f t="shared" si="11"/>
        <v>7.3518412600642374E-2</v>
      </c>
      <c r="I354" s="6" t="s">
        <v>23</v>
      </c>
    </row>
    <row r="355" spans="1:9" x14ac:dyDescent="0.25">
      <c r="A355" s="6" t="s">
        <v>1335</v>
      </c>
      <c r="B355" s="6" t="s">
        <v>33</v>
      </c>
      <c r="C355" s="38">
        <v>355246650171143</v>
      </c>
      <c r="D355" s="6" t="s">
        <v>490</v>
      </c>
      <c r="E355" s="29">
        <v>3660</v>
      </c>
      <c r="F355" s="29">
        <v>3409.35</v>
      </c>
      <c r="G355" s="16">
        <f t="shared" si="10"/>
        <v>250.65000000000009</v>
      </c>
      <c r="H355" s="9">
        <f t="shared" si="11"/>
        <v>7.3518412600642374E-2</v>
      </c>
      <c r="I355" s="6" t="s">
        <v>23</v>
      </c>
    </row>
    <row r="356" spans="1:9" x14ac:dyDescent="0.25">
      <c r="A356" s="6" t="s">
        <v>1335</v>
      </c>
      <c r="B356" s="6" t="s">
        <v>33</v>
      </c>
      <c r="C356" s="38">
        <v>355246650565849</v>
      </c>
      <c r="D356" s="6" t="s">
        <v>490</v>
      </c>
      <c r="E356" s="29">
        <v>3660</v>
      </c>
      <c r="F356" s="29">
        <v>3409.35</v>
      </c>
      <c r="G356" s="16">
        <f t="shared" si="10"/>
        <v>250.65000000000009</v>
      </c>
      <c r="H356" s="9">
        <f t="shared" si="11"/>
        <v>7.3518412600642374E-2</v>
      </c>
      <c r="I356" s="6" t="s">
        <v>23</v>
      </c>
    </row>
    <row r="357" spans="1:9" x14ac:dyDescent="0.25">
      <c r="A357" s="6" t="s">
        <v>1335</v>
      </c>
      <c r="B357" s="6" t="s">
        <v>33</v>
      </c>
      <c r="C357" s="38">
        <v>355246651399586</v>
      </c>
      <c r="D357" s="6" t="s">
        <v>15</v>
      </c>
      <c r="E357" s="29">
        <v>3530</v>
      </c>
      <c r="F357" s="29">
        <v>3337.95</v>
      </c>
      <c r="G357" s="16">
        <f t="shared" ref="G357:G420" si="12">E357-F357</f>
        <v>192.05000000000018</v>
      </c>
      <c r="H357" s="9">
        <f t="shared" ref="H357:H420" si="13">(E357-F357)/F357</f>
        <v>5.753531359067697E-2</v>
      </c>
      <c r="I357" s="6" t="s">
        <v>23</v>
      </c>
    </row>
    <row r="358" spans="1:9" x14ac:dyDescent="0.25">
      <c r="A358" s="6" t="s">
        <v>1335</v>
      </c>
      <c r="B358" s="6" t="s">
        <v>33</v>
      </c>
      <c r="C358" s="38">
        <v>355246651900102</v>
      </c>
      <c r="D358" s="6" t="s">
        <v>15</v>
      </c>
      <c r="E358" s="29">
        <v>3530</v>
      </c>
      <c r="F358" s="29">
        <v>3409.35</v>
      </c>
      <c r="G358" s="16">
        <f t="shared" si="12"/>
        <v>120.65000000000009</v>
      </c>
      <c r="H358" s="9">
        <f t="shared" si="13"/>
        <v>3.5387977180400987E-2</v>
      </c>
      <c r="I358" s="6" t="s">
        <v>23</v>
      </c>
    </row>
    <row r="359" spans="1:9" x14ac:dyDescent="0.25">
      <c r="A359" s="6" t="s">
        <v>1335</v>
      </c>
      <c r="B359" s="6" t="s">
        <v>33</v>
      </c>
      <c r="C359" s="38">
        <v>355246652379694</v>
      </c>
      <c r="D359" s="6" t="s">
        <v>490</v>
      </c>
      <c r="E359" s="29">
        <v>3660</v>
      </c>
      <c r="F359" s="29">
        <v>3409.35</v>
      </c>
      <c r="G359" s="16">
        <f t="shared" si="12"/>
        <v>250.65000000000009</v>
      </c>
      <c r="H359" s="9">
        <f t="shared" si="13"/>
        <v>7.3518412600642374E-2</v>
      </c>
      <c r="I359" s="6" t="s">
        <v>23</v>
      </c>
    </row>
    <row r="360" spans="1:9" x14ac:dyDescent="0.25">
      <c r="A360" s="6" t="s">
        <v>1335</v>
      </c>
      <c r="B360" s="6" t="s">
        <v>33</v>
      </c>
      <c r="C360" s="38">
        <v>355246652765959</v>
      </c>
      <c r="D360" s="6" t="s">
        <v>490</v>
      </c>
      <c r="E360" s="29">
        <v>3660</v>
      </c>
      <c r="F360" s="29">
        <v>3409.35</v>
      </c>
      <c r="G360" s="16">
        <f t="shared" si="12"/>
        <v>250.65000000000009</v>
      </c>
      <c r="H360" s="9">
        <f t="shared" si="13"/>
        <v>7.3518412600642374E-2</v>
      </c>
      <c r="I360" s="6" t="s">
        <v>23</v>
      </c>
    </row>
    <row r="361" spans="1:9" x14ac:dyDescent="0.25">
      <c r="A361" s="6" t="s">
        <v>1335</v>
      </c>
      <c r="B361" s="6" t="s">
        <v>33</v>
      </c>
      <c r="C361" s="38">
        <v>355246655870152</v>
      </c>
      <c r="D361" s="6" t="s">
        <v>15</v>
      </c>
      <c r="E361" s="29">
        <v>3710</v>
      </c>
      <c r="F361" s="29">
        <v>3409.35</v>
      </c>
      <c r="G361" s="16">
        <f t="shared" si="12"/>
        <v>300.65000000000009</v>
      </c>
      <c r="H361" s="9">
        <f t="shared" si="13"/>
        <v>8.8183964685350613E-2</v>
      </c>
      <c r="I361" s="6" t="s">
        <v>23</v>
      </c>
    </row>
    <row r="362" spans="1:9" x14ac:dyDescent="0.25">
      <c r="A362" s="6" t="s">
        <v>1335</v>
      </c>
      <c r="B362" s="6" t="s">
        <v>33</v>
      </c>
      <c r="C362" s="38">
        <v>355246658058086</v>
      </c>
      <c r="D362" s="6" t="s">
        <v>15</v>
      </c>
      <c r="E362" s="29">
        <v>3530</v>
      </c>
      <c r="F362" s="29">
        <v>3337.95</v>
      </c>
      <c r="G362" s="16">
        <f t="shared" si="12"/>
        <v>192.05000000000018</v>
      </c>
      <c r="H362" s="9">
        <f t="shared" si="13"/>
        <v>5.753531359067697E-2</v>
      </c>
      <c r="I362" s="6" t="s">
        <v>23</v>
      </c>
    </row>
    <row r="363" spans="1:9" x14ac:dyDescent="0.25">
      <c r="A363" s="6" t="s">
        <v>1335</v>
      </c>
      <c r="B363" s="6" t="s">
        <v>33</v>
      </c>
      <c r="C363" s="38">
        <v>355246658276621</v>
      </c>
      <c r="D363" s="6" t="s">
        <v>15</v>
      </c>
      <c r="E363" s="29">
        <v>3530</v>
      </c>
      <c r="F363" s="29">
        <v>3337.95</v>
      </c>
      <c r="G363" s="16">
        <f t="shared" si="12"/>
        <v>192.05000000000018</v>
      </c>
      <c r="H363" s="9">
        <f t="shared" si="13"/>
        <v>5.753531359067697E-2</v>
      </c>
      <c r="I363" s="6" t="s">
        <v>23</v>
      </c>
    </row>
    <row r="364" spans="1:9" x14ac:dyDescent="0.25">
      <c r="A364" s="6" t="s">
        <v>1335</v>
      </c>
      <c r="B364" s="6" t="s">
        <v>33</v>
      </c>
      <c r="C364" s="38">
        <v>355246658814819</v>
      </c>
      <c r="D364" s="6" t="s">
        <v>490</v>
      </c>
      <c r="E364" s="29">
        <v>3460</v>
      </c>
      <c r="F364" s="29">
        <v>3337.95</v>
      </c>
      <c r="G364" s="16">
        <f t="shared" si="12"/>
        <v>122.05000000000018</v>
      </c>
      <c r="H364" s="9">
        <f t="shared" si="13"/>
        <v>3.656435836366638E-2</v>
      </c>
      <c r="I364" s="6" t="s">
        <v>23</v>
      </c>
    </row>
    <row r="365" spans="1:9" x14ac:dyDescent="0.25">
      <c r="A365" s="6" t="s">
        <v>1335</v>
      </c>
      <c r="B365" s="6" t="s">
        <v>33</v>
      </c>
      <c r="C365" s="38">
        <v>355246659339295</v>
      </c>
      <c r="D365" s="6" t="s">
        <v>15</v>
      </c>
      <c r="E365" s="29">
        <v>3530</v>
      </c>
      <c r="F365" s="29">
        <v>3337.95</v>
      </c>
      <c r="G365" s="16">
        <f t="shared" si="12"/>
        <v>192.05000000000018</v>
      </c>
      <c r="H365" s="9">
        <f t="shared" si="13"/>
        <v>5.753531359067697E-2</v>
      </c>
      <c r="I365" s="6" t="s">
        <v>23</v>
      </c>
    </row>
    <row r="366" spans="1:9" x14ac:dyDescent="0.25">
      <c r="A366" s="6" t="s">
        <v>1335</v>
      </c>
      <c r="B366" s="6" t="s">
        <v>33</v>
      </c>
      <c r="C366" s="38">
        <v>356392242146018</v>
      </c>
      <c r="D366" s="6" t="s">
        <v>15</v>
      </c>
      <c r="E366" s="29">
        <v>3530</v>
      </c>
      <c r="F366" s="29">
        <v>3337.95</v>
      </c>
      <c r="G366" s="16">
        <f t="shared" si="12"/>
        <v>192.05000000000018</v>
      </c>
      <c r="H366" s="9">
        <f t="shared" si="13"/>
        <v>5.753531359067697E-2</v>
      </c>
      <c r="I366" s="6" t="s">
        <v>23</v>
      </c>
    </row>
    <row r="367" spans="1:9" x14ac:dyDescent="0.25">
      <c r="A367" s="6" t="s">
        <v>1335</v>
      </c>
      <c r="B367" s="6" t="s">
        <v>33</v>
      </c>
      <c r="C367" s="38">
        <v>356392242311067</v>
      </c>
      <c r="D367" s="6" t="s">
        <v>15</v>
      </c>
      <c r="E367" s="29">
        <v>3530</v>
      </c>
      <c r="F367" s="29">
        <v>3337.95</v>
      </c>
      <c r="G367" s="16">
        <f t="shared" si="12"/>
        <v>192.05000000000018</v>
      </c>
      <c r="H367" s="9">
        <f t="shared" si="13"/>
        <v>5.753531359067697E-2</v>
      </c>
      <c r="I367" s="6" t="s">
        <v>23</v>
      </c>
    </row>
    <row r="368" spans="1:9" x14ac:dyDescent="0.25">
      <c r="A368" s="6" t="s">
        <v>1335</v>
      </c>
      <c r="B368" s="6" t="s">
        <v>33</v>
      </c>
      <c r="C368" s="38">
        <v>356392243538593</v>
      </c>
      <c r="D368" s="6" t="s">
        <v>15</v>
      </c>
      <c r="E368" s="29">
        <v>3710</v>
      </c>
      <c r="F368" s="29">
        <v>3409.35</v>
      </c>
      <c r="G368" s="16">
        <f t="shared" si="12"/>
        <v>300.65000000000009</v>
      </c>
      <c r="H368" s="9">
        <f t="shared" si="13"/>
        <v>8.8183964685350613E-2</v>
      </c>
      <c r="I368" s="6" t="s">
        <v>23</v>
      </c>
    </row>
    <row r="369" spans="1:9" x14ac:dyDescent="0.25">
      <c r="A369" s="6" t="s">
        <v>1335</v>
      </c>
      <c r="B369" s="6" t="s">
        <v>33</v>
      </c>
      <c r="C369" s="38">
        <v>356392243799245</v>
      </c>
      <c r="D369" s="6" t="s">
        <v>15</v>
      </c>
      <c r="E369" s="29">
        <v>3710</v>
      </c>
      <c r="F369" s="29">
        <v>3409.35</v>
      </c>
      <c r="G369" s="16">
        <f t="shared" si="12"/>
        <v>300.65000000000009</v>
      </c>
      <c r="H369" s="9">
        <f t="shared" si="13"/>
        <v>8.8183964685350613E-2</v>
      </c>
      <c r="I369" s="6" t="s">
        <v>23</v>
      </c>
    </row>
    <row r="370" spans="1:9" x14ac:dyDescent="0.25">
      <c r="A370" s="6" t="s">
        <v>1335</v>
      </c>
      <c r="B370" s="6" t="s">
        <v>33</v>
      </c>
      <c r="C370" s="38">
        <v>356392244848629</v>
      </c>
      <c r="D370" s="6" t="s">
        <v>15</v>
      </c>
      <c r="E370" s="29">
        <v>3530</v>
      </c>
      <c r="F370" s="29">
        <v>3337.95</v>
      </c>
      <c r="G370" s="16">
        <f t="shared" si="12"/>
        <v>192.05000000000018</v>
      </c>
      <c r="H370" s="9">
        <f t="shared" si="13"/>
        <v>5.753531359067697E-2</v>
      </c>
      <c r="I370" s="6" t="s">
        <v>23</v>
      </c>
    </row>
    <row r="371" spans="1:9" x14ac:dyDescent="0.25">
      <c r="A371" s="6" t="s">
        <v>1335</v>
      </c>
      <c r="B371" s="6" t="s">
        <v>33</v>
      </c>
      <c r="C371" s="38">
        <v>356605228885659</v>
      </c>
      <c r="D371" s="6" t="s">
        <v>490</v>
      </c>
      <c r="E371" s="29">
        <v>3660</v>
      </c>
      <c r="F371" s="29">
        <v>3409.35</v>
      </c>
      <c r="G371" s="16">
        <f t="shared" si="12"/>
        <v>250.65000000000009</v>
      </c>
      <c r="H371" s="9">
        <f t="shared" si="13"/>
        <v>7.3518412600642374E-2</v>
      </c>
      <c r="I371" s="6" t="s">
        <v>23</v>
      </c>
    </row>
    <row r="372" spans="1:9" x14ac:dyDescent="0.25">
      <c r="A372" s="6" t="s">
        <v>1335</v>
      </c>
      <c r="B372" s="6" t="s">
        <v>33</v>
      </c>
      <c r="C372" s="38">
        <v>357329441189398</v>
      </c>
      <c r="D372" s="6" t="s">
        <v>15</v>
      </c>
      <c r="E372" s="29">
        <v>3710</v>
      </c>
      <c r="F372" s="29">
        <v>3409.35</v>
      </c>
      <c r="G372" s="16">
        <f t="shared" si="12"/>
        <v>300.65000000000009</v>
      </c>
      <c r="H372" s="9">
        <f t="shared" si="13"/>
        <v>8.8183964685350613E-2</v>
      </c>
      <c r="I372" s="6" t="s">
        <v>23</v>
      </c>
    </row>
    <row r="373" spans="1:9" x14ac:dyDescent="0.25">
      <c r="A373" s="6" t="s">
        <v>1335</v>
      </c>
      <c r="B373" s="6" t="s">
        <v>33</v>
      </c>
      <c r="C373" s="38">
        <v>357586349004827</v>
      </c>
      <c r="D373" s="6" t="s">
        <v>15</v>
      </c>
      <c r="E373" s="29">
        <v>3530</v>
      </c>
      <c r="F373" s="29">
        <v>3337.95</v>
      </c>
      <c r="G373" s="16">
        <f t="shared" si="12"/>
        <v>192.05000000000018</v>
      </c>
      <c r="H373" s="9">
        <f t="shared" si="13"/>
        <v>5.753531359067697E-2</v>
      </c>
      <c r="I373" s="6" t="s">
        <v>23</v>
      </c>
    </row>
    <row r="374" spans="1:9" x14ac:dyDescent="0.25">
      <c r="A374" s="6" t="s">
        <v>1335</v>
      </c>
      <c r="B374" s="6" t="s">
        <v>33</v>
      </c>
      <c r="C374" s="38">
        <v>357586349496411</v>
      </c>
      <c r="D374" s="6" t="s">
        <v>15</v>
      </c>
      <c r="E374" s="29">
        <v>3530</v>
      </c>
      <c r="F374" s="29">
        <v>3337.95</v>
      </c>
      <c r="G374" s="16">
        <f t="shared" si="12"/>
        <v>192.05000000000018</v>
      </c>
      <c r="H374" s="9">
        <f t="shared" si="13"/>
        <v>5.753531359067697E-2</v>
      </c>
      <c r="I374" s="6" t="s">
        <v>23</v>
      </c>
    </row>
    <row r="375" spans="1:9" x14ac:dyDescent="0.25">
      <c r="A375" s="6" t="s">
        <v>1335</v>
      </c>
      <c r="B375" s="6" t="s">
        <v>33</v>
      </c>
      <c r="C375" s="38">
        <v>357586349547700</v>
      </c>
      <c r="D375" s="6" t="s">
        <v>15</v>
      </c>
      <c r="E375" s="29">
        <v>3530</v>
      </c>
      <c r="F375" s="29">
        <v>3337.95</v>
      </c>
      <c r="G375" s="16">
        <f t="shared" si="12"/>
        <v>192.05000000000018</v>
      </c>
      <c r="H375" s="9">
        <f t="shared" si="13"/>
        <v>5.753531359067697E-2</v>
      </c>
      <c r="I375" s="6" t="s">
        <v>23</v>
      </c>
    </row>
    <row r="376" spans="1:9" x14ac:dyDescent="0.25">
      <c r="A376" s="6" t="s">
        <v>1335</v>
      </c>
      <c r="B376" s="6" t="s">
        <v>33</v>
      </c>
      <c r="C376" s="38">
        <v>358051329931936</v>
      </c>
      <c r="D376" s="6" t="s">
        <v>15</v>
      </c>
      <c r="E376" s="29">
        <v>3530</v>
      </c>
      <c r="F376" s="29">
        <v>3337.95</v>
      </c>
      <c r="G376" s="16">
        <f t="shared" si="12"/>
        <v>192.05000000000018</v>
      </c>
      <c r="H376" s="9">
        <f t="shared" si="13"/>
        <v>5.753531359067697E-2</v>
      </c>
      <c r="I376" s="6" t="s">
        <v>23</v>
      </c>
    </row>
    <row r="377" spans="1:9" x14ac:dyDescent="0.25">
      <c r="A377" s="6" t="s">
        <v>1335</v>
      </c>
      <c r="B377" s="6" t="s">
        <v>33</v>
      </c>
      <c r="C377" s="38">
        <v>358902511179199</v>
      </c>
      <c r="D377" s="6" t="s">
        <v>490</v>
      </c>
      <c r="E377" s="29">
        <v>3650</v>
      </c>
      <c r="F377" s="29">
        <v>3409.35</v>
      </c>
      <c r="G377" s="16">
        <f t="shared" si="12"/>
        <v>240.65000000000009</v>
      </c>
      <c r="H377" s="9">
        <f t="shared" si="13"/>
        <v>7.0585302183700738E-2</v>
      </c>
      <c r="I377" s="6" t="s">
        <v>23</v>
      </c>
    </row>
    <row r="378" spans="1:9" x14ac:dyDescent="0.25">
      <c r="A378" s="6" t="s">
        <v>1335</v>
      </c>
      <c r="B378" s="6" t="s">
        <v>33</v>
      </c>
      <c r="C378" s="38">
        <v>358902512382537</v>
      </c>
      <c r="D378" s="6" t="s">
        <v>15</v>
      </c>
      <c r="E378" s="29">
        <v>3530</v>
      </c>
      <c r="F378" s="29">
        <v>3337.95</v>
      </c>
      <c r="G378" s="16">
        <f t="shared" si="12"/>
        <v>192.05000000000018</v>
      </c>
      <c r="H378" s="9">
        <f t="shared" si="13"/>
        <v>5.753531359067697E-2</v>
      </c>
      <c r="I378" s="6" t="s">
        <v>23</v>
      </c>
    </row>
    <row r="379" spans="1:9" x14ac:dyDescent="0.25">
      <c r="A379" s="6" t="s">
        <v>1335</v>
      </c>
      <c r="B379" s="6" t="s">
        <v>33</v>
      </c>
      <c r="C379" s="38">
        <v>358902513335823</v>
      </c>
      <c r="D379" s="6" t="s">
        <v>15</v>
      </c>
      <c r="E379" s="29">
        <v>3710</v>
      </c>
      <c r="F379" s="29">
        <v>3409.35</v>
      </c>
      <c r="G379" s="16">
        <f t="shared" si="12"/>
        <v>300.65000000000009</v>
      </c>
      <c r="H379" s="9">
        <f t="shared" si="13"/>
        <v>8.8183964685350613E-2</v>
      </c>
      <c r="I379" s="6" t="s">
        <v>23</v>
      </c>
    </row>
    <row r="380" spans="1:9" x14ac:dyDescent="0.25">
      <c r="A380" s="6" t="s">
        <v>1450</v>
      </c>
      <c r="B380" s="6" t="s">
        <v>1460</v>
      </c>
      <c r="C380" s="38">
        <v>356043381249259</v>
      </c>
      <c r="D380" s="6" t="s">
        <v>15</v>
      </c>
      <c r="E380" s="29">
        <v>2100</v>
      </c>
      <c r="F380" s="29">
        <v>1941.3</v>
      </c>
      <c r="G380" s="16">
        <f t="shared" si="12"/>
        <v>158.70000000000005</v>
      </c>
      <c r="H380" s="9">
        <f t="shared" si="13"/>
        <v>8.1749343223613075E-2</v>
      </c>
      <c r="I380" s="6" t="s">
        <v>23</v>
      </c>
    </row>
    <row r="381" spans="1:9" x14ac:dyDescent="0.25">
      <c r="A381" s="6" t="s">
        <v>1450</v>
      </c>
      <c r="B381" s="6" t="s">
        <v>1462</v>
      </c>
      <c r="C381" s="38">
        <v>353357355939908</v>
      </c>
      <c r="D381" s="6" t="s">
        <v>15</v>
      </c>
      <c r="E381" s="29">
        <v>2350</v>
      </c>
      <c r="F381" s="29">
        <v>2000</v>
      </c>
      <c r="G381" s="16">
        <f t="shared" si="12"/>
        <v>350</v>
      </c>
      <c r="H381" s="9">
        <f t="shared" si="13"/>
        <v>0.17499999999999999</v>
      </c>
      <c r="I381" s="6" t="s">
        <v>23</v>
      </c>
    </row>
    <row r="382" spans="1:9" x14ac:dyDescent="0.25">
      <c r="A382" s="6" t="s">
        <v>1450</v>
      </c>
      <c r="B382" s="6" t="s">
        <v>1462</v>
      </c>
      <c r="C382" s="38">
        <v>354136652550926</v>
      </c>
      <c r="D382" s="6" t="s">
        <v>15</v>
      </c>
      <c r="E382" s="29">
        <v>2350</v>
      </c>
      <c r="F382" s="29">
        <v>2000</v>
      </c>
      <c r="G382" s="16">
        <f t="shared" si="12"/>
        <v>350</v>
      </c>
      <c r="H382" s="9">
        <f t="shared" si="13"/>
        <v>0.17499999999999999</v>
      </c>
      <c r="I382" s="6" t="s">
        <v>23</v>
      </c>
    </row>
    <row r="383" spans="1:9" x14ac:dyDescent="0.25">
      <c r="A383" s="6" t="s">
        <v>1450</v>
      </c>
      <c r="B383" s="6" t="s">
        <v>1462</v>
      </c>
      <c r="C383" s="38">
        <v>357719281961635</v>
      </c>
      <c r="D383" s="6" t="s">
        <v>15</v>
      </c>
      <c r="E383" s="29">
        <v>2350</v>
      </c>
      <c r="F383" s="29">
        <v>2232</v>
      </c>
      <c r="G383" s="16">
        <f t="shared" si="12"/>
        <v>118</v>
      </c>
      <c r="H383" s="9">
        <f t="shared" si="13"/>
        <v>5.2867383512544802E-2</v>
      </c>
      <c r="I383" s="6" t="s">
        <v>23</v>
      </c>
    </row>
    <row r="384" spans="1:9" x14ac:dyDescent="0.25">
      <c r="A384" s="7" t="s">
        <v>1450</v>
      </c>
      <c r="B384" s="7" t="s">
        <v>328</v>
      </c>
      <c r="C384" s="39" t="s">
        <v>1578</v>
      </c>
      <c r="D384" s="7" t="s">
        <v>15</v>
      </c>
      <c r="E384" s="16">
        <v>1325</v>
      </c>
      <c r="F384" s="16">
        <v>987.25</v>
      </c>
      <c r="G384" s="16">
        <f t="shared" si="12"/>
        <v>337.75</v>
      </c>
      <c r="H384" s="9">
        <f t="shared" si="13"/>
        <v>0.34211192707014432</v>
      </c>
      <c r="I384" s="7" t="s">
        <v>23</v>
      </c>
    </row>
    <row r="385" spans="1:9" x14ac:dyDescent="0.25">
      <c r="A385" s="7" t="s">
        <v>1450</v>
      </c>
      <c r="B385" s="7" t="s">
        <v>328</v>
      </c>
      <c r="C385" s="39" t="s">
        <v>1579</v>
      </c>
      <c r="D385" s="7" t="s">
        <v>15</v>
      </c>
      <c r="E385" s="16">
        <v>1325</v>
      </c>
      <c r="F385" s="16">
        <v>987.25</v>
      </c>
      <c r="G385" s="16">
        <f t="shared" si="12"/>
        <v>337.75</v>
      </c>
      <c r="H385" s="9">
        <f t="shared" si="13"/>
        <v>0.34211192707014432</v>
      </c>
      <c r="I385" s="7" t="s">
        <v>23</v>
      </c>
    </row>
    <row r="386" spans="1:9" x14ac:dyDescent="0.25">
      <c r="A386" s="7" t="s">
        <v>1450</v>
      </c>
      <c r="B386" s="7" t="s">
        <v>328</v>
      </c>
      <c r="C386" s="39" t="s">
        <v>1580</v>
      </c>
      <c r="D386" s="7" t="s">
        <v>15</v>
      </c>
      <c r="E386" s="16">
        <v>1325</v>
      </c>
      <c r="F386" s="16">
        <v>987.25</v>
      </c>
      <c r="G386" s="16">
        <f t="shared" si="12"/>
        <v>337.75</v>
      </c>
      <c r="H386" s="9">
        <f t="shared" si="13"/>
        <v>0.34211192707014432</v>
      </c>
      <c r="I386" s="7" t="s">
        <v>23</v>
      </c>
    </row>
    <row r="387" spans="1:9" x14ac:dyDescent="0.25">
      <c r="A387" s="7" t="s">
        <v>1450</v>
      </c>
      <c r="B387" s="7" t="s">
        <v>328</v>
      </c>
      <c r="C387" s="39" t="s">
        <v>1581</v>
      </c>
      <c r="D387" s="7" t="s">
        <v>15</v>
      </c>
      <c r="E387" s="16">
        <v>1325</v>
      </c>
      <c r="F387" s="16">
        <v>987.25</v>
      </c>
      <c r="G387" s="16">
        <f t="shared" si="12"/>
        <v>337.75</v>
      </c>
      <c r="H387" s="9">
        <f t="shared" si="13"/>
        <v>0.34211192707014432</v>
      </c>
      <c r="I387" s="7" t="s">
        <v>23</v>
      </c>
    </row>
    <row r="388" spans="1:9" x14ac:dyDescent="0.25">
      <c r="A388" s="7" t="s">
        <v>1450</v>
      </c>
      <c r="B388" s="7" t="s">
        <v>328</v>
      </c>
      <c r="C388" s="39" t="s">
        <v>1582</v>
      </c>
      <c r="D388" s="7" t="s">
        <v>15</v>
      </c>
      <c r="E388" s="16">
        <v>1325</v>
      </c>
      <c r="F388" s="16">
        <v>987.25</v>
      </c>
      <c r="G388" s="16">
        <f t="shared" si="12"/>
        <v>337.75</v>
      </c>
      <c r="H388" s="9">
        <f t="shared" si="13"/>
        <v>0.34211192707014432</v>
      </c>
      <c r="I388" s="7" t="s">
        <v>23</v>
      </c>
    </row>
    <row r="389" spans="1:9" x14ac:dyDescent="0.25">
      <c r="A389" s="7" t="s">
        <v>1450</v>
      </c>
      <c r="B389" s="7" t="s">
        <v>328</v>
      </c>
      <c r="C389" s="39" t="s">
        <v>1583</v>
      </c>
      <c r="D389" s="7" t="s">
        <v>15</v>
      </c>
      <c r="E389" s="16">
        <v>1325</v>
      </c>
      <c r="F389" s="16">
        <v>987.25</v>
      </c>
      <c r="G389" s="16">
        <f t="shared" si="12"/>
        <v>337.75</v>
      </c>
      <c r="H389" s="9">
        <f t="shared" si="13"/>
        <v>0.34211192707014432</v>
      </c>
      <c r="I389" s="7" t="s">
        <v>23</v>
      </c>
    </row>
    <row r="390" spans="1:9" x14ac:dyDescent="0.25">
      <c r="A390" s="7" t="s">
        <v>1450</v>
      </c>
      <c r="B390" s="7" t="s">
        <v>328</v>
      </c>
      <c r="C390" s="39" t="s">
        <v>1584</v>
      </c>
      <c r="D390" s="7" t="s">
        <v>15</v>
      </c>
      <c r="E390" s="16">
        <v>1325</v>
      </c>
      <c r="F390" s="16">
        <v>987.25</v>
      </c>
      <c r="G390" s="16">
        <f t="shared" si="12"/>
        <v>337.75</v>
      </c>
      <c r="H390" s="9">
        <f t="shared" si="13"/>
        <v>0.34211192707014432</v>
      </c>
      <c r="I390" s="7" t="s">
        <v>23</v>
      </c>
    </row>
    <row r="391" spans="1:9" x14ac:dyDescent="0.25">
      <c r="A391" s="7" t="s">
        <v>1450</v>
      </c>
      <c r="B391" s="7" t="s">
        <v>328</v>
      </c>
      <c r="C391" s="39" t="s">
        <v>1585</v>
      </c>
      <c r="D391" s="7" t="s">
        <v>15</v>
      </c>
      <c r="E391" s="16">
        <v>1325</v>
      </c>
      <c r="F391" s="16">
        <v>987.25</v>
      </c>
      <c r="G391" s="16">
        <f t="shared" si="12"/>
        <v>337.75</v>
      </c>
      <c r="H391" s="9">
        <f t="shared" si="13"/>
        <v>0.34211192707014432</v>
      </c>
      <c r="I391" s="7" t="s">
        <v>23</v>
      </c>
    </row>
    <row r="392" spans="1:9" x14ac:dyDescent="0.25">
      <c r="A392" s="7" t="s">
        <v>1450</v>
      </c>
      <c r="B392" s="7" t="s">
        <v>328</v>
      </c>
      <c r="C392" s="39" t="s">
        <v>1586</v>
      </c>
      <c r="D392" s="7" t="s">
        <v>15</v>
      </c>
      <c r="E392" s="16">
        <v>1325</v>
      </c>
      <c r="F392" s="16">
        <v>987.25</v>
      </c>
      <c r="G392" s="16">
        <f t="shared" si="12"/>
        <v>337.75</v>
      </c>
      <c r="H392" s="9">
        <f t="shared" si="13"/>
        <v>0.34211192707014432</v>
      </c>
      <c r="I392" s="7" t="s">
        <v>23</v>
      </c>
    </row>
    <row r="393" spans="1:9" x14ac:dyDescent="0.25">
      <c r="A393" s="7" t="s">
        <v>1450</v>
      </c>
      <c r="B393" s="7" t="s">
        <v>328</v>
      </c>
      <c r="C393" s="39" t="s">
        <v>1587</v>
      </c>
      <c r="D393" s="7" t="s">
        <v>15</v>
      </c>
      <c r="E393" s="16">
        <v>1325</v>
      </c>
      <c r="F393" s="16">
        <v>987.25</v>
      </c>
      <c r="G393" s="16">
        <f t="shared" si="12"/>
        <v>337.75</v>
      </c>
      <c r="H393" s="9">
        <f t="shared" si="13"/>
        <v>0.34211192707014432</v>
      </c>
      <c r="I393" s="7" t="s">
        <v>23</v>
      </c>
    </row>
    <row r="394" spans="1:9" x14ac:dyDescent="0.25">
      <c r="A394" s="7" t="s">
        <v>1450</v>
      </c>
      <c r="B394" s="7" t="s">
        <v>328</v>
      </c>
      <c r="C394" s="39" t="s">
        <v>1588</v>
      </c>
      <c r="D394" s="7" t="s">
        <v>15</v>
      </c>
      <c r="E394" s="16">
        <v>1325</v>
      </c>
      <c r="F394" s="16">
        <v>987.25</v>
      </c>
      <c r="G394" s="16">
        <f t="shared" si="12"/>
        <v>337.75</v>
      </c>
      <c r="H394" s="9">
        <f t="shared" si="13"/>
        <v>0.34211192707014432</v>
      </c>
      <c r="I394" s="7" t="s">
        <v>23</v>
      </c>
    </row>
    <row r="395" spans="1:9" x14ac:dyDescent="0.25">
      <c r="A395" s="7" t="s">
        <v>1450</v>
      </c>
      <c r="B395" s="7" t="s">
        <v>328</v>
      </c>
      <c r="C395" s="39" t="s">
        <v>1589</v>
      </c>
      <c r="D395" s="7" t="s">
        <v>15</v>
      </c>
      <c r="E395" s="16">
        <v>1325</v>
      </c>
      <c r="F395" s="16">
        <v>987.25</v>
      </c>
      <c r="G395" s="16">
        <f t="shared" si="12"/>
        <v>337.75</v>
      </c>
      <c r="H395" s="9">
        <f t="shared" si="13"/>
        <v>0.34211192707014432</v>
      </c>
      <c r="I395" s="7" t="s">
        <v>23</v>
      </c>
    </row>
    <row r="396" spans="1:9" x14ac:dyDescent="0.25">
      <c r="A396" s="7" t="s">
        <v>1450</v>
      </c>
      <c r="B396" s="7" t="s">
        <v>328</v>
      </c>
      <c r="C396" s="39" t="s">
        <v>1590</v>
      </c>
      <c r="D396" s="7" t="s">
        <v>15</v>
      </c>
      <c r="E396" s="16">
        <v>1325</v>
      </c>
      <c r="F396" s="16">
        <v>987.25</v>
      </c>
      <c r="G396" s="16">
        <f t="shared" si="12"/>
        <v>337.75</v>
      </c>
      <c r="H396" s="9">
        <f t="shared" si="13"/>
        <v>0.34211192707014432</v>
      </c>
      <c r="I396" s="7" t="s">
        <v>23</v>
      </c>
    </row>
    <row r="397" spans="1:9" x14ac:dyDescent="0.25">
      <c r="A397" s="7" t="s">
        <v>1450</v>
      </c>
      <c r="B397" s="7" t="s">
        <v>328</v>
      </c>
      <c r="C397" s="39" t="s">
        <v>1591</v>
      </c>
      <c r="D397" s="7" t="s">
        <v>15</v>
      </c>
      <c r="E397" s="16">
        <v>1325</v>
      </c>
      <c r="F397" s="16">
        <v>987.25</v>
      </c>
      <c r="G397" s="16">
        <f t="shared" si="12"/>
        <v>337.75</v>
      </c>
      <c r="H397" s="9">
        <f t="shared" si="13"/>
        <v>0.34211192707014432</v>
      </c>
      <c r="I397" s="7" t="s">
        <v>23</v>
      </c>
    </row>
    <row r="398" spans="1:9" x14ac:dyDescent="0.25">
      <c r="A398" s="7" t="s">
        <v>1450</v>
      </c>
      <c r="B398" s="7" t="s">
        <v>328</v>
      </c>
      <c r="C398" s="39" t="s">
        <v>1592</v>
      </c>
      <c r="D398" s="7" t="s">
        <v>15</v>
      </c>
      <c r="E398" s="16">
        <v>1325</v>
      </c>
      <c r="F398" s="16">
        <v>987.25</v>
      </c>
      <c r="G398" s="16">
        <f t="shared" si="12"/>
        <v>337.75</v>
      </c>
      <c r="H398" s="9">
        <f t="shared" si="13"/>
        <v>0.34211192707014432</v>
      </c>
      <c r="I398" s="7" t="s">
        <v>23</v>
      </c>
    </row>
    <row r="399" spans="1:9" x14ac:dyDescent="0.25">
      <c r="A399" s="7" t="s">
        <v>1450</v>
      </c>
      <c r="B399" s="7" t="s">
        <v>328</v>
      </c>
      <c r="C399" s="39" t="s">
        <v>1593</v>
      </c>
      <c r="D399" s="7" t="s">
        <v>15</v>
      </c>
      <c r="E399" s="16">
        <v>1325</v>
      </c>
      <c r="F399" s="16">
        <v>987.25</v>
      </c>
      <c r="G399" s="16">
        <f t="shared" si="12"/>
        <v>337.75</v>
      </c>
      <c r="H399" s="9">
        <f t="shared" si="13"/>
        <v>0.34211192707014432</v>
      </c>
      <c r="I399" s="7" t="s">
        <v>23</v>
      </c>
    </row>
    <row r="400" spans="1:9" x14ac:dyDescent="0.25">
      <c r="A400" s="7" t="s">
        <v>1450</v>
      </c>
      <c r="B400" s="7" t="s">
        <v>328</v>
      </c>
      <c r="C400" s="39" t="s">
        <v>1594</v>
      </c>
      <c r="D400" s="7" t="s">
        <v>15</v>
      </c>
      <c r="E400" s="16">
        <v>1325</v>
      </c>
      <c r="F400" s="16">
        <v>987.25</v>
      </c>
      <c r="G400" s="16">
        <f t="shared" si="12"/>
        <v>337.75</v>
      </c>
      <c r="H400" s="9">
        <f t="shared" si="13"/>
        <v>0.34211192707014432</v>
      </c>
      <c r="I400" s="7" t="s">
        <v>23</v>
      </c>
    </row>
    <row r="401" spans="1:9" x14ac:dyDescent="0.25">
      <c r="A401" s="7" t="s">
        <v>1450</v>
      </c>
      <c r="B401" s="7" t="s">
        <v>328</v>
      </c>
      <c r="C401" s="39" t="s">
        <v>1595</v>
      </c>
      <c r="D401" s="7" t="s">
        <v>15</v>
      </c>
      <c r="E401" s="16">
        <v>1325</v>
      </c>
      <c r="F401" s="16">
        <v>987.25</v>
      </c>
      <c r="G401" s="16">
        <f t="shared" si="12"/>
        <v>337.75</v>
      </c>
      <c r="H401" s="9">
        <f t="shared" si="13"/>
        <v>0.34211192707014432</v>
      </c>
      <c r="I401" s="7" t="s">
        <v>23</v>
      </c>
    </row>
    <row r="402" spans="1:9" x14ac:dyDescent="0.25">
      <c r="A402" s="7" t="s">
        <v>1450</v>
      </c>
      <c r="B402" s="7" t="s">
        <v>328</v>
      </c>
      <c r="C402" s="39" t="s">
        <v>1596</v>
      </c>
      <c r="D402" s="7" t="s">
        <v>15</v>
      </c>
      <c r="E402" s="16">
        <v>1325</v>
      </c>
      <c r="F402" s="16">
        <v>987.25</v>
      </c>
      <c r="G402" s="16">
        <f t="shared" si="12"/>
        <v>337.75</v>
      </c>
      <c r="H402" s="9">
        <f t="shared" si="13"/>
        <v>0.34211192707014432</v>
      </c>
      <c r="I402" s="7" t="s">
        <v>23</v>
      </c>
    </row>
    <row r="403" spans="1:9" x14ac:dyDescent="0.25">
      <c r="A403" s="7" t="s">
        <v>1450</v>
      </c>
      <c r="B403" s="7" t="s">
        <v>328</v>
      </c>
      <c r="C403" s="39" t="s">
        <v>1597</v>
      </c>
      <c r="D403" s="7" t="s">
        <v>15</v>
      </c>
      <c r="E403" s="16">
        <v>1325</v>
      </c>
      <c r="F403" s="16">
        <v>987.25</v>
      </c>
      <c r="G403" s="16">
        <f t="shared" si="12"/>
        <v>337.75</v>
      </c>
      <c r="H403" s="9">
        <f t="shared" si="13"/>
        <v>0.34211192707014432</v>
      </c>
      <c r="I403" s="7" t="s">
        <v>23</v>
      </c>
    </row>
    <row r="404" spans="1:9" x14ac:dyDescent="0.25">
      <c r="A404" s="7" t="s">
        <v>1450</v>
      </c>
      <c r="B404" s="7" t="s">
        <v>328</v>
      </c>
      <c r="C404" s="39" t="s">
        <v>1598</v>
      </c>
      <c r="D404" s="7" t="s">
        <v>15</v>
      </c>
      <c r="E404" s="16">
        <v>1325</v>
      </c>
      <c r="F404" s="16">
        <v>987.25</v>
      </c>
      <c r="G404" s="16">
        <f t="shared" si="12"/>
        <v>337.75</v>
      </c>
      <c r="H404" s="9">
        <f t="shared" si="13"/>
        <v>0.34211192707014432</v>
      </c>
      <c r="I404" s="7" t="s">
        <v>23</v>
      </c>
    </row>
    <row r="405" spans="1:9" x14ac:dyDescent="0.25">
      <c r="A405" s="7" t="s">
        <v>1450</v>
      </c>
      <c r="B405" s="7" t="s">
        <v>328</v>
      </c>
      <c r="C405" s="39" t="s">
        <v>1599</v>
      </c>
      <c r="D405" s="7" t="s">
        <v>15</v>
      </c>
      <c r="E405" s="16">
        <v>1325</v>
      </c>
      <c r="F405" s="16">
        <v>987.25</v>
      </c>
      <c r="G405" s="16">
        <f t="shared" si="12"/>
        <v>337.75</v>
      </c>
      <c r="H405" s="9">
        <f t="shared" si="13"/>
        <v>0.34211192707014432</v>
      </c>
      <c r="I405" s="7" t="s">
        <v>23</v>
      </c>
    </row>
    <row r="406" spans="1:9" x14ac:dyDescent="0.25">
      <c r="A406" s="7" t="s">
        <v>1450</v>
      </c>
      <c r="B406" s="7" t="s">
        <v>328</v>
      </c>
      <c r="C406" s="39" t="s">
        <v>1600</v>
      </c>
      <c r="D406" s="7" t="s">
        <v>15</v>
      </c>
      <c r="E406" s="16">
        <v>1325</v>
      </c>
      <c r="F406" s="16">
        <v>987.25</v>
      </c>
      <c r="G406" s="16">
        <f t="shared" si="12"/>
        <v>337.75</v>
      </c>
      <c r="H406" s="9">
        <f t="shared" si="13"/>
        <v>0.34211192707014432</v>
      </c>
      <c r="I406" s="7" t="s">
        <v>23</v>
      </c>
    </row>
    <row r="407" spans="1:9" x14ac:dyDescent="0.25">
      <c r="A407" s="7" t="s">
        <v>1618</v>
      </c>
      <c r="B407" s="7" t="s">
        <v>38</v>
      </c>
      <c r="C407" s="39" t="s">
        <v>1635</v>
      </c>
      <c r="D407" s="7" t="s">
        <v>15</v>
      </c>
      <c r="E407" s="16">
        <v>2490</v>
      </c>
      <c r="F407" s="16">
        <v>2112.1999999999998</v>
      </c>
      <c r="G407" s="16">
        <f t="shared" si="12"/>
        <v>377.80000000000018</v>
      </c>
      <c r="H407" s="9">
        <f t="shared" si="13"/>
        <v>0.17886563772370051</v>
      </c>
      <c r="I407" s="7" t="s">
        <v>23</v>
      </c>
    </row>
    <row r="408" spans="1:9" x14ac:dyDescent="0.25">
      <c r="A408" s="7" t="s">
        <v>1618</v>
      </c>
      <c r="B408" s="7" t="s">
        <v>38</v>
      </c>
      <c r="C408" s="39" t="s">
        <v>1636</v>
      </c>
      <c r="D408" s="7" t="s">
        <v>15</v>
      </c>
      <c r="E408" s="16">
        <v>2490</v>
      </c>
      <c r="F408" s="16">
        <v>2112.1999999999998</v>
      </c>
      <c r="G408" s="16">
        <f t="shared" si="12"/>
        <v>377.80000000000018</v>
      </c>
      <c r="H408" s="9">
        <f t="shared" si="13"/>
        <v>0.17886563772370051</v>
      </c>
      <c r="I408" s="7" t="s">
        <v>23</v>
      </c>
    </row>
    <row r="409" spans="1:9" x14ac:dyDescent="0.25">
      <c r="A409" s="7" t="s">
        <v>1618</v>
      </c>
      <c r="B409" s="7" t="s">
        <v>38</v>
      </c>
      <c r="C409" s="39" t="s">
        <v>1637</v>
      </c>
      <c r="D409" s="7" t="s">
        <v>15</v>
      </c>
      <c r="E409" s="16">
        <v>2490</v>
      </c>
      <c r="F409" s="16">
        <v>2112.1999999999998</v>
      </c>
      <c r="G409" s="16">
        <f t="shared" si="12"/>
        <v>377.80000000000018</v>
      </c>
      <c r="H409" s="9">
        <f t="shared" si="13"/>
        <v>0.17886563772370051</v>
      </c>
      <c r="I409" s="7" t="s">
        <v>23</v>
      </c>
    </row>
    <row r="410" spans="1:9" x14ac:dyDescent="0.25">
      <c r="A410" s="7" t="s">
        <v>1618</v>
      </c>
      <c r="B410" s="7" t="s">
        <v>38</v>
      </c>
      <c r="C410" s="39" t="s">
        <v>1638</v>
      </c>
      <c r="D410" s="7" t="s">
        <v>15</v>
      </c>
      <c r="E410" s="16">
        <v>2490</v>
      </c>
      <c r="F410" s="16">
        <v>2112.1999999999998</v>
      </c>
      <c r="G410" s="16">
        <f t="shared" si="12"/>
        <v>377.80000000000018</v>
      </c>
      <c r="H410" s="9">
        <f t="shared" si="13"/>
        <v>0.17886563772370051</v>
      </c>
      <c r="I410" s="7" t="s">
        <v>23</v>
      </c>
    </row>
    <row r="411" spans="1:9" x14ac:dyDescent="0.25">
      <c r="A411" s="7" t="s">
        <v>1618</v>
      </c>
      <c r="B411" s="7" t="s">
        <v>38</v>
      </c>
      <c r="C411" s="39" t="s">
        <v>1639</v>
      </c>
      <c r="D411" s="7" t="s">
        <v>15</v>
      </c>
      <c r="E411" s="16">
        <v>2490</v>
      </c>
      <c r="F411" s="16">
        <v>2112.1999999999998</v>
      </c>
      <c r="G411" s="16">
        <f t="shared" si="12"/>
        <v>377.80000000000018</v>
      </c>
      <c r="H411" s="9">
        <f t="shared" si="13"/>
        <v>0.17886563772370051</v>
      </c>
      <c r="I411" s="7" t="s">
        <v>23</v>
      </c>
    </row>
    <row r="412" spans="1:9" x14ac:dyDescent="0.25">
      <c r="A412" s="7" t="s">
        <v>1618</v>
      </c>
      <c r="B412" s="7" t="s">
        <v>38</v>
      </c>
      <c r="C412" s="39" t="s">
        <v>1640</v>
      </c>
      <c r="D412" s="7" t="s">
        <v>15</v>
      </c>
      <c r="E412" s="16">
        <v>2490</v>
      </c>
      <c r="F412" s="16">
        <v>2112.1999999999998</v>
      </c>
      <c r="G412" s="16">
        <f t="shared" si="12"/>
        <v>377.80000000000018</v>
      </c>
      <c r="H412" s="9">
        <f t="shared" si="13"/>
        <v>0.17886563772370051</v>
      </c>
      <c r="I412" s="7" t="s">
        <v>23</v>
      </c>
    </row>
    <row r="413" spans="1:9" x14ac:dyDescent="0.25">
      <c r="A413" s="7" t="s">
        <v>1618</v>
      </c>
      <c r="B413" s="7" t="s">
        <v>38</v>
      </c>
      <c r="C413" s="39" t="s">
        <v>1641</v>
      </c>
      <c r="D413" s="7" t="s">
        <v>15</v>
      </c>
      <c r="E413" s="16">
        <v>2490</v>
      </c>
      <c r="F413" s="16">
        <v>2112.1999999999998</v>
      </c>
      <c r="G413" s="16">
        <f t="shared" si="12"/>
        <v>377.80000000000018</v>
      </c>
      <c r="H413" s="9">
        <f t="shared" si="13"/>
        <v>0.17886563772370051</v>
      </c>
      <c r="I413" s="7" t="s">
        <v>23</v>
      </c>
    </row>
    <row r="414" spans="1:9" x14ac:dyDescent="0.25">
      <c r="A414" s="7" t="s">
        <v>1618</v>
      </c>
      <c r="B414" s="7" t="s">
        <v>38</v>
      </c>
      <c r="C414" s="39" t="s">
        <v>1642</v>
      </c>
      <c r="D414" s="7" t="s">
        <v>15</v>
      </c>
      <c r="E414" s="16">
        <v>2490</v>
      </c>
      <c r="F414" s="16">
        <v>2112.1999999999998</v>
      </c>
      <c r="G414" s="16">
        <f t="shared" si="12"/>
        <v>377.80000000000018</v>
      </c>
      <c r="H414" s="9">
        <f t="shared" si="13"/>
        <v>0.17886563772370051</v>
      </c>
      <c r="I414" s="7" t="s">
        <v>23</v>
      </c>
    </row>
    <row r="415" spans="1:9" x14ac:dyDescent="0.25">
      <c r="A415" s="7" t="s">
        <v>1618</v>
      </c>
      <c r="B415" s="7" t="s">
        <v>38</v>
      </c>
      <c r="C415" s="39" t="s">
        <v>1643</v>
      </c>
      <c r="D415" s="7" t="s">
        <v>15</v>
      </c>
      <c r="E415" s="16">
        <v>2490</v>
      </c>
      <c r="F415" s="16">
        <v>2112.1999999999998</v>
      </c>
      <c r="G415" s="16">
        <f t="shared" si="12"/>
        <v>377.80000000000018</v>
      </c>
      <c r="H415" s="9">
        <f t="shared" si="13"/>
        <v>0.17886563772370051</v>
      </c>
      <c r="I415" s="7" t="s">
        <v>23</v>
      </c>
    </row>
    <row r="416" spans="1:9" x14ac:dyDescent="0.25">
      <c r="A416" s="7" t="s">
        <v>1618</v>
      </c>
      <c r="B416" s="7" t="s">
        <v>38</v>
      </c>
      <c r="C416" s="39" t="s">
        <v>1644</v>
      </c>
      <c r="D416" s="7" t="s">
        <v>15</v>
      </c>
      <c r="E416" s="16">
        <v>2490</v>
      </c>
      <c r="F416" s="16">
        <v>2112.1999999999998</v>
      </c>
      <c r="G416" s="16">
        <f t="shared" si="12"/>
        <v>377.80000000000018</v>
      </c>
      <c r="H416" s="9">
        <f t="shared" si="13"/>
        <v>0.17886563772370051</v>
      </c>
      <c r="I416" s="7" t="s">
        <v>23</v>
      </c>
    </row>
    <row r="417" spans="1:9" x14ac:dyDescent="0.25">
      <c r="A417" s="7" t="s">
        <v>1618</v>
      </c>
      <c r="B417" s="7" t="s">
        <v>38</v>
      </c>
      <c r="C417" s="39" t="s">
        <v>1645</v>
      </c>
      <c r="D417" s="7" t="s">
        <v>15</v>
      </c>
      <c r="E417" s="16">
        <v>2490</v>
      </c>
      <c r="F417" s="16">
        <v>2112.1999999999998</v>
      </c>
      <c r="G417" s="16">
        <f t="shared" si="12"/>
        <v>377.80000000000018</v>
      </c>
      <c r="H417" s="9">
        <f t="shared" si="13"/>
        <v>0.17886563772370051</v>
      </c>
      <c r="I417" s="7" t="s">
        <v>23</v>
      </c>
    </row>
    <row r="418" spans="1:9" x14ac:dyDescent="0.25">
      <c r="A418" s="7" t="s">
        <v>1618</v>
      </c>
      <c r="B418" s="7" t="s">
        <v>38</v>
      </c>
      <c r="C418" s="39" t="s">
        <v>1646</v>
      </c>
      <c r="D418" s="7" t="s">
        <v>15</v>
      </c>
      <c r="E418" s="16">
        <v>2490</v>
      </c>
      <c r="F418" s="16">
        <v>2112.1999999999998</v>
      </c>
      <c r="G418" s="16">
        <f t="shared" si="12"/>
        <v>377.80000000000018</v>
      </c>
      <c r="H418" s="9">
        <f t="shared" si="13"/>
        <v>0.17886563772370051</v>
      </c>
      <c r="I418" s="7" t="s">
        <v>23</v>
      </c>
    </row>
    <row r="419" spans="1:9" x14ac:dyDescent="0.25">
      <c r="A419" s="7" t="s">
        <v>1649</v>
      </c>
      <c r="B419" s="7" t="s">
        <v>1650</v>
      </c>
      <c r="C419" s="39" t="s">
        <v>1651</v>
      </c>
      <c r="D419" s="7" t="s">
        <v>15</v>
      </c>
      <c r="E419" s="16">
        <v>520</v>
      </c>
      <c r="F419" s="16">
        <v>481.95</v>
      </c>
      <c r="G419" s="16">
        <f t="shared" si="12"/>
        <v>38.050000000000011</v>
      </c>
      <c r="H419" s="9">
        <f t="shared" si="13"/>
        <v>7.8950098557941717E-2</v>
      </c>
      <c r="I419" s="7" t="s">
        <v>23</v>
      </c>
    </row>
    <row r="420" spans="1:9" x14ac:dyDescent="0.25">
      <c r="A420" s="6" t="s">
        <v>1649</v>
      </c>
      <c r="B420" s="6" t="s">
        <v>1650</v>
      </c>
      <c r="C420" s="38" t="s">
        <v>1652</v>
      </c>
      <c r="D420" s="6" t="s">
        <v>15</v>
      </c>
      <c r="E420" s="29">
        <v>520</v>
      </c>
      <c r="F420" s="29">
        <v>481.95</v>
      </c>
      <c r="G420" s="16">
        <f t="shared" si="12"/>
        <v>38.050000000000011</v>
      </c>
      <c r="H420" s="9">
        <f t="shared" si="13"/>
        <v>7.8950098557941717E-2</v>
      </c>
      <c r="I420" s="6" t="s">
        <v>23</v>
      </c>
    </row>
    <row r="421" spans="1:9" x14ac:dyDescent="0.25">
      <c r="A421" s="6" t="s">
        <v>1649</v>
      </c>
      <c r="B421" s="6" t="s">
        <v>1650</v>
      </c>
      <c r="C421" s="38" t="s">
        <v>1653</v>
      </c>
      <c r="D421" s="6" t="s">
        <v>15</v>
      </c>
      <c r="E421" s="29">
        <v>520</v>
      </c>
      <c r="F421" s="29">
        <v>481.95</v>
      </c>
      <c r="G421" s="16">
        <f t="shared" ref="G421:G484" si="14">E421-F421</f>
        <v>38.050000000000011</v>
      </c>
      <c r="H421" s="9">
        <f t="shared" ref="H421:H484" si="15">(E421-F421)/F421</f>
        <v>7.8950098557941717E-2</v>
      </c>
      <c r="I421" s="6" t="s">
        <v>23</v>
      </c>
    </row>
    <row r="422" spans="1:9" x14ac:dyDescent="0.25">
      <c r="A422" s="7" t="s">
        <v>1649</v>
      </c>
      <c r="B422" s="7" t="s">
        <v>624</v>
      </c>
      <c r="C422" s="39" t="s">
        <v>1654</v>
      </c>
      <c r="D422" s="7" t="s">
        <v>15</v>
      </c>
      <c r="E422" s="16">
        <v>740</v>
      </c>
      <c r="F422" s="16">
        <v>664.15</v>
      </c>
      <c r="G422" s="16">
        <f t="shared" si="14"/>
        <v>75.850000000000023</v>
      </c>
      <c r="H422" s="9">
        <f t="shared" si="15"/>
        <v>0.11420612813370477</v>
      </c>
      <c r="I422" s="7" t="s">
        <v>23</v>
      </c>
    </row>
    <row r="423" spans="1:9" x14ac:dyDescent="0.25">
      <c r="A423" s="7" t="s">
        <v>1649</v>
      </c>
      <c r="B423" s="7" t="s">
        <v>1147</v>
      </c>
      <c r="C423" s="39">
        <v>357550245539393</v>
      </c>
      <c r="D423" s="7" t="s">
        <v>15</v>
      </c>
      <c r="E423" s="16">
        <v>800</v>
      </c>
      <c r="F423" s="16">
        <v>753.9</v>
      </c>
      <c r="G423" s="16">
        <f t="shared" si="14"/>
        <v>46.100000000000023</v>
      </c>
      <c r="H423" s="9">
        <f t="shared" si="15"/>
        <v>6.1148693460671207E-2</v>
      </c>
      <c r="I423" s="7" t="s">
        <v>23</v>
      </c>
    </row>
    <row r="424" spans="1:9" x14ac:dyDescent="0.25">
      <c r="A424" s="7" t="s">
        <v>1649</v>
      </c>
      <c r="B424" s="7" t="s">
        <v>1147</v>
      </c>
      <c r="C424" s="39" t="s">
        <v>1657</v>
      </c>
      <c r="D424" s="7" t="s">
        <v>15</v>
      </c>
      <c r="E424" s="16">
        <v>840</v>
      </c>
      <c r="F424" s="16">
        <v>749.7</v>
      </c>
      <c r="G424" s="16">
        <f t="shared" si="14"/>
        <v>90.299999999999955</v>
      </c>
      <c r="H424" s="9">
        <f t="shared" si="15"/>
        <v>0.12044817927170862</v>
      </c>
      <c r="I424" s="7" t="s">
        <v>23</v>
      </c>
    </row>
    <row r="425" spans="1:9" x14ac:dyDescent="0.25">
      <c r="A425" s="7" t="s">
        <v>1649</v>
      </c>
      <c r="B425" s="7" t="s">
        <v>1147</v>
      </c>
      <c r="C425" s="39" t="s">
        <v>1658</v>
      </c>
      <c r="D425" s="7" t="s">
        <v>15</v>
      </c>
      <c r="E425" s="16">
        <v>840</v>
      </c>
      <c r="F425" s="16">
        <v>749.7</v>
      </c>
      <c r="G425" s="16">
        <f t="shared" si="14"/>
        <v>90.299999999999955</v>
      </c>
      <c r="H425" s="9">
        <f t="shared" si="15"/>
        <v>0.12044817927170862</v>
      </c>
      <c r="I425" s="7" t="s">
        <v>23</v>
      </c>
    </row>
    <row r="426" spans="1:9" x14ac:dyDescent="0.25">
      <c r="A426" s="7" t="s">
        <v>1649</v>
      </c>
      <c r="B426" s="7" t="s">
        <v>1659</v>
      </c>
      <c r="C426" s="39" t="s">
        <v>1660</v>
      </c>
      <c r="D426" s="7" t="s">
        <v>15</v>
      </c>
      <c r="E426" s="16">
        <v>980</v>
      </c>
      <c r="F426" s="16">
        <v>963.9</v>
      </c>
      <c r="G426" s="16">
        <f t="shared" si="14"/>
        <v>16.100000000000023</v>
      </c>
      <c r="H426" s="9">
        <f t="shared" si="15"/>
        <v>1.6702977487291236E-2</v>
      </c>
      <c r="I426" s="7" t="s">
        <v>23</v>
      </c>
    </row>
    <row r="427" spans="1:9" x14ac:dyDescent="0.25">
      <c r="A427" s="7" t="s">
        <v>1649</v>
      </c>
      <c r="B427" s="7" t="s">
        <v>1659</v>
      </c>
      <c r="C427" s="39" t="s">
        <v>1661</v>
      </c>
      <c r="D427" s="7" t="s">
        <v>15</v>
      </c>
      <c r="E427" s="16">
        <v>980</v>
      </c>
      <c r="F427" s="16">
        <v>963.9</v>
      </c>
      <c r="G427" s="16">
        <f t="shared" si="14"/>
        <v>16.100000000000023</v>
      </c>
      <c r="H427" s="9">
        <f t="shared" si="15"/>
        <v>1.6702977487291236E-2</v>
      </c>
      <c r="I427" s="7" t="s">
        <v>23</v>
      </c>
    </row>
    <row r="428" spans="1:9" x14ac:dyDescent="0.25">
      <c r="A428" s="7" t="s">
        <v>1649</v>
      </c>
      <c r="B428" s="7" t="s">
        <v>626</v>
      </c>
      <c r="C428" s="39" t="s">
        <v>1662</v>
      </c>
      <c r="D428" s="7" t="s">
        <v>15</v>
      </c>
      <c r="E428" s="16">
        <v>1080</v>
      </c>
      <c r="F428" s="16">
        <v>1077</v>
      </c>
      <c r="G428" s="16">
        <f t="shared" si="14"/>
        <v>3</v>
      </c>
      <c r="H428" s="9">
        <f t="shared" si="15"/>
        <v>2.7855153203342618E-3</v>
      </c>
      <c r="I428" s="7" t="s">
        <v>23</v>
      </c>
    </row>
    <row r="429" spans="1:9" x14ac:dyDescent="0.25">
      <c r="A429" s="7" t="s">
        <v>1649</v>
      </c>
      <c r="B429" s="7" t="s">
        <v>630</v>
      </c>
      <c r="C429" s="39" t="s">
        <v>1663</v>
      </c>
      <c r="D429" s="7" t="s">
        <v>15</v>
      </c>
      <c r="E429" s="16">
        <v>1180</v>
      </c>
      <c r="F429" s="16">
        <v>1142.4000000000001</v>
      </c>
      <c r="G429" s="16">
        <f t="shared" si="14"/>
        <v>37.599999999999909</v>
      </c>
      <c r="H429" s="9">
        <f t="shared" si="15"/>
        <v>3.291316526610636E-2</v>
      </c>
      <c r="I429" s="7" t="s">
        <v>23</v>
      </c>
    </row>
    <row r="430" spans="1:9" x14ac:dyDescent="0.25">
      <c r="A430" s="7" t="s">
        <v>1649</v>
      </c>
      <c r="B430" s="7" t="s">
        <v>630</v>
      </c>
      <c r="C430" s="39" t="s">
        <v>1664</v>
      </c>
      <c r="D430" s="7" t="s">
        <v>15</v>
      </c>
      <c r="E430" s="16">
        <v>1150</v>
      </c>
      <c r="F430" s="16">
        <v>1148</v>
      </c>
      <c r="G430" s="16">
        <f t="shared" si="14"/>
        <v>2</v>
      </c>
      <c r="H430" s="9">
        <f t="shared" si="15"/>
        <v>1.7421602787456446E-3</v>
      </c>
      <c r="I430" s="7" t="s">
        <v>23</v>
      </c>
    </row>
    <row r="431" spans="1:9" x14ac:dyDescent="0.25">
      <c r="A431" s="7" t="s">
        <v>1649</v>
      </c>
      <c r="B431" s="7" t="s">
        <v>630</v>
      </c>
      <c r="C431" s="39" t="s">
        <v>1665</v>
      </c>
      <c r="D431" s="7" t="s">
        <v>15</v>
      </c>
      <c r="E431" s="16">
        <v>1180</v>
      </c>
      <c r="F431" s="16">
        <v>1142.4000000000001</v>
      </c>
      <c r="G431" s="16">
        <f t="shared" si="14"/>
        <v>37.599999999999909</v>
      </c>
      <c r="H431" s="9">
        <f t="shared" si="15"/>
        <v>3.291316526610636E-2</v>
      </c>
      <c r="I431" s="7" t="s">
        <v>23</v>
      </c>
    </row>
    <row r="432" spans="1:9" x14ac:dyDescent="0.25">
      <c r="A432" s="7" t="s">
        <v>1693</v>
      </c>
      <c r="B432" s="7" t="s">
        <v>1694</v>
      </c>
      <c r="C432" s="39" t="s">
        <v>1695</v>
      </c>
      <c r="D432" s="7" t="s">
        <v>15</v>
      </c>
      <c r="E432" s="16">
        <v>325</v>
      </c>
      <c r="F432" s="16">
        <v>305.14999999999998</v>
      </c>
      <c r="G432" s="16">
        <f t="shared" si="14"/>
        <v>19.850000000000023</v>
      </c>
      <c r="H432" s="9">
        <f t="shared" si="15"/>
        <v>6.5049975421923728E-2</v>
      </c>
      <c r="I432" s="7" t="s">
        <v>23</v>
      </c>
    </row>
    <row r="433" spans="1:9" x14ac:dyDescent="0.25">
      <c r="A433" s="6" t="s">
        <v>1693</v>
      </c>
      <c r="B433" s="6" t="s">
        <v>1694</v>
      </c>
      <c r="C433" s="38" t="s">
        <v>1696</v>
      </c>
      <c r="D433" s="6" t="s">
        <v>15</v>
      </c>
      <c r="E433" s="29">
        <v>325</v>
      </c>
      <c r="F433" s="29">
        <v>305.14999999999998</v>
      </c>
      <c r="G433" s="16">
        <f t="shared" si="14"/>
        <v>19.850000000000023</v>
      </c>
      <c r="H433" s="9">
        <f t="shared" si="15"/>
        <v>6.5049975421923728E-2</v>
      </c>
      <c r="I433" s="6" t="s">
        <v>23</v>
      </c>
    </row>
    <row r="434" spans="1:9" x14ac:dyDescent="0.25">
      <c r="A434" s="6" t="s">
        <v>1693</v>
      </c>
      <c r="B434" s="6" t="s">
        <v>1694</v>
      </c>
      <c r="C434" s="38" t="s">
        <v>1697</v>
      </c>
      <c r="D434" s="6" t="s">
        <v>15</v>
      </c>
      <c r="E434" s="29">
        <v>325</v>
      </c>
      <c r="F434" s="29">
        <v>295</v>
      </c>
      <c r="G434" s="16">
        <f t="shared" si="14"/>
        <v>30</v>
      </c>
      <c r="H434" s="9">
        <f t="shared" si="15"/>
        <v>0.10169491525423729</v>
      </c>
      <c r="I434" s="6" t="s">
        <v>23</v>
      </c>
    </row>
    <row r="435" spans="1:9" x14ac:dyDescent="0.25">
      <c r="A435" s="6" t="s">
        <v>1693</v>
      </c>
      <c r="B435" s="6" t="s">
        <v>1694</v>
      </c>
      <c r="C435" s="38" t="s">
        <v>1698</v>
      </c>
      <c r="D435" s="6" t="s">
        <v>15</v>
      </c>
      <c r="E435" s="29">
        <v>325</v>
      </c>
      <c r="F435" s="29">
        <v>305.14999999999998</v>
      </c>
      <c r="G435" s="16">
        <f t="shared" si="14"/>
        <v>19.850000000000023</v>
      </c>
      <c r="H435" s="9">
        <f t="shared" si="15"/>
        <v>6.5049975421923728E-2</v>
      </c>
      <c r="I435" s="6" t="s">
        <v>23</v>
      </c>
    </row>
    <row r="436" spans="1:9" x14ac:dyDescent="0.25">
      <c r="A436" s="6" t="s">
        <v>1693</v>
      </c>
      <c r="B436" s="6" t="s">
        <v>858</v>
      </c>
      <c r="C436" s="38" t="s">
        <v>1699</v>
      </c>
      <c r="D436" s="6" t="s">
        <v>15</v>
      </c>
      <c r="E436" s="29">
        <v>450</v>
      </c>
      <c r="F436" s="29">
        <v>448.75</v>
      </c>
      <c r="G436" s="16">
        <f t="shared" si="14"/>
        <v>1.25</v>
      </c>
      <c r="H436" s="9">
        <f t="shared" si="15"/>
        <v>2.7855153203342618E-3</v>
      </c>
      <c r="I436" s="6" t="s">
        <v>23</v>
      </c>
    </row>
    <row r="437" spans="1:9" x14ac:dyDescent="0.25">
      <c r="A437" s="26" t="s">
        <v>1693</v>
      </c>
      <c r="B437" s="26" t="s">
        <v>1700</v>
      </c>
      <c r="C437" s="37" t="s">
        <v>1701</v>
      </c>
      <c r="D437" s="26" t="s">
        <v>15</v>
      </c>
      <c r="E437" s="27">
        <v>520</v>
      </c>
      <c r="F437" s="27">
        <v>719</v>
      </c>
      <c r="G437" s="27">
        <f t="shared" si="14"/>
        <v>-199</v>
      </c>
      <c r="H437" s="28">
        <f t="shared" si="15"/>
        <v>-0.27677329624478442</v>
      </c>
      <c r="I437" s="26" t="s">
        <v>23</v>
      </c>
    </row>
    <row r="438" spans="1:9" x14ac:dyDescent="0.25">
      <c r="A438" s="6" t="s">
        <v>1693</v>
      </c>
      <c r="B438" s="6" t="s">
        <v>862</v>
      </c>
      <c r="C438" s="38" t="s">
        <v>1702</v>
      </c>
      <c r="D438" s="6" t="s">
        <v>15</v>
      </c>
      <c r="E438" s="29">
        <v>745</v>
      </c>
      <c r="F438" s="29">
        <v>735.95</v>
      </c>
      <c r="G438" s="16">
        <f t="shared" si="14"/>
        <v>9.0499999999999545</v>
      </c>
      <c r="H438" s="9">
        <f t="shared" si="15"/>
        <v>1.229703104830485E-2</v>
      </c>
      <c r="I438" s="6" t="s">
        <v>23</v>
      </c>
    </row>
    <row r="439" spans="1:9" x14ac:dyDescent="0.25">
      <c r="A439" s="6" t="s">
        <v>1693</v>
      </c>
      <c r="B439" s="6" t="s">
        <v>862</v>
      </c>
      <c r="C439" s="38" t="s">
        <v>1703</v>
      </c>
      <c r="D439" s="6" t="s">
        <v>15</v>
      </c>
      <c r="E439" s="29">
        <v>745</v>
      </c>
      <c r="F439" s="29">
        <v>735.95</v>
      </c>
      <c r="G439" s="16">
        <f t="shared" si="14"/>
        <v>9.0499999999999545</v>
      </c>
      <c r="H439" s="9">
        <f t="shared" si="15"/>
        <v>1.229703104830485E-2</v>
      </c>
      <c r="I439" s="6" t="s">
        <v>23</v>
      </c>
    </row>
    <row r="440" spans="1:9" x14ac:dyDescent="0.25">
      <c r="A440" s="6" t="s">
        <v>1693</v>
      </c>
      <c r="B440" s="6" t="s">
        <v>862</v>
      </c>
      <c r="C440" s="38" t="s">
        <v>1704</v>
      </c>
      <c r="D440" s="6" t="s">
        <v>15</v>
      </c>
      <c r="E440" s="29">
        <v>745</v>
      </c>
      <c r="F440" s="29">
        <v>714</v>
      </c>
      <c r="G440" s="16">
        <f t="shared" si="14"/>
        <v>31</v>
      </c>
      <c r="H440" s="9">
        <f t="shared" si="15"/>
        <v>4.341736694677871E-2</v>
      </c>
      <c r="I440" s="6" t="s">
        <v>23</v>
      </c>
    </row>
    <row r="441" spans="1:9" x14ac:dyDescent="0.25">
      <c r="A441" s="6" t="s">
        <v>1693</v>
      </c>
      <c r="B441" s="6" t="s">
        <v>862</v>
      </c>
      <c r="C441" s="38" t="s">
        <v>1705</v>
      </c>
      <c r="D441" s="6" t="s">
        <v>15</v>
      </c>
      <c r="E441" s="29">
        <v>745</v>
      </c>
      <c r="F441" s="29">
        <v>714</v>
      </c>
      <c r="G441" s="16">
        <f t="shared" si="14"/>
        <v>31</v>
      </c>
      <c r="H441" s="9">
        <f t="shared" si="15"/>
        <v>4.341736694677871E-2</v>
      </c>
      <c r="I441" s="6" t="s">
        <v>23</v>
      </c>
    </row>
    <row r="442" spans="1:9" x14ac:dyDescent="0.25">
      <c r="A442" s="6" t="s">
        <v>1693</v>
      </c>
      <c r="B442" s="6" t="s">
        <v>862</v>
      </c>
      <c r="C442" s="38" t="s">
        <v>1706</v>
      </c>
      <c r="D442" s="6" t="s">
        <v>15</v>
      </c>
      <c r="E442" s="29">
        <v>745</v>
      </c>
      <c r="F442" s="29">
        <v>714</v>
      </c>
      <c r="G442" s="16">
        <f t="shared" si="14"/>
        <v>31</v>
      </c>
      <c r="H442" s="9">
        <f t="shared" si="15"/>
        <v>4.341736694677871E-2</v>
      </c>
      <c r="I442" s="6" t="s">
        <v>23</v>
      </c>
    </row>
    <row r="443" spans="1:9" ht="19.149999999999999" customHeight="1" x14ac:dyDescent="0.25">
      <c r="A443" s="6" t="s">
        <v>1693</v>
      </c>
      <c r="B443" s="6" t="s">
        <v>862</v>
      </c>
      <c r="C443" s="38" t="s">
        <v>1707</v>
      </c>
      <c r="D443" s="6" t="s">
        <v>15</v>
      </c>
      <c r="E443" s="29">
        <v>745</v>
      </c>
      <c r="F443" s="29">
        <v>714</v>
      </c>
      <c r="G443" s="16">
        <f t="shared" si="14"/>
        <v>31</v>
      </c>
      <c r="H443" s="9">
        <f t="shared" si="15"/>
        <v>4.341736694677871E-2</v>
      </c>
      <c r="I443" s="6" t="s">
        <v>23</v>
      </c>
    </row>
    <row r="444" spans="1:9" ht="19.149999999999999" customHeight="1" x14ac:dyDescent="0.25">
      <c r="A444" s="6" t="s">
        <v>1693</v>
      </c>
      <c r="B444" s="6" t="s">
        <v>215</v>
      </c>
      <c r="C444" s="38">
        <v>355832511985480</v>
      </c>
      <c r="D444" s="6" t="s">
        <v>1349</v>
      </c>
      <c r="E444" s="29">
        <v>4100</v>
      </c>
      <c r="F444" s="29">
        <v>3659.25</v>
      </c>
      <c r="G444" s="16">
        <f t="shared" si="14"/>
        <v>440.75</v>
      </c>
      <c r="H444" s="9">
        <f t="shared" si="15"/>
        <v>0.12044817927170869</v>
      </c>
      <c r="I444" s="6" t="s">
        <v>23</v>
      </c>
    </row>
    <row r="445" spans="1:9" ht="19.149999999999999" customHeight="1" x14ac:dyDescent="0.25">
      <c r="A445" s="6" t="s">
        <v>1693</v>
      </c>
      <c r="B445" s="6" t="s">
        <v>215</v>
      </c>
      <c r="C445" s="38">
        <v>355832513170552</v>
      </c>
      <c r="D445" s="6" t="s">
        <v>644</v>
      </c>
      <c r="E445" s="29">
        <v>4100</v>
      </c>
      <c r="F445" s="29">
        <v>3909.15</v>
      </c>
      <c r="G445" s="16">
        <f t="shared" si="14"/>
        <v>190.84999999999991</v>
      </c>
      <c r="H445" s="9">
        <f t="shared" si="15"/>
        <v>4.8821355026028655E-2</v>
      </c>
      <c r="I445" s="6" t="s">
        <v>23</v>
      </c>
    </row>
    <row r="446" spans="1:9" ht="19.149999999999999" customHeight="1" x14ac:dyDescent="0.25">
      <c r="A446" s="6" t="s">
        <v>1693</v>
      </c>
      <c r="B446" s="6" t="s">
        <v>215</v>
      </c>
      <c r="C446" s="38">
        <v>355832514177853</v>
      </c>
      <c r="D446" s="6" t="s">
        <v>15</v>
      </c>
      <c r="E446" s="29">
        <v>4100</v>
      </c>
      <c r="F446" s="29">
        <v>3774</v>
      </c>
      <c r="G446" s="16">
        <f t="shared" si="14"/>
        <v>326</v>
      </c>
      <c r="H446" s="9">
        <f t="shared" si="15"/>
        <v>8.6380498145204029E-2</v>
      </c>
      <c r="I446" s="6" t="s">
        <v>23</v>
      </c>
    </row>
    <row r="447" spans="1:9" x14ac:dyDescent="0.25">
      <c r="A447" s="6" t="s">
        <v>1693</v>
      </c>
      <c r="B447" s="6" t="s">
        <v>215</v>
      </c>
      <c r="C447" s="38">
        <v>355832514351615</v>
      </c>
      <c r="D447" s="6" t="s">
        <v>15</v>
      </c>
      <c r="E447" s="29">
        <v>4100</v>
      </c>
      <c r="F447" s="29">
        <v>3774</v>
      </c>
      <c r="G447" s="16">
        <f t="shared" si="14"/>
        <v>326</v>
      </c>
      <c r="H447" s="9">
        <f t="shared" si="15"/>
        <v>8.6380498145204029E-2</v>
      </c>
      <c r="I447" s="6" t="s">
        <v>23</v>
      </c>
    </row>
    <row r="448" spans="1:9" x14ac:dyDescent="0.25">
      <c r="A448" s="26" t="s">
        <v>1693</v>
      </c>
      <c r="B448" s="26" t="s">
        <v>215</v>
      </c>
      <c r="C448" s="37">
        <v>357254470072135</v>
      </c>
      <c r="D448" s="26" t="s">
        <v>644</v>
      </c>
      <c r="E448" s="27">
        <v>3900</v>
      </c>
      <c r="F448" s="27">
        <v>3909.15</v>
      </c>
      <c r="G448" s="27">
        <f t="shared" si="14"/>
        <v>-9.1500000000000909</v>
      </c>
      <c r="H448" s="28">
        <f t="shared" si="15"/>
        <v>-2.3406622923142092E-3</v>
      </c>
      <c r="I448" s="26" t="s">
        <v>23</v>
      </c>
    </row>
    <row r="449" spans="1:9" x14ac:dyDescent="0.25">
      <c r="A449" s="6" t="s">
        <v>1693</v>
      </c>
      <c r="B449" s="6" t="s">
        <v>33</v>
      </c>
      <c r="C449" s="38">
        <v>350599861255583</v>
      </c>
      <c r="D449" s="6" t="s">
        <v>1349</v>
      </c>
      <c r="E449" s="29">
        <v>4300</v>
      </c>
      <c r="F449" s="29">
        <v>4069.8</v>
      </c>
      <c r="G449" s="16">
        <f t="shared" si="14"/>
        <v>230.19999999999982</v>
      </c>
      <c r="H449" s="9">
        <f t="shared" si="15"/>
        <v>5.656297606761998E-2</v>
      </c>
      <c r="I449" s="6" t="s">
        <v>23</v>
      </c>
    </row>
    <row r="450" spans="1:9" x14ac:dyDescent="0.25">
      <c r="A450" s="6" t="s">
        <v>1693</v>
      </c>
      <c r="B450" s="6" t="s">
        <v>33</v>
      </c>
      <c r="C450" s="38">
        <v>350599865078429</v>
      </c>
      <c r="D450" s="6" t="s">
        <v>1349</v>
      </c>
      <c r="E450" s="29">
        <v>4300</v>
      </c>
      <c r="F450" s="29">
        <v>4069.8</v>
      </c>
      <c r="G450" s="16">
        <f t="shared" si="14"/>
        <v>230.19999999999982</v>
      </c>
      <c r="H450" s="9">
        <f t="shared" si="15"/>
        <v>5.656297606761998E-2</v>
      </c>
      <c r="I450" s="6" t="s">
        <v>23</v>
      </c>
    </row>
    <row r="451" spans="1:9" x14ac:dyDescent="0.25">
      <c r="A451" s="6" t="s">
        <v>1693</v>
      </c>
      <c r="B451" s="6" t="s">
        <v>33</v>
      </c>
      <c r="C451" s="38">
        <v>350599866165662</v>
      </c>
      <c r="D451" s="6" t="s">
        <v>1349</v>
      </c>
      <c r="E451" s="29">
        <v>4300</v>
      </c>
      <c r="F451" s="29">
        <v>4069.8</v>
      </c>
      <c r="G451" s="16">
        <f t="shared" si="14"/>
        <v>230.19999999999982</v>
      </c>
      <c r="H451" s="9">
        <f t="shared" si="15"/>
        <v>5.656297606761998E-2</v>
      </c>
      <c r="I451" s="6" t="s">
        <v>23</v>
      </c>
    </row>
    <row r="452" spans="1:9" x14ac:dyDescent="0.25">
      <c r="A452" s="6" t="s">
        <v>1693</v>
      </c>
      <c r="B452" s="6" t="s">
        <v>33</v>
      </c>
      <c r="C452" s="38">
        <v>353263429701987</v>
      </c>
      <c r="D452" s="6" t="s">
        <v>1349</v>
      </c>
      <c r="E452" s="29">
        <v>4250</v>
      </c>
      <c r="F452" s="29">
        <v>4069.8</v>
      </c>
      <c r="G452" s="16">
        <f t="shared" si="14"/>
        <v>180.19999999999982</v>
      </c>
      <c r="H452" s="9">
        <f t="shared" si="15"/>
        <v>4.4277360066833707E-2</v>
      </c>
      <c r="I452" s="6" t="s">
        <v>23</v>
      </c>
    </row>
    <row r="453" spans="1:9" x14ac:dyDescent="0.25">
      <c r="A453" s="6" t="s">
        <v>1693</v>
      </c>
      <c r="B453" s="6" t="s">
        <v>33</v>
      </c>
      <c r="C453" s="38">
        <v>355246655294064</v>
      </c>
      <c r="D453" s="6" t="s">
        <v>1349</v>
      </c>
      <c r="E453" s="29">
        <v>4300</v>
      </c>
      <c r="F453" s="29">
        <v>4069.8</v>
      </c>
      <c r="G453" s="16">
        <f t="shared" si="14"/>
        <v>230.19999999999982</v>
      </c>
      <c r="H453" s="9">
        <f t="shared" si="15"/>
        <v>5.656297606761998E-2</v>
      </c>
      <c r="I453" s="6" t="s">
        <v>23</v>
      </c>
    </row>
    <row r="454" spans="1:9" x14ac:dyDescent="0.25">
      <c r="A454" s="6" t="s">
        <v>1693</v>
      </c>
      <c r="B454" s="6" t="s">
        <v>33</v>
      </c>
      <c r="C454" s="38">
        <v>356605229043761</v>
      </c>
      <c r="D454" s="6" t="s">
        <v>1349</v>
      </c>
      <c r="E454" s="29">
        <v>4300</v>
      </c>
      <c r="F454" s="29">
        <v>4069.8</v>
      </c>
      <c r="G454" s="16">
        <f t="shared" si="14"/>
        <v>230.19999999999982</v>
      </c>
      <c r="H454" s="9">
        <f t="shared" si="15"/>
        <v>5.656297606761998E-2</v>
      </c>
      <c r="I454" s="6" t="s">
        <v>23</v>
      </c>
    </row>
    <row r="455" spans="1:9" x14ac:dyDescent="0.25">
      <c r="A455" s="6" t="s">
        <v>1693</v>
      </c>
      <c r="B455" s="6" t="s">
        <v>33</v>
      </c>
      <c r="C455" s="38">
        <v>356605229065079</v>
      </c>
      <c r="D455" s="6" t="s">
        <v>1349</v>
      </c>
      <c r="E455" s="29">
        <v>4300</v>
      </c>
      <c r="F455" s="29">
        <v>4069.8</v>
      </c>
      <c r="G455" s="16">
        <f t="shared" si="14"/>
        <v>230.19999999999982</v>
      </c>
      <c r="H455" s="9">
        <f t="shared" si="15"/>
        <v>5.656297606761998E-2</v>
      </c>
      <c r="I455" s="6" t="s">
        <v>23</v>
      </c>
    </row>
    <row r="456" spans="1:9" x14ac:dyDescent="0.25">
      <c r="A456" s="6" t="s">
        <v>1693</v>
      </c>
      <c r="B456" s="6" t="s">
        <v>33</v>
      </c>
      <c r="C456" s="38">
        <v>356605229474420</v>
      </c>
      <c r="D456" s="6" t="s">
        <v>1349</v>
      </c>
      <c r="E456" s="29">
        <v>4250</v>
      </c>
      <c r="F456" s="29">
        <v>4069.8</v>
      </c>
      <c r="G456" s="16">
        <f t="shared" si="14"/>
        <v>180.19999999999982</v>
      </c>
      <c r="H456" s="9">
        <f t="shared" si="15"/>
        <v>4.4277360066833707E-2</v>
      </c>
      <c r="I456" s="6" t="s">
        <v>23</v>
      </c>
    </row>
    <row r="457" spans="1:9" x14ac:dyDescent="0.25">
      <c r="A457" s="6" t="s">
        <v>1693</v>
      </c>
      <c r="B457" s="6" t="s">
        <v>33</v>
      </c>
      <c r="C457" s="38">
        <v>359614549800444</v>
      </c>
      <c r="D457" s="6" t="s">
        <v>1349</v>
      </c>
      <c r="E457" s="29">
        <v>4250</v>
      </c>
      <c r="F457" s="29">
        <v>4069.8</v>
      </c>
      <c r="G457" s="16">
        <f t="shared" si="14"/>
        <v>180.19999999999982</v>
      </c>
      <c r="H457" s="9">
        <f t="shared" si="15"/>
        <v>4.4277360066833707E-2</v>
      </c>
      <c r="I457" s="6" t="s">
        <v>23</v>
      </c>
    </row>
    <row r="458" spans="1:9" x14ac:dyDescent="0.25">
      <c r="A458" s="6" t="s">
        <v>1693</v>
      </c>
      <c r="B458" s="6" t="s">
        <v>582</v>
      </c>
      <c r="C458" s="38">
        <v>355450218484960</v>
      </c>
      <c r="D458" s="6" t="s">
        <v>1349</v>
      </c>
      <c r="E458" s="29">
        <v>4800</v>
      </c>
      <c r="F458" s="29">
        <v>4533.8999999999996</v>
      </c>
      <c r="G458" s="16">
        <f t="shared" si="14"/>
        <v>266.10000000000036</v>
      </c>
      <c r="H458" s="9">
        <f t="shared" si="15"/>
        <v>5.8691193012638213E-2</v>
      </c>
      <c r="I458" s="6" t="s">
        <v>23</v>
      </c>
    </row>
    <row r="459" spans="1:9" x14ac:dyDescent="0.25">
      <c r="A459" s="6" t="s">
        <v>1649</v>
      </c>
      <c r="B459" s="6" t="s">
        <v>33</v>
      </c>
      <c r="C459" s="38">
        <v>353497852188797</v>
      </c>
      <c r="D459" s="6" t="s">
        <v>490</v>
      </c>
      <c r="E459" s="29">
        <v>3280</v>
      </c>
      <c r="F459" s="29">
        <v>3213</v>
      </c>
      <c r="G459" s="16">
        <f t="shared" si="14"/>
        <v>67</v>
      </c>
      <c r="H459" s="9">
        <f t="shared" si="15"/>
        <v>2.0852785558667913E-2</v>
      </c>
      <c r="I459" s="6" t="s">
        <v>23</v>
      </c>
    </row>
    <row r="460" spans="1:9" x14ac:dyDescent="0.25">
      <c r="A460" s="6" t="s">
        <v>1693</v>
      </c>
      <c r="B460" s="6" t="s">
        <v>1730</v>
      </c>
      <c r="C460" s="38">
        <v>354717536243570</v>
      </c>
      <c r="D460" s="6" t="s">
        <v>15</v>
      </c>
      <c r="E460" s="29">
        <v>2110</v>
      </c>
      <c r="F460" s="29">
        <v>1999.2</v>
      </c>
      <c r="G460" s="16">
        <f t="shared" si="14"/>
        <v>110.79999999999995</v>
      </c>
      <c r="H460" s="9">
        <f t="shared" si="15"/>
        <v>5.5422168867546993E-2</v>
      </c>
      <c r="I460" s="6" t="s">
        <v>23</v>
      </c>
    </row>
    <row r="461" spans="1:9" x14ac:dyDescent="0.25">
      <c r="A461" s="6" t="s">
        <v>1693</v>
      </c>
      <c r="B461" s="6" t="s">
        <v>33</v>
      </c>
      <c r="C461" s="38">
        <v>350599867831882</v>
      </c>
      <c r="D461" s="6" t="s">
        <v>15</v>
      </c>
      <c r="E461" s="29">
        <v>3500</v>
      </c>
      <c r="F461" s="29">
        <v>3320.75</v>
      </c>
      <c r="G461" s="16">
        <f t="shared" si="14"/>
        <v>179.25</v>
      </c>
      <c r="H461" s="9">
        <f t="shared" si="15"/>
        <v>5.3978769856207184E-2</v>
      </c>
      <c r="I461" s="6" t="s">
        <v>23</v>
      </c>
    </row>
    <row r="462" spans="1:9" x14ac:dyDescent="0.25">
      <c r="A462" s="6" t="s">
        <v>1693</v>
      </c>
      <c r="B462" s="6" t="s">
        <v>33</v>
      </c>
      <c r="C462" s="38">
        <v>350599867852086</v>
      </c>
      <c r="D462" s="6" t="s">
        <v>15</v>
      </c>
      <c r="E462" s="29">
        <v>3500</v>
      </c>
      <c r="F462" s="29">
        <v>3320.75</v>
      </c>
      <c r="G462" s="16">
        <f t="shared" si="14"/>
        <v>179.25</v>
      </c>
      <c r="H462" s="9">
        <f t="shared" si="15"/>
        <v>5.3978769856207184E-2</v>
      </c>
      <c r="I462" s="6" t="s">
        <v>23</v>
      </c>
    </row>
    <row r="463" spans="1:9" x14ac:dyDescent="0.25">
      <c r="A463" s="26" t="s">
        <v>1693</v>
      </c>
      <c r="B463" s="26" t="s">
        <v>33</v>
      </c>
      <c r="C463" s="37">
        <v>350889867621262</v>
      </c>
      <c r="D463" s="26" t="s">
        <v>15</v>
      </c>
      <c r="E463" s="27">
        <v>3440</v>
      </c>
      <c r="F463" s="27">
        <v>3949</v>
      </c>
      <c r="G463" s="26">
        <f t="shared" si="14"/>
        <v>-509</v>
      </c>
      <c r="H463" s="28">
        <f t="shared" si="15"/>
        <v>-0.12889339073183084</v>
      </c>
      <c r="I463" s="26" t="s">
        <v>23</v>
      </c>
    </row>
    <row r="464" spans="1:9" x14ac:dyDescent="0.25">
      <c r="A464" s="6" t="s">
        <v>1693</v>
      </c>
      <c r="B464" s="6" t="s">
        <v>33</v>
      </c>
      <c r="C464" s="38">
        <v>353837411601402</v>
      </c>
      <c r="D464" s="6" t="s">
        <v>15</v>
      </c>
      <c r="E464" s="29">
        <v>3440</v>
      </c>
      <c r="F464" s="29">
        <v>3320.75</v>
      </c>
      <c r="G464" s="16">
        <f t="shared" si="14"/>
        <v>119.25</v>
      </c>
      <c r="H464" s="9">
        <f t="shared" si="15"/>
        <v>3.5910562372957915E-2</v>
      </c>
      <c r="I464" s="6" t="s">
        <v>23</v>
      </c>
    </row>
    <row r="465" spans="1:9" x14ac:dyDescent="0.25">
      <c r="A465" s="6" t="s">
        <v>1693</v>
      </c>
      <c r="B465" s="6" t="s">
        <v>33</v>
      </c>
      <c r="C465" s="38">
        <v>353837412434381</v>
      </c>
      <c r="D465" s="6" t="s">
        <v>15</v>
      </c>
      <c r="E465" s="29">
        <v>3440</v>
      </c>
      <c r="F465" s="29">
        <v>3320.75</v>
      </c>
      <c r="G465" s="16">
        <f t="shared" si="14"/>
        <v>119.25</v>
      </c>
      <c r="H465" s="9">
        <f t="shared" si="15"/>
        <v>3.5910562372957915E-2</v>
      </c>
      <c r="I465" s="6" t="s">
        <v>23</v>
      </c>
    </row>
    <row r="466" spans="1:9" x14ac:dyDescent="0.25">
      <c r="A466" s="6" t="s">
        <v>1693</v>
      </c>
      <c r="B466" s="6" t="s">
        <v>33</v>
      </c>
      <c r="C466" s="38">
        <v>355246650065485</v>
      </c>
      <c r="D466" s="6" t="s">
        <v>490</v>
      </c>
      <c r="E466" s="29">
        <v>3500</v>
      </c>
      <c r="F466" s="29">
        <v>3320.75</v>
      </c>
      <c r="G466" s="16">
        <f t="shared" si="14"/>
        <v>179.25</v>
      </c>
      <c r="H466" s="9">
        <f t="shared" si="15"/>
        <v>5.3978769856207184E-2</v>
      </c>
      <c r="I466" s="6" t="s">
        <v>23</v>
      </c>
    </row>
    <row r="467" spans="1:9" x14ac:dyDescent="0.25">
      <c r="A467" s="6" t="s">
        <v>1693</v>
      </c>
      <c r="B467" s="6" t="s">
        <v>33</v>
      </c>
      <c r="C467" s="38">
        <v>355246658428792</v>
      </c>
      <c r="D467" s="6" t="s">
        <v>1349</v>
      </c>
      <c r="E467" s="29">
        <v>3500</v>
      </c>
      <c r="F467" s="29">
        <v>3337.95</v>
      </c>
      <c r="G467" s="16">
        <f t="shared" si="14"/>
        <v>162.05000000000018</v>
      </c>
      <c r="H467" s="9">
        <f t="shared" si="15"/>
        <v>4.8547761350529572E-2</v>
      </c>
      <c r="I467" s="6" t="s">
        <v>23</v>
      </c>
    </row>
    <row r="468" spans="1:9" x14ac:dyDescent="0.25">
      <c r="A468" s="6" t="s">
        <v>1693</v>
      </c>
      <c r="B468" s="6" t="s">
        <v>33</v>
      </c>
      <c r="C468" s="38">
        <v>355246658908090</v>
      </c>
      <c r="D468" s="6" t="s">
        <v>490</v>
      </c>
      <c r="E468" s="29">
        <v>3500</v>
      </c>
      <c r="F468" s="29">
        <v>3320.75</v>
      </c>
      <c r="G468" s="16">
        <f t="shared" si="14"/>
        <v>179.25</v>
      </c>
      <c r="H468" s="9">
        <f t="shared" si="15"/>
        <v>5.3978769856207184E-2</v>
      </c>
      <c r="I468" s="6" t="s">
        <v>23</v>
      </c>
    </row>
    <row r="469" spans="1:9" x14ac:dyDescent="0.25">
      <c r="A469" s="6" t="s">
        <v>1740</v>
      </c>
      <c r="B469" s="6" t="s">
        <v>1694</v>
      </c>
      <c r="C469" s="38" t="s">
        <v>1741</v>
      </c>
      <c r="D469" s="6" t="s">
        <v>15</v>
      </c>
      <c r="E469" s="29">
        <v>345</v>
      </c>
      <c r="F469" s="29">
        <v>287.66000000000003</v>
      </c>
      <c r="G469" s="16">
        <f t="shared" si="14"/>
        <v>57.339999999999975</v>
      </c>
      <c r="H469" s="9">
        <f t="shared" si="15"/>
        <v>0.19933254536605705</v>
      </c>
      <c r="I469" s="6" t="s">
        <v>23</v>
      </c>
    </row>
    <row r="470" spans="1:9" x14ac:dyDescent="0.25">
      <c r="A470" s="6" t="s">
        <v>1740</v>
      </c>
      <c r="B470" s="6" t="s">
        <v>858</v>
      </c>
      <c r="C470" s="38" t="s">
        <v>1742</v>
      </c>
      <c r="D470" s="6" t="s">
        <v>15</v>
      </c>
      <c r="E470" s="29">
        <v>470</v>
      </c>
      <c r="F470" s="29">
        <v>448.75</v>
      </c>
      <c r="G470" s="16">
        <f t="shared" si="14"/>
        <v>21.25</v>
      </c>
      <c r="H470" s="9">
        <f t="shared" si="15"/>
        <v>4.7353760445682451E-2</v>
      </c>
      <c r="I470" s="6" t="s">
        <v>23</v>
      </c>
    </row>
    <row r="471" spans="1:9" x14ac:dyDescent="0.25">
      <c r="A471" s="6" t="s">
        <v>1740</v>
      </c>
      <c r="B471" s="6" t="s">
        <v>1743</v>
      </c>
      <c r="C471" s="38" t="s">
        <v>1744</v>
      </c>
      <c r="D471" s="6" t="s">
        <v>15</v>
      </c>
      <c r="E471" s="29">
        <v>1620</v>
      </c>
      <c r="F471" s="29">
        <v>1471.9</v>
      </c>
      <c r="G471" s="16">
        <f t="shared" si="14"/>
        <v>148.09999999999991</v>
      </c>
      <c r="H471" s="9">
        <f t="shared" si="15"/>
        <v>0.10061824852231803</v>
      </c>
      <c r="I471" s="6" t="s">
        <v>23</v>
      </c>
    </row>
    <row r="472" spans="1:9" x14ac:dyDescent="0.25">
      <c r="A472" s="6" t="s">
        <v>1740</v>
      </c>
      <c r="B472" s="6" t="s">
        <v>1743</v>
      </c>
      <c r="C472" s="38" t="s">
        <v>1745</v>
      </c>
      <c r="D472" s="6" t="s">
        <v>15</v>
      </c>
      <c r="E472" s="29">
        <v>1620</v>
      </c>
      <c r="F472" s="29">
        <v>1471.9</v>
      </c>
      <c r="G472" s="16">
        <f t="shared" si="14"/>
        <v>148.09999999999991</v>
      </c>
      <c r="H472" s="9">
        <f t="shared" si="15"/>
        <v>0.10061824852231803</v>
      </c>
      <c r="I472" s="6" t="s">
        <v>23</v>
      </c>
    </row>
    <row r="473" spans="1:9" x14ac:dyDescent="0.25">
      <c r="A473" s="6" t="s">
        <v>1740</v>
      </c>
      <c r="B473" s="6" t="s">
        <v>1743</v>
      </c>
      <c r="C473" s="38" t="s">
        <v>1746</v>
      </c>
      <c r="D473" s="6" t="s">
        <v>15</v>
      </c>
      <c r="E473" s="29">
        <v>1650</v>
      </c>
      <c r="F473" s="29">
        <v>1471.9</v>
      </c>
      <c r="G473" s="16">
        <f t="shared" si="14"/>
        <v>178.09999999999991</v>
      </c>
      <c r="H473" s="9">
        <f t="shared" si="15"/>
        <v>0.12100006793939799</v>
      </c>
      <c r="I473" s="6" t="s">
        <v>23</v>
      </c>
    </row>
    <row r="474" spans="1:9" x14ac:dyDescent="0.25">
      <c r="A474" s="6" t="s">
        <v>1740</v>
      </c>
      <c r="B474" s="6" t="s">
        <v>1743</v>
      </c>
      <c r="C474" s="38" t="s">
        <v>1747</v>
      </c>
      <c r="D474" s="6" t="s">
        <v>15</v>
      </c>
      <c r="E474" s="29">
        <v>1620</v>
      </c>
      <c r="F474" s="29">
        <v>1471.9</v>
      </c>
      <c r="G474" s="16">
        <f t="shared" si="14"/>
        <v>148.09999999999991</v>
      </c>
      <c r="H474" s="9">
        <f t="shared" si="15"/>
        <v>0.10061824852231803</v>
      </c>
      <c r="I474" s="6" t="s">
        <v>23</v>
      </c>
    </row>
    <row r="475" spans="1:9" x14ac:dyDescent="0.25">
      <c r="A475" s="6" t="s">
        <v>1740</v>
      </c>
      <c r="B475" s="6" t="s">
        <v>1743</v>
      </c>
      <c r="C475" s="38" t="s">
        <v>1748</v>
      </c>
      <c r="D475" s="6" t="s">
        <v>15</v>
      </c>
      <c r="E475" s="29">
        <v>1620</v>
      </c>
      <c r="F475" s="29">
        <v>1471.9</v>
      </c>
      <c r="G475" s="16">
        <f t="shared" si="14"/>
        <v>148.09999999999991</v>
      </c>
      <c r="H475" s="9">
        <f t="shared" si="15"/>
        <v>0.10061824852231803</v>
      </c>
      <c r="I475" s="6" t="s">
        <v>23</v>
      </c>
    </row>
    <row r="476" spans="1:9" x14ac:dyDescent="0.25">
      <c r="A476" s="6" t="s">
        <v>1740</v>
      </c>
      <c r="B476" s="6" t="s">
        <v>1743</v>
      </c>
      <c r="C476" s="38" t="s">
        <v>1749</v>
      </c>
      <c r="D476" s="6" t="s">
        <v>15</v>
      </c>
      <c r="E476" s="29">
        <v>1620</v>
      </c>
      <c r="F476" s="29">
        <v>1471.9</v>
      </c>
      <c r="G476" s="16">
        <f t="shared" si="14"/>
        <v>148.09999999999991</v>
      </c>
      <c r="H476" s="9">
        <f t="shared" si="15"/>
        <v>0.10061824852231803</v>
      </c>
      <c r="I476" s="6" t="s">
        <v>23</v>
      </c>
    </row>
    <row r="477" spans="1:9" x14ac:dyDescent="0.25">
      <c r="A477" s="6" t="s">
        <v>1740</v>
      </c>
      <c r="B477" s="6" t="s">
        <v>862</v>
      </c>
      <c r="C477" s="38" t="s">
        <v>1750</v>
      </c>
      <c r="D477" s="6" t="s">
        <v>15</v>
      </c>
      <c r="E477" s="29">
        <v>755</v>
      </c>
      <c r="F477" s="29">
        <v>718</v>
      </c>
      <c r="G477" s="16">
        <f t="shared" si="14"/>
        <v>37</v>
      </c>
      <c r="H477" s="9">
        <f t="shared" si="15"/>
        <v>5.1532033426183843E-2</v>
      </c>
      <c r="I477" s="6" t="s">
        <v>23</v>
      </c>
    </row>
    <row r="478" spans="1:9" x14ac:dyDescent="0.25">
      <c r="A478" s="6" t="s">
        <v>1740</v>
      </c>
      <c r="B478" s="6" t="s">
        <v>862</v>
      </c>
      <c r="C478" s="38" t="s">
        <v>1751</v>
      </c>
      <c r="D478" s="6" t="s">
        <v>15</v>
      </c>
      <c r="E478" s="29">
        <v>755</v>
      </c>
      <c r="F478" s="29">
        <v>718</v>
      </c>
      <c r="G478" s="16">
        <f t="shared" si="14"/>
        <v>37</v>
      </c>
      <c r="H478" s="9">
        <f t="shared" si="15"/>
        <v>5.1532033426183843E-2</v>
      </c>
      <c r="I478" s="6" t="s">
        <v>23</v>
      </c>
    </row>
    <row r="479" spans="1:9" x14ac:dyDescent="0.25">
      <c r="A479" s="6" t="s">
        <v>1740</v>
      </c>
      <c r="B479" s="6" t="s">
        <v>862</v>
      </c>
      <c r="C479" s="38" t="s">
        <v>1752</v>
      </c>
      <c r="D479" s="6" t="s">
        <v>15</v>
      </c>
      <c r="E479" s="29">
        <v>755</v>
      </c>
      <c r="F479" s="29">
        <v>735.95</v>
      </c>
      <c r="G479" s="16">
        <f t="shared" si="14"/>
        <v>19.049999999999955</v>
      </c>
      <c r="H479" s="9">
        <f t="shared" si="15"/>
        <v>2.5884910659691493E-2</v>
      </c>
      <c r="I479" s="6" t="s">
        <v>23</v>
      </c>
    </row>
    <row r="480" spans="1:9" x14ac:dyDescent="0.25">
      <c r="A480" s="6" t="s">
        <v>1740</v>
      </c>
      <c r="B480" s="6" t="s">
        <v>862</v>
      </c>
      <c r="C480" s="38" t="s">
        <v>1753</v>
      </c>
      <c r="D480" s="6" t="s">
        <v>15</v>
      </c>
      <c r="E480" s="29">
        <v>755</v>
      </c>
      <c r="F480" s="29">
        <v>735.95</v>
      </c>
      <c r="G480" s="16">
        <f t="shared" si="14"/>
        <v>19.049999999999955</v>
      </c>
      <c r="H480" s="9">
        <f t="shared" si="15"/>
        <v>2.5884910659691493E-2</v>
      </c>
      <c r="I480" s="6" t="s">
        <v>23</v>
      </c>
    </row>
    <row r="481" spans="1:9" x14ac:dyDescent="0.25">
      <c r="A481" s="6" t="s">
        <v>1740</v>
      </c>
      <c r="B481" s="6" t="s">
        <v>862</v>
      </c>
      <c r="C481" s="38" t="s">
        <v>1754</v>
      </c>
      <c r="D481" s="6" t="s">
        <v>15</v>
      </c>
      <c r="E481" s="29">
        <v>755</v>
      </c>
      <c r="F481" s="29">
        <v>735.95</v>
      </c>
      <c r="G481" s="16">
        <f t="shared" si="14"/>
        <v>19.049999999999955</v>
      </c>
      <c r="H481" s="9">
        <f t="shared" si="15"/>
        <v>2.5884910659691493E-2</v>
      </c>
      <c r="I481" s="6" t="s">
        <v>23</v>
      </c>
    </row>
    <row r="482" spans="1:9" x14ac:dyDescent="0.25">
      <c r="A482" s="6" t="s">
        <v>1740</v>
      </c>
      <c r="B482" s="6" t="s">
        <v>1755</v>
      </c>
      <c r="C482" s="38" t="s">
        <v>1756</v>
      </c>
      <c r="D482" s="6" t="s">
        <v>15</v>
      </c>
      <c r="E482" s="29">
        <v>194</v>
      </c>
      <c r="F482" s="29">
        <v>161.55000000000001</v>
      </c>
      <c r="G482" s="16">
        <f t="shared" si="14"/>
        <v>32.449999999999989</v>
      </c>
      <c r="H482" s="9">
        <f t="shared" si="15"/>
        <v>0.20086660476632612</v>
      </c>
      <c r="I482" s="6" t="s">
        <v>23</v>
      </c>
    </row>
    <row r="483" spans="1:9" x14ac:dyDescent="0.25">
      <c r="A483" s="6" t="s">
        <v>1740</v>
      </c>
      <c r="B483" s="6" t="s">
        <v>1755</v>
      </c>
      <c r="C483" s="38" t="s">
        <v>1757</v>
      </c>
      <c r="D483" s="6" t="s">
        <v>15</v>
      </c>
      <c r="E483" s="29">
        <v>194</v>
      </c>
      <c r="F483" s="29">
        <v>161.55000000000001</v>
      </c>
      <c r="G483" s="16">
        <f t="shared" si="14"/>
        <v>32.449999999999989</v>
      </c>
      <c r="H483" s="9">
        <f t="shared" si="15"/>
        <v>0.20086660476632612</v>
      </c>
      <c r="I483" s="6" t="s">
        <v>23</v>
      </c>
    </row>
    <row r="484" spans="1:9" x14ac:dyDescent="0.25">
      <c r="A484" s="6" t="s">
        <v>1740</v>
      </c>
      <c r="B484" s="6" t="s">
        <v>1755</v>
      </c>
      <c r="C484" s="38" t="s">
        <v>1758</v>
      </c>
      <c r="D484" s="6" t="s">
        <v>15</v>
      </c>
      <c r="E484" s="29">
        <v>194</v>
      </c>
      <c r="F484" s="29">
        <v>161.55000000000001</v>
      </c>
      <c r="G484" s="16">
        <f t="shared" si="14"/>
        <v>32.449999999999989</v>
      </c>
      <c r="H484" s="9">
        <f t="shared" si="15"/>
        <v>0.20086660476632612</v>
      </c>
      <c r="I484" s="6" t="s">
        <v>23</v>
      </c>
    </row>
    <row r="485" spans="1:9" x14ac:dyDescent="0.25">
      <c r="A485" s="6" t="s">
        <v>1740</v>
      </c>
      <c r="B485" s="6" t="s">
        <v>1755</v>
      </c>
      <c r="C485" s="38" t="s">
        <v>1759</v>
      </c>
      <c r="D485" s="6" t="s">
        <v>15</v>
      </c>
      <c r="E485" s="29">
        <v>194</v>
      </c>
      <c r="F485" s="29">
        <v>161.55000000000001</v>
      </c>
      <c r="G485" s="16">
        <f t="shared" ref="G485:G548" si="16">E485-F485</f>
        <v>32.449999999999989</v>
      </c>
      <c r="H485" s="9">
        <f t="shared" ref="H485:H548" si="17">(E485-F485)/F485</f>
        <v>0.20086660476632612</v>
      </c>
      <c r="I485" s="6" t="s">
        <v>23</v>
      </c>
    </row>
    <row r="486" spans="1:9" x14ac:dyDescent="0.25">
      <c r="A486" s="6" t="s">
        <v>1740</v>
      </c>
      <c r="B486" s="6" t="s">
        <v>1755</v>
      </c>
      <c r="C486" s="38" t="s">
        <v>1760</v>
      </c>
      <c r="D486" s="6" t="s">
        <v>15</v>
      </c>
      <c r="E486" s="29">
        <v>194</v>
      </c>
      <c r="F486" s="29">
        <v>161.55000000000001</v>
      </c>
      <c r="G486" s="16">
        <f t="shared" si="16"/>
        <v>32.449999999999989</v>
      </c>
      <c r="H486" s="9">
        <f t="shared" si="17"/>
        <v>0.20086660476632612</v>
      </c>
      <c r="I486" s="6" t="s">
        <v>23</v>
      </c>
    </row>
    <row r="487" spans="1:9" x14ac:dyDescent="0.25">
      <c r="A487" s="6" t="s">
        <v>1740</v>
      </c>
      <c r="B487" s="6" t="s">
        <v>402</v>
      </c>
      <c r="C487" s="38" t="s">
        <v>1761</v>
      </c>
      <c r="D487" s="6" t="s">
        <v>15</v>
      </c>
      <c r="E487" s="29">
        <v>1520</v>
      </c>
      <c r="F487" s="29">
        <v>1077</v>
      </c>
      <c r="G487" s="16">
        <f t="shared" si="16"/>
        <v>443</v>
      </c>
      <c r="H487" s="9">
        <f t="shared" si="17"/>
        <v>0.41132776230269269</v>
      </c>
      <c r="I487" s="6" t="s">
        <v>23</v>
      </c>
    </row>
    <row r="488" spans="1:9" x14ac:dyDescent="0.25">
      <c r="A488" s="6" t="s">
        <v>1740</v>
      </c>
      <c r="B488" s="6" t="s">
        <v>288</v>
      </c>
      <c r="C488" s="38" t="s">
        <v>1762</v>
      </c>
      <c r="D488" s="6" t="s">
        <v>15</v>
      </c>
      <c r="E488" s="29">
        <v>1670</v>
      </c>
      <c r="F488" s="29">
        <v>1525.75</v>
      </c>
      <c r="G488" s="16">
        <f t="shared" si="16"/>
        <v>144.25</v>
      </c>
      <c r="H488" s="9">
        <f t="shared" si="17"/>
        <v>9.4543667048992294E-2</v>
      </c>
      <c r="I488" s="6" t="s">
        <v>23</v>
      </c>
    </row>
    <row r="489" spans="1:9" x14ac:dyDescent="0.25">
      <c r="A489" s="6" t="s">
        <v>1740</v>
      </c>
      <c r="B489" s="6" t="s">
        <v>288</v>
      </c>
      <c r="C489" s="38" t="s">
        <v>1763</v>
      </c>
      <c r="D489" s="6" t="s">
        <v>15</v>
      </c>
      <c r="E489" s="29">
        <v>1670</v>
      </c>
      <c r="F489" s="29">
        <v>1525.75</v>
      </c>
      <c r="G489" s="16">
        <f t="shared" si="16"/>
        <v>144.25</v>
      </c>
      <c r="H489" s="9">
        <f t="shared" si="17"/>
        <v>9.4543667048992294E-2</v>
      </c>
      <c r="I489" s="6" t="s">
        <v>23</v>
      </c>
    </row>
    <row r="490" spans="1:9" x14ac:dyDescent="0.25">
      <c r="A490" s="6" t="s">
        <v>1740</v>
      </c>
      <c r="B490" s="6" t="s">
        <v>288</v>
      </c>
      <c r="C490" s="38" t="s">
        <v>1764</v>
      </c>
      <c r="D490" s="6" t="s">
        <v>15</v>
      </c>
      <c r="E490" s="29">
        <v>1670</v>
      </c>
      <c r="F490" s="29">
        <v>1525.75</v>
      </c>
      <c r="G490" s="16">
        <f t="shared" si="16"/>
        <v>144.25</v>
      </c>
      <c r="H490" s="9">
        <f t="shared" si="17"/>
        <v>9.4543667048992294E-2</v>
      </c>
      <c r="I490" s="6" t="s">
        <v>23</v>
      </c>
    </row>
    <row r="491" spans="1:9" x14ac:dyDescent="0.25">
      <c r="A491" s="6" t="s">
        <v>1740</v>
      </c>
      <c r="B491" s="6" t="s">
        <v>288</v>
      </c>
      <c r="C491" s="38" t="s">
        <v>1765</v>
      </c>
      <c r="D491" s="6" t="s">
        <v>15</v>
      </c>
      <c r="E491" s="29">
        <v>1670</v>
      </c>
      <c r="F491" s="29">
        <v>1525.75</v>
      </c>
      <c r="G491" s="16">
        <f t="shared" si="16"/>
        <v>144.25</v>
      </c>
      <c r="H491" s="9">
        <f t="shared" si="17"/>
        <v>9.4543667048992294E-2</v>
      </c>
      <c r="I491" s="6" t="s">
        <v>23</v>
      </c>
    </row>
    <row r="492" spans="1:9" x14ac:dyDescent="0.25">
      <c r="A492" s="6" t="s">
        <v>1740</v>
      </c>
      <c r="B492" s="6" t="s">
        <v>288</v>
      </c>
      <c r="C492" s="38" t="s">
        <v>1766</v>
      </c>
      <c r="D492" s="6" t="s">
        <v>15</v>
      </c>
      <c r="E492" s="29">
        <v>1670</v>
      </c>
      <c r="F492" s="29">
        <v>1525.75</v>
      </c>
      <c r="G492" s="16">
        <f t="shared" si="16"/>
        <v>144.25</v>
      </c>
      <c r="H492" s="9">
        <f t="shared" si="17"/>
        <v>9.4543667048992294E-2</v>
      </c>
      <c r="I492" s="6" t="s">
        <v>23</v>
      </c>
    </row>
    <row r="493" spans="1:9" x14ac:dyDescent="0.25">
      <c r="A493" s="6" t="s">
        <v>1740</v>
      </c>
      <c r="B493" s="6" t="s">
        <v>288</v>
      </c>
      <c r="C493" s="38" t="s">
        <v>1767</v>
      </c>
      <c r="D493" s="6" t="s">
        <v>15</v>
      </c>
      <c r="E493" s="29">
        <v>1670</v>
      </c>
      <c r="F493" s="29">
        <v>1525.75</v>
      </c>
      <c r="G493" s="16">
        <f t="shared" si="16"/>
        <v>144.25</v>
      </c>
      <c r="H493" s="9">
        <f t="shared" si="17"/>
        <v>9.4543667048992294E-2</v>
      </c>
      <c r="I493" s="6" t="s">
        <v>23</v>
      </c>
    </row>
    <row r="494" spans="1:9" x14ac:dyDescent="0.25">
      <c r="A494" s="6" t="s">
        <v>1740</v>
      </c>
      <c r="B494" s="6" t="s">
        <v>288</v>
      </c>
      <c r="C494" s="38" t="s">
        <v>1768</v>
      </c>
      <c r="D494" s="6" t="s">
        <v>15</v>
      </c>
      <c r="E494" s="29">
        <v>1670</v>
      </c>
      <c r="F494" s="29">
        <v>1525.75</v>
      </c>
      <c r="G494" s="16">
        <f t="shared" si="16"/>
        <v>144.25</v>
      </c>
      <c r="H494" s="9">
        <f t="shared" si="17"/>
        <v>9.4543667048992294E-2</v>
      </c>
      <c r="I494" s="6" t="s">
        <v>23</v>
      </c>
    </row>
    <row r="495" spans="1:9" x14ac:dyDescent="0.25">
      <c r="A495" s="6" t="s">
        <v>1740</v>
      </c>
      <c r="B495" s="6" t="s">
        <v>288</v>
      </c>
      <c r="C495" s="38" t="s">
        <v>1769</v>
      </c>
      <c r="D495" s="6" t="s">
        <v>15</v>
      </c>
      <c r="E495" s="29">
        <v>1670</v>
      </c>
      <c r="F495" s="29">
        <v>1525.75</v>
      </c>
      <c r="G495" s="16">
        <f t="shared" si="16"/>
        <v>144.25</v>
      </c>
      <c r="H495" s="9">
        <f t="shared" si="17"/>
        <v>9.4543667048992294E-2</v>
      </c>
      <c r="I495" s="6" t="s">
        <v>23</v>
      </c>
    </row>
    <row r="496" spans="1:9" x14ac:dyDescent="0.25">
      <c r="A496" s="6" t="s">
        <v>1740</v>
      </c>
      <c r="B496" s="6" t="s">
        <v>288</v>
      </c>
      <c r="C496" s="38" t="s">
        <v>1770</v>
      </c>
      <c r="D496" s="6" t="s">
        <v>15</v>
      </c>
      <c r="E496" s="29">
        <v>1670</v>
      </c>
      <c r="F496" s="29">
        <v>1525.75</v>
      </c>
      <c r="G496" s="16">
        <f t="shared" si="16"/>
        <v>144.25</v>
      </c>
      <c r="H496" s="9">
        <f t="shared" si="17"/>
        <v>9.4543667048992294E-2</v>
      </c>
      <c r="I496" s="6" t="s">
        <v>23</v>
      </c>
    </row>
    <row r="497" spans="1:9" x14ac:dyDescent="0.25">
      <c r="A497" s="6" t="s">
        <v>1740</v>
      </c>
      <c r="B497" s="6" t="s">
        <v>288</v>
      </c>
      <c r="C497" s="38" t="s">
        <v>1771</v>
      </c>
      <c r="D497" s="6" t="s">
        <v>15</v>
      </c>
      <c r="E497" s="29">
        <v>1670</v>
      </c>
      <c r="F497" s="29">
        <v>1525.75</v>
      </c>
      <c r="G497" s="16">
        <f t="shared" si="16"/>
        <v>144.25</v>
      </c>
      <c r="H497" s="9">
        <f t="shared" si="17"/>
        <v>9.4543667048992294E-2</v>
      </c>
      <c r="I497" s="6" t="s">
        <v>23</v>
      </c>
    </row>
    <row r="498" spans="1:9" x14ac:dyDescent="0.25">
      <c r="A498" s="6" t="s">
        <v>1740</v>
      </c>
      <c r="B498" s="6" t="s">
        <v>411</v>
      </c>
      <c r="C498" s="38" t="s">
        <v>1772</v>
      </c>
      <c r="D498" s="6" t="s">
        <v>15</v>
      </c>
      <c r="E498" s="29">
        <v>1530</v>
      </c>
      <c r="F498" s="29">
        <v>1077</v>
      </c>
      <c r="G498" s="16">
        <f t="shared" si="16"/>
        <v>453</v>
      </c>
      <c r="H498" s="9">
        <f t="shared" si="17"/>
        <v>0.42061281337047352</v>
      </c>
      <c r="I498" s="6" t="s">
        <v>23</v>
      </c>
    </row>
    <row r="499" spans="1:9" x14ac:dyDescent="0.25">
      <c r="A499" s="6" t="s">
        <v>1740</v>
      </c>
      <c r="B499" s="6" t="s">
        <v>411</v>
      </c>
      <c r="C499" s="38" t="s">
        <v>1773</v>
      </c>
      <c r="D499" s="6" t="s">
        <v>15</v>
      </c>
      <c r="E499" s="29">
        <v>1530</v>
      </c>
      <c r="F499" s="29">
        <v>1077</v>
      </c>
      <c r="G499" s="16">
        <f t="shared" si="16"/>
        <v>453</v>
      </c>
      <c r="H499" s="9">
        <f t="shared" si="17"/>
        <v>0.42061281337047352</v>
      </c>
      <c r="I499" s="6" t="s">
        <v>23</v>
      </c>
    </row>
    <row r="500" spans="1:9" x14ac:dyDescent="0.25">
      <c r="A500" s="6" t="s">
        <v>1740</v>
      </c>
      <c r="B500" s="6" t="s">
        <v>411</v>
      </c>
      <c r="C500" s="38" t="s">
        <v>1774</v>
      </c>
      <c r="D500" s="6" t="s">
        <v>15</v>
      </c>
      <c r="E500" s="29">
        <v>1520</v>
      </c>
      <c r="F500" s="29">
        <v>1077</v>
      </c>
      <c r="G500" s="16">
        <f t="shared" si="16"/>
        <v>443</v>
      </c>
      <c r="H500" s="9">
        <f t="shared" si="17"/>
        <v>0.41132776230269269</v>
      </c>
      <c r="I500" s="6" t="s">
        <v>23</v>
      </c>
    </row>
    <row r="501" spans="1:9" x14ac:dyDescent="0.25">
      <c r="A501" s="6" t="s">
        <v>1740</v>
      </c>
      <c r="B501" s="6" t="s">
        <v>411</v>
      </c>
      <c r="C501" s="38" t="s">
        <v>1775</v>
      </c>
      <c r="D501" s="6" t="s">
        <v>15</v>
      </c>
      <c r="E501" s="29">
        <v>1520</v>
      </c>
      <c r="F501" s="29">
        <v>1077</v>
      </c>
      <c r="G501" s="16">
        <f t="shared" si="16"/>
        <v>443</v>
      </c>
      <c r="H501" s="9">
        <f t="shared" si="17"/>
        <v>0.41132776230269269</v>
      </c>
      <c r="I501" s="6" t="s">
        <v>23</v>
      </c>
    </row>
    <row r="502" spans="1:9" x14ac:dyDescent="0.25">
      <c r="A502" s="6" t="s">
        <v>1740</v>
      </c>
      <c r="B502" s="6" t="s">
        <v>411</v>
      </c>
      <c r="C502" s="38" t="s">
        <v>1776</v>
      </c>
      <c r="D502" s="6" t="s">
        <v>15</v>
      </c>
      <c r="E502" s="29">
        <v>1520</v>
      </c>
      <c r="F502" s="29">
        <v>1077</v>
      </c>
      <c r="G502" s="16">
        <f t="shared" si="16"/>
        <v>443</v>
      </c>
      <c r="H502" s="9">
        <f t="shared" si="17"/>
        <v>0.41132776230269269</v>
      </c>
      <c r="I502" s="6" t="s">
        <v>23</v>
      </c>
    </row>
    <row r="503" spans="1:9" x14ac:dyDescent="0.25">
      <c r="A503" s="6" t="s">
        <v>1740</v>
      </c>
      <c r="B503" s="6" t="s">
        <v>411</v>
      </c>
      <c r="C503" s="38" t="s">
        <v>1777</v>
      </c>
      <c r="D503" s="6" t="s">
        <v>15</v>
      </c>
      <c r="E503" s="29">
        <v>1520</v>
      </c>
      <c r="F503" s="29">
        <v>1077</v>
      </c>
      <c r="G503" s="16">
        <f t="shared" si="16"/>
        <v>443</v>
      </c>
      <c r="H503" s="9">
        <f t="shared" si="17"/>
        <v>0.41132776230269269</v>
      </c>
      <c r="I503" s="6" t="s">
        <v>23</v>
      </c>
    </row>
    <row r="504" spans="1:9" x14ac:dyDescent="0.25">
      <c r="A504" s="6" t="s">
        <v>1740</v>
      </c>
      <c r="B504" s="6" t="s">
        <v>426</v>
      </c>
      <c r="C504" s="38" t="s">
        <v>1778</v>
      </c>
      <c r="D504" s="6" t="s">
        <v>1779</v>
      </c>
      <c r="E504" s="29">
        <v>920</v>
      </c>
      <c r="F504" s="29">
        <v>624.75</v>
      </c>
      <c r="G504" s="16">
        <f t="shared" si="16"/>
        <v>295.25</v>
      </c>
      <c r="H504" s="9">
        <f t="shared" si="17"/>
        <v>0.4725890356142457</v>
      </c>
      <c r="I504" s="6" t="s">
        <v>23</v>
      </c>
    </row>
    <row r="505" spans="1:9" x14ac:dyDescent="0.25">
      <c r="A505" s="6" t="s">
        <v>1740</v>
      </c>
      <c r="B505" s="6" t="s">
        <v>426</v>
      </c>
      <c r="C505" s="38" t="s">
        <v>1780</v>
      </c>
      <c r="D505" s="6" t="s">
        <v>1781</v>
      </c>
      <c r="E505" s="29">
        <v>1050</v>
      </c>
      <c r="F505" s="29">
        <v>624.75</v>
      </c>
      <c r="G505" s="16">
        <f t="shared" si="16"/>
        <v>425.25</v>
      </c>
      <c r="H505" s="9">
        <f t="shared" si="17"/>
        <v>0.68067226890756305</v>
      </c>
      <c r="I505" s="6" t="s">
        <v>23</v>
      </c>
    </row>
    <row r="506" spans="1:9" x14ac:dyDescent="0.25">
      <c r="A506" s="6" t="s">
        <v>1740</v>
      </c>
      <c r="B506" s="6" t="s">
        <v>428</v>
      </c>
      <c r="C506" s="38" t="s">
        <v>1782</v>
      </c>
      <c r="D506" s="6" t="s">
        <v>15</v>
      </c>
      <c r="E506" s="29">
        <v>1540</v>
      </c>
      <c r="F506" s="29">
        <v>1256.5</v>
      </c>
      <c r="G506" s="16">
        <f t="shared" si="16"/>
        <v>283.5</v>
      </c>
      <c r="H506" s="9">
        <f t="shared" si="17"/>
        <v>0.22562674094707522</v>
      </c>
      <c r="I506" s="6" t="s">
        <v>23</v>
      </c>
    </row>
    <row r="507" spans="1:9" x14ac:dyDescent="0.25">
      <c r="A507" s="6" t="s">
        <v>1740</v>
      </c>
      <c r="B507" s="6" t="s">
        <v>428</v>
      </c>
      <c r="C507" s="38" t="s">
        <v>1783</v>
      </c>
      <c r="D507" s="6" t="s">
        <v>15</v>
      </c>
      <c r="E507" s="29">
        <v>1540</v>
      </c>
      <c r="F507" s="29">
        <v>1256.5</v>
      </c>
      <c r="G507" s="16">
        <f t="shared" si="16"/>
        <v>283.5</v>
      </c>
      <c r="H507" s="9">
        <f t="shared" si="17"/>
        <v>0.22562674094707522</v>
      </c>
      <c r="I507" s="6" t="s">
        <v>23</v>
      </c>
    </row>
    <row r="508" spans="1:9" x14ac:dyDescent="0.25">
      <c r="A508" s="6" t="s">
        <v>1740</v>
      </c>
      <c r="B508" s="6" t="s">
        <v>428</v>
      </c>
      <c r="C508" s="38" t="s">
        <v>1784</v>
      </c>
      <c r="D508" s="6" t="s">
        <v>15</v>
      </c>
      <c r="E508" s="29">
        <v>1540</v>
      </c>
      <c r="F508" s="29">
        <v>1256.5</v>
      </c>
      <c r="G508" s="16">
        <f t="shared" si="16"/>
        <v>283.5</v>
      </c>
      <c r="H508" s="9">
        <f t="shared" si="17"/>
        <v>0.22562674094707522</v>
      </c>
      <c r="I508" s="6" t="s">
        <v>23</v>
      </c>
    </row>
    <row r="509" spans="1:9" x14ac:dyDescent="0.25">
      <c r="A509" s="6" t="s">
        <v>1740</v>
      </c>
      <c r="B509" s="6" t="s">
        <v>428</v>
      </c>
      <c r="C509" s="38" t="s">
        <v>1785</v>
      </c>
      <c r="D509" s="6" t="s">
        <v>15</v>
      </c>
      <c r="E509" s="29">
        <v>1540</v>
      </c>
      <c r="F509" s="29">
        <v>1256.5</v>
      </c>
      <c r="G509" s="16">
        <f t="shared" si="16"/>
        <v>283.5</v>
      </c>
      <c r="H509" s="9">
        <f t="shared" si="17"/>
        <v>0.22562674094707522</v>
      </c>
      <c r="I509" s="6" t="s">
        <v>23</v>
      </c>
    </row>
    <row r="510" spans="1:9" x14ac:dyDescent="0.25">
      <c r="A510" s="6" t="s">
        <v>1740</v>
      </c>
      <c r="B510" s="6" t="s">
        <v>428</v>
      </c>
      <c r="C510" s="38" t="s">
        <v>1786</v>
      </c>
      <c r="D510" s="6" t="s">
        <v>15</v>
      </c>
      <c r="E510" s="29">
        <v>1540</v>
      </c>
      <c r="F510" s="29">
        <v>1256.5</v>
      </c>
      <c r="G510" s="16">
        <f t="shared" si="16"/>
        <v>283.5</v>
      </c>
      <c r="H510" s="9">
        <f t="shared" si="17"/>
        <v>0.22562674094707522</v>
      </c>
      <c r="I510" s="6" t="s">
        <v>23</v>
      </c>
    </row>
    <row r="511" spans="1:9" x14ac:dyDescent="0.25">
      <c r="A511" s="6" t="s">
        <v>1740</v>
      </c>
      <c r="B511" s="6" t="s">
        <v>935</v>
      </c>
      <c r="C511" s="38" t="s">
        <v>1787</v>
      </c>
      <c r="D511" s="6" t="s">
        <v>15</v>
      </c>
      <c r="E511" s="29">
        <v>192</v>
      </c>
      <c r="F511" s="29">
        <v>149.94</v>
      </c>
      <c r="G511" s="16">
        <f t="shared" si="16"/>
        <v>42.06</v>
      </c>
      <c r="H511" s="9">
        <f t="shared" si="17"/>
        <v>0.28051220488195278</v>
      </c>
      <c r="I511" s="6" t="s">
        <v>23</v>
      </c>
    </row>
    <row r="512" spans="1:9" x14ac:dyDescent="0.25">
      <c r="A512" s="6" t="s">
        <v>1740</v>
      </c>
      <c r="B512" s="6" t="s">
        <v>935</v>
      </c>
      <c r="C512" s="38" t="s">
        <v>1788</v>
      </c>
      <c r="D512" s="6" t="s">
        <v>15</v>
      </c>
      <c r="E512" s="29">
        <v>192</v>
      </c>
      <c r="F512" s="29">
        <v>149.94</v>
      </c>
      <c r="G512" s="16">
        <f t="shared" si="16"/>
        <v>42.06</v>
      </c>
      <c r="H512" s="9">
        <f t="shared" si="17"/>
        <v>0.28051220488195278</v>
      </c>
      <c r="I512" s="6" t="s">
        <v>23</v>
      </c>
    </row>
    <row r="513" spans="1:9" x14ac:dyDescent="0.25">
      <c r="A513" s="6" t="s">
        <v>1740</v>
      </c>
      <c r="B513" s="6" t="s">
        <v>935</v>
      </c>
      <c r="C513" s="38" t="s">
        <v>1789</v>
      </c>
      <c r="D513" s="6" t="s">
        <v>15</v>
      </c>
      <c r="E513" s="29">
        <v>192</v>
      </c>
      <c r="F513" s="29">
        <v>149.94</v>
      </c>
      <c r="G513" s="16">
        <f t="shared" si="16"/>
        <v>42.06</v>
      </c>
      <c r="H513" s="9">
        <f t="shared" si="17"/>
        <v>0.28051220488195278</v>
      </c>
      <c r="I513" s="6" t="s">
        <v>23</v>
      </c>
    </row>
    <row r="514" spans="1:9" x14ac:dyDescent="0.25">
      <c r="A514" s="6" t="s">
        <v>1740</v>
      </c>
      <c r="B514" s="6" t="s">
        <v>935</v>
      </c>
      <c r="C514" s="38" t="s">
        <v>1790</v>
      </c>
      <c r="D514" s="6" t="s">
        <v>15</v>
      </c>
      <c r="E514" s="29">
        <v>192</v>
      </c>
      <c r="F514" s="29">
        <v>149.94</v>
      </c>
      <c r="G514" s="16">
        <f t="shared" si="16"/>
        <v>42.06</v>
      </c>
      <c r="H514" s="9">
        <f t="shared" si="17"/>
        <v>0.28051220488195278</v>
      </c>
      <c r="I514" s="6" t="s">
        <v>23</v>
      </c>
    </row>
    <row r="515" spans="1:9" x14ac:dyDescent="0.25">
      <c r="A515" s="6" t="s">
        <v>1740</v>
      </c>
      <c r="B515" s="6" t="s">
        <v>935</v>
      </c>
      <c r="C515" s="38" t="s">
        <v>1791</v>
      </c>
      <c r="D515" s="6" t="s">
        <v>15</v>
      </c>
      <c r="E515" s="29">
        <v>192</v>
      </c>
      <c r="F515" s="29">
        <v>149.94</v>
      </c>
      <c r="G515" s="16">
        <f t="shared" si="16"/>
        <v>42.06</v>
      </c>
      <c r="H515" s="9">
        <f t="shared" si="17"/>
        <v>0.28051220488195278</v>
      </c>
      <c r="I515" s="6" t="s">
        <v>23</v>
      </c>
    </row>
    <row r="516" spans="1:9" x14ac:dyDescent="0.25">
      <c r="A516" s="6" t="s">
        <v>1740</v>
      </c>
      <c r="B516" s="6" t="s">
        <v>38</v>
      </c>
      <c r="C516" s="38" t="s">
        <v>1792</v>
      </c>
      <c r="D516" s="6" t="s">
        <v>15</v>
      </c>
      <c r="E516" s="29">
        <v>2493</v>
      </c>
      <c r="F516" s="29">
        <v>2112.1999999999998</v>
      </c>
      <c r="G516" s="16">
        <f t="shared" si="16"/>
        <v>380.80000000000018</v>
      </c>
      <c r="H516" s="9">
        <f t="shared" si="17"/>
        <v>0.18028595776915074</v>
      </c>
      <c r="I516" s="6" t="s">
        <v>23</v>
      </c>
    </row>
    <row r="517" spans="1:9" x14ac:dyDescent="0.25">
      <c r="A517" s="6" t="s">
        <v>1740</v>
      </c>
      <c r="B517" s="6" t="s">
        <v>38</v>
      </c>
      <c r="C517" s="38" t="s">
        <v>1793</v>
      </c>
      <c r="D517" s="6" t="s">
        <v>15</v>
      </c>
      <c r="E517" s="29">
        <v>2493</v>
      </c>
      <c r="F517" s="29">
        <v>2112.1999999999998</v>
      </c>
      <c r="G517" s="16">
        <f t="shared" si="16"/>
        <v>380.80000000000018</v>
      </c>
      <c r="H517" s="9">
        <f t="shared" si="17"/>
        <v>0.18028595776915074</v>
      </c>
      <c r="I517" s="6" t="s">
        <v>23</v>
      </c>
    </row>
    <row r="518" spans="1:9" x14ac:dyDescent="0.25">
      <c r="A518" s="6" t="s">
        <v>1740</v>
      </c>
      <c r="B518" s="6" t="s">
        <v>38</v>
      </c>
      <c r="C518" s="38" t="s">
        <v>1794</v>
      </c>
      <c r="D518" s="6" t="s">
        <v>15</v>
      </c>
      <c r="E518" s="29">
        <v>2493</v>
      </c>
      <c r="F518" s="29">
        <v>2225.8000000000002</v>
      </c>
      <c r="G518" s="16">
        <f t="shared" si="16"/>
        <v>267.19999999999982</v>
      </c>
      <c r="H518" s="9">
        <f t="shared" si="17"/>
        <v>0.12004672477311519</v>
      </c>
      <c r="I518" s="6" t="s">
        <v>23</v>
      </c>
    </row>
    <row r="519" spans="1:9" x14ac:dyDescent="0.25">
      <c r="A519" s="6" t="s">
        <v>1740</v>
      </c>
      <c r="B519" s="6" t="s">
        <v>38</v>
      </c>
      <c r="C519" s="38" t="s">
        <v>1795</v>
      </c>
      <c r="D519" s="6" t="s">
        <v>15</v>
      </c>
      <c r="E519" s="29">
        <v>2493</v>
      </c>
      <c r="F519" s="29">
        <v>2112.1999999999998</v>
      </c>
      <c r="G519" s="16">
        <f t="shared" si="16"/>
        <v>380.80000000000018</v>
      </c>
      <c r="H519" s="9">
        <f t="shared" si="17"/>
        <v>0.18028595776915074</v>
      </c>
      <c r="I519" s="6" t="s">
        <v>23</v>
      </c>
    </row>
    <row r="520" spans="1:9" x14ac:dyDescent="0.25">
      <c r="A520" s="6" t="s">
        <v>1740</v>
      </c>
      <c r="B520" s="6" t="s">
        <v>38</v>
      </c>
      <c r="C520" s="38" t="s">
        <v>1796</v>
      </c>
      <c r="D520" s="6" t="s">
        <v>15</v>
      </c>
      <c r="E520" s="29">
        <v>2493</v>
      </c>
      <c r="F520" s="29">
        <v>2225.8000000000002</v>
      </c>
      <c r="G520" s="16">
        <f t="shared" si="16"/>
        <v>267.19999999999982</v>
      </c>
      <c r="H520" s="9">
        <f t="shared" si="17"/>
        <v>0.12004672477311519</v>
      </c>
      <c r="I520" s="6" t="s">
        <v>23</v>
      </c>
    </row>
    <row r="521" spans="1:9" x14ac:dyDescent="0.25">
      <c r="A521" s="6" t="s">
        <v>1740</v>
      </c>
      <c r="B521" s="6" t="s">
        <v>38</v>
      </c>
      <c r="C521" s="38" t="s">
        <v>1797</v>
      </c>
      <c r="D521" s="6" t="s">
        <v>15</v>
      </c>
      <c r="E521" s="29">
        <v>2493</v>
      </c>
      <c r="F521" s="29">
        <v>2112.1999999999998</v>
      </c>
      <c r="G521" s="16">
        <f t="shared" si="16"/>
        <v>380.80000000000018</v>
      </c>
      <c r="H521" s="9">
        <f t="shared" si="17"/>
        <v>0.18028595776915074</v>
      </c>
      <c r="I521" s="6" t="s">
        <v>23</v>
      </c>
    </row>
    <row r="522" spans="1:9" x14ac:dyDescent="0.25">
      <c r="A522" s="6" t="s">
        <v>1740</v>
      </c>
      <c r="B522" s="6" t="s">
        <v>38</v>
      </c>
      <c r="C522" s="38" t="s">
        <v>1798</v>
      </c>
      <c r="D522" s="6" t="s">
        <v>15</v>
      </c>
      <c r="E522" s="29">
        <v>2493</v>
      </c>
      <c r="F522" s="29">
        <v>2112.1999999999998</v>
      </c>
      <c r="G522" s="16">
        <f t="shared" si="16"/>
        <v>380.80000000000018</v>
      </c>
      <c r="H522" s="9">
        <f t="shared" si="17"/>
        <v>0.18028595776915074</v>
      </c>
      <c r="I522" s="6" t="s">
        <v>23</v>
      </c>
    </row>
    <row r="523" spans="1:9" x14ac:dyDescent="0.25">
      <c r="A523" s="6" t="s">
        <v>1740</v>
      </c>
      <c r="B523" s="6" t="s">
        <v>38</v>
      </c>
      <c r="C523" s="38" t="s">
        <v>1799</v>
      </c>
      <c r="D523" s="6" t="s">
        <v>15</v>
      </c>
      <c r="E523" s="29">
        <v>2493</v>
      </c>
      <c r="F523" s="29">
        <v>2225.8000000000002</v>
      </c>
      <c r="G523" s="16">
        <f t="shared" si="16"/>
        <v>267.19999999999982</v>
      </c>
      <c r="H523" s="9">
        <f t="shared" si="17"/>
        <v>0.12004672477311519</v>
      </c>
      <c r="I523" s="6" t="s">
        <v>23</v>
      </c>
    </row>
    <row r="524" spans="1:9" x14ac:dyDescent="0.25">
      <c r="A524" s="6" t="s">
        <v>1740</v>
      </c>
      <c r="B524" s="6" t="s">
        <v>38</v>
      </c>
      <c r="C524" s="38" t="s">
        <v>1800</v>
      </c>
      <c r="D524" s="6" t="s">
        <v>15</v>
      </c>
      <c r="E524" s="29">
        <v>2493</v>
      </c>
      <c r="F524" s="29">
        <v>2112.1999999999998</v>
      </c>
      <c r="G524" s="16">
        <f t="shared" si="16"/>
        <v>380.80000000000018</v>
      </c>
      <c r="H524" s="9">
        <f t="shared" si="17"/>
        <v>0.18028595776915074</v>
      </c>
      <c r="I524" s="6" t="s">
        <v>23</v>
      </c>
    </row>
    <row r="525" spans="1:9" x14ac:dyDescent="0.25">
      <c r="A525" s="6" t="s">
        <v>1740</v>
      </c>
      <c r="B525" s="6" t="s">
        <v>38</v>
      </c>
      <c r="C525" s="38" t="s">
        <v>1801</v>
      </c>
      <c r="D525" s="6" t="s">
        <v>15</v>
      </c>
      <c r="E525" s="29">
        <v>2493</v>
      </c>
      <c r="F525" s="29">
        <v>2225.8000000000002</v>
      </c>
      <c r="G525" s="16">
        <f t="shared" si="16"/>
        <v>267.19999999999982</v>
      </c>
      <c r="H525" s="9">
        <f t="shared" si="17"/>
        <v>0.12004672477311519</v>
      </c>
      <c r="I525" s="6" t="s">
        <v>23</v>
      </c>
    </row>
    <row r="526" spans="1:9" x14ac:dyDescent="0.25">
      <c r="A526" s="6" t="s">
        <v>1740</v>
      </c>
      <c r="B526" s="6" t="s">
        <v>38</v>
      </c>
      <c r="C526" s="38" t="s">
        <v>1802</v>
      </c>
      <c r="D526" s="6" t="s">
        <v>15</v>
      </c>
      <c r="E526" s="29">
        <v>2493</v>
      </c>
      <c r="F526" s="29">
        <v>2112.1999999999998</v>
      </c>
      <c r="G526" s="16">
        <f t="shared" si="16"/>
        <v>380.80000000000018</v>
      </c>
      <c r="H526" s="9">
        <f t="shared" si="17"/>
        <v>0.18028595776915074</v>
      </c>
      <c r="I526" s="6" t="s">
        <v>23</v>
      </c>
    </row>
    <row r="527" spans="1:9" x14ac:dyDescent="0.25">
      <c r="A527" s="6" t="s">
        <v>1740</v>
      </c>
      <c r="B527" s="6" t="s">
        <v>38</v>
      </c>
      <c r="C527" s="38" t="s">
        <v>1803</v>
      </c>
      <c r="D527" s="6" t="s">
        <v>15</v>
      </c>
      <c r="E527" s="29">
        <v>2493</v>
      </c>
      <c r="F527" s="29">
        <v>2112.1999999999998</v>
      </c>
      <c r="G527" s="16">
        <f t="shared" si="16"/>
        <v>380.80000000000018</v>
      </c>
      <c r="H527" s="9">
        <f t="shared" si="17"/>
        <v>0.18028595776915074</v>
      </c>
      <c r="I527" s="6" t="s">
        <v>23</v>
      </c>
    </row>
    <row r="528" spans="1:9" x14ac:dyDescent="0.25">
      <c r="A528" s="6" t="s">
        <v>1740</v>
      </c>
      <c r="B528" s="6" t="s">
        <v>38</v>
      </c>
      <c r="C528" s="38" t="s">
        <v>1804</v>
      </c>
      <c r="D528" s="6" t="s">
        <v>15</v>
      </c>
      <c r="E528" s="29">
        <v>2493</v>
      </c>
      <c r="F528" s="29">
        <v>2225.8000000000002</v>
      </c>
      <c r="G528" s="16">
        <f t="shared" si="16"/>
        <v>267.19999999999982</v>
      </c>
      <c r="H528" s="9">
        <f t="shared" si="17"/>
        <v>0.12004672477311519</v>
      </c>
      <c r="I528" s="6" t="s">
        <v>23</v>
      </c>
    </row>
    <row r="529" spans="1:9" x14ac:dyDescent="0.25">
      <c r="A529" s="6" t="s">
        <v>1740</v>
      </c>
      <c r="B529" s="6" t="s">
        <v>38</v>
      </c>
      <c r="C529" s="38" t="s">
        <v>1805</v>
      </c>
      <c r="D529" s="6" t="s">
        <v>15</v>
      </c>
      <c r="E529" s="29">
        <v>2493</v>
      </c>
      <c r="F529" s="29">
        <v>2112.1999999999998</v>
      </c>
      <c r="G529" s="16">
        <f t="shared" si="16"/>
        <v>380.80000000000018</v>
      </c>
      <c r="H529" s="9">
        <f t="shared" si="17"/>
        <v>0.18028595776915074</v>
      </c>
      <c r="I529" s="6" t="s">
        <v>23</v>
      </c>
    </row>
    <row r="530" spans="1:9" x14ac:dyDescent="0.25">
      <c r="A530" s="6" t="s">
        <v>1740</v>
      </c>
      <c r="B530" s="6" t="s">
        <v>38</v>
      </c>
      <c r="C530" s="38" t="s">
        <v>1806</v>
      </c>
      <c r="D530" s="6" t="s">
        <v>15</v>
      </c>
      <c r="E530" s="29">
        <v>2493</v>
      </c>
      <c r="F530" s="29">
        <v>2112.1999999999998</v>
      </c>
      <c r="G530" s="16">
        <f t="shared" si="16"/>
        <v>380.80000000000018</v>
      </c>
      <c r="H530" s="9">
        <f t="shared" si="17"/>
        <v>0.18028595776915074</v>
      </c>
      <c r="I530" s="6" t="s">
        <v>23</v>
      </c>
    </row>
    <row r="531" spans="1:9" x14ac:dyDescent="0.25">
      <c r="A531" s="6" t="s">
        <v>1740</v>
      </c>
      <c r="B531" s="6" t="s">
        <v>38</v>
      </c>
      <c r="C531" s="38" t="s">
        <v>1807</v>
      </c>
      <c r="D531" s="6" t="s">
        <v>15</v>
      </c>
      <c r="E531" s="29">
        <v>2493</v>
      </c>
      <c r="F531" s="29">
        <v>2112.1999999999998</v>
      </c>
      <c r="G531" s="16">
        <f t="shared" si="16"/>
        <v>380.80000000000018</v>
      </c>
      <c r="H531" s="9">
        <f t="shared" si="17"/>
        <v>0.18028595776915074</v>
      </c>
      <c r="I531" s="6" t="s">
        <v>23</v>
      </c>
    </row>
    <row r="532" spans="1:9" x14ac:dyDescent="0.25">
      <c r="A532" s="6" t="s">
        <v>1740</v>
      </c>
      <c r="B532" s="6" t="s">
        <v>38</v>
      </c>
      <c r="C532" s="38" t="s">
        <v>1808</v>
      </c>
      <c r="D532" s="6" t="s">
        <v>15</v>
      </c>
      <c r="E532" s="29">
        <v>2493</v>
      </c>
      <c r="F532" s="29">
        <v>2112.1999999999998</v>
      </c>
      <c r="G532" s="16">
        <f t="shared" si="16"/>
        <v>380.80000000000018</v>
      </c>
      <c r="H532" s="9">
        <f t="shared" si="17"/>
        <v>0.18028595776915074</v>
      </c>
      <c r="I532" s="6" t="s">
        <v>23</v>
      </c>
    </row>
    <row r="533" spans="1:9" x14ac:dyDescent="0.25">
      <c r="A533" s="6" t="s">
        <v>1740</v>
      </c>
      <c r="B533" s="6" t="s">
        <v>38</v>
      </c>
      <c r="C533" s="38" t="s">
        <v>1809</v>
      </c>
      <c r="D533" s="6" t="s">
        <v>15</v>
      </c>
      <c r="E533" s="29">
        <v>2493</v>
      </c>
      <c r="F533" s="29">
        <v>2112.1999999999998</v>
      </c>
      <c r="G533" s="16">
        <f t="shared" si="16"/>
        <v>380.80000000000018</v>
      </c>
      <c r="H533" s="9">
        <f t="shared" si="17"/>
        <v>0.18028595776915074</v>
      </c>
      <c r="I533" s="6" t="s">
        <v>23</v>
      </c>
    </row>
    <row r="534" spans="1:9" x14ac:dyDescent="0.25">
      <c r="A534" s="6" t="s">
        <v>1740</v>
      </c>
      <c r="B534" s="6" t="s">
        <v>38</v>
      </c>
      <c r="C534" s="38" t="s">
        <v>1810</v>
      </c>
      <c r="D534" s="6" t="s">
        <v>15</v>
      </c>
      <c r="E534" s="29">
        <v>2493</v>
      </c>
      <c r="F534" s="29">
        <v>2112.1999999999998</v>
      </c>
      <c r="G534" s="16">
        <f t="shared" si="16"/>
        <v>380.80000000000018</v>
      </c>
      <c r="H534" s="9">
        <f t="shared" si="17"/>
        <v>0.18028595776915074</v>
      </c>
      <c r="I534" s="6" t="s">
        <v>23</v>
      </c>
    </row>
    <row r="535" spans="1:9" x14ac:dyDescent="0.25">
      <c r="A535" s="6" t="s">
        <v>1740</v>
      </c>
      <c r="B535" s="6" t="s">
        <v>38</v>
      </c>
      <c r="C535" s="38" t="s">
        <v>1811</v>
      </c>
      <c r="D535" s="6" t="s">
        <v>15</v>
      </c>
      <c r="E535" s="29">
        <v>2493</v>
      </c>
      <c r="F535" s="29">
        <v>2112.1999999999998</v>
      </c>
      <c r="G535" s="16">
        <f t="shared" si="16"/>
        <v>380.80000000000018</v>
      </c>
      <c r="H535" s="9">
        <f t="shared" si="17"/>
        <v>0.18028595776915074</v>
      </c>
      <c r="I535" s="6" t="s">
        <v>23</v>
      </c>
    </row>
    <row r="536" spans="1:9" x14ac:dyDescent="0.25">
      <c r="A536" s="6" t="s">
        <v>1740</v>
      </c>
      <c r="B536" s="6" t="s">
        <v>38</v>
      </c>
      <c r="C536" s="38" t="s">
        <v>1812</v>
      </c>
      <c r="D536" s="6" t="s">
        <v>15</v>
      </c>
      <c r="E536" s="29">
        <v>2493</v>
      </c>
      <c r="F536" s="29">
        <v>2112.1999999999998</v>
      </c>
      <c r="G536" s="16">
        <f t="shared" si="16"/>
        <v>380.80000000000018</v>
      </c>
      <c r="H536" s="9">
        <f t="shared" si="17"/>
        <v>0.18028595776915074</v>
      </c>
      <c r="I536" s="6" t="s">
        <v>23</v>
      </c>
    </row>
    <row r="537" spans="1:9" x14ac:dyDescent="0.25">
      <c r="A537" s="6" t="s">
        <v>1740</v>
      </c>
      <c r="B537" s="6" t="s">
        <v>38</v>
      </c>
      <c r="C537" s="38" t="s">
        <v>1813</v>
      </c>
      <c r="D537" s="6" t="s">
        <v>15</v>
      </c>
      <c r="E537" s="29">
        <v>2493</v>
      </c>
      <c r="F537" s="29">
        <v>2112.1999999999998</v>
      </c>
      <c r="G537" s="16">
        <f t="shared" si="16"/>
        <v>380.80000000000018</v>
      </c>
      <c r="H537" s="9">
        <f t="shared" si="17"/>
        <v>0.18028595776915074</v>
      </c>
      <c r="I537" s="6" t="s">
        <v>23</v>
      </c>
    </row>
    <row r="538" spans="1:9" x14ac:dyDescent="0.25">
      <c r="A538" s="6" t="s">
        <v>1740</v>
      </c>
      <c r="B538" s="6" t="s">
        <v>38</v>
      </c>
      <c r="C538" s="38" t="s">
        <v>1814</v>
      </c>
      <c r="D538" s="6" t="s">
        <v>15</v>
      </c>
      <c r="E538" s="29">
        <v>2493</v>
      </c>
      <c r="F538" s="29">
        <v>2112.1999999999998</v>
      </c>
      <c r="G538" s="16">
        <f t="shared" si="16"/>
        <v>380.80000000000018</v>
      </c>
      <c r="H538" s="9">
        <f t="shared" si="17"/>
        <v>0.18028595776915074</v>
      </c>
      <c r="I538" s="6" t="s">
        <v>23</v>
      </c>
    </row>
    <row r="539" spans="1:9" x14ac:dyDescent="0.25">
      <c r="A539" s="6" t="s">
        <v>1740</v>
      </c>
      <c r="B539" s="6" t="s">
        <v>38</v>
      </c>
      <c r="C539" s="38" t="s">
        <v>1815</v>
      </c>
      <c r="D539" s="6" t="s">
        <v>15</v>
      </c>
      <c r="E539" s="29">
        <v>2493</v>
      </c>
      <c r="F539" s="29">
        <v>2225.8000000000002</v>
      </c>
      <c r="G539" s="16">
        <f t="shared" si="16"/>
        <v>267.19999999999982</v>
      </c>
      <c r="H539" s="9">
        <f t="shared" si="17"/>
        <v>0.12004672477311519</v>
      </c>
      <c r="I539" s="6" t="s">
        <v>23</v>
      </c>
    </row>
    <row r="540" spans="1:9" x14ac:dyDescent="0.25">
      <c r="A540" s="6" t="s">
        <v>1740</v>
      </c>
      <c r="B540" s="6" t="s">
        <v>38</v>
      </c>
      <c r="C540" s="38" t="s">
        <v>1816</v>
      </c>
      <c r="D540" s="6" t="s">
        <v>15</v>
      </c>
      <c r="E540" s="29">
        <v>2493</v>
      </c>
      <c r="F540" s="29">
        <v>2112.1999999999998</v>
      </c>
      <c r="G540" s="16">
        <f t="shared" si="16"/>
        <v>380.80000000000018</v>
      </c>
      <c r="H540" s="9">
        <f t="shared" si="17"/>
        <v>0.18028595776915074</v>
      </c>
      <c r="I540" s="6" t="s">
        <v>23</v>
      </c>
    </row>
    <row r="541" spans="1:9" x14ac:dyDescent="0.25">
      <c r="A541" s="6" t="s">
        <v>1740</v>
      </c>
      <c r="B541" s="6" t="s">
        <v>38</v>
      </c>
      <c r="C541" s="38" t="s">
        <v>1817</v>
      </c>
      <c r="D541" s="6" t="s">
        <v>15</v>
      </c>
      <c r="E541" s="29">
        <v>2493</v>
      </c>
      <c r="F541" s="29">
        <v>2225.8000000000002</v>
      </c>
      <c r="G541" s="16">
        <f t="shared" si="16"/>
        <v>267.19999999999982</v>
      </c>
      <c r="H541" s="9">
        <f t="shared" si="17"/>
        <v>0.12004672477311519</v>
      </c>
      <c r="I541" s="6" t="s">
        <v>23</v>
      </c>
    </row>
    <row r="542" spans="1:9" x14ac:dyDescent="0.25">
      <c r="A542" s="6" t="s">
        <v>1740</v>
      </c>
      <c r="B542" s="6" t="s">
        <v>38</v>
      </c>
      <c r="C542" s="38" t="s">
        <v>1818</v>
      </c>
      <c r="D542" s="6" t="s">
        <v>15</v>
      </c>
      <c r="E542" s="29">
        <v>2493</v>
      </c>
      <c r="F542" s="29">
        <v>2112.1999999999998</v>
      </c>
      <c r="G542" s="16">
        <f t="shared" si="16"/>
        <v>380.80000000000018</v>
      </c>
      <c r="H542" s="9">
        <f t="shared" si="17"/>
        <v>0.18028595776915074</v>
      </c>
      <c r="I542" s="6" t="s">
        <v>23</v>
      </c>
    </row>
    <row r="543" spans="1:9" x14ac:dyDescent="0.25">
      <c r="A543" s="6" t="s">
        <v>1740</v>
      </c>
      <c r="B543" s="6" t="s">
        <v>38</v>
      </c>
      <c r="C543" s="38" t="s">
        <v>1819</v>
      </c>
      <c r="D543" s="6" t="s">
        <v>15</v>
      </c>
      <c r="E543" s="29">
        <v>2493</v>
      </c>
      <c r="F543" s="29">
        <v>2225.8000000000002</v>
      </c>
      <c r="G543" s="16">
        <f t="shared" si="16"/>
        <v>267.19999999999982</v>
      </c>
      <c r="H543" s="9">
        <f t="shared" si="17"/>
        <v>0.12004672477311519</v>
      </c>
      <c r="I543" s="6" t="s">
        <v>23</v>
      </c>
    </row>
    <row r="544" spans="1:9" x14ac:dyDescent="0.25">
      <c r="A544" s="6" t="s">
        <v>1740</v>
      </c>
      <c r="B544" s="6" t="s">
        <v>38</v>
      </c>
      <c r="C544" s="38" t="s">
        <v>1820</v>
      </c>
      <c r="D544" s="6" t="s">
        <v>15</v>
      </c>
      <c r="E544" s="29">
        <v>2493</v>
      </c>
      <c r="F544" s="29">
        <v>2225.8000000000002</v>
      </c>
      <c r="G544" s="16">
        <f t="shared" si="16"/>
        <v>267.19999999999982</v>
      </c>
      <c r="H544" s="9">
        <f t="shared" si="17"/>
        <v>0.12004672477311519</v>
      </c>
      <c r="I544" s="6" t="s">
        <v>23</v>
      </c>
    </row>
    <row r="545" spans="1:9" x14ac:dyDescent="0.25">
      <c r="A545" s="6" t="s">
        <v>1740</v>
      </c>
      <c r="B545" s="6" t="s">
        <v>38</v>
      </c>
      <c r="C545" s="38" t="s">
        <v>1821</v>
      </c>
      <c r="D545" s="6" t="s">
        <v>15</v>
      </c>
      <c r="E545" s="29">
        <v>2493</v>
      </c>
      <c r="F545" s="29">
        <v>2112.1999999999998</v>
      </c>
      <c r="G545" s="16">
        <f t="shared" si="16"/>
        <v>380.80000000000018</v>
      </c>
      <c r="H545" s="9">
        <f t="shared" si="17"/>
        <v>0.18028595776915074</v>
      </c>
      <c r="I545" s="6" t="s">
        <v>23</v>
      </c>
    </row>
    <row r="546" spans="1:9" x14ac:dyDescent="0.25">
      <c r="A546" s="6" t="s">
        <v>1740</v>
      </c>
      <c r="B546" s="6" t="s">
        <v>38</v>
      </c>
      <c r="C546" s="38" t="s">
        <v>1822</v>
      </c>
      <c r="D546" s="6" t="s">
        <v>15</v>
      </c>
      <c r="E546" s="29">
        <v>2493</v>
      </c>
      <c r="F546" s="29">
        <v>2112.1999999999998</v>
      </c>
      <c r="G546" s="16">
        <f t="shared" si="16"/>
        <v>380.80000000000018</v>
      </c>
      <c r="H546" s="9">
        <f t="shared" si="17"/>
        <v>0.18028595776915074</v>
      </c>
      <c r="I546" s="6" t="s">
        <v>23</v>
      </c>
    </row>
    <row r="547" spans="1:9" x14ac:dyDescent="0.25">
      <c r="A547" s="6" t="s">
        <v>1740</v>
      </c>
      <c r="B547" s="6" t="s">
        <v>38</v>
      </c>
      <c r="C547" s="38" t="s">
        <v>1823</v>
      </c>
      <c r="D547" s="6" t="s">
        <v>15</v>
      </c>
      <c r="E547" s="29">
        <v>2493</v>
      </c>
      <c r="F547" s="29">
        <v>2112.1999999999998</v>
      </c>
      <c r="G547" s="16">
        <f t="shared" si="16"/>
        <v>380.80000000000018</v>
      </c>
      <c r="H547" s="9">
        <f t="shared" si="17"/>
        <v>0.18028595776915074</v>
      </c>
      <c r="I547" s="6" t="s">
        <v>23</v>
      </c>
    </row>
    <row r="548" spans="1:9" x14ac:dyDescent="0.25">
      <c r="A548" s="6" t="s">
        <v>1740</v>
      </c>
      <c r="B548" s="6" t="s">
        <v>38</v>
      </c>
      <c r="C548" s="38" t="s">
        <v>1824</v>
      </c>
      <c r="D548" s="6" t="s">
        <v>15</v>
      </c>
      <c r="E548" s="29">
        <v>2493</v>
      </c>
      <c r="F548" s="29">
        <v>2112.1999999999998</v>
      </c>
      <c r="G548" s="16">
        <f t="shared" si="16"/>
        <v>380.80000000000018</v>
      </c>
      <c r="H548" s="9">
        <f t="shared" si="17"/>
        <v>0.18028595776915074</v>
      </c>
      <c r="I548" s="6" t="s">
        <v>23</v>
      </c>
    </row>
    <row r="549" spans="1:9" x14ac:dyDescent="0.25">
      <c r="A549" s="6" t="s">
        <v>1740</v>
      </c>
      <c r="B549" s="6" t="s">
        <v>38</v>
      </c>
      <c r="C549" s="38" t="s">
        <v>1825</v>
      </c>
      <c r="D549" s="6" t="s">
        <v>15</v>
      </c>
      <c r="E549" s="29">
        <v>2493</v>
      </c>
      <c r="F549" s="29">
        <v>2112.1999999999998</v>
      </c>
      <c r="G549" s="16">
        <f t="shared" ref="G549:G612" si="18">E549-F549</f>
        <v>380.80000000000018</v>
      </c>
      <c r="H549" s="9">
        <f t="shared" ref="H549:H612" si="19">(E549-F549)/F549</f>
        <v>0.18028595776915074</v>
      </c>
      <c r="I549" s="6" t="s">
        <v>23</v>
      </c>
    </row>
    <row r="550" spans="1:9" x14ac:dyDescent="0.25">
      <c r="A550" s="6" t="s">
        <v>1740</v>
      </c>
      <c r="B550" s="6" t="s">
        <v>38</v>
      </c>
      <c r="C550" s="38" t="s">
        <v>1826</v>
      </c>
      <c r="D550" s="6" t="s">
        <v>15</v>
      </c>
      <c r="E550" s="29">
        <v>2493</v>
      </c>
      <c r="F550" s="29">
        <v>2112.1999999999998</v>
      </c>
      <c r="G550" s="16">
        <f t="shared" si="18"/>
        <v>380.80000000000018</v>
      </c>
      <c r="H550" s="9">
        <f t="shared" si="19"/>
        <v>0.18028595776915074</v>
      </c>
      <c r="I550" s="6" t="s">
        <v>23</v>
      </c>
    </row>
    <row r="551" spans="1:9" x14ac:dyDescent="0.25">
      <c r="A551" s="6" t="s">
        <v>1740</v>
      </c>
      <c r="B551" s="6" t="s">
        <v>38</v>
      </c>
      <c r="C551" s="38" t="s">
        <v>1827</v>
      </c>
      <c r="D551" s="6" t="s">
        <v>15</v>
      </c>
      <c r="E551" s="29">
        <v>2493</v>
      </c>
      <c r="F551" s="29">
        <v>2112.1999999999998</v>
      </c>
      <c r="G551" s="16">
        <f t="shared" si="18"/>
        <v>380.80000000000018</v>
      </c>
      <c r="H551" s="9">
        <f t="shared" si="19"/>
        <v>0.18028595776915074</v>
      </c>
      <c r="I551" s="6" t="s">
        <v>23</v>
      </c>
    </row>
    <row r="552" spans="1:9" x14ac:dyDescent="0.25">
      <c r="A552" s="6" t="s">
        <v>1740</v>
      </c>
      <c r="B552" s="6" t="s">
        <v>38</v>
      </c>
      <c r="C552" s="38" t="s">
        <v>1828</v>
      </c>
      <c r="D552" s="6" t="s">
        <v>15</v>
      </c>
      <c r="E552" s="29">
        <v>2493</v>
      </c>
      <c r="F552" s="29">
        <v>2112.1999999999998</v>
      </c>
      <c r="G552" s="16">
        <f t="shared" si="18"/>
        <v>380.80000000000018</v>
      </c>
      <c r="H552" s="9">
        <f t="shared" si="19"/>
        <v>0.18028595776915074</v>
      </c>
      <c r="I552" s="6" t="s">
        <v>23</v>
      </c>
    </row>
    <row r="553" spans="1:9" x14ac:dyDescent="0.25">
      <c r="A553" s="6" t="s">
        <v>1740</v>
      </c>
      <c r="B553" s="6" t="s">
        <v>38</v>
      </c>
      <c r="C553" s="38" t="s">
        <v>1829</v>
      </c>
      <c r="D553" s="6" t="s">
        <v>15</v>
      </c>
      <c r="E553" s="29">
        <v>2493</v>
      </c>
      <c r="F553" s="29">
        <v>2112.1999999999998</v>
      </c>
      <c r="G553" s="16">
        <f t="shared" si="18"/>
        <v>380.80000000000018</v>
      </c>
      <c r="H553" s="9">
        <f t="shared" si="19"/>
        <v>0.18028595776915074</v>
      </c>
      <c r="I553" s="6" t="s">
        <v>23</v>
      </c>
    </row>
    <row r="554" spans="1:9" x14ac:dyDescent="0.25">
      <c r="A554" s="6" t="s">
        <v>1740</v>
      </c>
      <c r="B554" s="6" t="s">
        <v>38</v>
      </c>
      <c r="C554" s="38" t="s">
        <v>1830</v>
      </c>
      <c r="D554" s="6" t="s">
        <v>15</v>
      </c>
      <c r="E554" s="29">
        <v>2493</v>
      </c>
      <c r="F554" s="29">
        <v>2112.1999999999998</v>
      </c>
      <c r="G554" s="16">
        <f t="shared" si="18"/>
        <v>380.80000000000018</v>
      </c>
      <c r="H554" s="9">
        <f t="shared" si="19"/>
        <v>0.18028595776915074</v>
      </c>
      <c r="I554" s="6" t="s">
        <v>23</v>
      </c>
    </row>
    <row r="555" spans="1:9" x14ac:dyDescent="0.25">
      <c r="A555" s="6" t="s">
        <v>1740</v>
      </c>
      <c r="B555" s="6" t="s">
        <v>38</v>
      </c>
      <c r="C555" s="38" t="s">
        <v>1831</v>
      </c>
      <c r="D555" s="6" t="s">
        <v>15</v>
      </c>
      <c r="E555" s="29">
        <v>2493</v>
      </c>
      <c r="F555" s="29">
        <v>2112.1999999999998</v>
      </c>
      <c r="G555" s="16">
        <f t="shared" si="18"/>
        <v>380.80000000000018</v>
      </c>
      <c r="H555" s="9">
        <f t="shared" si="19"/>
        <v>0.18028595776915074</v>
      </c>
      <c r="I555" s="6" t="s">
        <v>23</v>
      </c>
    </row>
    <row r="556" spans="1:9" x14ac:dyDescent="0.25">
      <c r="A556" s="6" t="s">
        <v>1740</v>
      </c>
      <c r="B556" s="6" t="s">
        <v>38</v>
      </c>
      <c r="C556" s="38" t="s">
        <v>1832</v>
      </c>
      <c r="D556" s="6" t="s">
        <v>15</v>
      </c>
      <c r="E556" s="29">
        <v>2493</v>
      </c>
      <c r="F556" s="29">
        <v>2112.1999999999998</v>
      </c>
      <c r="G556" s="16">
        <f t="shared" si="18"/>
        <v>380.80000000000018</v>
      </c>
      <c r="H556" s="9">
        <f t="shared" si="19"/>
        <v>0.18028595776915074</v>
      </c>
      <c r="I556" s="6" t="s">
        <v>23</v>
      </c>
    </row>
    <row r="557" spans="1:9" x14ac:dyDescent="0.25">
      <c r="A557" s="6" t="s">
        <v>1740</v>
      </c>
      <c r="B557" s="6" t="s">
        <v>38</v>
      </c>
      <c r="C557" s="38" t="s">
        <v>1833</v>
      </c>
      <c r="D557" s="6" t="s">
        <v>15</v>
      </c>
      <c r="E557" s="29">
        <v>2493</v>
      </c>
      <c r="F557" s="29">
        <v>2112.1999999999998</v>
      </c>
      <c r="G557" s="16">
        <f t="shared" si="18"/>
        <v>380.80000000000018</v>
      </c>
      <c r="H557" s="9">
        <f t="shared" si="19"/>
        <v>0.18028595776915074</v>
      </c>
      <c r="I557" s="6" t="s">
        <v>23</v>
      </c>
    </row>
    <row r="558" spans="1:9" x14ac:dyDescent="0.25">
      <c r="A558" s="6" t="s">
        <v>1740</v>
      </c>
      <c r="B558" s="6" t="s">
        <v>38</v>
      </c>
      <c r="C558" s="38" t="s">
        <v>1834</v>
      </c>
      <c r="D558" s="6" t="s">
        <v>15</v>
      </c>
      <c r="E558" s="29">
        <v>2493</v>
      </c>
      <c r="F558" s="29">
        <v>2112.1999999999998</v>
      </c>
      <c r="G558" s="16">
        <f t="shared" si="18"/>
        <v>380.80000000000018</v>
      </c>
      <c r="H558" s="9">
        <f t="shared" si="19"/>
        <v>0.18028595776915074</v>
      </c>
      <c r="I558" s="6" t="s">
        <v>23</v>
      </c>
    </row>
    <row r="559" spans="1:9" x14ac:dyDescent="0.25">
      <c r="A559" s="6" t="s">
        <v>1740</v>
      </c>
      <c r="B559" s="6" t="s">
        <v>38</v>
      </c>
      <c r="C559" s="38" t="s">
        <v>1835</v>
      </c>
      <c r="D559" s="6" t="s">
        <v>15</v>
      </c>
      <c r="E559" s="29">
        <v>2493</v>
      </c>
      <c r="F559" s="29">
        <v>2112.1999999999998</v>
      </c>
      <c r="G559" s="16">
        <f t="shared" si="18"/>
        <v>380.80000000000018</v>
      </c>
      <c r="H559" s="9">
        <f t="shared" si="19"/>
        <v>0.18028595776915074</v>
      </c>
      <c r="I559" s="6" t="s">
        <v>23</v>
      </c>
    </row>
    <row r="560" spans="1:9" x14ac:dyDescent="0.25">
      <c r="A560" s="6" t="s">
        <v>1740</v>
      </c>
      <c r="B560" s="6" t="s">
        <v>38</v>
      </c>
      <c r="C560" s="38" t="s">
        <v>1836</v>
      </c>
      <c r="D560" s="6" t="s">
        <v>15</v>
      </c>
      <c r="E560" s="29">
        <v>2493</v>
      </c>
      <c r="F560" s="29">
        <v>2112.1999999999998</v>
      </c>
      <c r="G560" s="16">
        <f t="shared" si="18"/>
        <v>380.80000000000018</v>
      </c>
      <c r="H560" s="9">
        <f t="shared" si="19"/>
        <v>0.18028595776915074</v>
      </c>
      <c r="I560" s="6" t="s">
        <v>23</v>
      </c>
    </row>
    <row r="561" spans="1:9" x14ac:dyDescent="0.25">
      <c r="A561" s="6" t="s">
        <v>1740</v>
      </c>
      <c r="B561" s="6" t="s">
        <v>38</v>
      </c>
      <c r="C561" s="38" t="s">
        <v>1837</v>
      </c>
      <c r="D561" s="6" t="s">
        <v>15</v>
      </c>
      <c r="E561" s="29">
        <v>2493</v>
      </c>
      <c r="F561" s="29">
        <v>2112.1999999999998</v>
      </c>
      <c r="G561" s="16">
        <f t="shared" si="18"/>
        <v>380.80000000000018</v>
      </c>
      <c r="H561" s="9">
        <f t="shared" si="19"/>
        <v>0.18028595776915074</v>
      </c>
      <c r="I561" s="6" t="s">
        <v>23</v>
      </c>
    </row>
    <row r="562" spans="1:9" x14ac:dyDescent="0.25">
      <c r="A562" s="6" t="s">
        <v>1740</v>
      </c>
      <c r="B562" s="6" t="s">
        <v>38</v>
      </c>
      <c r="C562" s="38" t="s">
        <v>1838</v>
      </c>
      <c r="D562" s="6" t="s">
        <v>15</v>
      </c>
      <c r="E562" s="29">
        <v>2493</v>
      </c>
      <c r="F562" s="29">
        <v>2112.1999999999998</v>
      </c>
      <c r="G562" s="16">
        <f t="shared" si="18"/>
        <v>380.80000000000018</v>
      </c>
      <c r="H562" s="9">
        <f t="shared" si="19"/>
        <v>0.18028595776915074</v>
      </c>
      <c r="I562" s="6" t="s">
        <v>23</v>
      </c>
    </row>
    <row r="563" spans="1:9" x14ac:dyDescent="0.25">
      <c r="A563" s="6" t="s">
        <v>1740</v>
      </c>
      <c r="B563" s="6" t="s">
        <v>38</v>
      </c>
      <c r="C563" s="38" t="s">
        <v>1839</v>
      </c>
      <c r="D563" s="6" t="s">
        <v>15</v>
      </c>
      <c r="E563" s="29">
        <v>2493</v>
      </c>
      <c r="F563" s="29">
        <v>2112.1999999999998</v>
      </c>
      <c r="G563" s="16">
        <f t="shared" si="18"/>
        <v>380.80000000000018</v>
      </c>
      <c r="H563" s="9">
        <f t="shared" si="19"/>
        <v>0.18028595776915074</v>
      </c>
      <c r="I563" s="6" t="s">
        <v>23</v>
      </c>
    </row>
    <row r="564" spans="1:9" x14ac:dyDescent="0.25">
      <c r="A564" s="6" t="s">
        <v>1740</v>
      </c>
      <c r="B564" s="6" t="s">
        <v>38</v>
      </c>
      <c r="C564" s="38" t="s">
        <v>1840</v>
      </c>
      <c r="D564" s="6" t="s">
        <v>15</v>
      </c>
      <c r="E564" s="29">
        <v>2493</v>
      </c>
      <c r="F564" s="29">
        <v>2112.1999999999998</v>
      </c>
      <c r="G564" s="16">
        <f t="shared" si="18"/>
        <v>380.80000000000018</v>
      </c>
      <c r="H564" s="9">
        <f t="shared" si="19"/>
        <v>0.18028595776915074</v>
      </c>
      <c r="I564" s="6" t="s">
        <v>23</v>
      </c>
    </row>
    <row r="565" spans="1:9" x14ac:dyDescent="0.25">
      <c r="A565" s="6" t="s">
        <v>1740</v>
      </c>
      <c r="B565" s="6" t="s">
        <v>38</v>
      </c>
      <c r="C565" s="38" t="s">
        <v>1841</v>
      </c>
      <c r="D565" s="6" t="s">
        <v>15</v>
      </c>
      <c r="E565" s="29">
        <v>2493</v>
      </c>
      <c r="F565" s="29">
        <v>2112.1999999999998</v>
      </c>
      <c r="G565" s="16">
        <f t="shared" si="18"/>
        <v>380.80000000000018</v>
      </c>
      <c r="H565" s="9">
        <f t="shared" si="19"/>
        <v>0.18028595776915074</v>
      </c>
      <c r="I565" s="6" t="s">
        <v>23</v>
      </c>
    </row>
    <row r="566" spans="1:9" x14ac:dyDescent="0.25">
      <c r="A566" s="6" t="s">
        <v>1740</v>
      </c>
      <c r="B566" s="6" t="s">
        <v>38</v>
      </c>
      <c r="C566" s="38" t="s">
        <v>1842</v>
      </c>
      <c r="D566" s="6" t="s">
        <v>15</v>
      </c>
      <c r="E566" s="29">
        <v>2493</v>
      </c>
      <c r="F566" s="29">
        <v>2112.1999999999998</v>
      </c>
      <c r="G566" s="16">
        <f t="shared" si="18"/>
        <v>380.80000000000018</v>
      </c>
      <c r="H566" s="9">
        <f t="shared" si="19"/>
        <v>0.18028595776915074</v>
      </c>
      <c r="I566" s="6" t="s">
        <v>23</v>
      </c>
    </row>
    <row r="567" spans="1:9" x14ac:dyDescent="0.25">
      <c r="A567" s="6" t="s">
        <v>1740</v>
      </c>
      <c r="B567" s="6" t="s">
        <v>38</v>
      </c>
      <c r="C567" s="38" t="s">
        <v>1843</v>
      </c>
      <c r="D567" s="6" t="s">
        <v>15</v>
      </c>
      <c r="E567" s="29">
        <v>2493</v>
      </c>
      <c r="F567" s="29">
        <v>2112.1999999999998</v>
      </c>
      <c r="G567" s="16">
        <f t="shared" si="18"/>
        <v>380.80000000000018</v>
      </c>
      <c r="H567" s="9">
        <f t="shared" si="19"/>
        <v>0.18028595776915074</v>
      </c>
      <c r="I567" s="6" t="s">
        <v>23</v>
      </c>
    </row>
    <row r="568" spans="1:9" x14ac:dyDescent="0.25">
      <c r="A568" s="6" t="s">
        <v>1740</v>
      </c>
      <c r="B568" s="6" t="s">
        <v>38</v>
      </c>
      <c r="C568" s="38" t="s">
        <v>1844</v>
      </c>
      <c r="D568" s="6" t="s">
        <v>15</v>
      </c>
      <c r="E568" s="29">
        <v>2493</v>
      </c>
      <c r="F568" s="29">
        <v>2112.1999999999998</v>
      </c>
      <c r="G568" s="16">
        <f t="shared" si="18"/>
        <v>380.80000000000018</v>
      </c>
      <c r="H568" s="9">
        <f t="shared" si="19"/>
        <v>0.18028595776915074</v>
      </c>
      <c r="I568" s="6" t="s">
        <v>23</v>
      </c>
    </row>
    <row r="569" spans="1:9" x14ac:dyDescent="0.25">
      <c r="A569" s="6" t="s">
        <v>1740</v>
      </c>
      <c r="B569" s="6" t="s">
        <v>38</v>
      </c>
      <c r="C569" s="38" t="s">
        <v>1845</v>
      </c>
      <c r="D569" s="6" t="s">
        <v>15</v>
      </c>
      <c r="E569" s="29">
        <v>2493</v>
      </c>
      <c r="F569" s="29">
        <v>2112.1999999999998</v>
      </c>
      <c r="G569" s="16">
        <f t="shared" si="18"/>
        <v>380.80000000000018</v>
      </c>
      <c r="H569" s="9">
        <f t="shared" si="19"/>
        <v>0.18028595776915074</v>
      </c>
      <c r="I569" s="6" t="s">
        <v>23</v>
      </c>
    </row>
    <row r="570" spans="1:9" x14ac:dyDescent="0.25">
      <c r="A570" s="6" t="s">
        <v>1740</v>
      </c>
      <c r="B570" s="6" t="s">
        <v>38</v>
      </c>
      <c r="C570" s="38" t="s">
        <v>1846</v>
      </c>
      <c r="D570" s="6" t="s">
        <v>15</v>
      </c>
      <c r="E570" s="29">
        <v>2493</v>
      </c>
      <c r="F570" s="29">
        <v>2112.1999999999998</v>
      </c>
      <c r="G570" s="16">
        <f t="shared" si="18"/>
        <v>380.80000000000018</v>
      </c>
      <c r="H570" s="9">
        <f t="shared" si="19"/>
        <v>0.18028595776915074</v>
      </c>
      <c r="I570" s="6" t="s">
        <v>23</v>
      </c>
    </row>
    <row r="571" spans="1:9" x14ac:dyDescent="0.25">
      <c r="A571" s="6" t="s">
        <v>1740</v>
      </c>
      <c r="B571" s="6" t="s">
        <v>38</v>
      </c>
      <c r="C571" s="38" t="s">
        <v>1847</v>
      </c>
      <c r="D571" s="6" t="s">
        <v>15</v>
      </c>
      <c r="E571" s="29">
        <v>2493</v>
      </c>
      <c r="F571" s="29">
        <v>2112.1999999999998</v>
      </c>
      <c r="G571" s="16">
        <f t="shared" si="18"/>
        <v>380.80000000000018</v>
      </c>
      <c r="H571" s="9">
        <f t="shared" si="19"/>
        <v>0.18028595776915074</v>
      </c>
      <c r="I571" s="6" t="s">
        <v>23</v>
      </c>
    </row>
    <row r="572" spans="1:9" x14ac:dyDescent="0.25">
      <c r="A572" s="6" t="s">
        <v>1740</v>
      </c>
      <c r="B572" s="6" t="s">
        <v>38</v>
      </c>
      <c r="C572" s="38" t="s">
        <v>1848</v>
      </c>
      <c r="D572" s="6" t="s">
        <v>15</v>
      </c>
      <c r="E572" s="29">
        <v>2493</v>
      </c>
      <c r="F572" s="29">
        <v>2112.1999999999998</v>
      </c>
      <c r="G572" s="16">
        <f t="shared" si="18"/>
        <v>380.80000000000018</v>
      </c>
      <c r="H572" s="9">
        <f t="shared" si="19"/>
        <v>0.18028595776915074</v>
      </c>
      <c r="I572" s="6" t="s">
        <v>23</v>
      </c>
    </row>
    <row r="573" spans="1:9" x14ac:dyDescent="0.25">
      <c r="A573" s="6" t="s">
        <v>1740</v>
      </c>
      <c r="B573" s="6" t="s">
        <v>38</v>
      </c>
      <c r="C573" s="38" t="s">
        <v>1849</v>
      </c>
      <c r="D573" s="6" t="s">
        <v>15</v>
      </c>
      <c r="E573" s="29">
        <v>2493</v>
      </c>
      <c r="F573" s="29">
        <v>2225.8000000000002</v>
      </c>
      <c r="G573" s="16">
        <f t="shared" si="18"/>
        <v>267.19999999999982</v>
      </c>
      <c r="H573" s="9">
        <f t="shared" si="19"/>
        <v>0.12004672477311519</v>
      </c>
      <c r="I573" s="6" t="s">
        <v>23</v>
      </c>
    </row>
    <row r="574" spans="1:9" x14ac:dyDescent="0.25">
      <c r="A574" s="6" t="s">
        <v>1740</v>
      </c>
      <c r="B574" s="6" t="s">
        <v>38</v>
      </c>
      <c r="C574" s="38" t="s">
        <v>1850</v>
      </c>
      <c r="D574" s="6" t="s">
        <v>15</v>
      </c>
      <c r="E574" s="29">
        <v>2493</v>
      </c>
      <c r="F574" s="29">
        <v>2112.1999999999998</v>
      </c>
      <c r="G574" s="16">
        <f t="shared" si="18"/>
        <v>380.80000000000018</v>
      </c>
      <c r="H574" s="9">
        <f t="shared" si="19"/>
        <v>0.18028595776915074</v>
      </c>
      <c r="I574" s="6" t="s">
        <v>23</v>
      </c>
    </row>
    <row r="575" spans="1:9" x14ac:dyDescent="0.25">
      <c r="A575" s="6" t="s">
        <v>1740</v>
      </c>
      <c r="B575" s="6" t="s">
        <v>38</v>
      </c>
      <c r="C575" s="38" t="s">
        <v>1851</v>
      </c>
      <c r="D575" s="6" t="s">
        <v>15</v>
      </c>
      <c r="E575" s="29">
        <v>2493</v>
      </c>
      <c r="F575" s="29">
        <v>2112.1999999999998</v>
      </c>
      <c r="G575" s="16">
        <f t="shared" si="18"/>
        <v>380.80000000000018</v>
      </c>
      <c r="H575" s="9">
        <f t="shared" si="19"/>
        <v>0.18028595776915074</v>
      </c>
      <c r="I575" s="6" t="s">
        <v>23</v>
      </c>
    </row>
    <row r="576" spans="1:9" x14ac:dyDescent="0.25">
      <c r="A576" s="6" t="s">
        <v>1740</v>
      </c>
      <c r="B576" s="6" t="s">
        <v>38</v>
      </c>
      <c r="C576" s="38" t="s">
        <v>1852</v>
      </c>
      <c r="D576" s="6" t="s">
        <v>15</v>
      </c>
      <c r="E576" s="29">
        <v>2493</v>
      </c>
      <c r="F576" s="29">
        <v>2112.1999999999998</v>
      </c>
      <c r="G576" s="16">
        <f t="shared" si="18"/>
        <v>380.80000000000018</v>
      </c>
      <c r="H576" s="9">
        <f t="shared" si="19"/>
        <v>0.18028595776915074</v>
      </c>
      <c r="I576" s="6" t="s">
        <v>23</v>
      </c>
    </row>
    <row r="577" spans="1:9" x14ac:dyDescent="0.25">
      <c r="A577" s="6" t="s">
        <v>1740</v>
      </c>
      <c r="B577" s="6" t="s">
        <v>38</v>
      </c>
      <c r="C577" s="38" t="s">
        <v>1853</v>
      </c>
      <c r="D577" s="6" t="s">
        <v>15</v>
      </c>
      <c r="E577" s="29">
        <v>2493</v>
      </c>
      <c r="F577" s="29">
        <v>2112.1999999999998</v>
      </c>
      <c r="G577" s="16">
        <f t="shared" si="18"/>
        <v>380.80000000000018</v>
      </c>
      <c r="H577" s="9">
        <f t="shared" si="19"/>
        <v>0.18028595776915074</v>
      </c>
      <c r="I577" s="6" t="s">
        <v>23</v>
      </c>
    </row>
    <row r="578" spans="1:9" x14ac:dyDescent="0.25">
      <c r="A578" s="6" t="s">
        <v>1740</v>
      </c>
      <c r="B578" s="6" t="s">
        <v>38</v>
      </c>
      <c r="C578" s="38" t="s">
        <v>1854</v>
      </c>
      <c r="D578" s="6" t="s">
        <v>15</v>
      </c>
      <c r="E578" s="29">
        <v>2493</v>
      </c>
      <c r="F578" s="29">
        <v>2112.1999999999998</v>
      </c>
      <c r="G578" s="16">
        <f t="shared" si="18"/>
        <v>380.80000000000018</v>
      </c>
      <c r="H578" s="9">
        <f t="shared" si="19"/>
        <v>0.18028595776915074</v>
      </c>
      <c r="I578" s="6" t="s">
        <v>23</v>
      </c>
    </row>
    <row r="579" spans="1:9" x14ac:dyDescent="0.25">
      <c r="A579" s="6" t="s">
        <v>1740</v>
      </c>
      <c r="B579" s="6" t="s">
        <v>38</v>
      </c>
      <c r="C579" s="38" t="s">
        <v>1855</v>
      </c>
      <c r="D579" s="6" t="s">
        <v>15</v>
      </c>
      <c r="E579" s="29">
        <v>2493</v>
      </c>
      <c r="F579" s="29">
        <v>2112.1999999999998</v>
      </c>
      <c r="G579" s="16">
        <f t="shared" si="18"/>
        <v>380.80000000000018</v>
      </c>
      <c r="H579" s="9">
        <f t="shared" si="19"/>
        <v>0.18028595776915074</v>
      </c>
      <c r="I579" s="6" t="s">
        <v>23</v>
      </c>
    </row>
    <row r="580" spans="1:9" x14ac:dyDescent="0.25">
      <c r="A580" s="6" t="s">
        <v>1740</v>
      </c>
      <c r="B580" s="6" t="s">
        <v>38</v>
      </c>
      <c r="C580" s="38" t="s">
        <v>1856</v>
      </c>
      <c r="D580" s="6" t="s">
        <v>15</v>
      </c>
      <c r="E580" s="29">
        <v>2493</v>
      </c>
      <c r="F580" s="29">
        <v>2112.1999999999998</v>
      </c>
      <c r="G580" s="16">
        <f t="shared" si="18"/>
        <v>380.80000000000018</v>
      </c>
      <c r="H580" s="9">
        <f t="shared" si="19"/>
        <v>0.18028595776915074</v>
      </c>
      <c r="I580" s="6" t="s">
        <v>23</v>
      </c>
    </row>
    <row r="581" spans="1:9" x14ac:dyDescent="0.25">
      <c r="A581" s="6" t="s">
        <v>1740</v>
      </c>
      <c r="B581" s="6" t="s">
        <v>38</v>
      </c>
      <c r="C581" s="38" t="s">
        <v>1857</v>
      </c>
      <c r="D581" s="6" t="s">
        <v>15</v>
      </c>
      <c r="E581" s="29">
        <v>2493</v>
      </c>
      <c r="F581" s="29">
        <v>2112.1999999999998</v>
      </c>
      <c r="G581" s="16">
        <f t="shared" si="18"/>
        <v>380.80000000000018</v>
      </c>
      <c r="H581" s="9">
        <f t="shared" si="19"/>
        <v>0.18028595776915074</v>
      </c>
      <c r="I581" s="6" t="s">
        <v>23</v>
      </c>
    </row>
    <row r="582" spans="1:9" x14ac:dyDescent="0.25">
      <c r="A582" s="6" t="s">
        <v>1740</v>
      </c>
      <c r="B582" s="6" t="s">
        <v>38</v>
      </c>
      <c r="C582" s="38" t="s">
        <v>1858</v>
      </c>
      <c r="D582" s="6" t="s">
        <v>15</v>
      </c>
      <c r="E582" s="29">
        <v>2493</v>
      </c>
      <c r="F582" s="29">
        <v>2112.1999999999998</v>
      </c>
      <c r="G582" s="16">
        <f t="shared" si="18"/>
        <v>380.80000000000018</v>
      </c>
      <c r="H582" s="9">
        <f t="shared" si="19"/>
        <v>0.18028595776915074</v>
      </c>
      <c r="I582" s="6" t="s">
        <v>23</v>
      </c>
    </row>
    <row r="583" spans="1:9" x14ac:dyDescent="0.25">
      <c r="A583" s="6" t="s">
        <v>1740</v>
      </c>
      <c r="B583" s="6" t="s">
        <v>38</v>
      </c>
      <c r="C583" s="38" t="s">
        <v>1859</v>
      </c>
      <c r="D583" s="6" t="s">
        <v>15</v>
      </c>
      <c r="E583" s="29">
        <v>2493</v>
      </c>
      <c r="F583" s="29">
        <v>2112.1999999999998</v>
      </c>
      <c r="G583" s="16">
        <f t="shared" si="18"/>
        <v>380.80000000000018</v>
      </c>
      <c r="H583" s="9">
        <f t="shared" si="19"/>
        <v>0.18028595776915074</v>
      </c>
      <c r="I583" s="6" t="s">
        <v>23</v>
      </c>
    </row>
    <row r="584" spans="1:9" x14ac:dyDescent="0.25">
      <c r="A584" s="6" t="s">
        <v>1740</v>
      </c>
      <c r="B584" s="6" t="s">
        <v>38</v>
      </c>
      <c r="C584" s="38" t="s">
        <v>1860</v>
      </c>
      <c r="D584" s="6" t="s">
        <v>15</v>
      </c>
      <c r="E584" s="29">
        <v>2493</v>
      </c>
      <c r="F584" s="29">
        <v>2112.1999999999998</v>
      </c>
      <c r="G584" s="16">
        <f t="shared" si="18"/>
        <v>380.80000000000018</v>
      </c>
      <c r="H584" s="9">
        <f t="shared" si="19"/>
        <v>0.18028595776915074</v>
      </c>
      <c r="I584" s="6" t="s">
        <v>23</v>
      </c>
    </row>
    <row r="585" spans="1:9" x14ac:dyDescent="0.25">
      <c r="A585" s="6" t="s">
        <v>1740</v>
      </c>
      <c r="B585" s="6" t="s">
        <v>38</v>
      </c>
      <c r="C585" s="38" t="s">
        <v>1861</v>
      </c>
      <c r="D585" s="6" t="s">
        <v>15</v>
      </c>
      <c r="E585" s="29">
        <v>2493</v>
      </c>
      <c r="F585" s="29">
        <v>2112.1999999999998</v>
      </c>
      <c r="G585" s="16">
        <f t="shared" si="18"/>
        <v>380.80000000000018</v>
      </c>
      <c r="H585" s="9">
        <f t="shared" si="19"/>
        <v>0.18028595776915074</v>
      </c>
      <c r="I585" s="6" t="s">
        <v>23</v>
      </c>
    </row>
    <row r="586" spans="1:9" x14ac:dyDescent="0.25">
      <c r="A586" s="6" t="s">
        <v>1740</v>
      </c>
      <c r="B586" s="6" t="s">
        <v>38</v>
      </c>
      <c r="C586" s="38" t="s">
        <v>1862</v>
      </c>
      <c r="D586" s="6" t="s">
        <v>15</v>
      </c>
      <c r="E586" s="29">
        <v>2493</v>
      </c>
      <c r="F586" s="29">
        <v>2225.8000000000002</v>
      </c>
      <c r="G586" s="16">
        <f t="shared" si="18"/>
        <v>267.19999999999982</v>
      </c>
      <c r="H586" s="9">
        <f t="shared" si="19"/>
        <v>0.12004672477311519</v>
      </c>
      <c r="I586" s="6" t="s">
        <v>23</v>
      </c>
    </row>
    <row r="587" spans="1:9" x14ac:dyDescent="0.25">
      <c r="A587" s="6" t="s">
        <v>1740</v>
      </c>
      <c r="B587" s="6" t="s">
        <v>38</v>
      </c>
      <c r="C587" s="38" t="s">
        <v>1863</v>
      </c>
      <c r="D587" s="6" t="s">
        <v>15</v>
      </c>
      <c r="E587" s="29">
        <v>2493</v>
      </c>
      <c r="F587" s="29">
        <v>2112.1999999999998</v>
      </c>
      <c r="G587" s="16">
        <f t="shared" si="18"/>
        <v>380.80000000000018</v>
      </c>
      <c r="H587" s="9">
        <f t="shared" si="19"/>
        <v>0.18028595776915074</v>
      </c>
      <c r="I587" s="6" t="s">
        <v>23</v>
      </c>
    </row>
    <row r="588" spans="1:9" x14ac:dyDescent="0.25">
      <c r="A588" s="6" t="s">
        <v>1740</v>
      </c>
      <c r="B588" s="6" t="s">
        <v>38</v>
      </c>
      <c r="C588" s="38" t="s">
        <v>1864</v>
      </c>
      <c r="D588" s="6" t="s">
        <v>15</v>
      </c>
      <c r="E588" s="29">
        <v>2493</v>
      </c>
      <c r="F588" s="29">
        <v>2112.1999999999998</v>
      </c>
      <c r="G588" s="16">
        <f t="shared" si="18"/>
        <v>380.80000000000018</v>
      </c>
      <c r="H588" s="9">
        <f t="shared" si="19"/>
        <v>0.18028595776915074</v>
      </c>
      <c r="I588" s="6" t="s">
        <v>23</v>
      </c>
    </row>
    <row r="589" spans="1:9" x14ac:dyDescent="0.25">
      <c r="A589" s="6" t="s">
        <v>1740</v>
      </c>
      <c r="B589" s="6" t="s">
        <v>38</v>
      </c>
      <c r="C589" s="38" t="s">
        <v>1865</v>
      </c>
      <c r="D589" s="6" t="s">
        <v>15</v>
      </c>
      <c r="E589" s="29">
        <v>2493</v>
      </c>
      <c r="F589" s="29">
        <v>2112.1999999999998</v>
      </c>
      <c r="G589" s="16">
        <f t="shared" si="18"/>
        <v>380.80000000000018</v>
      </c>
      <c r="H589" s="9">
        <f t="shared" si="19"/>
        <v>0.18028595776915074</v>
      </c>
      <c r="I589" s="6" t="s">
        <v>23</v>
      </c>
    </row>
    <row r="590" spans="1:9" x14ac:dyDescent="0.25">
      <c r="A590" s="6" t="s">
        <v>1740</v>
      </c>
      <c r="B590" s="6" t="s">
        <v>38</v>
      </c>
      <c r="C590" s="38" t="s">
        <v>1866</v>
      </c>
      <c r="D590" s="6" t="s">
        <v>15</v>
      </c>
      <c r="E590" s="29">
        <v>2493</v>
      </c>
      <c r="F590" s="29">
        <v>2225.8000000000002</v>
      </c>
      <c r="G590" s="16">
        <f t="shared" si="18"/>
        <v>267.19999999999982</v>
      </c>
      <c r="H590" s="9">
        <f t="shared" si="19"/>
        <v>0.12004672477311519</v>
      </c>
      <c r="I590" s="6" t="s">
        <v>23</v>
      </c>
    </row>
    <row r="591" spans="1:9" x14ac:dyDescent="0.25">
      <c r="A591" s="6" t="s">
        <v>1740</v>
      </c>
      <c r="B591" s="6" t="s">
        <v>38</v>
      </c>
      <c r="C591" s="38" t="s">
        <v>1867</v>
      </c>
      <c r="D591" s="6" t="s">
        <v>15</v>
      </c>
      <c r="E591" s="29">
        <v>2493</v>
      </c>
      <c r="F591" s="29">
        <v>2112.1999999999998</v>
      </c>
      <c r="G591" s="16">
        <f t="shared" si="18"/>
        <v>380.80000000000018</v>
      </c>
      <c r="H591" s="9">
        <f t="shared" si="19"/>
        <v>0.18028595776915074</v>
      </c>
      <c r="I591" s="6" t="s">
        <v>23</v>
      </c>
    </row>
    <row r="592" spans="1:9" x14ac:dyDescent="0.25">
      <c r="A592" s="6" t="s">
        <v>1740</v>
      </c>
      <c r="B592" s="6" t="s">
        <v>38</v>
      </c>
      <c r="C592" s="38" t="s">
        <v>1868</v>
      </c>
      <c r="D592" s="6" t="s">
        <v>15</v>
      </c>
      <c r="E592" s="29">
        <v>2493</v>
      </c>
      <c r="F592" s="29">
        <v>2112.1999999999998</v>
      </c>
      <c r="G592" s="16">
        <f t="shared" si="18"/>
        <v>380.80000000000018</v>
      </c>
      <c r="H592" s="9">
        <f t="shared" si="19"/>
        <v>0.18028595776915074</v>
      </c>
      <c r="I592" s="6" t="s">
        <v>23</v>
      </c>
    </row>
    <row r="593" spans="1:9" x14ac:dyDescent="0.25">
      <c r="A593" s="6" t="s">
        <v>1740</v>
      </c>
      <c r="B593" s="6" t="s">
        <v>38</v>
      </c>
      <c r="C593" s="38" t="s">
        <v>1869</v>
      </c>
      <c r="D593" s="6" t="s">
        <v>15</v>
      </c>
      <c r="E593" s="29">
        <v>2493</v>
      </c>
      <c r="F593" s="29">
        <v>2225.8000000000002</v>
      </c>
      <c r="G593" s="16">
        <f t="shared" si="18"/>
        <v>267.19999999999982</v>
      </c>
      <c r="H593" s="9">
        <f t="shared" si="19"/>
        <v>0.12004672477311519</v>
      </c>
      <c r="I593" s="6" t="s">
        <v>23</v>
      </c>
    </row>
    <row r="594" spans="1:9" x14ac:dyDescent="0.25">
      <c r="A594" s="6" t="s">
        <v>1740</v>
      </c>
      <c r="B594" s="6" t="s">
        <v>38</v>
      </c>
      <c r="C594" s="38" t="s">
        <v>1870</v>
      </c>
      <c r="D594" s="6" t="s">
        <v>15</v>
      </c>
      <c r="E594" s="29">
        <v>2493</v>
      </c>
      <c r="F594" s="29">
        <v>2112.1999999999998</v>
      </c>
      <c r="G594" s="16">
        <f t="shared" si="18"/>
        <v>380.80000000000018</v>
      </c>
      <c r="H594" s="9">
        <f t="shared" si="19"/>
        <v>0.18028595776915074</v>
      </c>
      <c r="I594" s="6" t="s">
        <v>23</v>
      </c>
    </row>
    <row r="595" spans="1:9" x14ac:dyDescent="0.25">
      <c r="A595" s="6" t="s">
        <v>1740</v>
      </c>
      <c r="B595" s="6" t="s">
        <v>38</v>
      </c>
      <c r="C595" s="38" t="s">
        <v>1871</v>
      </c>
      <c r="D595" s="6" t="s">
        <v>15</v>
      </c>
      <c r="E595" s="29">
        <v>2493</v>
      </c>
      <c r="F595" s="29">
        <v>2112.1999999999998</v>
      </c>
      <c r="G595" s="16">
        <f t="shared" si="18"/>
        <v>380.80000000000018</v>
      </c>
      <c r="H595" s="9">
        <f t="shared" si="19"/>
        <v>0.18028595776915074</v>
      </c>
      <c r="I595" s="6" t="s">
        <v>23</v>
      </c>
    </row>
    <row r="596" spans="1:9" x14ac:dyDescent="0.25">
      <c r="A596" s="6" t="s">
        <v>1740</v>
      </c>
      <c r="B596" s="6" t="s">
        <v>38</v>
      </c>
      <c r="C596" s="38" t="s">
        <v>1872</v>
      </c>
      <c r="D596" s="6" t="s">
        <v>15</v>
      </c>
      <c r="E596" s="29">
        <v>2493</v>
      </c>
      <c r="F596" s="29">
        <v>2112.1999999999998</v>
      </c>
      <c r="G596" s="16">
        <f t="shared" si="18"/>
        <v>380.80000000000018</v>
      </c>
      <c r="H596" s="9">
        <f t="shared" si="19"/>
        <v>0.18028595776915074</v>
      </c>
      <c r="I596" s="6" t="s">
        <v>23</v>
      </c>
    </row>
    <row r="597" spans="1:9" x14ac:dyDescent="0.25">
      <c r="A597" s="6" t="s">
        <v>1740</v>
      </c>
      <c r="B597" s="6" t="s">
        <v>38</v>
      </c>
      <c r="C597" s="38" t="s">
        <v>1873</v>
      </c>
      <c r="D597" s="6" t="s">
        <v>15</v>
      </c>
      <c r="E597" s="29">
        <v>2493</v>
      </c>
      <c r="F597" s="29">
        <v>2112.1999999999998</v>
      </c>
      <c r="G597" s="16">
        <f t="shared" si="18"/>
        <v>380.80000000000018</v>
      </c>
      <c r="H597" s="9">
        <f t="shared" si="19"/>
        <v>0.18028595776915074</v>
      </c>
      <c r="I597" s="6" t="s">
        <v>23</v>
      </c>
    </row>
    <row r="598" spans="1:9" x14ac:dyDescent="0.25">
      <c r="A598" s="6" t="s">
        <v>1740</v>
      </c>
      <c r="B598" s="6" t="s">
        <v>38</v>
      </c>
      <c r="C598" s="38" t="s">
        <v>1874</v>
      </c>
      <c r="D598" s="6" t="s">
        <v>15</v>
      </c>
      <c r="E598" s="29">
        <v>2493</v>
      </c>
      <c r="F598" s="29">
        <v>2112.1999999999998</v>
      </c>
      <c r="G598" s="16">
        <f t="shared" si="18"/>
        <v>380.80000000000018</v>
      </c>
      <c r="H598" s="9">
        <f t="shared" si="19"/>
        <v>0.18028595776915074</v>
      </c>
      <c r="I598" s="6" t="s">
        <v>23</v>
      </c>
    </row>
    <row r="599" spans="1:9" x14ac:dyDescent="0.25">
      <c r="A599" s="6" t="s">
        <v>1740</v>
      </c>
      <c r="B599" s="6" t="s">
        <v>38</v>
      </c>
      <c r="C599" s="38" t="s">
        <v>1875</v>
      </c>
      <c r="D599" s="6" t="s">
        <v>15</v>
      </c>
      <c r="E599" s="29">
        <v>2493</v>
      </c>
      <c r="F599" s="29">
        <v>2112.1999999999998</v>
      </c>
      <c r="G599" s="16">
        <f t="shared" si="18"/>
        <v>380.80000000000018</v>
      </c>
      <c r="H599" s="9">
        <f t="shared" si="19"/>
        <v>0.18028595776915074</v>
      </c>
      <c r="I599" s="6" t="s">
        <v>23</v>
      </c>
    </row>
    <row r="600" spans="1:9" x14ac:dyDescent="0.25">
      <c r="A600" s="6" t="s">
        <v>1740</v>
      </c>
      <c r="B600" s="6" t="s">
        <v>38</v>
      </c>
      <c r="C600" s="38" t="s">
        <v>1876</v>
      </c>
      <c r="D600" s="6" t="s">
        <v>15</v>
      </c>
      <c r="E600" s="29">
        <v>2493</v>
      </c>
      <c r="F600" s="29">
        <v>2112.1999999999998</v>
      </c>
      <c r="G600" s="16">
        <f t="shared" si="18"/>
        <v>380.80000000000018</v>
      </c>
      <c r="H600" s="9">
        <f t="shared" si="19"/>
        <v>0.18028595776915074</v>
      </c>
      <c r="I600" s="6" t="s">
        <v>23</v>
      </c>
    </row>
    <row r="601" spans="1:9" x14ac:dyDescent="0.25">
      <c r="A601" s="6" t="s">
        <v>1740</v>
      </c>
      <c r="B601" s="6" t="s">
        <v>38</v>
      </c>
      <c r="C601" s="38" t="s">
        <v>1877</v>
      </c>
      <c r="D601" s="6" t="s">
        <v>15</v>
      </c>
      <c r="E601" s="29">
        <v>2493</v>
      </c>
      <c r="F601" s="29">
        <v>2112.1999999999998</v>
      </c>
      <c r="G601" s="16">
        <f t="shared" si="18"/>
        <v>380.80000000000018</v>
      </c>
      <c r="H601" s="9">
        <f t="shared" si="19"/>
        <v>0.18028595776915074</v>
      </c>
      <c r="I601" s="6" t="s">
        <v>23</v>
      </c>
    </row>
    <row r="602" spans="1:9" x14ac:dyDescent="0.25">
      <c r="A602" s="6" t="s">
        <v>1740</v>
      </c>
      <c r="B602" s="6" t="s">
        <v>38</v>
      </c>
      <c r="C602" s="38" t="s">
        <v>1878</v>
      </c>
      <c r="D602" s="6" t="s">
        <v>15</v>
      </c>
      <c r="E602" s="29">
        <v>2493</v>
      </c>
      <c r="F602" s="29">
        <v>2112.1999999999998</v>
      </c>
      <c r="G602" s="16">
        <f t="shared" si="18"/>
        <v>380.80000000000018</v>
      </c>
      <c r="H602" s="9">
        <f t="shared" si="19"/>
        <v>0.18028595776915074</v>
      </c>
      <c r="I602" s="6" t="s">
        <v>23</v>
      </c>
    </row>
    <row r="603" spans="1:9" x14ac:dyDescent="0.25">
      <c r="A603" s="6" t="s">
        <v>1740</v>
      </c>
      <c r="B603" s="6" t="s">
        <v>38</v>
      </c>
      <c r="C603" s="38" t="s">
        <v>1879</v>
      </c>
      <c r="D603" s="6" t="s">
        <v>15</v>
      </c>
      <c r="E603" s="29">
        <v>2493</v>
      </c>
      <c r="F603" s="29">
        <v>2112.1999999999998</v>
      </c>
      <c r="G603" s="16">
        <f t="shared" si="18"/>
        <v>380.80000000000018</v>
      </c>
      <c r="H603" s="9">
        <f t="shared" si="19"/>
        <v>0.18028595776915074</v>
      </c>
      <c r="I603" s="6" t="s">
        <v>23</v>
      </c>
    </row>
    <row r="604" spans="1:9" x14ac:dyDescent="0.25">
      <c r="A604" s="6" t="s">
        <v>1740</v>
      </c>
      <c r="B604" s="6" t="s">
        <v>38</v>
      </c>
      <c r="C604" s="38" t="s">
        <v>1880</v>
      </c>
      <c r="D604" s="6" t="s">
        <v>15</v>
      </c>
      <c r="E604" s="29">
        <v>2493</v>
      </c>
      <c r="F604" s="29">
        <v>2112.1999999999998</v>
      </c>
      <c r="G604" s="16">
        <f t="shared" si="18"/>
        <v>380.80000000000018</v>
      </c>
      <c r="H604" s="9">
        <f t="shared" si="19"/>
        <v>0.18028595776915074</v>
      </c>
      <c r="I604" s="6" t="s">
        <v>23</v>
      </c>
    </row>
    <row r="605" spans="1:9" x14ac:dyDescent="0.25">
      <c r="A605" s="6" t="s">
        <v>1740</v>
      </c>
      <c r="B605" s="6" t="s">
        <v>38</v>
      </c>
      <c r="C605" s="38" t="s">
        <v>1881</v>
      </c>
      <c r="D605" s="6" t="s">
        <v>15</v>
      </c>
      <c r="E605" s="29">
        <v>2493</v>
      </c>
      <c r="F605" s="29">
        <v>2225.8000000000002</v>
      </c>
      <c r="G605" s="16">
        <f t="shared" si="18"/>
        <v>267.19999999999982</v>
      </c>
      <c r="H605" s="9">
        <f t="shared" si="19"/>
        <v>0.12004672477311519</v>
      </c>
      <c r="I605" s="6" t="s">
        <v>23</v>
      </c>
    </row>
    <row r="606" spans="1:9" x14ac:dyDescent="0.25">
      <c r="A606" s="6" t="s">
        <v>1740</v>
      </c>
      <c r="B606" s="6" t="s">
        <v>38</v>
      </c>
      <c r="C606" s="38" t="s">
        <v>1882</v>
      </c>
      <c r="D606" s="6" t="s">
        <v>15</v>
      </c>
      <c r="E606" s="29">
        <v>2493</v>
      </c>
      <c r="F606" s="29">
        <v>2112.1999999999998</v>
      </c>
      <c r="G606" s="16">
        <f t="shared" si="18"/>
        <v>380.80000000000018</v>
      </c>
      <c r="H606" s="9">
        <f t="shared" si="19"/>
        <v>0.18028595776915074</v>
      </c>
      <c r="I606" s="6" t="s">
        <v>23</v>
      </c>
    </row>
    <row r="607" spans="1:9" x14ac:dyDescent="0.25">
      <c r="A607" s="6" t="s">
        <v>1740</v>
      </c>
      <c r="B607" s="6" t="s">
        <v>38</v>
      </c>
      <c r="C607" s="38" t="s">
        <v>1883</v>
      </c>
      <c r="D607" s="6" t="s">
        <v>15</v>
      </c>
      <c r="E607" s="29">
        <v>2493</v>
      </c>
      <c r="F607" s="29">
        <v>2112.1999999999998</v>
      </c>
      <c r="G607" s="16">
        <f t="shared" si="18"/>
        <v>380.80000000000018</v>
      </c>
      <c r="H607" s="9">
        <f t="shared" si="19"/>
        <v>0.18028595776915074</v>
      </c>
      <c r="I607" s="6" t="s">
        <v>23</v>
      </c>
    </row>
    <row r="608" spans="1:9" x14ac:dyDescent="0.25">
      <c r="A608" s="6" t="s">
        <v>1740</v>
      </c>
      <c r="B608" s="6" t="s">
        <v>38</v>
      </c>
      <c r="C608" s="38" t="s">
        <v>1884</v>
      </c>
      <c r="D608" s="6" t="s">
        <v>15</v>
      </c>
      <c r="E608" s="29">
        <v>2493</v>
      </c>
      <c r="F608" s="29">
        <v>2112.1999999999998</v>
      </c>
      <c r="G608" s="16">
        <f t="shared" si="18"/>
        <v>380.80000000000018</v>
      </c>
      <c r="H608" s="9">
        <f t="shared" si="19"/>
        <v>0.18028595776915074</v>
      </c>
      <c r="I608" s="6" t="s">
        <v>23</v>
      </c>
    </row>
    <row r="609" spans="1:9" x14ac:dyDescent="0.25">
      <c r="A609" s="6" t="s">
        <v>1740</v>
      </c>
      <c r="B609" s="6" t="s">
        <v>38</v>
      </c>
      <c r="C609" s="38" t="s">
        <v>1885</v>
      </c>
      <c r="D609" s="6" t="s">
        <v>15</v>
      </c>
      <c r="E609" s="29">
        <v>2493</v>
      </c>
      <c r="F609" s="29">
        <v>2112.1999999999998</v>
      </c>
      <c r="G609" s="16">
        <f t="shared" si="18"/>
        <v>380.80000000000018</v>
      </c>
      <c r="H609" s="9">
        <f t="shared" si="19"/>
        <v>0.18028595776915074</v>
      </c>
      <c r="I609" s="6" t="s">
        <v>23</v>
      </c>
    </row>
    <row r="610" spans="1:9" x14ac:dyDescent="0.25">
      <c r="A610" s="6" t="s">
        <v>1740</v>
      </c>
      <c r="B610" s="6" t="s">
        <v>38</v>
      </c>
      <c r="C610" s="38" t="s">
        <v>1886</v>
      </c>
      <c r="D610" s="6" t="s">
        <v>15</v>
      </c>
      <c r="E610" s="29">
        <v>2493</v>
      </c>
      <c r="F610" s="29">
        <v>2112.1999999999998</v>
      </c>
      <c r="G610" s="16">
        <f t="shared" si="18"/>
        <v>380.80000000000018</v>
      </c>
      <c r="H610" s="9">
        <f t="shared" si="19"/>
        <v>0.18028595776915074</v>
      </c>
      <c r="I610" s="6" t="s">
        <v>23</v>
      </c>
    </row>
    <row r="611" spans="1:9" x14ac:dyDescent="0.25">
      <c r="A611" s="6" t="s">
        <v>1740</v>
      </c>
      <c r="B611" s="6" t="s">
        <v>38</v>
      </c>
      <c r="C611" s="38" t="s">
        <v>1887</v>
      </c>
      <c r="D611" s="6" t="s">
        <v>15</v>
      </c>
      <c r="E611" s="29">
        <v>2493</v>
      </c>
      <c r="F611" s="29">
        <v>2112.1999999999998</v>
      </c>
      <c r="G611" s="16">
        <f t="shared" si="18"/>
        <v>380.80000000000018</v>
      </c>
      <c r="H611" s="9">
        <f t="shared" si="19"/>
        <v>0.18028595776915074</v>
      </c>
      <c r="I611" s="6" t="s">
        <v>23</v>
      </c>
    </row>
    <row r="612" spans="1:9" x14ac:dyDescent="0.25">
      <c r="A612" s="6" t="s">
        <v>1740</v>
      </c>
      <c r="B612" s="6" t="s">
        <v>38</v>
      </c>
      <c r="C612" s="38" t="s">
        <v>1888</v>
      </c>
      <c r="D612" s="6" t="s">
        <v>15</v>
      </c>
      <c r="E612" s="29">
        <v>2493</v>
      </c>
      <c r="F612" s="29">
        <v>2112.1999999999998</v>
      </c>
      <c r="G612" s="16">
        <f t="shared" si="18"/>
        <v>380.80000000000018</v>
      </c>
      <c r="H612" s="9">
        <f t="shared" si="19"/>
        <v>0.18028595776915074</v>
      </c>
      <c r="I612" s="6" t="s">
        <v>23</v>
      </c>
    </row>
    <row r="613" spans="1:9" x14ac:dyDescent="0.25">
      <c r="A613" s="6" t="s">
        <v>1740</v>
      </c>
      <c r="B613" s="6" t="s">
        <v>38</v>
      </c>
      <c r="C613" s="38" t="s">
        <v>1889</v>
      </c>
      <c r="D613" s="6" t="s">
        <v>15</v>
      </c>
      <c r="E613" s="29">
        <v>2493</v>
      </c>
      <c r="F613" s="29">
        <v>2112.1999999999998</v>
      </c>
      <c r="G613" s="16">
        <f t="shared" ref="G613:G665" si="20">E613-F613</f>
        <v>380.80000000000018</v>
      </c>
      <c r="H613" s="9">
        <f t="shared" ref="H613:H665" si="21">(E613-F613)/F613</f>
        <v>0.18028595776915074</v>
      </c>
      <c r="I613" s="6" t="s">
        <v>23</v>
      </c>
    </row>
    <row r="614" spans="1:9" x14ac:dyDescent="0.25">
      <c r="A614" s="6" t="s">
        <v>1740</v>
      </c>
      <c r="B614" s="6" t="s">
        <v>38</v>
      </c>
      <c r="C614" s="38" t="s">
        <v>1890</v>
      </c>
      <c r="D614" s="6" t="s">
        <v>15</v>
      </c>
      <c r="E614" s="29">
        <v>2493</v>
      </c>
      <c r="F614" s="29">
        <v>2112.1999999999998</v>
      </c>
      <c r="G614" s="16">
        <f t="shared" si="20"/>
        <v>380.80000000000018</v>
      </c>
      <c r="H614" s="9">
        <f t="shared" si="21"/>
        <v>0.18028595776915074</v>
      </c>
      <c r="I614" s="6" t="s">
        <v>23</v>
      </c>
    </row>
    <row r="615" spans="1:9" x14ac:dyDescent="0.25">
      <c r="A615" s="6" t="s">
        <v>1740</v>
      </c>
      <c r="B615" s="6" t="s">
        <v>38</v>
      </c>
      <c r="C615" s="38" t="s">
        <v>1891</v>
      </c>
      <c r="D615" s="6" t="s">
        <v>15</v>
      </c>
      <c r="E615" s="29">
        <v>2493</v>
      </c>
      <c r="F615" s="29">
        <v>2112.1999999999998</v>
      </c>
      <c r="G615" s="16">
        <f t="shared" si="20"/>
        <v>380.80000000000018</v>
      </c>
      <c r="H615" s="9">
        <f t="shared" si="21"/>
        <v>0.18028595776915074</v>
      </c>
      <c r="I615" s="6" t="s">
        <v>23</v>
      </c>
    </row>
    <row r="616" spans="1:9" x14ac:dyDescent="0.25">
      <c r="A616" s="6" t="s">
        <v>1740</v>
      </c>
      <c r="B616" s="6" t="s">
        <v>38</v>
      </c>
      <c r="C616" s="38" t="s">
        <v>1892</v>
      </c>
      <c r="D616" s="6" t="s">
        <v>15</v>
      </c>
      <c r="E616" s="29">
        <v>2493</v>
      </c>
      <c r="F616" s="29">
        <v>2112.1999999999998</v>
      </c>
      <c r="G616" s="16">
        <f t="shared" si="20"/>
        <v>380.80000000000018</v>
      </c>
      <c r="H616" s="9">
        <f t="shared" si="21"/>
        <v>0.18028595776915074</v>
      </c>
      <c r="I616" s="6" t="s">
        <v>23</v>
      </c>
    </row>
    <row r="617" spans="1:9" x14ac:dyDescent="0.25">
      <c r="A617" s="6" t="s">
        <v>1740</v>
      </c>
      <c r="B617" s="6" t="s">
        <v>38</v>
      </c>
      <c r="C617" s="38" t="s">
        <v>1893</v>
      </c>
      <c r="D617" s="6" t="s">
        <v>15</v>
      </c>
      <c r="E617" s="29">
        <v>2493</v>
      </c>
      <c r="F617" s="29">
        <v>2112.1999999999998</v>
      </c>
      <c r="G617" s="16">
        <f t="shared" si="20"/>
        <v>380.80000000000018</v>
      </c>
      <c r="H617" s="9">
        <f t="shared" si="21"/>
        <v>0.18028595776915074</v>
      </c>
      <c r="I617" s="6" t="s">
        <v>23</v>
      </c>
    </row>
    <row r="618" spans="1:9" x14ac:dyDescent="0.25">
      <c r="A618" s="6" t="s">
        <v>1740</v>
      </c>
      <c r="B618" s="6" t="s">
        <v>38</v>
      </c>
      <c r="C618" s="38" t="s">
        <v>1894</v>
      </c>
      <c r="D618" s="6" t="s">
        <v>15</v>
      </c>
      <c r="E618" s="29">
        <v>2493</v>
      </c>
      <c r="F618" s="29">
        <v>2112.1999999999998</v>
      </c>
      <c r="G618" s="16">
        <f t="shared" si="20"/>
        <v>380.80000000000018</v>
      </c>
      <c r="H618" s="9">
        <f t="shared" si="21"/>
        <v>0.18028595776915074</v>
      </c>
      <c r="I618" s="6" t="s">
        <v>23</v>
      </c>
    </row>
    <row r="619" spans="1:9" x14ac:dyDescent="0.25">
      <c r="A619" s="6" t="s">
        <v>1740</v>
      </c>
      <c r="B619" s="6" t="s">
        <v>38</v>
      </c>
      <c r="C619" s="38" t="s">
        <v>1895</v>
      </c>
      <c r="D619" s="6" t="s">
        <v>15</v>
      </c>
      <c r="E619" s="29">
        <v>2493</v>
      </c>
      <c r="F619" s="29">
        <v>2112.1999999999998</v>
      </c>
      <c r="G619" s="16">
        <f t="shared" si="20"/>
        <v>380.80000000000018</v>
      </c>
      <c r="H619" s="9">
        <f t="shared" si="21"/>
        <v>0.18028595776915074</v>
      </c>
      <c r="I619" s="6" t="s">
        <v>23</v>
      </c>
    </row>
    <row r="620" spans="1:9" x14ac:dyDescent="0.25">
      <c r="A620" s="6" t="s">
        <v>1740</v>
      </c>
      <c r="B620" s="6" t="s">
        <v>38</v>
      </c>
      <c r="C620" s="38" t="s">
        <v>1896</v>
      </c>
      <c r="D620" s="6" t="s">
        <v>15</v>
      </c>
      <c r="E620" s="29">
        <v>2493</v>
      </c>
      <c r="F620" s="29">
        <v>2112.1999999999998</v>
      </c>
      <c r="G620" s="16">
        <f t="shared" si="20"/>
        <v>380.80000000000018</v>
      </c>
      <c r="H620" s="9">
        <f t="shared" si="21"/>
        <v>0.18028595776915074</v>
      </c>
      <c r="I620" s="6" t="s">
        <v>23</v>
      </c>
    </row>
    <row r="621" spans="1:9" x14ac:dyDescent="0.25">
      <c r="A621" s="6" t="s">
        <v>1740</v>
      </c>
      <c r="B621" s="6" t="s">
        <v>38</v>
      </c>
      <c r="C621" s="38" t="s">
        <v>1897</v>
      </c>
      <c r="D621" s="6" t="s">
        <v>15</v>
      </c>
      <c r="E621" s="29">
        <v>2493</v>
      </c>
      <c r="F621" s="29">
        <v>2112.1999999999998</v>
      </c>
      <c r="G621" s="16">
        <f t="shared" si="20"/>
        <v>380.80000000000018</v>
      </c>
      <c r="H621" s="9">
        <f t="shared" si="21"/>
        <v>0.18028595776915074</v>
      </c>
      <c r="I621" s="6" t="s">
        <v>23</v>
      </c>
    </row>
    <row r="622" spans="1:9" x14ac:dyDescent="0.25">
      <c r="A622" s="6" t="s">
        <v>1740</v>
      </c>
      <c r="B622" s="6" t="s">
        <v>38</v>
      </c>
      <c r="C622" s="38" t="s">
        <v>1898</v>
      </c>
      <c r="D622" s="6" t="s">
        <v>15</v>
      </c>
      <c r="E622" s="29">
        <v>2493</v>
      </c>
      <c r="F622" s="29">
        <v>2112.1999999999998</v>
      </c>
      <c r="G622" s="16">
        <f t="shared" si="20"/>
        <v>380.80000000000018</v>
      </c>
      <c r="H622" s="9">
        <f t="shared" si="21"/>
        <v>0.18028595776915074</v>
      </c>
      <c r="I622" s="6" t="s">
        <v>23</v>
      </c>
    </row>
    <row r="623" spans="1:9" x14ac:dyDescent="0.25">
      <c r="A623" s="6" t="s">
        <v>1740</v>
      </c>
      <c r="B623" s="6" t="s">
        <v>38</v>
      </c>
      <c r="C623" s="38" t="s">
        <v>1899</v>
      </c>
      <c r="D623" s="6" t="s">
        <v>15</v>
      </c>
      <c r="E623" s="29">
        <v>2493</v>
      </c>
      <c r="F623" s="29">
        <v>2225.8000000000002</v>
      </c>
      <c r="G623" s="16">
        <f t="shared" si="20"/>
        <v>267.19999999999982</v>
      </c>
      <c r="H623" s="9">
        <f t="shared" si="21"/>
        <v>0.12004672477311519</v>
      </c>
      <c r="I623" s="6" t="s">
        <v>23</v>
      </c>
    </row>
    <row r="624" spans="1:9" x14ac:dyDescent="0.25">
      <c r="A624" s="6" t="s">
        <v>1740</v>
      </c>
      <c r="B624" s="6" t="s">
        <v>38</v>
      </c>
      <c r="C624" s="38" t="s">
        <v>1900</v>
      </c>
      <c r="D624" s="6" t="s">
        <v>15</v>
      </c>
      <c r="E624" s="29">
        <v>2493</v>
      </c>
      <c r="F624" s="29">
        <v>2112.1999999999998</v>
      </c>
      <c r="G624" s="16">
        <f t="shared" si="20"/>
        <v>380.80000000000018</v>
      </c>
      <c r="H624" s="9">
        <f t="shared" si="21"/>
        <v>0.18028595776915074</v>
      </c>
      <c r="I624" s="6" t="s">
        <v>23</v>
      </c>
    </row>
    <row r="625" spans="1:9" x14ac:dyDescent="0.25">
      <c r="A625" s="6" t="s">
        <v>1740</v>
      </c>
      <c r="B625" s="6" t="s">
        <v>38</v>
      </c>
      <c r="C625" s="38" t="s">
        <v>1901</v>
      </c>
      <c r="D625" s="6" t="s">
        <v>15</v>
      </c>
      <c r="E625" s="29">
        <v>2493</v>
      </c>
      <c r="F625" s="29">
        <v>2112.1999999999998</v>
      </c>
      <c r="G625" s="16">
        <f t="shared" si="20"/>
        <v>380.80000000000018</v>
      </c>
      <c r="H625" s="9">
        <f t="shared" si="21"/>
        <v>0.18028595776915074</v>
      </c>
      <c r="I625" s="6" t="s">
        <v>23</v>
      </c>
    </row>
    <row r="626" spans="1:9" x14ac:dyDescent="0.25">
      <c r="A626" s="6" t="s">
        <v>1902</v>
      </c>
      <c r="B626" s="6" t="s">
        <v>33</v>
      </c>
      <c r="C626" s="38">
        <v>357586343452733</v>
      </c>
      <c r="D626" s="6" t="s">
        <v>1904</v>
      </c>
      <c r="E626" s="29">
        <v>3300</v>
      </c>
      <c r="F626" s="29">
        <v>3015.6</v>
      </c>
      <c r="G626" s="16">
        <f t="shared" si="20"/>
        <v>284.40000000000009</v>
      </c>
      <c r="H626" s="9">
        <f t="shared" si="21"/>
        <v>9.4309590131317178E-2</v>
      </c>
      <c r="I626" s="6" t="s">
        <v>23</v>
      </c>
    </row>
    <row r="627" spans="1:9" x14ac:dyDescent="0.25">
      <c r="A627" s="6" t="s">
        <v>1902</v>
      </c>
      <c r="B627" s="6" t="s">
        <v>33</v>
      </c>
      <c r="C627" s="38">
        <v>358419945377059</v>
      </c>
      <c r="D627" s="6" t="s">
        <v>15</v>
      </c>
      <c r="E627" s="29">
        <v>3200</v>
      </c>
      <c r="F627" s="29">
        <v>3020</v>
      </c>
      <c r="G627" s="16">
        <f t="shared" si="20"/>
        <v>180</v>
      </c>
      <c r="H627" s="9">
        <f t="shared" si="21"/>
        <v>5.9602649006622516E-2</v>
      </c>
      <c r="I627" s="6" t="s">
        <v>23</v>
      </c>
    </row>
    <row r="628" spans="1:9" x14ac:dyDescent="0.25">
      <c r="A628" s="6" t="s">
        <v>1902</v>
      </c>
      <c r="B628" s="6" t="s">
        <v>33</v>
      </c>
      <c r="C628" s="38">
        <v>359802897630881</v>
      </c>
      <c r="D628" s="6" t="s">
        <v>1904</v>
      </c>
      <c r="E628" s="29">
        <v>3300</v>
      </c>
      <c r="F628" s="29">
        <v>3015.6</v>
      </c>
      <c r="G628" s="16">
        <f t="shared" si="20"/>
        <v>284.40000000000009</v>
      </c>
      <c r="H628" s="9">
        <f t="shared" si="21"/>
        <v>9.4309590131317178E-2</v>
      </c>
      <c r="I628" s="6" t="s">
        <v>23</v>
      </c>
    </row>
    <row r="629" spans="1:9" x14ac:dyDescent="0.25">
      <c r="A629" s="6" t="s">
        <v>1902</v>
      </c>
      <c r="B629" s="6" t="s">
        <v>33</v>
      </c>
      <c r="C629" s="38">
        <v>359912588398365</v>
      </c>
      <c r="D629" s="6" t="s">
        <v>1904</v>
      </c>
      <c r="E629" s="29">
        <v>3300</v>
      </c>
      <c r="F629" s="29">
        <v>3015.6</v>
      </c>
      <c r="G629" s="16">
        <f t="shared" si="20"/>
        <v>284.40000000000009</v>
      </c>
      <c r="H629" s="9">
        <f t="shared" si="21"/>
        <v>9.4309590131317178E-2</v>
      </c>
      <c r="I629" s="6" t="s">
        <v>23</v>
      </c>
    </row>
    <row r="630" spans="1:9" x14ac:dyDescent="0.25">
      <c r="A630" s="6" t="s">
        <v>1908</v>
      </c>
      <c r="B630" s="6" t="s">
        <v>33</v>
      </c>
      <c r="C630" s="38">
        <v>353497852298786</v>
      </c>
      <c r="D630" s="6" t="s">
        <v>15</v>
      </c>
      <c r="E630" s="29">
        <v>3470</v>
      </c>
      <c r="F630" s="29">
        <v>3338.7</v>
      </c>
      <c r="G630" s="16">
        <f t="shared" si="20"/>
        <v>131.30000000000018</v>
      </c>
      <c r="H630" s="9">
        <f t="shared" si="21"/>
        <v>3.9326684038697754E-2</v>
      </c>
      <c r="I630" s="6" t="s">
        <v>23</v>
      </c>
    </row>
    <row r="631" spans="1:9" x14ac:dyDescent="0.25">
      <c r="A631" s="6" t="s">
        <v>1908</v>
      </c>
      <c r="B631" s="6" t="s">
        <v>33</v>
      </c>
      <c r="C631" s="38">
        <v>355224259994231</v>
      </c>
      <c r="D631" s="6" t="s">
        <v>15</v>
      </c>
      <c r="E631" s="29">
        <v>3470</v>
      </c>
      <c r="F631" s="29">
        <v>3338.7</v>
      </c>
      <c r="G631" s="16">
        <f t="shared" si="20"/>
        <v>131.30000000000018</v>
      </c>
      <c r="H631" s="9">
        <f t="shared" si="21"/>
        <v>3.9326684038697754E-2</v>
      </c>
      <c r="I631" s="6" t="s">
        <v>23</v>
      </c>
    </row>
    <row r="632" spans="1:9" x14ac:dyDescent="0.25">
      <c r="A632" s="26" t="s">
        <v>1908</v>
      </c>
      <c r="B632" s="26" t="s">
        <v>33</v>
      </c>
      <c r="C632" s="37">
        <v>355246658984901</v>
      </c>
      <c r="D632" s="26" t="s">
        <v>15</v>
      </c>
      <c r="E632" s="27">
        <v>3470</v>
      </c>
      <c r="F632" s="27">
        <v>4272.1000000000004</v>
      </c>
      <c r="G632" s="26">
        <f t="shared" si="20"/>
        <v>-802.10000000000036</v>
      </c>
      <c r="H632" s="28">
        <f t="shared" si="21"/>
        <v>-0.18775309566723633</v>
      </c>
      <c r="I632" s="26" t="s">
        <v>23</v>
      </c>
    </row>
    <row r="633" spans="1:9" x14ac:dyDescent="0.25">
      <c r="A633" s="6" t="s">
        <v>1908</v>
      </c>
      <c r="B633" s="6" t="s">
        <v>33</v>
      </c>
      <c r="C633" s="38">
        <v>356392240101569</v>
      </c>
      <c r="D633" s="6" t="s">
        <v>15</v>
      </c>
      <c r="E633" s="29">
        <v>3470</v>
      </c>
      <c r="F633" s="29">
        <v>3338.7</v>
      </c>
      <c r="G633" s="16">
        <f t="shared" si="20"/>
        <v>131.30000000000018</v>
      </c>
      <c r="H633" s="9">
        <f t="shared" si="21"/>
        <v>3.9326684038697754E-2</v>
      </c>
      <c r="I633" s="6" t="s">
        <v>23</v>
      </c>
    </row>
    <row r="634" spans="1:9" x14ac:dyDescent="0.25">
      <c r="A634" s="6" t="s">
        <v>1908</v>
      </c>
      <c r="B634" s="6" t="s">
        <v>33</v>
      </c>
      <c r="C634" s="38">
        <v>357329444749586</v>
      </c>
      <c r="D634" s="6" t="s">
        <v>15</v>
      </c>
      <c r="E634" s="29">
        <v>3470</v>
      </c>
      <c r="F634" s="29">
        <v>3338.7</v>
      </c>
      <c r="G634" s="16">
        <f t="shared" si="20"/>
        <v>131.30000000000018</v>
      </c>
      <c r="H634" s="9">
        <f t="shared" si="21"/>
        <v>3.9326684038697754E-2</v>
      </c>
      <c r="I634" s="6" t="s">
        <v>23</v>
      </c>
    </row>
    <row r="635" spans="1:9" x14ac:dyDescent="0.25">
      <c r="A635" s="6" t="s">
        <v>1908</v>
      </c>
      <c r="B635" s="6" t="s">
        <v>33</v>
      </c>
      <c r="C635" s="38">
        <v>358206130059489</v>
      </c>
      <c r="D635" s="6" t="s">
        <v>15</v>
      </c>
      <c r="E635" s="29">
        <v>3470</v>
      </c>
      <c r="F635" s="29">
        <v>3338.7</v>
      </c>
      <c r="G635" s="16">
        <f t="shared" si="20"/>
        <v>131.30000000000018</v>
      </c>
      <c r="H635" s="9">
        <f t="shared" si="21"/>
        <v>3.9326684038697754E-2</v>
      </c>
      <c r="I635" s="6" t="s">
        <v>23</v>
      </c>
    </row>
    <row r="636" spans="1:9" x14ac:dyDescent="0.25">
      <c r="A636" s="6" t="s">
        <v>1908</v>
      </c>
      <c r="B636" s="6" t="s">
        <v>33</v>
      </c>
      <c r="C636" s="38">
        <v>358206130422398</v>
      </c>
      <c r="D636" s="6" t="s">
        <v>15</v>
      </c>
      <c r="E636" s="29">
        <v>3470</v>
      </c>
      <c r="F636" s="29">
        <v>3338.7</v>
      </c>
      <c r="G636" s="16">
        <f t="shared" si="20"/>
        <v>131.30000000000018</v>
      </c>
      <c r="H636" s="9">
        <f t="shared" si="21"/>
        <v>3.9326684038697754E-2</v>
      </c>
      <c r="I636" s="6" t="s">
        <v>23</v>
      </c>
    </row>
    <row r="637" spans="1:9" x14ac:dyDescent="0.25">
      <c r="A637" s="6" t="s">
        <v>1908</v>
      </c>
      <c r="B637" s="6" t="s">
        <v>33</v>
      </c>
      <c r="C637" s="38">
        <v>358206130581136</v>
      </c>
      <c r="D637" s="6" t="s">
        <v>15</v>
      </c>
      <c r="E637" s="29">
        <v>3480</v>
      </c>
      <c r="F637" s="29">
        <v>3338.7</v>
      </c>
      <c r="G637" s="16">
        <f t="shared" si="20"/>
        <v>141.30000000000018</v>
      </c>
      <c r="H637" s="9">
        <f t="shared" si="21"/>
        <v>4.2321861802498036E-2</v>
      </c>
      <c r="I637" s="6" t="s">
        <v>23</v>
      </c>
    </row>
    <row r="638" spans="1:9" x14ac:dyDescent="0.25">
      <c r="A638" s="6" t="s">
        <v>1908</v>
      </c>
      <c r="B638" s="6" t="s">
        <v>33</v>
      </c>
      <c r="C638" s="38">
        <v>358206135017094</v>
      </c>
      <c r="D638" s="6" t="s">
        <v>15</v>
      </c>
      <c r="E638" s="29">
        <v>3700</v>
      </c>
      <c r="F638" s="29">
        <v>3446.4</v>
      </c>
      <c r="G638" s="16">
        <f t="shared" si="20"/>
        <v>253.59999999999991</v>
      </c>
      <c r="H638" s="9">
        <f t="shared" si="21"/>
        <v>7.3584029712163393E-2</v>
      </c>
      <c r="I638" s="6" t="s">
        <v>23</v>
      </c>
    </row>
    <row r="639" spans="1:9" x14ac:dyDescent="0.25">
      <c r="A639" s="6" t="s">
        <v>1908</v>
      </c>
      <c r="B639" s="6" t="s">
        <v>33</v>
      </c>
      <c r="C639" s="38">
        <v>358902514424857</v>
      </c>
      <c r="D639" s="6" t="s">
        <v>15</v>
      </c>
      <c r="E639" s="29">
        <v>3470</v>
      </c>
      <c r="F639" s="29">
        <v>3338.7</v>
      </c>
      <c r="G639" s="16">
        <f t="shared" si="20"/>
        <v>131.30000000000018</v>
      </c>
      <c r="H639" s="9">
        <f t="shared" si="21"/>
        <v>3.9326684038697754E-2</v>
      </c>
      <c r="I639" s="6" t="s">
        <v>23</v>
      </c>
    </row>
    <row r="640" spans="1:9" x14ac:dyDescent="0.25">
      <c r="A640" s="6" t="s">
        <v>1908</v>
      </c>
      <c r="B640" s="6" t="s">
        <v>1919</v>
      </c>
      <c r="C640" s="38" t="s">
        <v>1920</v>
      </c>
      <c r="D640" s="6" t="s">
        <v>15</v>
      </c>
      <c r="E640" s="29">
        <v>3780</v>
      </c>
      <c r="F640" s="29">
        <v>3410.5</v>
      </c>
      <c r="G640" s="16">
        <f t="shared" si="20"/>
        <v>369.5</v>
      </c>
      <c r="H640" s="9">
        <f t="shared" si="21"/>
        <v>0.10834188535405366</v>
      </c>
      <c r="I640" s="6" t="s">
        <v>23</v>
      </c>
    </row>
    <row r="641" spans="1:9" x14ac:dyDescent="0.25">
      <c r="A641" s="6" t="s">
        <v>1908</v>
      </c>
      <c r="B641" s="6" t="s">
        <v>1921</v>
      </c>
      <c r="C641" s="38" t="s">
        <v>1922</v>
      </c>
      <c r="D641" s="6" t="s">
        <v>15</v>
      </c>
      <c r="E641" s="29">
        <v>4500</v>
      </c>
      <c r="F641" s="29">
        <v>4056.7</v>
      </c>
      <c r="G641" s="16">
        <f t="shared" si="20"/>
        <v>443.30000000000018</v>
      </c>
      <c r="H641" s="9">
        <f t="shared" si="21"/>
        <v>0.10927601252249371</v>
      </c>
      <c r="I641" s="6" t="s">
        <v>23</v>
      </c>
    </row>
    <row r="642" spans="1:9" x14ac:dyDescent="0.25">
      <c r="A642" s="6" t="s">
        <v>1908</v>
      </c>
      <c r="B642" s="6" t="s">
        <v>1923</v>
      </c>
      <c r="C642" s="38" t="s">
        <v>1924</v>
      </c>
      <c r="D642" s="6" t="s">
        <v>15</v>
      </c>
      <c r="E642" s="29">
        <v>6600</v>
      </c>
      <c r="F642" s="29">
        <v>5871.2</v>
      </c>
      <c r="G642" s="16">
        <f t="shared" si="20"/>
        <v>728.80000000000018</v>
      </c>
      <c r="H642" s="9">
        <f t="shared" si="21"/>
        <v>0.12413135304537407</v>
      </c>
      <c r="I642" s="6" t="s">
        <v>23</v>
      </c>
    </row>
    <row r="643" spans="1:9" x14ac:dyDescent="0.25">
      <c r="A643" s="6" t="s">
        <v>1908</v>
      </c>
      <c r="B643" s="6" t="s">
        <v>1925</v>
      </c>
      <c r="C643" s="38" t="s">
        <v>1926</v>
      </c>
      <c r="D643" s="6" t="s">
        <v>15</v>
      </c>
      <c r="E643" s="29">
        <v>5800</v>
      </c>
      <c r="F643" s="29">
        <v>5580</v>
      </c>
      <c r="G643" s="16">
        <f t="shared" si="20"/>
        <v>220</v>
      </c>
      <c r="H643" s="9">
        <f t="shared" si="21"/>
        <v>3.9426523297491037E-2</v>
      </c>
      <c r="I643" s="6" t="s">
        <v>23</v>
      </c>
    </row>
    <row r="644" spans="1:9" x14ac:dyDescent="0.25">
      <c r="A644" s="26" t="s">
        <v>1927</v>
      </c>
      <c r="B644" s="26" t="s">
        <v>1650</v>
      </c>
      <c r="C644" s="37" t="s">
        <v>1928</v>
      </c>
      <c r="D644" s="26" t="s">
        <v>15</v>
      </c>
      <c r="E644" s="27">
        <v>520</v>
      </c>
      <c r="F644" s="27">
        <v>538.5</v>
      </c>
      <c r="G644" s="26">
        <f t="shared" si="20"/>
        <v>-18.5</v>
      </c>
      <c r="H644" s="28">
        <f t="shared" si="21"/>
        <v>-3.4354688950789226E-2</v>
      </c>
      <c r="I644" s="26" t="s">
        <v>23</v>
      </c>
    </row>
    <row r="645" spans="1:9" x14ac:dyDescent="0.25">
      <c r="A645" s="26" t="s">
        <v>1927</v>
      </c>
      <c r="B645" s="26" t="s">
        <v>1650</v>
      </c>
      <c r="C645" s="37" t="s">
        <v>1929</v>
      </c>
      <c r="D645" s="26" t="s">
        <v>15</v>
      </c>
      <c r="E645" s="27">
        <v>520</v>
      </c>
      <c r="F645" s="27">
        <v>538.5</v>
      </c>
      <c r="G645" s="26">
        <f t="shared" si="20"/>
        <v>-18.5</v>
      </c>
      <c r="H645" s="28">
        <f t="shared" si="21"/>
        <v>-3.4354688950789226E-2</v>
      </c>
      <c r="I645" s="26" t="s">
        <v>23</v>
      </c>
    </row>
    <row r="646" spans="1:9" x14ac:dyDescent="0.25">
      <c r="A646" s="6" t="s">
        <v>1927</v>
      </c>
      <c r="B646" s="6" t="s">
        <v>1147</v>
      </c>
      <c r="C646" s="38">
        <v>357550240240252</v>
      </c>
      <c r="D646" s="6" t="s">
        <v>15</v>
      </c>
      <c r="E646" s="29">
        <v>850</v>
      </c>
      <c r="F646" s="29">
        <v>749.7</v>
      </c>
      <c r="G646" s="16">
        <f t="shared" si="20"/>
        <v>100.29999999999995</v>
      </c>
      <c r="H646" s="9">
        <f t="shared" si="21"/>
        <v>0.1337868480725623</v>
      </c>
      <c r="I646" s="6" t="s">
        <v>23</v>
      </c>
    </row>
    <row r="647" spans="1:9" x14ac:dyDescent="0.25">
      <c r="A647" s="6" t="s">
        <v>1927</v>
      </c>
      <c r="B647" s="6" t="s">
        <v>1147</v>
      </c>
      <c r="C647" s="38" t="s">
        <v>1931</v>
      </c>
      <c r="D647" s="6" t="s">
        <v>15</v>
      </c>
      <c r="E647" s="29">
        <v>840</v>
      </c>
      <c r="F647" s="29">
        <v>753.9</v>
      </c>
      <c r="G647" s="16">
        <f t="shared" si="20"/>
        <v>86.100000000000023</v>
      </c>
      <c r="H647" s="9">
        <f t="shared" si="21"/>
        <v>0.11420612813370477</v>
      </c>
      <c r="I647" s="6" t="s">
        <v>23</v>
      </c>
    </row>
    <row r="648" spans="1:9" x14ac:dyDescent="0.25">
      <c r="A648" s="6" t="s">
        <v>1927</v>
      </c>
      <c r="B648" s="6" t="s">
        <v>1147</v>
      </c>
      <c r="C648" s="38" t="s">
        <v>1932</v>
      </c>
      <c r="D648" s="6" t="s">
        <v>15</v>
      </c>
      <c r="E648" s="29">
        <v>840</v>
      </c>
      <c r="F648" s="29">
        <v>753.9</v>
      </c>
      <c r="G648" s="16">
        <f t="shared" si="20"/>
        <v>86.100000000000023</v>
      </c>
      <c r="H648" s="9">
        <f t="shared" si="21"/>
        <v>0.11420612813370477</v>
      </c>
      <c r="I648" s="6" t="s">
        <v>23</v>
      </c>
    </row>
    <row r="649" spans="1:9" x14ac:dyDescent="0.25">
      <c r="A649" s="6" t="s">
        <v>1927</v>
      </c>
      <c r="B649" s="6" t="s">
        <v>1147</v>
      </c>
      <c r="C649" s="38" t="s">
        <v>1933</v>
      </c>
      <c r="D649" s="6" t="s">
        <v>15</v>
      </c>
      <c r="E649" s="29">
        <v>840</v>
      </c>
      <c r="F649" s="29">
        <v>753.9</v>
      </c>
      <c r="G649" s="16">
        <f t="shared" si="20"/>
        <v>86.100000000000023</v>
      </c>
      <c r="H649" s="9">
        <f t="shared" si="21"/>
        <v>0.11420612813370477</v>
      </c>
      <c r="I649" s="6" t="s">
        <v>23</v>
      </c>
    </row>
    <row r="650" spans="1:9" x14ac:dyDescent="0.25">
      <c r="A650" s="6" t="s">
        <v>1927</v>
      </c>
      <c r="B650" s="6" t="s">
        <v>1147</v>
      </c>
      <c r="C650" s="38" t="s">
        <v>1934</v>
      </c>
      <c r="D650" s="6" t="s">
        <v>15</v>
      </c>
      <c r="E650" s="29">
        <v>840</v>
      </c>
      <c r="F650" s="29">
        <v>753.9</v>
      </c>
      <c r="G650" s="16">
        <f t="shared" si="20"/>
        <v>86.100000000000023</v>
      </c>
      <c r="H650" s="9">
        <f t="shared" si="21"/>
        <v>0.11420612813370477</v>
      </c>
      <c r="I650" s="6" t="s">
        <v>23</v>
      </c>
    </row>
    <row r="651" spans="1:9" x14ac:dyDescent="0.25">
      <c r="A651" s="6" t="s">
        <v>1927</v>
      </c>
      <c r="B651" s="6" t="s">
        <v>626</v>
      </c>
      <c r="C651" s="38" t="s">
        <v>1935</v>
      </c>
      <c r="D651" s="6" t="s">
        <v>15</v>
      </c>
      <c r="E651" s="29">
        <v>1080</v>
      </c>
      <c r="F651" s="29">
        <v>1077</v>
      </c>
      <c r="G651" s="16">
        <f t="shared" si="20"/>
        <v>3</v>
      </c>
      <c r="H651" s="9">
        <f t="shared" si="21"/>
        <v>2.7855153203342618E-3</v>
      </c>
      <c r="I651" s="6" t="s">
        <v>23</v>
      </c>
    </row>
    <row r="652" spans="1:9" x14ac:dyDescent="0.25">
      <c r="A652" s="6" t="s">
        <v>1927</v>
      </c>
      <c r="B652" s="6" t="s">
        <v>626</v>
      </c>
      <c r="C652" s="38" t="s">
        <v>1936</v>
      </c>
      <c r="D652" s="6" t="s">
        <v>15</v>
      </c>
      <c r="E652" s="29">
        <v>1080</v>
      </c>
      <c r="F652" s="29">
        <v>1077</v>
      </c>
      <c r="G652" s="16">
        <f t="shared" si="20"/>
        <v>3</v>
      </c>
      <c r="H652" s="9">
        <f t="shared" si="21"/>
        <v>2.7855153203342618E-3</v>
      </c>
      <c r="I652" s="6" t="s">
        <v>23</v>
      </c>
    </row>
    <row r="653" spans="1:9" x14ac:dyDescent="0.25">
      <c r="A653" s="6" t="s">
        <v>1927</v>
      </c>
      <c r="B653" s="6" t="s">
        <v>626</v>
      </c>
      <c r="C653" s="38" t="s">
        <v>1937</v>
      </c>
      <c r="D653" s="6" t="s">
        <v>15</v>
      </c>
      <c r="E653" s="29">
        <v>1080</v>
      </c>
      <c r="F653" s="29">
        <v>1077</v>
      </c>
      <c r="G653" s="16">
        <f t="shared" si="20"/>
        <v>3</v>
      </c>
      <c r="H653" s="9">
        <f t="shared" si="21"/>
        <v>2.7855153203342618E-3</v>
      </c>
      <c r="I653" s="6" t="s">
        <v>23</v>
      </c>
    </row>
    <row r="654" spans="1:9" x14ac:dyDescent="0.25">
      <c r="A654" s="6" t="s">
        <v>1927</v>
      </c>
      <c r="B654" s="6" t="s">
        <v>626</v>
      </c>
      <c r="C654" s="38" t="s">
        <v>1938</v>
      </c>
      <c r="D654" s="6" t="s">
        <v>15</v>
      </c>
      <c r="E654" s="29">
        <v>1080</v>
      </c>
      <c r="F654" s="29">
        <v>1077</v>
      </c>
      <c r="G654" s="16">
        <f t="shared" si="20"/>
        <v>3</v>
      </c>
      <c r="H654" s="9">
        <f t="shared" si="21"/>
        <v>2.7855153203342618E-3</v>
      </c>
      <c r="I654" s="6" t="s">
        <v>23</v>
      </c>
    </row>
    <row r="655" spans="1:9" x14ac:dyDescent="0.25">
      <c r="A655" s="6" t="s">
        <v>1927</v>
      </c>
      <c r="B655" s="6" t="s">
        <v>43</v>
      </c>
      <c r="C655" s="38">
        <v>353938645034004</v>
      </c>
      <c r="D655" s="6" t="s">
        <v>1157</v>
      </c>
      <c r="E655" s="29">
        <v>2480</v>
      </c>
      <c r="F655" s="29">
        <v>2405.3000000000002</v>
      </c>
      <c r="G655" s="16">
        <f t="shared" si="20"/>
        <v>74.699999999999818</v>
      </c>
      <c r="H655" s="9">
        <f t="shared" si="21"/>
        <v>3.1056417078950571E-2</v>
      </c>
      <c r="I655" s="6" t="s">
        <v>23</v>
      </c>
    </row>
    <row r="656" spans="1:9" x14ac:dyDescent="0.25">
      <c r="A656" s="6" t="s">
        <v>1927</v>
      </c>
      <c r="B656" s="6" t="s">
        <v>43</v>
      </c>
      <c r="C656" s="38">
        <v>358135794184319</v>
      </c>
      <c r="D656" s="6" t="s">
        <v>1157</v>
      </c>
      <c r="E656" s="29">
        <v>2480</v>
      </c>
      <c r="F656" s="29">
        <v>2405.3000000000002</v>
      </c>
      <c r="G656" s="16">
        <f t="shared" si="20"/>
        <v>74.699999999999818</v>
      </c>
      <c r="H656" s="9">
        <f t="shared" si="21"/>
        <v>3.1056417078950571E-2</v>
      </c>
      <c r="I656" s="6" t="s">
        <v>23</v>
      </c>
    </row>
    <row r="657" spans="1:9" x14ac:dyDescent="0.25">
      <c r="A657" s="6" t="s">
        <v>1927</v>
      </c>
      <c r="B657" s="6" t="s">
        <v>206</v>
      </c>
      <c r="C657" s="38">
        <v>351605724552337</v>
      </c>
      <c r="D657" s="6" t="s">
        <v>644</v>
      </c>
      <c r="E657" s="29">
        <v>3075</v>
      </c>
      <c r="F657" s="29">
        <v>2872</v>
      </c>
      <c r="G657" s="16">
        <f t="shared" si="20"/>
        <v>203</v>
      </c>
      <c r="H657" s="9">
        <f t="shared" si="21"/>
        <v>7.0682451253481896E-2</v>
      </c>
      <c r="I657" s="6" t="s">
        <v>23</v>
      </c>
    </row>
    <row r="658" spans="1:9" x14ac:dyDescent="0.25">
      <c r="A658" s="6" t="s">
        <v>1927</v>
      </c>
      <c r="B658" s="6" t="s">
        <v>206</v>
      </c>
      <c r="C658" s="38">
        <v>357247594025773</v>
      </c>
      <c r="D658" s="6" t="s">
        <v>644</v>
      </c>
      <c r="E658" s="29">
        <v>3075</v>
      </c>
      <c r="F658" s="29">
        <v>2872</v>
      </c>
      <c r="G658" s="16">
        <f t="shared" si="20"/>
        <v>203</v>
      </c>
      <c r="H658" s="9">
        <f t="shared" si="21"/>
        <v>7.0682451253481896E-2</v>
      </c>
      <c r="I658" s="6" t="s">
        <v>23</v>
      </c>
    </row>
    <row r="659" spans="1:9" x14ac:dyDescent="0.25">
      <c r="A659" s="6" t="s">
        <v>1927</v>
      </c>
      <c r="B659" s="6" t="s">
        <v>206</v>
      </c>
      <c r="C659" s="38">
        <v>358302111948095</v>
      </c>
      <c r="D659" s="6" t="s">
        <v>644</v>
      </c>
      <c r="E659" s="29">
        <v>3075</v>
      </c>
      <c r="F659" s="29">
        <v>2872</v>
      </c>
      <c r="G659" s="16">
        <f t="shared" si="20"/>
        <v>203</v>
      </c>
      <c r="H659" s="9">
        <f t="shared" si="21"/>
        <v>7.0682451253481896E-2</v>
      </c>
      <c r="I659" s="6" t="s">
        <v>23</v>
      </c>
    </row>
    <row r="660" spans="1:9" x14ac:dyDescent="0.25">
      <c r="A660" s="6" t="s">
        <v>1927</v>
      </c>
      <c r="B660" s="6" t="s">
        <v>33</v>
      </c>
      <c r="C660" s="38">
        <v>350889861722264</v>
      </c>
      <c r="D660" s="6" t="s">
        <v>644</v>
      </c>
      <c r="E660" s="29">
        <v>4430</v>
      </c>
      <c r="F660" s="29">
        <v>4272.1000000000004</v>
      </c>
      <c r="G660" s="16">
        <f t="shared" si="20"/>
        <v>157.89999999999964</v>
      </c>
      <c r="H660" s="9">
        <f t="shared" si="21"/>
        <v>3.696074530090579E-2</v>
      </c>
      <c r="I660" s="6" t="s">
        <v>23</v>
      </c>
    </row>
    <row r="661" spans="1:9" x14ac:dyDescent="0.25">
      <c r="A661" s="6" t="s">
        <v>1927</v>
      </c>
      <c r="B661" s="6" t="s">
        <v>33</v>
      </c>
      <c r="C661" s="38">
        <v>357586340580619</v>
      </c>
      <c r="D661" s="6" t="s">
        <v>644</v>
      </c>
      <c r="E661" s="29">
        <v>4430</v>
      </c>
      <c r="F661" s="29">
        <v>4272.1000000000004</v>
      </c>
      <c r="G661" s="16">
        <f t="shared" si="20"/>
        <v>157.89999999999964</v>
      </c>
      <c r="H661" s="9">
        <f t="shared" si="21"/>
        <v>3.696074530090579E-2</v>
      </c>
      <c r="I661" s="6" t="s">
        <v>23</v>
      </c>
    </row>
    <row r="662" spans="1:9" x14ac:dyDescent="0.25">
      <c r="A662" s="6" t="s">
        <v>1927</v>
      </c>
      <c r="B662" s="6" t="s">
        <v>33</v>
      </c>
      <c r="C662" s="38">
        <v>357586340850814</v>
      </c>
      <c r="D662" s="6" t="s">
        <v>644</v>
      </c>
      <c r="E662" s="29">
        <v>4430</v>
      </c>
      <c r="F662" s="29">
        <v>4272.1000000000004</v>
      </c>
      <c r="G662" s="16">
        <f t="shared" si="20"/>
        <v>157.89999999999964</v>
      </c>
      <c r="H662" s="9">
        <f t="shared" si="21"/>
        <v>3.696074530090579E-2</v>
      </c>
      <c r="I662" s="6" t="s">
        <v>23</v>
      </c>
    </row>
    <row r="663" spans="1:9" x14ac:dyDescent="0.25">
      <c r="A663" s="6" t="s">
        <v>1927</v>
      </c>
      <c r="B663" s="6" t="s">
        <v>33</v>
      </c>
      <c r="C663" s="38">
        <v>357586340898011</v>
      </c>
      <c r="D663" s="6" t="s">
        <v>644</v>
      </c>
      <c r="E663" s="29">
        <v>4430</v>
      </c>
      <c r="F663" s="29">
        <v>4272.1000000000004</v>
      </c>
      <c r="G663" s="16">
        <f t="shared" si="20"/>
        <v>157.89999999999964</v>
      </c>
      <c r="H663" s="9">
        <f t="shared" si="21"/>
        <v>3.696074530090579E-2</v>
      </c>
      <c r="I663" s="6" t="s">
        <v>23</v>
      </c>
    </row>
    <row r="664" spans="1:9" x14ac:dyDescent="0.25">
      <c r="A664" s="26" t="s">
        <v>1927</v>
      </c>
      <c r="B664" s="26" t="s">
        <v>582</v>
      </c>
      <c r="C664" s="37">
        <v>353837419148398</v>
      </c>
      <c r="D664" s="26" t="s">
        <v>15</v>
      </c>
      <c r="E664" s="27">
        <v>3800</v>
      </c>
      <c r="F664" s="27">
        <v>3805.4</v>
      </c>
      <c r="G664" s="26">
        <f t="shared" si="20"/>
        <v>-5.4000000000000909</v>
      </c>
      <c r="H664" s="28">
        <f t="shared" si="21"/>
        <v>-1.4190361065854024E-3</v>
      </c>
      <c r="I664" s="26" t="s">
        <v>23</v>
      </c>
    </row>
    <row r="665" spans="1:9" x14ac:dyDescent="0.25">
      <c r="A665" s="6" t="s">
        <v>1927</v>
      </c>
      <c r="B665" s="6" t="s">
        <v>1925</v>
      </c>
      <c r="C665" s="38" t="s">
        <v>1949</v>
      </c>
      <c r="D665" s="6" t="s">
        <v>15</v>
      </c>
      <c r="E665" s="29">
        <v>5800</v>
      </c>
      <c r="F665" s="29">
        <v>5580</v>
      </c>
      <c r="G665" s="16">
        <f t="shared" si="20"/>
        <v>220</v>
      </c>
      <c r="H665" s="9">
        <f t="shared" si="21"/>
        <v>3.9426523297491037E-2</v>
      </c>
      <c r="I665" s="6" t="s">
        <v>23</v>
      </c>
    </row>
    <row r="666" spans="1:9" x14ac:dyDescent="0.25">
      <c r="E666" s="10" t="s">
        <v>1727</v>
      </c>
      <c r="F666" s="10" t="s">
        <v>1726</v>
      </c>
      <c r="G666" s="10" t="s">
        <v>1967</v>
      </c>
      <c r="H666" s="10" t="s">
        <v>1725</v>
      </c>
      <c r="I666" s="6"/>
    </row>
    <row r="667" spans="1:9" x14ac:dyDescent="0.25">
      <c r="E667" s="19">
        <f>SUM(E2:E666)</f>
        <v>1703571.3599999999</v>
      </c>
      <c r="F667" s="19">
        <f>SUM(F2:F666)</f>
        <v>1557865.5399999924</v>
      </c>
      <c r="G667" s="19">
        <f>SUM(G2:G666)</f>
        <v>145705.81999999986</v>
      </c>
      <c r="H667" s="21">
        <f>AVERAGE(H2:H666)</f>
        <v>0.1651619374905228</v>
      </c>
      <c r="I667" s="6"/>
    </row>
    <row r="676" spans="2:8" x14ac:dyDescent="0.25">
      <c r="B676" s="56" t="s">
        <v>1970</v>
      </c>
      <c r="C676" s="53" t="s">
        <v>1971</v>
      </c>
      <c r="D676" s="53" t="s">
        <v>1972</v>
      </c>
      <c r="E676" s="53" t="s">
        <v>1973</v>
      </c>
    </row>
    <row r="677" spans="2:8" x14ac:dyDescent="0.25">
      <c r="B677" s="51">
        <v>46059</v>
      </c>
      <c r="C677" s="50">
        <v>888556489804</v>
      </c>
      <c r="D677" s="54">
        <v>430.09</v>
      </c>
      <c r="E677" s="33">
        <f t="shared" ref="E677:E683" si="22">D677*3.59</f>
        <v>1544.0230999999999</v>
      </c>
    </row>
    <row r="678" spans="2:8" x14ac:dyDescent="0.25">
      <c r="B678" s="51">
        <v>46063</v>
      </c>
      <c r="C678" s="50" t="s">
        <v>1968</v>
      </c>
      <c r="D678" s="54">
        <v>3732.88</v>
      </c>
      <c r="E678" s="33">
        <f t="shared" si="22"/>
        <v>13401.039199999999</v>
      </c>
    </row>
    <row r="679" spans="2:8" x14ac:dyDescent="0.25">
      <c r="B679" s="51">
        <v>46066</v>
      </c>
      <c r="C679" s="50">
        <v>888774090455</v>
      </c>
      <c r="D679" s="54">
        <v>602.25</v>
      </c>
      <c r="E679" s="33">
        <f t="shared" si="22"/>
        <v>2162.0774999999999</v>
      </c>
    </row>
    <row r="680" spans="2:8" x14ac:dyDescent="0.25">
      <c r="B680" s="51">
        <v>46071</v>
      </c>
      <c r="C680" s="50" t="s">
        <v>1969</v>
      </c>
      <c r="D680" s="54">
        <v>4900</v>
      </c>
      <c r="E680" s="33">
        <f t="shared" si="22"/>
        <v>17591</v>
      </c>
    </row>
    <row r="681" spans="2:8" x14ac:dyDescent="0.25">
      <c r="B681" s="51">
        <v>46072</v>
      </c>
      <c r="C681" s="50">
        <v>888923920344</v>
      </c>
      <c r="D681" s="54">
        <v>351.81</v>
      </c>
      <c r="E681" s="33">
        <f t="shared" si="22"/>
        <v>1262.9978999999998</v>
      </c>
    </row>
    <row r="682" spans="2:8" x14ac:dyDescent="0.25">
      <c r="B682" s="51">
        <v>46076</v>
      </c>
      <c r="C682" s="50">
        <v>889002110930</v>
      </c>
      <c r="D682" s="49">
        <v>566.73</v>
      </c>
      <c r="E682" s="33">
        <f t="shared" si="22"/>
        <v>2034.5607</v>
      </c>
    </row>
    <row r="683" spans="2:8" x14ac:dyDescent="0.25">
      <c r="B683" s="51">
        <v>46078</v>
      </c>
      <c r="C683" s="50">
        <v>889079317130</v>
      </c>
      <c r="D683" s="49">
        <v>323.99</v>
      </c>
      <c r="E683" s="33">
        <f t="shared" si="22"/>
        <v>1163.1241</v>
      </c>
    </row>
    <row r="684" spans="2:8" x14ac:dyDescent="0.25">
      <c r="B684" s="57">
        <v>46074</v>
      </c>
      <c r="C684" s="52" t="s">
        <v>2068</v>
      </c>
      <c r="D684" s="55"/>
      <c r="E684" s="55">
        <v>10000</v>
      </c>
    </row>
    <row r="685" spans="2:8" s="48" customFormat="1" x14ac:dyDescent="0.25">
      <c r="B685" s="55"/>
      <c r="C685" s="55"/>
      <c r="D685" s="55"/>
      <c r="E685" s="55"/>
      <c r="H685" s="5"/>
    </row>
    <row r="686" spans="2:8" x14ac:dyDescent="0.25">
      <c r="B686" s="80" t="s">
        <v>2069</v>
      </c>
      <c r="C686" s="81"/>
      <c r="D686" s="82"/>
      <c r="E686" s="61">
        <f>SUM(E677:E684)</f>
        <v>49158.822500000009</v>
      </c>
    </row>
    <row r="687" spans="2:8" x14ac:dyDescent="0.25">
      <c r="B687" s="55"/>
      <c r="C687" s="38"/>
      <c r="D687" s="55"/>
      <c r="E687" s="55"/>
    </row>
    <row r="688" spans="2:8" ht="19.899999999999999" customHeight="1" x14ac:dyDescent="0.25">
      <c r="B688" s="77" t="s">
        <v>1974</v>
      </c>
      <c r="C688" s="78"/>
      <c r="D688" s="79"/>
      <c r="E688" s="58">
        <f>G667-E686</f>
        <v>96546.997499999852</v>
      </c>
    </row>
  </sheetData>
  <autoFilter ref="A1:I667" xr:uid="{1CE7F802-0E3E-497C-AA87-7BB7CC6DCE8D}"/>
  <sortState xmlns:xlrd2="http://schemas.microsoft.com/office/spreadsheetml/2017/richdata2" ref="A2:I665">
    <sortCondition ref="I2:I665"/>
  </sortState>
  <mergeCells count="2">
    <mergeCell ref="B688:D688"/>
    <mergeCell ref="B686:D686"/>
  </mergeCells>
  <conditionalFormatting sqref="C689:C1048576 C650:C683 C1:C640 C685 C687">
    <cfRule type="duplicateValues" dxfId="8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75535-63A1-4D3B-A957-04032162486D}">
  <dimension ref="A1:K184"/>
  <sheetViews>
    <sheetView topLeftCell="A154" zoomScale="80" zoomScaleNormal="80" workbookViewId="0">
      <selection activeCell="C184" sqref="C184"/>
    </sheetView>
  </sheetViews>
  <sheetFormatPr defaultRowHeight="15" x14ac:dyDescent="0.25"/>
  <cols>
    <col min="1" max="1" width="13.42578125" customWidth="1"/>
    <col min="2" max="2" width="44.28515625" customWidth="1"/>
    <col min="3" max="3" width="28.140625" customWidth="1"/>
    <col min="4" max="4" width="18.5703125" customWidth="1"/>
    <col min="5" max="5" width="14.5703125" customWidth="1"/>
    <col min="6" max="6" width="14.28515625" customWidth="1"/>
    <col min="7" max="7" width="14.28515625" style="4" customWidth="1"/>
    <col min="8" max="8" width="15.7109375" style="4" customWidth="1"/>
    <col min="9" max="9" width="15.28515625" customWidth="1"/>
    <col min="10" max="10" width="17.7109375" style="5" customWidth="1"/>
    <col min="11" max="11" width="24.85546875" customWidth="1"/>
    <col min="12" max="12" width="25.7109375" customWidth="1"/>
  </cols>
  <sheetData>
    <row r="1" spans="1:1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23" t="s">
        <v>1721</v>
      </c>
      <c r="H1" s="23" t="s">
        <v>1728</v>
      </c>
      <c r="I1" s="1" t="s">
        <v>9</v>
      </c>
      <c r="J1" s="22" t="s">
        <v>10</v>
      </c>
      <c r="K1" s="1" t="s">
        <v>11</v>
      </c>
    </row>
    <row r="2" spans="1:11" x14ac:dyDescent="0.25">
      <c r="A2" s="7" t="s">
        <v>69</v>
      </c>
      <c r="B2" s="7" t="s">
        <v>105</v>
      </c>
      <c r="C2" s="7" t="s">
        <v>106</v>
      </c>
      <c r="D2" s="7" t="s">
        <v>15</v>
      </c>
      <c r="E2" s="16">
        <v>625</v>
      </c>
      <c r="F2" s="16">
        <v>633.88</v>
      </c>
      <c r="G2" s="8">
        <f>F2*13.04/100</f>
        <v>82.65795199999998</v>
      </c>
      <c r="H2" s="8">
        <f>F2-G2</f>
        <v>551.22204799999997</v>
      </c>
      <c r="I2" s="8">
        <f>E2-H2</f>
        <v>73.777952000000028</v>
      </c>
      <c r="J2" s="9">
        <f>(E2-H2)/H2</f>
        <v>0.13384434143679252</v>
      </c>
      <c r="K2" s="7" t="s">
        <v>16</v>
      </c>
    </row>
    <row r="3" spans="1:11" x14ac:dyDescent="0.25">
      <c r="A3" s="7" t="s">
        <v>69</v>
      </c>
      <c r="B3" s="7" t="s">
        <v>105</v>
      </c>
      <c r="C3" s="7" t="s">
        <v>107</v>
      </c>
      <c r="D3" s="7" t="s">
        <v>15</v>
      </c>
      <c r="E3" s="16">
        <v>625</v>
      </c>
      <c r="F3" s="16">
        <v>633.88</v>
      </c>
      <c r="G3" s="8">
        <f t="shared" ref="G3:G66" si="0">F3*13.04/100</f>
        <v>82.65795199999998</v>
      </c>
      <c r="H3" s="8">
        <f t="shared" ref="H3:H66" si="1">F3-G3</f>
        <v>551.22204799999997</v>
      </c>
      <c r="I3" s="8">
        <f t="shared" ref="I3:I66" si="2">E3-H3</f>
        <v>73.777952000000028</v>
      </c>
      <c r="J3" s="9">
        <f t="shared" ref="J3:J66" si="3">(E3-H3)/H3</f>
        <v>0.13384434143679252</v>
      </c>
      <c r="K3" s="7" t="s">
        <v>16</v>
      </c>
    </row>
    <row r="4" spans="1:11" x14ac:dyDescent="0.25">
      <c r="A4" s="7" t="s">
        <v>69</v>
      </c>
      <c r="B4" s="7" t="s">
        <v>105</v>
      </c>
      <c r="C4" s="7" t="s">
        <v>108</v>
      </c>
      <c r="D4" s="7" t="s">
        <v>15</v>
      </c>
      <c r="E4" s="16">
        <v>625</v>
      </c>
      <c r="F4" s="16">
        <v>633.88</v>
      </c>
      <c r="G4" s="8">
        <f t="shared" si="0"/>
        <v>82.65795199999998</v>
      </c>
      <c r="H4" s="8">
        <f t="shared" si="1"/>
        <v>551.22204799999997</v>
      </c>
      <c r="I4" s="8">
        <f t="shared" si="2"/>
        <v>73.777952000000028</v>
      </c>
      <c r="J4" s="9">
        <f t="shared" si="3"/>
        <v>0.13384434143679252</v>
      </c>
      <c r="K4" s="7" t="s">
        <v>16</v>
      </c>
    </row>
    <row r="5" spans="1:11" x14ac:dyDescent="0.25">
      <c r="A5" s="7" t="s">
        <v>69</v>
      </c>
      <c r="B5" s="7" t="s">
        <v>105</v>
      </c>
      <c r="C5" s="7" t="s">
        <v>109</v>
      </c>
      <c r="D5" s="7" t="s">
        <v>15</v>
      </c>
      <c r="E5" s="16">
        <v>625</v>
      </c>
      <c r="F5" s="16">
        <v>633.88</v>
      </c>
      <c r="G5" s="8">
        <f t="shared" si="0"/>
        <v>82.65795199999998</v>
      </c>
      <c r="H5" s="8">
        <f t="shared" si="1"/>
        <v>551.22204799999997</v>
      </c>
      <c r="I5" s="8">
        <f t="shared" si="2"/>
        <v>73.777952000000028</v>
      </c>
      <c r="J5" s="9">
        <f t="shared" si="3"/>
        <v>0.13384434143679252</v>
      </c>
      <c r="K5" s="7" t="s">
        <v>16</v>
      </c>
    </row>
    <row r="6" spans="1:11" x14ac:dyDescent="0.25">
      <c r="A6" s="7" t="s">
        <v>69</v>
      </c>
      <c r="B6" s="7" t="s">
        <v>105</v>
      </c>
      <c r="C6" s="7" t="s">
        <v>110</v>
      </c>
      <c r="D6" s="7" t="s">
        <v>15</v>
      </c>
      <c r="E6" s="16">
        <v>625</v>
      </c>
      <c r="F6" s="16">
        <v>633.88</v>
      </c>
      <c r="G6" s="8">
        <f t="shared" si="0"/>
        <v>82.65795199999998</v>
      </c>
      <c r="H6" s="8">
        <f t="shared" si="1"/>
        <v>551.22204799999997</v>
      </c>
      <c r="I6" s="8">
        <f t="shared" si="2"/>
        <v>73.777952000000028</v>
      </c>
      <c r="J6" s="9">
        <f t="shared" si="3"/>
        <v>0.13384434143679252</v>
      </c>
      <c r="K6" s="7" t="s">
        <v>16</v>
      </c>
    </row>
    <row r="7" spans="1:11" x14ac:dyDescent="0.25">
      <c r="A7" s="7" t="s">
        <v>69</v>
      </c>
      <c r="B7" s="7" t="s">
        <v>105</v>
      </c>
      <c r="C7" s="7" t="s">
        <v>111</v>
      </c>
      <c r="D7" s="7" t="s">
        <v>15</v>
      </c>
      <c r="E7" s="16">
        <v>625</v>
      </c>
      <c r="F7" s="16">
        <v>633.88</v>
      </c>
      <c r="G7" s="8">
        <f t="shared" si="0"/>
        <v>82.65795199999998</v>
      </c>
      <c r="H7" s="8">
        <f t="shared" si="1"/>
        <v>551.22204799999997</v>
      </c>
      <c r="I7" s="8">
        <f t="shared" si="2"/>
        <v>73.777952000000028</v>
      </c>
      <c r="J7" s="9">
        <f t="shared" si="3"/>
        <v>0.13384434143679252</v>
      </c>
      <c r="K7" s="7" t="s">
        <v>16</v>
      </c>
    </row>
    <row r="8" spans="1:11" x14ac:dyDescent="0.25">
      <c r="A8" s="7" t="s">
        <v>69</v>
      </c>
      <c r="B8" s="7" t="s">
        <v>105</v>
      </c>
      <c r="C8" s="7" t="s">
        <v>112</v>
      </c>
      <c r="D8" s="7" t="s">
        <v>15</v>
      </c>
      <c r="E8" s="16">
        <v>625</v>
      </c>
      <c r="F8" s="16">
        <v>633.88</v>
      </c>
      <c r="G8" s="8">
        <f t="shared" si="0"/>
        <v>82.65795199999998</v>
      </c>
      <c r="H8" s="8">
        <f t="shared" si="1"/>
        <v>551.22204799999997</v>
      </c>
      <c r="I8" s="8">
        <f t="shared" si="2"/>
        <v>73.777952000000028</v>
      </c>
      <c r="J8" s="9">
        <f t="shared" si="3"/>
        <v>0.13384434143679252</v>
      </c>
      <c r="K8" s="7" t="s">
        <v>16</v>
      </c>
    </row>
    <row r="9" spans="1:11" x14ac:dyDescent="0.25">
      <c r="A9" s="7" t="s">
        <v>69</v>
      </c>
      <c r="B9" s="7" t="s">
        <v>105</v>
      </c>
      <c r="C9" s="7" t="s">
        <v>113</v>
      </c>
      <c r="D9" s="7" t="s">
        <v>15</v>
      </c>
      <c r="E9" s="16">
        <v>625</v>
      </c>
      <c r="F9" s="16">
        <v>633.88</v>
      </c>
      <c r="G9" s="8">
        <f t="shared" si="0"/>
        <v>82.65795199999998</v>
      </c>
      <c r="H9" s="8">
        <f t="shared" si="1"/>
        <v>551.22204799999997</v>
      </c>
      <c r="I9" s="8">
        <f t="shared" si="2"/>
        <v>73.777952000000028</v>
      </c>
      <c r="J9" s="9">
        <f t="shared" si="3"/>
        <v>0.13384434143679252</v>
      </c>
      <c r="K9" s="7" t="s">
        <v>16</v>
      </c>
    </row>
    <row r="10" spans="1:11" x14ac:dyDescent="0.25">
      <c r="A10" s="7" t="s">
        <v>69</v>
      </c>
      <c r="B10" s="7" t="s">
        <v>105</v>
      </c>
      <c r="C10" s="7" t="s">
        <v>114</v>
      </c>
      <c r="D10" s="7" t="s">
        <v>15</v>
      </c>
      <c r="E10" s="16">
        <v>625</v>
      </c>
      <c r="F10" s="16">
        <v>633.88</v>
      </c>
      <c r="G10" s="8">
        <f t="shared" si="0"/>
        <v>82.65795199999998</v>
      </c>
      <c r="H10" s="8">
        <f t="shared" si="1"/>
        <v>551.22204799999997</v>
      </c>
      <c r="I10" s="8">
        <f t="shared" si="2"/>
        <v>73.777952000000028</v>
      </c>
      <c r="J10" s="9">
        <f t="shared" si="3"/>
        <v>0.13384434143679252</v>
      </c>
      <c r="K10" s="7" t="s">
        <v>16</v>
      </c>
    </row>
    <row r="11" spans="1:11" x14ac:dyDescent="0.25">
      <c r="A11" s="7" t="s">
        <v>69</v>
      </c>
      <c r="B11" s="7" t="s">
        <v>105</v>
      </c>
      <c r="C11" s="7" t="s">
        <v>115</v>
      </c>
      <c r="D11" s="7" t="s">
        <v>15</v>
      </c>
      <c r="E11" s="16">
        <v>625</v>
      </c>
      <c r="F11" s="16">
        <v>633.88</v>
      </c>
      <c r="G11" s="8">
        <f t="shared" si="0"/>
        <v>82.65795199999998</v>
      </c>
      <c r="H11" s="8">
        <f t="shared" si="1"/>
        <v>551.22204799999997</v>
      </c>
      <c r="I11" s="8">
        <f t="shared" si="2"/>
        <v>73.777952000000028</v>
      </c>
      <c r="J11" s="9">
        <f t="shared" si="3"/>
        <v>0.13384434143679252</v>
      </c>
      <c r="K11" s="7" t="s">
        <v>16</v>
      </c>
    </row>
    <row r="12" spans="1:11" x14ac:dyDescent="0.25">
      <c r="A12" s="7" t="s">
        <v>69</v>
      </c>
      <c r="B12" s="7" t="s">
        <v>105</v>
      </c>
      <c r="C12" s="7" t="s">
        <v>116</v>
      </c>
      <c r="D12" s="7" t="s">
        <v>15</v>
      </c>
      <c r="E12" s="16">
        <v>625</v>
      </c>
      <c r="F12" s="16">
        <v>633.88</v>
      </c>
      <c r="G12" s="8">
        <f t="shared" si="0"/>
        <v>82.65795199999998</v>
      </c>
      <c r="H12" s="8">
        <f t="shared" si="1"/>
        <v>551.22204799999997</v>
      </c>
      <c r="I12" s="8">
        <f t="shared" si="2"/>
        <v>73.777952000000028</v>
      </c>
      <c r="J12" s="9">
        <f t="shared" si="3"/>
        <v>0.13384434143679252</v>
      </c>
      <c r="K12" s="7" t="s">
        <v>16</v>
      </c>
    </row>
    <row r="13" spans="1:11" x14ac:dyDescent="0.25">
      <c r="A13" s="7" t="s">
        <v>69</v>
      </c>
      <c r="B13" s="7" t="s">
        <v>105</v>
      </c>
      <c r="C13" s="7" t="s">
        <v>117</v>
      </c>
      <c r="D13" s="7" t="s">
        <v>15</v>
      </c>
      <c r="E13" s="16">
        <v>625</v>
      </c>
      <c r="F13" s="16">
        <v>633.88</v>
      </c>
      <c r="G13" s="8">
        <f t="shared" si="0"/>
        <v>82.65795199999998</v>
      </c>
      <c r="H13" s="8">
        <f t="shared" si="1"/>
        <v>551.22204799999997</v>
      </c>
      <c r="I13" s="8">
        <f t="shared" si="2"/>
        <v>73.777952000000028</v>
      </c>
      <c r="J13" s="9">
        <f t="shared" si="3"/>
        <v>0.13384434143679252</v>
      </c>
      <c r="K13" s="7" t="s">
        <v>16</v>
      </c>
    </row>
    <row r="14" spans="1:11" x14ac:dyDescent="0.25">
      <c r="A14" s="7" t="s">
        <v>69</v>
      </c>
      <c r="B14" s="7" t="s">
        <v>105</v>
      </c>
      <c r="C14" s="7" t="s">
        <v>118</v>
      </c>
      <c r="D14" s="7" t="s">
        <v>15</v>
      </c>
      <c r="E14" s="16">
        <v>625</v>
      </c>
      <c r="F14" s="16">
        <v>633.88</v>
      </c>
      <c r="G14" s="8">
        <f t="shared" si="0"/>
        <v>82.65795199999998</v>
      </c>
      <c r="H14" s="8">
        <f t="shared" si="1"/>
        <v>551.22204799999997</v>
      </c>
      <c r="I14" s="8">
        <f t="shared" si="2"/>
        <v>73.777952000000028</v>
      </c>
      <c r="J14" s="9">
        <f t="shared" si="3"/>
        <v>0.13384434143679252</v>
      </c>
      <c r="K14" s="7" t="s">
        <v>16</v>
      </c>
    </row>
    <row r="15" spans="1:11" x14ac:dyDescent="0.25">
      <c r="A15" s="7" t="s">
        <v>69</v>
      </c>
      <c r="B15" s="7" t="s">
        <v>105</v>
      </c>
      <c r="C15" s="7" t="s">
        <v>119</v>
      </c>
      <c r="D15" s="7" t="s">
        <v>15</v>
      </c>
      <c r="E15" s="16">
        <v>625</v>
      </c>
      <c r="F15" s="16">
        <v>633.88</v>
      </c>
      <c r="G15" s="8">
        <f t="shared" si="0"/>
        <v>82.65795199999998</v>
      </c>
      <c r="H15" s="8">
        <f t="shared" si="1"/>
        <v>551.22204799999997</v>
      </c>
      <c r="I15" s="8">
        <f t="shared" si="2"/>
        <v>73.777952000000028</v>
      </c>
      <c r="J15" s="9">
        <f t="shared" si="3"/>
        <v>0.13384434143679252</v>
      </c>
      <c r="K15" s="7" t="s">
        <v>16</v>
      </c>
    </row>
    <row r="16" spans="1:11" x14ac:dyDescent="0.25">
      <c r="A16" s="7" t="s">
        <v>69</v>
      </c>
      <c r="B16" s="7" t="s">
        <v>105</v>
      </c>
      <c r="C16" s="7" t="s">
        <v>120</v>
      </c>
      <c r="D16" s="7" t="s">
        <v>15</v>
      </c>
      <c r="E16" s="16">
        <v>625</v>
      </c>
      <c r="F16" s="16">
        <v>633.88</v>
      </c>
      <c r="G16" s="8">
        <f t="shared" si="0"/>
        <v>82.65795199999998</v>
      </c>
      <c r="H16" s="8">
        <f t="shared" si="1"/>
        <v>551.22204799999997</v>
      </c>
      <c r="I16" s="8">
        <f t="shared" si="2"/>
        <v>73.777952000000028</v>
      </c>
      <c r="J16" s="9">
        <f t="shared" si="3"/>
        <v>0.13384434143679252</v>
      </c>
      <c r="K16" s="7" t="s">
        <v>16</v>
      </c>
    </row>
    <row r="17" spans="1:11" x14ac:dyDescent="0.25">
      <c r="A17" s="7" t="s">
        <v>69</v>
      </c>
      <c r="B17" s="7" t="s">
        <v>105</v>
      </c>
      <c r="C17" s="7" t="s">
        <v>121</v>
      </c>
      <c r="D17" s="7" t="s">
        <v>15</v>
      </c>
      <c r="E17" s="16">
        <v>625</v>
      </c>
      <c r="F17" s="16">
        <v>633.88</v>
      </c>
      <c r="G17" s="8">
        <f t="shared" si="0"/>
        <v>82.65795199999998</v>
      </c>
      <c r="H17" s="8">
        <f t="shared" si="1"/>
        <v>551.22204799999997</v>
      </c>
      <c r="I17" s="8">
        <f t="shared" si="2"/>
        <v>73.777952000000028</v>
      </c>
      <c r="J17" s="9">
        <f t="shared" si="3"/>
        <v>0.13384434143679252</v>
      </c>
      <c r="K17" s="7" t="s">
        <v>16</v>
      </c>
    </row>
    <row r="18" spans="1:11" x14ac:dyDescent="0.25">
      <c r="A18" s="7" t="s">
        <v>69</v>
      </c>
      <c r="B18" s="7" t="s">
        <v>105</v>
      </c>
      <c r="C18" s="7" t="s">
        <v>122</v>
      </c>
      <c r="D18" s="7" t="s">
        <v>15</v>
      </c>
      <c r="E18" s="16">
        <v>625</v>
      </c>
      <c r="F18" s="16">
        <v>633.88</v>
      </c>
      <c r="G18" s="8">
        <f t="shared" si="0"/>
        <v>82.65795199999998</v>
      </c>
      <c r="H18" s="8">
        <f t="shared" si="1"/>
        <v>551.22204799999997</v>
      </c>
      <c r="I18" s="8">
        <f t="shared" si="2"/>
        <v>73.777952000000028</v>
      </c>
      <c r="J18" s="9">
        <f t="shared" si="3"/>
        <v>0.13384434143679252</v>
      </c>
      <c r="K18" s="7" t="s">
        <v>16</v>
      </c>
    </row>
    <row r="19" spans="1:11" x14ac:dyDescent="0.25">
      <c r="A19" s="7" t="s">
        <v>69</v>
      </c>
      <c r="B19" s="7" t="s">
        <v>105</v>
      </c>
      <c r="C19" s="7" t="s">
        <v>123</v>
      </c>
      <c r="D19" s="7" t="s">
        <v>15</v>
      </c>
      <c r="E19" s="16">
        <v>625</v>
      </c>
      <c r="F19" s="16">
        <v>633.88</v>
      </c>
      <c r="G19" s="8">
        <f t="shared" si="0"/>
        <v>82.65795199999998</v>
      </c>
      <c r="H19" s="8">
        <f t="shared" si="1"/>
        <v>551.22204799999997</v>
      </c>
      <c r="I19" s="8">
        <f t="shared" si="2"/>
        <v>73.777952000000028</v>
      </c>
      <c r="J19" s="9">
        <f t="shared" si="3"/>
        <v>0.13384434143679252</v>
      </c>
      <c r="K19" s="7" t="s">
        <v>16</v>
      </c>
    </row>
    <row r="20" spans="1:11" x14ac:dyDescent="0.25">
      <c r="A20" s="7" t="s">
        <v>69</v>
      </c>
      <c r="B20" s="7" t="s">
        <v>105</v>
      </c>
      <c r="C20" s="7" t="s">
        <v>124</v>
      </c>
      <c r="D20" s="7" t="s">
        <v>15</v>
      </c>
      <c r="E20" s="16">
        <v>625</v>
      </c>
      <c r="F20" s="16">
        <v>633.88</v>
      </c>
      <c r="G20" s="8">
        <f t="shared" si="0"/>
        <v>82.65795199999998</v>
      </c>
      <c r="H20" s="8">
        <f t="shared" si="1"/>
        <v>551.22204799999997</v>
      </c>
      <c r="I20" s="8">
        <f t="shared" si="2"/>
        <v>73.777952000000028</v>
      </c>
      <c r="J20" s="9">
        <f t="shared" si="3"/>
        <v>0.13384434143679252</v>
      </c>
      <c r="K20" s="7" t="s">
        <v>16</v>
      </c>
    </row>
    <row r="21" spans="1:11" x14ac:dyDescent="0.25">
      <c r="A21" s="7" t="s">
        <v>69</v>
      </c>
      <c r="B21" s="7" t="s">
        <v>105</v>
      </c>
      <c r="C21" s="7" t="s">
        <v>125</v>
      </c>
      <c r="D21" s="7" t="s">
        <v>15</v>
      </c>
      <c r="E21" s="16">
        <v>625</v>
      </c>
      <c r="F21" s="16">
        <v>633.88</v>
      </c>
      <c r="G21" s="8">
        <f t="shared" si="0"/>
        <v>82.65795199999998</v>
      </c>
      <c r="H21" s="8">
        <f t="shared" si="1"/>
        <v>551.22204799999997</v>
      </c>
      <c r="I21" s="8">
        <f t="shared" si="2"/>
        <v>73.777952000000028</v>
      </c>
      <c r="J21" s="9">
        <f t="shared" si="3"/>
        <v>0.13384434143679252</v>
      </c>
      <c r="K21" s="7" t="s">
        <v>16</v>
      </c>
    </row>
    <row r="22" spans="1:11" x14ac:dyDescent="0.25">
      <c r="A22" s="7" t="s">
        <v>69</v>
      </c>
      <c r="B22" s="7" t="s">
        <v>105</v>
      </c>
      <c r="C22" s="7" t="s">
        <v>126</v>
      </c>
      <c r="D22" s="7" t="s">
        <v>15</v>
      </c>
      <c r="E22" s="16">
        <v>625</v>
      </c>
      <c r="F22" s="16">
        <v>633.88</v>
      </c>
      <c r="G22" s="8">
        <f t="shared" si="0"/>
        <v>82.65795199999998</v>
      </c>
      <c r="H22" s="8">
        <f t="shared" si="1"/>
        <v>551.22204799999997</v>
      </c>
      <c r="I22" s="8">
        <f t="shared" si="2"/>
        <v>73.777952000000028</v>
      </c>
      <c r="J22" s="9">
        <f t="shared" si="3"/>
        <v>0.13384434143679252</v>
      </c>
      <c r="K22" s="7" t="s">
        <v>16</v>
      </c>
    </row>
    <row r="23" spans="1:11" x14ac:dyDescent="0.25">
      <c r="A23" s="7" t="s">
        <v>69</v>
      </c>
      <c r="B23" s="7" t="s">
        <v>105</v>
      </c>
      <c r="C23" s="7" t="s">
        <v>127</v>
      </c>
      <c r="D23" s="7" t="s">
        <v>15</v>
      </c>
      <c r="E23" s="16">
        <v>625</v>
      </c>
      <c r="F23" s="16">
        <v>633.88</v>
      </c>
      <c r="G23" s="8">
        <f t="shared" si="0"/>
        <v>82.65795199999998</v>
      </c>
      <c r="H23" s="8">
        <f t="shared" si="1"/>
        <v>551.22204799999997</v>
      </c>
      <c r="I23" s="8">
        <f t="shared" si="2"/>
        <v>73.777952000000028</v>
      </c>
      <c r="J23" s="9">
        <f t="shared" si="3"/>
        <v>0.13384434143679252</v>
      </c>
      <c r="K23" s="7" t="s">
        <v>16</v>
      </c>
    </row>
    <row r="24" spans="1:11" x14ac:dyDescent="0.25">
      <c r="A24" s="7" t="s">
        <v>69</v>
      </c>
      <c r="B24" s="7" t="s">
        <v>105</v>
      </c>
      <c r="C24" s="7" t="s">
        <v>128</v>
      </c>
      <c r="D24" s="7" t="s">
        <v>15</v>
      </c>
      <c r="E24" s="16">
        <v>625</v>
      </c>
      <c r="F24" s="16">
        <v>633.88</v>
      </c>
      <c r="G24" s="8">
        <f t="shared" si="0"/>
        <v>82.65795199999998</v>
      </c>
      <c r="H24" s="8">
        <f t="shared" si="1"/>
        <v>551.22204799999997</v>
      </c>
      <c r="I24" s="8">
        <f t="shared" si="2"/>
        <v>73.777952000000028</v>
      </c>
      <c r="J24" s="9">
        <f t="shared" si="3"/>
        <v>0.13384434143679252</v>
      </c>
      <c r="K24" s="7" t="s">
        <v>16</v>
      </c>
    </row>
    <row r="25" spans="1:11" x14ac:dyDescent="0.25">
      <c r="A25" s="7" t="s">
        <v>69</v>
      </c>
      <c r="B25" s="7" t="s">
        <v>105</v>
      </c>
      <c r="C25" s="7" t="s">
        <v>129</v>
      </c>
      <c r="D25" s="7" t="s">
        <v>15</v>
      </c>
      <c r="E25" s="16">
        <v>625</v>
      </c>
      <c r="F25" s="16">
        <v>633.88</v>
      </c>
      <c r="G25" s="8">
        <f t="shared" si="0"/>
        <v>82.65795199999998</v>
      </c>
      <c r="H25" s="8">
        <f t="shared" si="1"/>
        <v>551.22204799999997</v>
      </c>
      <c r="I25" s="8">
        <f t="shared" si="2"/>
        <v>73.777952000000028</v>
      </c>
      <c r="J25" s="9">
        <f t="shared" si="3"/>
        <v>0.13384434143679252</v>
      </c>
      <c r="K25" s="7" t="s">
        <v>16</v>
      </c>
    </row>
    <row r="26" spans="1:11" x14ac:dyDescent="0.25">
      <c r="A26" s="7" t="s">
        <v>69</v>
      </c>
      <c r="B26" s="7" t="s">
        <v>105</v>
      </c>
      <c r="C26" s="7" t="s">
        <v>130</v>
      </c>
      <c r="D26" s="7" t="s">
        <v>15</v>
      </c>
      <c r="E26" s="16">
        <v>625</v>
      </c>
      <c r="F26" s="16">
        <v>633.88</v>
      </c>
      <c r="G26" s="8">
        <f t="shared" si="0"/>
        <v>82.65795199999998</v>
      </c>
      <c r="H26" s="8">
        <f t="shared" si="1"/>
        <v>551.22204799999997</v>
      </c>
      <c r="I26" s="8">
        <f t="shared" si="2"/>
        <v>73.777952000000028</v>
      </c>
      <c r="J26" s="9">
        <f t="shared" si="3"/>
        <v>0.13384434143679252</v>
      </c>
      <c r="K26" s="7" t="s">
        <v>16</v>
      </c>
    </row>
    <row r="27" spans="1:11" x14ac:dyDescent="0.25">
      <c r="A27" s="7" t="s">
        <v>69</v>
      </c>
      <c r="B27" s="7" t="s">
        <v>105</v>
      </c>
      <c r="C27" s="7" t="s">
        <v>131</v>
      </c>
      <c r="D27" s="7" t="s">
        <v>15</v>
      </c>
      <c r="E27" s="16">
        <v>625</v>
      </c>
      <c r="F27" s="16">
        <v>633.88</v>
      </c>
      <c r="G27" s="8">
        <f t="shared" si="0"/>
        <v>82.65795199999998</v>
      </c>
      <c r="H27" s="8">
        <f t="shared" si="1"/>
        <v>551.22204799999997</v>
      </c>
      <c r="I27" s="8">
        <f t="shared" si="2"/>
        <v>73.777952000000028</v>
      </c>
      <c r="J27" s="9">
        <f t="shared" si="3"/>
        <v>0.13384434143679252</v>
      </c>
      <c r="K27" s="7" t="s">
        <v>16</v>
      </c>
    </row>
    <row r="28" spans="1:11" x14ac:dyDescent="0.25">
      <c r="A28" s="7" t="s">
        <v>69</v>
      </c>
      <c r="B28" s="7" t="s">
        <v>105</v>
      </c>
      <c r="C28" s="7" t="s">
        <v>132</v>
      </c>
      <c r="D28" s="7" t="s">
        <v>15</v>
      </c>
      <c r="E28" s="16">
        <v>625</v>
      </c>
      <c r="F28" s="16">
        <v>633.88</v>
      </c>
      <c r="G28" s="8">
        <f t="shared" si="0"/>
        <v>82.65795199999998</v>
      </c>
      <c r="H28" s="8">
        <f t="shared" si="1"/>
        <v>551.22204799999997</v>
      </c>
      <c r="I28" s="8">
        <f t="shared" si="2"/>
        <v>73.777952000000028</v>
      </c>
      <c r="J28" s="9">
        <f t="shared" si="3"/>
        <v>0.13384434143679252</v>
      </c>
      <c r="K28" s="7" t="s">
        <v>16</v>
      </c>
    </row>
    <row r="29" spans="1:11" x14ac:dyDescent="0.25">
      <c r="A29" s="7" t="s">
        <v>69</v>
      </c>
      <c r="B29" s="7" t="s">
        <v>105</v>
      </c>
      <c r="C29" s="7" t="s">
        <v>133</v>
      </c>
      <c r="D29" s="7" t="s">
        <v>15</v>
      </c>
      <c r="E29" s="16">
        <v>625</v>
      </c>
      <c r="F29" s="16">
        <v>633.88</v>
      </c>
      <c r="G29" s="8">
        <f t="shared" si="0"/>
        <v>82.65795199999998</v>
      </c>
      <c r="H29" s="8">
        <f t="shared" si="1"/>
        <v>551.22204799999997</v>
      </c>
      <c r="I29" s="8">
        <f t="shared" si="2"/>
        <v>73.777952000000028</v>
      </c>
      <c r="J29" s="9">
        <f t="shared" si="3"/>
        <v>0.13384434143679252</v>
      </c>
      <c r="K29" s="7" t="s">
        <v>16</v>
      </c>
    </row>
    <row r="30" spans="1:11" x14ac:dyDescent="0.25">
      <c r="A30" s="7" t="s">
        <v>69</v>
      </c>
      <c r="B30" s="7" t="s">
        <v>105</v>
      </c>
      <c r="C30" s="7" t="s">
        <v>134</v>
      </c>
      <c r="D30" s="7" t="s">
        <v>15</v>
      </c>
      <c r="E30" s="16">
        <v>625</v>
      </c>
      <c r="F30" s="16">
        <v>633.88</v>
      </c>
      <c r="G30" s="8">
        <f t="shared" si="0"/>
        <v>82.65795199999998</v>
      </c>
      <c r="H30" s="8">
        <f t="shared" si="1"/>
        <v>551.22204799999997</v>
      </c>
      <c r="I30" s="8">
        <f t="shared" si="2"/>
        <v>73.777952000000028</v>
      </c>
      <c r="J30" s="9">
        <f t="shared" si="3"/>
        <v>0.13384434143679252</v>
      </c>
      <c r="K30" s="7" t="s">
        <v>16</v>
      </c>
    </row>
    <row r="31" spans="1:11" x14ac:dyDescent="0.25">
      <c r="A31" s="7" t="s">
        <v>69</v>
      </c>
      <c r="B31" s="7" t="s">
        <v>105</v>
      </c>
      <c r="C31" s="7" t="s">
        <v>135</v>
      </c>
      <c r="D31" s="7" t="s">
        <v>15</v>
      </c>
      <c r="E31" s="16">
        <v>625</v>
      </c>
      <c r="F31" s="16">
        <v>633.88</v>
      </c>
      <c r="G31" s="8">
        <f t="shared" si="0"/>
        <v>82.65795199999998</v>
      </c>
      <c r="H31" s="8">
        <f t="shared" si="1"/>
        <v>551.22204799999997</v>
      </c>
      <c r="I31" s="8">
        <f t="shared" si="2"/>
        <v>73.777952000000028</v>
      </c>
      <c r="J31" s="9">
        <f t="shared" si="3"/>
        <v>0.13384434143679252</v>
      </c>
      <c r="K31" s="7" t="s">
        <v>16</v>
      </c>
    </row>
    <row r="32" spans="1:11" x14ac:dyDescent="0.25">
      <c r="A32" s="7" t="s">
        <v>69</v>
      </c>
      <c r="B32" s="7" t="s">
        <v>105</v>
      </c>
      <c r="C32" s="7" t="s">
        <v>136</v>
      </c>
      <c r="D32" s="7" t="s">
        <v>15</v>
      </c>
      <c r="E32" s="16">
        <v>625</v>
      </c>
      <c r="F32" s="16">
        <v>633.88</v>
      </c>
      <c r="G32" s="8">
        <f t="shared" si="0"/>
        <v>82.65795199999998</v>
      </c>
      <c r="H32" s="8">
        <f t="shared" si="1"/>
        <v>551.22204799999997</v>
      </c>
      <c r="I32" s="8">
        <f t="shared" si="2"/>
        <v>73.777952000000028</v>
      </c>
      <c r="J32" s="9">
        <f t="shared" si="3"/>
        <v>0.13384434143679252</v>
      </c>
      <c r="K32" s="7" t="s">
        <v>16</v>
      </c>
    </row>
    <row r="33" spans="1:11" x14ac:dyDescent="0.25">
      <c r="A33" s="7" t="s">
        <v>69</v>
      </c>
      <c r="B33" s="7" t="s">
        <v>105</v>
      </c>
      <c r="C33" s="7" t="s">
        <v>137</v>
      </c>
      <c r="D33" s="7" t="s">
        <v>15</v>
      </c>
      <c r="E33" s="16">
        <v>625</v>
      </c>
      <c r="F33" s="16">
        <v>633.88</v>
      </c>
      <c r="G33" s="8">
        <f t="shared" si="0"/>
        <v>82.65795199999998</v>
      </c>
      <c r="H33" s="8">
        <f t="shared" si="1"/>
        <v>551.22204799999997</v>
      </c>
      <c r="I33" s="8">
        <f t="shared" si="2"/>
        <v>73.777952000000028</v>
      </c>
      <c r="J33" s="9">
        <f t="shared" si="3"/>
        <v>0.13384434143679252</v>
      </c>
      <c r="K33" s="7" t="s">
        <v>16</v>
      </c>
    </row>
    <row r="34" spans="1:11" x14ac:dyDescent="0.25">
      <c r="A34" s="7" t="s">
        <v>69</v>
      </c>
      <c r="B34" s="7" t="s">
        <v>105</v>
      </c>
      <c r="C34" s="7" t="s">
        <v>138</v>
      </c>
      <c r="D34" s="7" t="s">
        <v>15</v>
      </c>
      <c r="E34" s="16">
        <v>625</v>
      </c>
      <c r="F34" s="16">
        <v>633.88</v>
      </c>
      <c r="G34" s="8">
        <f t="shared" si="0"/>
        <v>82.65795199999998</v>
      </c>
      <c r="H34" s="8">
        <f t="shared" si="1"/>
        <v>551.22204799999997</v>
      </c>
      <c r="I34" s="8">
        <f t="shared" si="2"/>
        <v>73.777952000000028</v>
      </c>
      <c r="J34" s="9">
        <f t="shared" si="3"/>
        <v>0.13384434143679252</v>
      </c>
      <c r="K34" s="7" t="s">
        <v>16</v>
      </c>
    </row>
    <row r="35" spans="1:11" x14ac:dyDescent="0.25">
      <c r="A35" s="7" t="s">
        <v>69</v>
      </c>
      <c r="B35" s="7" t="s">
        <v>105</v>
      </c>
      <c r="C35" s="7" t="s">
        <v>139</v>
      </c>
      <c r="D35" s="7" t="s">
        <v>15</v>
      </c>
      <c r="E35" s="16">
        <v>625</v>
      </c>
      <c r="F35" s="16">
        <v>633.88</v>
      </c>
      <c r="G35" s="8">
        <f t="shared" si="0"/>
        <v>82.65795199999998</v>
      </c>
      <c r="H35" s="8">
        <f t="shared" si="1"/>
        <v>551.22204799999997</v>
      </c>
      <c r="I35" s="8">
        <f t="shared" si="2"/>
        <v>73.777952000000028</v>
      </c>
      <c r="J35" s="9">
        <f t="shared" si="3"/>
        <v>0.13384434143679252</v>
      </c>
      <c r="K35" s="7" t="s">
        <v>16</v>
      </c>
    </row>
    <row r="36" spans="1:11" x14ac:dyDescent="0.25">
      <c r="A36" s="7" t="s">
        <v>69</v>
      </c>
      <c r="B36" s="7" t="s">
        <v>105</v>
      </c>
      <c r="C36" s="7" t="s">
        <v>140</v>
      </c>
      <c r="D36" s="7" t="s">
        <v>15</v>
      </c>
      <c r="E36" s="16">
        <v>625</v>
      </c>
      <c r="F36" s="16">
        <v>633.88</v>
      </c>
      <c r="G36" s="8">
        <f t="shared" si="0"/>
        <v>82.65795199999998</v>
      </c>
      <c r="H36" s="8">
        <f t="shared" si="1"/>
        <v>551.22204799999997</v>
      </c>
      <c r="I36" s="8">
        <f t="shared" si="2"/>
        <v>73.777952000000028</v>
      </c>
      <c r="J36" s="9">
        <f t="shared" si="3"/>
        <v>0.13384434143679252</v>
      </c>
      <c r="K36" s="7" t="s">
        <v>16</v>
      </c>
    </row>
    <row r="37" spans="1:11" x14ac:dyDescent="0.25">
      <c r="A37" s="7" t="s">
        <v>69</v>
      </c>
      <c r="B37" s="7" t="s">
        <v>105</v>
      </c>
      <c r="C37" s="7" t="s">
        <v>141</v>
      </c>
      <c r="D37" s="7" t="s">
        <v>15</v>
      </c>
      <c r="E37" s="16">
        <v>625</v>
      </c>
      <c r="F37" s="16">
        <v>633.88</v>
      </c>
      <c r="G37" s="8">
        <f t="shared" si="0"/>
        <v>82.65795199999998</v>
      </c>
      <c r="H37" s="8">
        <f t="shared" si="1"/>
        <v>551.22204799999997</v>
      </c>
      <c r="I37" s="8">
        <f t="shared" si="2"/>
        <v>73.777952000000028</v>
      </c>
      <c r="J37" s="9">
        <f t="shared" si="3"/>
        <v>0.13384434143679252</v>
      </c>
      <c r="K37" s="7" t="s">
        <v>16</v>
      </c>
    </row>
    <row r="38" spans="1:11" x14ac:dyDescent="0.25">
      <c r="A38" s="7" t="s">
        <v>69</v>
      </c>
      <c r="B38" s="7" t="s">
        <v>105</v>
      </c>
      <c r="C38" s="7" t="s">
        <v>142</v>
      </c>
      <c r="D38" s="7" t="s">
        <v>15</v>
      </c>
      <c r="E38" s="16">
        <v>625</v>
      </c>
      <c r="F38" s="16">
        <v>633.88</v>
      </c>
      <c r="G38" s="8">
        <f t="shared" si="0"/>
        <v>82.65795199999998</v>
      </c>
      <c r="H38" s="8">
        <f t="shared" si="1"/>
        <v>551.22204799999997</v>
      </c>
      <c r="I38" s="8">
        <f t="shared" si="2"/>
        <v>73.777952000000028</v>
      </c>
      <c r="J38" s="9">
        <f t="shared" si="3"/>
        <v>0.13384434143679252</v>
      </c>
      <c r="K38" s="7" t="s">
        <v>16</v>
      </c>
    </row>
    <row r="39" spans="1:11" x14ac:dyDescent="0.25">
      <c r="A39" s="7" t="s">
        <v>69</v>
      </c>
      <c r="B39" s="7" t="s">
        <v>105</v>
      </c>
      <c r="C39" s="7" t="s">
        <v>143</v>
      </c>
      <c r="D39" s="7" t="s">
        <v>15</v>
      </c>
      <c r="E39" s="16">
        <v>625</v>
      </c>
      <c r="F39" s="16">
        <v>633.88</v>
      </c>
      <c r="G39" s="8">
        <f t="shared" si="0"/>
        <v>82.65795199999998</v>
      </c>
      <c r="H39" s="8">
        <f t="shared" si="1"/>
        <v>551.22204799999997</v>
      </c>
      <c r="I39" s="8">
        <f t="shared" si="2"/>
        <v>73.777952000000028</v>
      </c>
      <c r="J39" s="9">
        <f t="shared" si="3"/>
        <v>0.13384434143679252</v>
      </c>
      <c r="K39" s="7" t="s">
        <v>16</v>
      </c>
    </row>
    <row r="40" spans="1:11" x14ac:dyDescent="0.25">
      <c r="A40" s="7" t="s">
        <v>69</v>
      </c>
      <c r="B40" s="7" t="s">
        <v>105</v>
      </c>
      <c r="C40" s="7" t="s">
        <v>144</v>
      </c>
      <c r="D40" s="7" t="s">
        <v>15</v>
      </c>
      <c r="E40" s="16">
        <v>625</v>
      </c>
      <c r="F40" s="16">
        <v>633.88</v>
      </c>
      <c r="G40" s="8">
        <f t="shared" si="0"/>
        <v>82.65795199999998</v>
      </c>
      <c r="H40" s="8">
        <f t="shared" si="1"/>
        <v>551.22204799999997</v>
      </c>
      <c r="I40" s="8">
        <f t="shared" si="2"/>
        <v>73.777952000000028</v>
      </c>
      <c r="J40" s="9">
        <f t="shared" si="3"/>
        <v>0.13384434143679252</v>
      </c>
      <c r="K40" s="7" t="s">
        <v>16</v>
      </c>
    </row>
    <row r="41" spans="1:11" x14ac:dyDescent="0.25">
      <c r="A41" s="7" t="s">
        <v>69</v>
      </c>
      <c r="B41" s="7" t="s">
        <v>105</v>
      </c>
      <c r="C41" s="7" t="s">
        <v>145</v>
      </c>
      <c r="D41" s="7" t="s">
        <v>15</v>
      </c>
      <c r="E41" s="16">
        <v>625</v>
      </c>
      <c r="F41" s="16">
        <v>633.88</v>
      </c>
      <c r="G41" s="8">
        <f t="shared" si="0"/>
        <v>82.65795199999998</v>
      </c>
      <c r="H41" s="8">
        <f t="shared" si="1"/>
        <v>551.22204799999997</v>
      </c>
      <c r="I41" s="8">
        <f t="shared" si="2"/>
        <v>73.777952000000028</v>
      </c>
      <c r="J41" s="9">
        <f t="shared" si="3"/>
        <v>0.13384434143679252</v>
      </c>
      <c r="K41" s="7" t="s">
        <v>16</v>
      </c>
    </row>
    <row r="42" spans="1:11" x14ac:dyDescent="0.25">
      <c r="A42" s="7" t="s">
        <v>69</v>
      </c>
      <c r="B42" s="7" t="s">
        <v>105</v>
      </c>
      <c r="C42" s="7" t="s">
        <v>146</v>
      </c>
      <c r="D42" s="7" t="s">
        <v>15</v>
      </c>
      <c r="E42" s="16">
        <v>625</v>
      </c>
      <c r="F42" s="16">
        <v>633.88</v>
      </c>
      <c r="G42" s="8">
        <f t="shared" si="0"/>
        <v>82.65795199999998</v>
      </c>
      <c r="H42" s="8">
        <f t="shared" si="1"/>
        <v>551.22204799999997</v>
      </c>
      <c r="I42" s="8">
        <f t="shared" si="2"/>
        <v>73.777952000000028</v>
      </c>
      <c r="J42" s="9">
        <f t="shared" si="3"/>
        <v>0.13384434143679252</v>
      </c>
      <c r="K42" s="7" t="s">
        <v>16</v>
      </c>
    </row>
    <row r="43" spans="1:11" x14ac:dyDescent="0.25">
      <c r="A43" s="7" t="s">
        <v>69</v>
      </c>
      <c r="B43" s="7" t="s">
        <v>105</v>
      </c>
      <c r="C43" s="7" t="s">
        <v>147</v>
      </c>
      <c r="D43" s="7" t="s">
        <v>15</v>
      </c>
      <c r="E43" s="16">
        <v>625</v>
      </c>
      <c r="F43" s="16">
        <v>633.88</v>
      </c>
      <c r="G43" s="8">
        <f t="shared" si="0"/>
        <v>82.65795199999998</v>
      </c>
      <c r="H43" s="8">
        <f t="shared" si="1"/>
        <v>551.22204799999997</v>
      </c>
      <c r="I43" s="8">
        <f t="shared" si="2"/>
        <v>73.777952000000028</v>
      </c>
      <c r="J43" s="9">
        <f t="shared" si="3"/>
        <v>0.13384434143679252</v>
      </c>
      <c r="K43" s="7" t="s">
        <v>16</v>
      </c>
    </row>
    <row r="44" spans="1:11" x14ac:dyDescent="0.25">
      <c r="A44" s="7" t="s">
        <v>69</v>
      </c>
      <c r="B44" s="7" t="s">
        <v>105</v>
      </c>
      <c r="C44" s="7" t="s">
        <v>148</v>
      </c>
      <c r="D44" s="7" t="s">
        <v>15</v>
      </c>
      <c r="E44" s="16">
        <v>625</v>
      </c>
      <c r="F44" s="16">
        <v>633.88</v>
      </c>
      <c r="G44" s="8">
        <f t="shared" si="0"/>
        <v>82.65795199999998</v>
      </c>
      <c r="H44" s="8">
        <f t="shared" si="1"/>
        <v>551.22204799999997</v>
      </c>
      <c r="I44" s="8">
        <f t="shared" si="2"/>
        <v>73.777952000000028</v>
      </c>
      <c r="J44" s="9">
        <f t="shared" si="3"/>
        <v>0.13384434143679252</v>
      </c>
      <c r="K44" s="7" t="s">
        <v>16</v>
      </c>
    </row>
    <row r="45" spans="1:11" x14ac:dyDescent="0.25">
      <c r="A45" s="7" t="s">
        <v>69</v>
      </c>
      <c r="B45" s="7" t="s">
        <v>105</v>
      </c>
      <c r="C45" s="7" t="s">
        <v>149</v>
      </c>
      <c r="D45" s="7" t="s">
        <v>15</v>
      </c>
      <c r="E45" s="16">
        <v>625</v>
      </c>
      <c r="F45" s="16">
        <v>633.88</v>
      </c>
      <c r="G45" s="8">
        <f t="shared" si="0"/>
        <v>82.65795199999998</v>
      </c>
      <c r="H45" s="8">
        <f t="shared" si="1"/>
        <v>551.22204799999997</v>
      </c>
      <c r="I45" s="8">
        <f t="shared" si="2"/>
        <v>73.777952000000028</v>
      </c>
      <c r="J45" s="9">
        <f t="shared" si="3"/>
        <v>0.13384434143679252</v>
      </c>
      <c r="K45" s="7" t="s">
        <v>16</v>
      </c>
    </row>
    <row r="46" spans="1:11" x14ac:dyDescent="0.25">
      <c r="A46" s="7" t="s">
        <v>69</v>
      </c>
      <c r="B46" s="7" t="s">
        <v>105</v>
      </c>
      <c r="C46" s="7" t="s">
        <v>150</v>
      </c>
      <c r="D46" s="7" t="s">
        <v>15</v>
      </c>
      <c r="E46" s="16">
        <v>625</v>
      </c>
      <c r="F46" s="16">
        <v>633.88</v>
      </c>
      <c r="G46" s="8">
        <f t="shared" si="0"/>
        <v>82.65795199999998</v>
      </c>
      <c r="H46" s="8">
        <f t="shared" si="1"/>
        <v>551.22204799999997</v>
      </c>
      <c r="I46" s="8">
        <f t="shared" si="2"/>
        <v>73.777952000000028</v>
      </c>
      <c r="J46" s="9">
        <f t="shared" si="3"/>
        <v>0.13384434143679252</v>
      </c>
      <c r="K46" s="7" t="s">
        <v>16</v>
      </c>
    </row>
    <row r="47" spans="1:11" x14ac:dyDescent="0.25">
      <c r="A47" s="7" t="s">
        <v>69</v>
      </c>
      <c r="B47" s="7" t="s">
        <v>105</v>
      </c>
      <c r="C47" s="7" t="s">
        <v>151</v>
      </c>
      <c r="D47" s="7" t="s">
        <v>15</v>
      </c>
      <c r="E47" s="16">
        <v>625</v>
      </c>
      <c r="F47" s="16">
        <v>633.88</v>
      </c>
      <c r="G47" s="8">
        <f t="shared" si="0"/>
        <v>82.65795199999998</v>
      </c>
      <c r="H47" s="8">
        <f t="shared" si="1"/>
        <v>551.22204799999997</v>
      </c>
      <c r="I47" s="8">
        <f t="shared" si="2"/>
        <v>73.777952000000028</v>
      </c>
      <c r="J47" s="9">
        <f t="shared" si="3"/>
        <v>0.13384434143679252</v>
      </c>
      <c r="K47" s="7" t="s">
        <v>16</v>
      </c>
    </row>
    <row r="48" spans="1:11" x14ac:dyDescent="0.25">
      <c r="A48" s="7" t="s">
        <v>69</v>
      </c>
      <c r="B48" s="7" t="s">
        <v>105</v>
      </c>
      <c r="C48" s="7" t="s">
        <v>152</v>
      </c>
      <c r="D48" s="7" t="s">
        <v>15</v>
      </c>
      <c r="E48" s="16">
        <v>625</v>
      </c>
      <c r="F48" s="16">
        <v>633.88</v>
      </c>
      <c r="G48" s="8">
        <f t="shared" si="0"/>
        <v>82.65795199999998</v>
      </c>
      <c r="H48" s="8">
        <f t="shared" si="1"/>
        <v>551.22204799999997</v>
      </c>
      <c r="I48" s="8">
        <f t="shared" si="2"/>
        <v>73.777952000000028</v>
      </c>
      <c r="J48" s="9">
        <f t="shared" si="3"/>
        <v>0.13384434143679252</v>
      </c>
      <c r="K48" s="7" t="s">
        <v>16</v>
      </c>
    </row>
    <row r="49" spans="1:11" x14ac:dyDescent="0.25">
      <c r="A49" s="7" t="s">
        <v>69</v>
      </c>
      <c r="B49" s="7" t="s">
        <v>105</v>
      </c>
      <c r="C49" s="7" t="s">
        <v>153</v>
      </c>
      <c r="D49" s="7" t="s">
        <v>15</v>
      </c>
      <c r="E49" s="16">
        <v>625</v>
      </c>
      <c r="F49" s="16">
        <v>633.88</v>
      </c>
      <c r="G49" s="8">
        <f t="shared" si="0"/>
        <v>82.65795199999998</v>
      </c>
      <c r="H49" s="8">
        <f t="shared" si="1"/>
        <v>551.22204799999997</v>
      </c>
      <c r="I49" s="8">
        <f t="shared" si="2"/>
        <v>73.777952000000028</v>
      </c>
      <c r="J49" s="9">
        <f t="shared" si="3"/>
        <v>0.13384434143679252</v>
      </c>
      <c r="K49" s="7" t="s">
        <v>16</v>
      </c>
    </row>
    <row r="50" spans="1:11" x14ac:dyDescent="0.25">
      <c r="A50" s="7" t="s">
        <v>69</v>
      </c>
      <c r="B50" s="7" t="s">
        <v>105</v>
      </c>
      <c r="C50" s="7" t="s">
        <v>154</v>
      </c>
      <c r="D50" s="7" t="s">
        <v>15</v>
      </c>
      <c r="E50" s="16">
        <v>625</v>
      </c>
      <c r="F50" s="16">
        <v>633.88</v>
      </c>
      <c r="G50" s="8">
        <f t="shared" si="0"/>
        <v>82.65795199999998</v>
      </c>
      <c r="H50" s="8">
        <f t="shared" si="1"/>
        <v>551.22204799999997</v>
      </c>
      <c r="I50" s="8">
        <f t="shared" si="2"/>
        <v>73.777952000000028</v>
      </c>
      <c r="J50" s="9">
        <f t="shared" si="3"/>
        <v>0.13384434143679252</v>
      </c>
      <c r="K50" s="7" t="s">
        <v>16</v>
      </c>
    </row>
    <row r="51" spans="1:11" x14ac:dyDescent="0.25">
      <c r="A51" s="7" t="s">
        <v>69</v>
      </c>
      <c r="B51" s="7" t="s">
        <v>105</v>
      </c>
      <c r="C51" s="7" t="s">
        <v>155</v>
      </c>
      <c r="D51" s="7" t="s">
        <v>15</v>
      </c>
      <c r="E51" s="16">
        <v>625</v>
      </c>
      <c r="F51" s="16">
        <v>633.88</v>
      </c>
      <c r="G51" s="8">
        <f t="shared" si="0"/>
        <v>82.65795199999998</v>
      </c>
      <c r="H51" s="8">
        <f t="shared" si="1"/>
        <v>551.22204799999997</v>
      </c>
      <c r="I51" s="8">
        <f t="shared" si="2"/>
        <v>73.777952000000028</v>
      </c>
      <c r="J51" s="9">
        <f t="shared" si="3"/>
        <v>0.13384434143679252</v>
      </c>
      <c r="K51" s="7" t="s">
        <v>16</v>
      </c>
    </row>
    <row r="52" spans="1:11" x14ac:dyDescent="0.25">
      <c r="A52" s="7" t="s">
        <v>69</v>
      </c>
      <c r="B52" s="7" t="s">
        <v>105</v>
      </c>
      <c r="C52" s="7" t="s">
        <v>156</v>
      </c>
      <c r="D52" s="7" t="s">
        <v>15</v>
      </c>
      <c r="E52" s="16">
        <v>635</v>
      </c>
      <c r="F52" s="16">
        <v>717.22</v>
      </c>
      <c r="G52" s="8">
        <f t="shared" si="0"/>
        <v>93.52548800000001</v>
      </c>
      <c r="H52" s="8">
        <f t="shared" si="1"/>
        <v>623.69451200000003</v>
      </c>
      <c r="I52" s="8">
        <f t="shared" si="2"/>
        <v>11.305487999999968</v>
      </c>
      <c r="J52" s="9">
        <f t="shared" si="3"/>
        <v>1.8126643384670293E-2</v>
      </c>
      <c r="K52" s="7" t="s">
        <v>16</v>
      </c>
    </row>
    <row r="53" spans="1:11" x14ac:dyDescent="0.25">
      <c r="A53" s="7" t="s">
        <v>69</v>
      </c>
      <c r="B53" s="7" t="s">
        <v>105</v>
      </c>
      <c r="C53" s="7" t="s">
        <v>157</v>
      </c>
      <c r="D53" s="7" t="s">
        <v>15</v>
      </c>
      <c r="E53" s="16">
        <v>635</v>
      </c>
      <c r="F53" s="16">
        <v>717.22</v>
      </c>
      <c r="G53" s="8">
        <f t="shared" si="0"/>
        <v>93.52548800000001</v>
      </c>
      <c r="H53" s="8">
        <f t="shared" si="1"/>
        <v>623.69451200000003</v>
      </c>
      <c r="I53" s="8">
        <f t="shared" si="2"/>
        <v>11.305487999999968</v>
      </c>
      <c r="J53" s="9">
        <f t="shared" si="3"/>
        <v>1.8126643384670293E-2</v>
      </c>
      <c r="K53" s="7" t="s">
        <v>16</v>
      </c>
    </row>
    <row r="54" spans="1:11" x14ac:dyDescent="0.25">
      <c r="A54" s="7" t="s">
        <v>69</v>
      </c>
      <c r="B54" s="7" t="s">
        <v>105</v>
      </c>
      <c r="C54" s="7" t="s">
        <v>158</v>
      </c>
      <c r="D54" s="7" t="s">
        <v>15</v>
      </c>
      <c r="E54" s="16">
        <v>635</v>
      </c>
      <c r="F54" s="16">
        <v>717.22</v>
      </c>
      <c r="G54" s="8">
        <f t="shared" si="0"/>
        <v>93.52548800000001</v>
      </c>
      <c r="H54" s="8">
        <f t="shared" si="1"/>
        <v>623.69451200000003</v>
      </c>
      <c r="I54" s="8">
        <f t="shared" si="2"/>
        <v>11.305487999999968</v>
      </c>
      <c r="J54" s="9">
        <f t="shared" si="3"/>
        <v>1.8126643384670293E-2</v>
      </c>
      <c r="K54" s="7" t="s">
        <v>16</v>
      </c>
    </row>
    <row r="55" spans="1:11" x14ac:dyDescent="0.25">
      <c r="A55" s="7" t="s">
        <v>69</v>
      </c>
      <c r="B55" s="7" t="s">
        <v>105</v>
      </c>
      <c r="C55" s="7" t="s">
        <v>159</v>
      </c>
      <c r="D55" s="7" t="s">
        <v>15</v>
      </c>
      <c r="E55" s="16">
        <v>635</v>
      </c>
      <c r="F55" s="16">
        <v>717.22</v>
      </c>
      <c r="G55" s="8">
        <f t="shared" si="0"/>
        <v>93.52548800000001</v>
      </c>
      <c r="H55" s="8">
        <f t="shared" si="1"/>
        <v>623.69451200000003</v>
      </c>
      <c r="I55" s="8">
        <f t="shared" si="2"/>
        <v>11.305487999999968</v>
      </c>
      <c r="J55" s="9">
        <f t="shared" si="3"/>
        <v>1.8126643384670293E-2</v>
      </c>
      <c r="K55" s="7" t="s">
        <v>16</v>
      </c>
    </row>
    <row r="56" spans="1:11" x14ac:dyDescent="0.25">
      <c r="A56" s="7" t="s">
        <v>69</v>
      </c>
      <c r="B56" s="7" t="s">
        <v>105</v>
      </c>
      <c r="C56" s="7" t="s">
        <v>160</v>
      </c>
      <c r="D56" s="7" t="s">
        <v>15</v>
      </c>
      <c r="E56" s="16">
        <v>635</v>
      </c>
      <c r="F56" s="16">
        <v>717.22</v>
      </c>
      <c r="G56" s="8">
        <f t="shared" si="0"/>
        <v>93.52548800000001</v>
      </c>
      <c r="H56" s="8">
        <f t="shared" si="1"/>
        <v>623.69451200000003</v>
      </c>
      <c r="I56" s="8">
        <f t="shared" si="2"/>
        <v>11.305487999999968</v>
      </c>
      <c r="J56" s="9">
        <f t="shared" si="3"/>
        <v>1.8126643384670293E-2</v>
      </c>
      <c r="K56" s="7" t="s">
        <v>16</v>
      </c>
    </row>
    <row r="57" spans="1:11" x14ac:dyDescent="0.25">
      <c r="A57" s="7" t="s">
        <v>69</v>
      </c>
      <c r="B57" s="7" t="s">
        <v>105</v>
      </c>
      <c r="C57" s="7" t="s">
        <v>161</v>
      </c>
      <c r="D57" s="7" t="s">
        <v>15</v>
      </c>
      <c r="E57" s="16">
        <v>635</v>
      </c>
      <c r="F57" s="16">
        <v>717.22</v>
      </c>
      <c r="G57" s="8">
        <f t="shared" si="0"/>
        <v>93.52548800000001</v>
      </c>
      <c r="H57" s="8">
        <f t="shared" si="1"/>
        <v>623.69451200000003</v>
      </c>
      <c r="I57" s="8">
        <f t="shared" si="2"/>
        <v>11.305487999999968</v>
      </c>
      <c r="J57" s="9">
        <f t="shared" si="3"/>
        <v>1.8126643384670293E-2</v>
      </c>
      <c r="K57" s="7" t="s">
        <v>16</v>
      </c>
    </row>
    <row r="58" spans="1:11" x14ac:dyDescent="0.25">
      <c r="A58" s="7" t="s">
        <v>69</v>
      </c>
      <c r="B58" s="7" t="s">
        <v>105</v>
      </c>
      <c r="C58" s="7" t="s">
        <v>162</v>
      </c>
      <c r="D58" s="7" t="s">
        <v>15</v>
      </c>
      <c r="E58" s="16">
        <v>635</v>
      </c>
      <c r="F58" s="16">
        <v>717.22</v>
      </c>
      <c r="G58" s="8">
        <f t="shared" si="0"/>
        <v>93.52548800000001</v>
      </c>
      <c r="H58" s="8">
        <f t="shared" si="1"/>
        <v>623.69451200000003</v>
      </c>
      <c r="I58" s="8">
        <f t="shared" si="2"/>
        <v>11.305487999999968</v>
      </c>
      <c r="J58" s="9">
        <f t="shared" si="3"/>
        <v>1.8126643384670293E-2</v>
      </c>
      <c r="K58" s="7" t="s">
        <v>16</v>
      </c>
    </row>
    <row r="59" spans="1:11" x14ac:dyDescent="0.25">
      <c r="A59" s="7" t="s">
        <v>69</v>
      </c>
      <c r="B59" s="7" t="s">
        <v>105</v>
      </c>
      <c r="C59" s="7" t="s">
        <v>163</v>
      </c>
      <c r="D59" s="7" t="s">
        <v>15</v>
      </c>
      <c r="E59" s="16">
        <v>635</v>
      </c>
      <c r="F59" s="16">
        <v>717.22</v>
      </c>
      <c r="G59" s="8">
        <f t="shared" si="0"/>
        <v>93.52548800000001</v>
      </c>
      <c r="H59" s="8">
        <f t="shared" si="1"/>
        <v>623.69451200000003</v>
      </c>
      <c r="I59" s="8">
        <f t="shared" si="2"/>
        <v>11.305487999999968</v>
      </c>
      <c r="J59" s="9">
        <f t="shared" si="3"/>
        <v>1.8126643384670293E-2</v>
      </c>
      <c r="K59" s="7" t="s">
        <v>16</v>
      </c>
    </row>
    <row r="60" spans="1:11" x14ac:dyDescent="0.25">
      <c r="A60" s="7" t="s">
        <v>69</v>
      </c>
      <c r="B60" s="7" t="s">
        <v>105</v>
      </c>
      <c r="C60" s="7" t="s">
        <v>164</v>
      </c>
      <c r="D60" s="7" t="s">
        <v>15</v>
      </c>
      <c r="E60" s="16">
        <v>635</v>
      </c>
      <c r="F60" s="16">
        <v>717.22</v>
      </c>
      <c r="G60" s="8">
        <f t="shared" si="0"/>
        <v>93.52548800000001</v>
      </c>
      <c r="H60" s="8">
        <f t="shared" si="1"/>
        <v>623.69451200000003</v>
      </c>
      <c r="I60" s="8">
        <f t="shared" si="2"/>
        <v>11.305487999999968</v>
      </c>
      <c r="J60" s="9">
        <f t="shared" si="3"/>
        <v>1.8126643384670293E-2</v>
      </c>
      <c r="K60" s="7" t="s">
        <v>16</v>
      </c>
    </row>
    <row r="61" spans="1:11" x14ac:dyDescent="0.25">
      <c r="A61" s="7" t="s">
        <v>69</v>
      </c>
      <c r="B61" s="7" t="s">
        <v>105</v>
      </c>
      <c r="C61" s="7" t="s">
        <v>165</v>
      </c>
      <c r="D61" s="7" t="s">
        <v>15</v>
      </c>
      <c r="E61" s="16">
        <v>635</v>
      </c>
      <c r="F61" s="16">
        <v>717.22</v>
      </c>
      <c r="G61" s="8">
        <f t="shared" si="0"/>
        <v>93.52548800000001</v>
      </c>
      <c r="H61" s="8">
        <f t="shared" si="1"/>
        <v>623.69451200000003</v>
      </c>
      <c r="I61" s="8">
        <f t="shared" si="2"/>
        <v>11.305487999999968</v>
      </c>
      <c r="J61" s="9">
        <f t="shared" si="3"/>
        <v>1.8126643384670293E-2</v>
      </c>
      <c r="K61" s="7" t="s">
        <v>16</v>
      </c>
    </row>
    <row r="62" spans="1:11" x14ac:dyDescent="0.25">
      <c r="A62" s="7" t="s">
        <v>69</v>
      </c>
      <c r="B62" s="7" t="s">
        <v>105</v>
      </c>
      <c r="C62" s="7" t="s">
        <v>166</v>
      </c>
      <c r="D62" s="7" t="s">
        <v>15</v>
      </c>
      <c r="E62" s="16">
        <v>635</v>
      </c>
      <c r="F62" s="16">
        <v>717.22</v>
      </c>
      <c r="G62" s="8">
        <f t="shared" si="0"/>
        <v>93.52548800000001</v>
      </c>
      <c r="H62" s="8">
        <f t="shared" si="1"/>
        <v>623.69451200000003</v>
      </c>
      <c r="I62" s="8">
        <f t="shared" si="2"/>
        <v>11.305487999999968</v>
      </c>
      <c r="J62" s="9">
        <f t="shared" si="3"/>
        <v>1.8126643384670293E-2</v>
      </c>
      <c r="K62" s="7" t="s">
        <v>16</v>
      </c>
    </row>
    <row r="63" spans="1:11" x14ac:dyDescent="0.25">
      <c r="A63" s="7" t="s">
        <v>69</v>
      </c>
      <c r="B63" s="7" t="s">
        <v>105</v>
      </c>
      <c r="C63" s="7" t="s">
        <v>167</v>
      </c>
      <c r="D63" s="7" t="s">
        <v>15</v>
      </c>
      <c r="E63" s="16">
        <v>635</v>
      </c>
      <c r="F63" s="16">
        <v>717.22</v>
      </c>
      <c r="G63" s="8">
        <f t="shared" si="0"/>
        <v>93.52548800000001</v>
      </c>
      <c r="H63" s="8">
        <f t="shared" si="1"/>
        <v>623.69451200000003</v>
      </c>
      <c r="I63" s="8">
        <f t="shared" si="2"/>
        <v>11.305487999999968</v>
      </c>
      <c r="J63" s="9">
        <f t="shared" si="3"/>
        <v>1.8126643384670293E-2</v>
      </c>
      <c r="K63" s="7" t="s">
        <v>16</v>
      </c>
    </row>
    <row r="64" spans="1:11" x14ac:dyDescent="0.25">
      <c r="A64" s="7" t="s">
        <v>69</v>
      </c>
      <c r="B64" s="7" t="s">
        <v>105</v>
      </c>
      <c r="C64" s="7" t="s">
        <v>168</v>
      </c>
      <c r="D64" s="7" t="s">
        <v>15</v>
      </c>
      <c r="E64" s="16">
        <v>635</v>
      </c>
      <c r="F64" s="16">
        <v>717.22</v>
      </c>
      <c r="G64" s="8">
        <f t="shared" si="0"/>
        <v>93.52548800000001</v>
      </c>
      <c r="H64" s="8">
        <f t="shared" si="1"/>
        <v>623.69451200000003</v>
      </c>
      <c r="I64" s="8">
        <f t="shared" si="2"/>
        <v>11.305487999999968</v>
      </c>
      <c r="J64" s="9">
        <f t="shared" si="3"/>
        <v>1.8126643384670293E-2</v>
      </c>
      <c r="K64" s="7" t="s">
        <v>16</v>
      </c>
    </row>
    <row r="65" spans="1:11" x14ac:dyDescent="0.25">
      <c r="A65" s="7" t="s">
        <v>69</v>
      </c>
      <c r="B65" s="7" t="s">
        <v>105</v>
      </c>
      <c r="C65" s="7" t="s">
        <v>169</v>
      </c>
      <c r="D65" s="7" t="s">
        <v>15</v>
      </c>
      <c r="E65" s="16">
        <v>635</v>
      </c>
      <c r="F65" s="16">
        <v>717.22</v>
      </c>
      <c r="G65" s="8">
        <f t="shared" si="0"/>
        <v>93.52548800000001</v>
      </c>
      <c r="H65" s="8">
        <f t="shared" si="1"/>
        <v>623.69451200000003</v>
      </c>
      <c r="I65" s="8">
        <f t="shared" si="2"/>
        <v>11.305487999999968</v>
      </c>
      <c r="J65" s="9">
        <f t="shared" si="3"/>
        <v>1.8126643384670293E-2</v>
      </c>
      <c r="K65" s="7" t="s">
        <v>16</v>
      </c>
    </row>
    <row r="66" spans="1:11" x14ac:dyDescent="0.25">
      <c r="A66" s="7" t="s">
        <v>69</v>
      </c>
      <c r="B66" s="7" t="s">
        <v>105</v>
      </c>
      <c r="C66" s="7" t="s">
        <v>170</v>
      </c>
      <c r="D66" s="7" t="s">
        <v>15</v>
      </c>
      <c r="E66" s="16">
        <v>635</v>
      </c>
      <c r="F66" s="16">
        <v>717.22</v>
      </c>
      <c r="G66" s="8">
        <f t="shared" si="0"/>
        <v>93.52548800000001</v>
      </c>
      <c r="H66" s="8">
        <f t="shared" si="1"/>
        <v>623.69451200000003</v>
      </c>
      <c r="I66" s="8">
        <f t="shared" si="2"/>
        <v>11.305487999999968</v>
      </c>
      <c r="J66" s="9">
        <f t="shared" si="3"/>
        <v>1.8126643384670293E-2</v>
      </c>
      <c r="K66" s="7" t="s">
        <v>16</v>
      </c>
    </row>
    <row r="67" spans="1:11" x14ac:dyDescent="0.25">
      <c r="A67" s="7" t="s">
        <v>69</v>
      </c>
      <c r="B67" s="7" t="s">
        <v>105</v>
      </c>
      <c r="C67" s="7" t="s">
        <v>171</v>
      </c>
      <c r="D67" s="7" t="s">
        <v>15</v>
      </c>
      <c r="E67" s="16">
        <v>635</v>
      </c>
      <c r="F67" s="16">
        <v>717.22</v>
      </c>
      <c r="G67" s="8">
        <f t="shared" ref="G67:G130" si="4">F67*13.04/100</f>
        <v>93.52548800000001</v>
      </c>
      <c r="H67" s="8">
        <f t="shared" ref="H67:H130" si="5">F67-G67</f>
        <v>623.69451200000003</v>
      </c>
      <c r="I67" s="8">
        <f t="shared" ref="I67:I130" si="6">E67-H67</f>
        <v>11.305487999999968</v>
      </c>
      <c r="J67" s="9">
        <f t="shared" ref="J67:J130" si="7">(E67-H67)/H67</f>
        <v>1.8126643384670293E-2</v>
      </c>
      <c r="K67" s="7" t="s">
        <v>16</v>
      </c>
    </row>
    <row r="68" spans="1:11" x14ac:dyDescent="0.25">
      <c r="A68" s="7" t="s">
        <v>69</v>
      </c>
      <c r="B68" s="7" t="s">
        <v>105</v>
      </c>
      <c r="C68" s="7" t="s">
        <v>172</v>
      </c>
      <c r="D68" s="7" t="s">
        <v>15</v>
      </c>
      <c r="E68" s="16">
        <v>635</v>
      </c>
      <c r="F68" s="16">
        <v>717.22</v>
      </c>
      <c r="G68" s="8">
        <f t="shared" si="4"/>
        <v>93.52548800000001</v>
      </c>
      <c r="H68" s="8">
        <f t="shared" si="5"/>
        <v>623.69451200000003</v>
      </c>
      <c r="I68" s="8">
        <f t="shared" si="6"/>
        <v>11.305487999999968</v>
      </c>
      <c r="J68" s="9">
        <f t="shared" si="7"/>
        <v>1.8126643384670293E-2</v>
      </c>
      <c r="K68" s="7" t="s">
        <v>16</v>
      </c>
    </row>
    <row r="69" spans="1:11" x14ac:dyDescent="0.25">
      <c r="A69" s="7" t="s">
        <v>69</v>
      </c>
      <c r="B69" s="7" t="s">
        <v>105</v>
      </c>
      <c r="C69" s="7" t="s">
        <v>173</v>
      </c>
      <c r="D69" s="7" t="s">
        <v>15</v>
      </c>
      <c r="E69" s="16">
        <v>635</v>
      </c>
      <c r="F69" s="16">
        <v>717.22</v>
      </c>
      <c r="G69" s="8">
        <f t="shared" si="4"/>
        <v>93.52548800000001</v>
      </c>
      <c r="H69" s="8">
        <f t="shared" si="5"/>
        <v>623.69451200000003</v>
      </c>
      <c r="I69" s="8">
        <f t="shared" si="6"/>
        <v>11.305487999999968</v>
      </c>
      <c r="J69" s="9">
        <f t="shared" si="7"/>
        <v>1.8126643384670293E-2</v>
      </c>
      <c r="K69" s="7" t="s">
        <v>16</v>
      </c>
    </row>
    <row r="70" spans="1:11" x14ac:dyDescent="0.25">
      <c r="A70" s="7" t="s">
        <v>69</v>
      </c>
      <c r="B70" s="7" t="s">
        <v>105</v>
      </c>
      <c r="C70" s="7" t="s">
        <v>174</v>
      </c>
      <c r="D70" s="7" t="s">
        <v>15</v>
      </c>
      <c r="E70" s="16">
        <v>635</v>
      </c>
      <c r="F70" s="16">
        <v>717.22</v>
      </c>
      <c r="G70" s="8">
        <f t="shared" si="4"/>
        <v>93.52548800000001</v>
      </c>
      <c r="H70" s="8">
        <f t="shared" si="5"/>
        <v>623.69451200000003</v>
      </c>
      <c r="I70" s="8">
        <f t="shared" si="6"/>
        <v>11.305487999999968</v>
      </c>
      <c r="J70" s="9">
        <f t="shared" si="7"/>
        <v>1.8126643384670293E-2</v>
      </c>
      <c r="K70" s="7" t="s">
        <v>16</v>
      </c>
    </row>
    <row r="71" spans="1:11" x14ac:dyDescent="0.25">
      <c r="A71" s="7" t="s">
        <v>69</v>
      </c>
      <c r="B71" s="7" t="s">
        <v>105</v>
      </c>
      <c r="C71" s="7" t="s">
        <v>175</v>
      </c>
      <c r="D71" s="7" t="s">
        <v>15</v>
      </c>
      <c r="E71" s="16">
        <v>635</v>
      </c>
      <c r="F71" s="16">
        <v>717.22</v>
      </c>
      <c r="G71" s="8">
        <f t="shared" si="4"/>
        <v>93.52548800000001</v>
      </c>
      <c r="H71" s="8">
        <f t="shared" si="5"/>
        <v>623.69451200000003</v>
      </c>
      <c r="I71" s="8">
        <f t="shared" si="6"/>
        <v>11.305487999999968</v>
      </c>
      <c r="J71" s="9">
        <f t="shared" si="7"/>
        <v>1.8126643384670293E-2</v>
      </c>
      <c r="K71" s="7" t="s">
        <v>16</v>
      </c>
    </row>
    <row r="72" spans="1:11" x14ac:dyDescent="0.25">
      <c r="A72" s="7" t="s">
        <v>69</v>
      </c>
      <c r="B72" s="7" t="s">
        <v>105</v>
      </c>
      <c r="C72" s="7" t="s">
        <v>176</v>
      </c>
      <c r="D72" s="7" t="s">
        <v>15</v>
      </c>
      <c r="E72" s="16">
        <v>635</v>
      </c>
      <c r="F72" s="16">
        <v>633.88</v>
      </c>
      <c r="G72" s="8">
        <f t="shared" si="4"/>
        <v>82.65795199999998</v>
      </c>
      <c r="H72" s="8">
        <f t="shared" si="5"/>
        <v>551.22204799999997</v>
      </c>
      <c r="I72" s="8">
        <f t="shared" si="6"/>
        <v>83.777952000000028</v>
      </c>
      <c r="J72" s="9">
        <f t="shared" si="7"/>
        <v>0.1519858508997812</v>
      </c>
      <c r="K72" s="7" t="s">
        <v>16</v>
      </c>
    </row>
    <row r="73" spans="1:11" x14ac:dyDescent="0.25">
      <c r="A73" s="7" t="s">
        <v>69</v>
      </c>
      <c r="B73" s="7" t="s">
        <v>105</v>
      </c>
      <c r="C73" s="7" t="s">
        <v>177</v>
      </c>
      <c r="D73" s="7" t="s">
        <v>15</v>
      </c>
      <c r="E73" s="16">
        <v>635</v>
      </c>
      <c r="F73" s="16">
        <v>633.88</v>
      </c>
      <c r="G73" s="8">
        <f t="shared" si="4"/>
        <v>82.65795199999998</v>
      </c>
      <c r="H73" s="8">
        <f t="shared" si="5"/>
        <v>551.22204799999997</v>
      </c>
      <c r="I73" s="8">
        <f t="shared" si="6"/>
        <v>83.777952000000028</v>
      </c>
      <c r="J73" s="9">
        <f t="shared" si="7"/>
        <v>0.1519858508997812</v>
      </c>
      <c r="K73" s="7" t="s">
        <v>16</v>
      </c>
    </row>
    <row r="74" spans="1:11" x14ac:dyDescent="0.25">
      <c r="A74" s="7" t="s">
        <v>69</v>
      </c>
      <c r="B74" s="7" t="s">
        <v>105</v>
      </c>
      <c r="C74" s="7" t="s">
        <v>178</v>
      </c>
      <c r="D74" s="7" t="s">
        <v>15</v>
      </c>
      <c r="E74" s="16">
        <v>635</v>
      </c>
      <c r="F74" s="16">
        <v>633.88</v>
      </c>
      <c r="G74" s="8">
        <f t="shared" si="4"/>
        <v>82.65795199999998</v>
      </c>
      <c r="H74" s="8">
        <f t="shared" si="5"/>
        <v>551.22204799999997</v>
      </c>
      <c r="I74" s="8">
        <f t="shared" si="6"/>
        <v>83.777952000000028</v>
      </c>
      <c r="J74" s="9">
        <f t="shared" si="7"/>
        <v>0.1519858508997812</v>
      </c>
      <c r="K74" s="7" t="s">
        <v>16</v>
      </c>
    </row>
    <row r="75" spans="1:11" x14ac:dyDescent="0.25">
      <c r="A75" s="7" t="s">
        <v>69</v>
      </c>
      <c r="B75" s="7" t="s">
        <v>105</v>
      </c>
      <c r="C75" s="7" t="s">
        <v>179</v>
      </c>
      <c r="D75" s="7" t="s">
        <v>15</v>
      </c>
      <c r="E75" s="16">
        <v>635</v>
      </c>
      <c r="F75" s="16">
        <v>633.88</v>
      </c>
      <c r="G75" s="8">
        <f t="shared" si="4"/>
        <v>82.65795199999998</v>
      </c>
      <c r="H75" s="8">
        <f t="shared" si="5"/>
        <v>551.22204799999997</v>
      </c>
      <c r="I75" s="8">
        <f t="shared" si="6"/>
        <v>83.777952000000028</v>
      </c>
      <c r="J75" s="9">
        <f t="shared" si="7"/>
        <v>0.1519858508997812</v>
      </c>
      <c r="K75" s="7" t="s">
        <v>16</v>
      </c>
    </row>
    <row r="76" spans="1:11" x14ac:dyDescent="0.25">
      <c r="A76" s="7" t="s">
        <v>69</v>
      </c>
      <c r="B76" s="7" t="s">
        <v>105</v>
      </c>
      <c r="C76" s="7" t="s">
        <v>180</v>
      </c>
      <c r="D76" s="7" t="s">
        <v>15</v>
      </c>
      <c r="E76" s="16">
        <v>635</v>
      </c>
      <c r="F76" s="16">
        <v>633.88</v>
      </c>
      <c r="G76" s="8">
        <f t="shared" si="4"/>
        <v>82.65795199999998</v>
      </c>
      <c r="H76" s="8">
        <f t="shared" si="5"/>
        <v>551.22204799999997</v>
      </c>
      <c r="I76" s="8">
        <f t="shared" si="6"/>
        <v>83.777952000000028</v>
      </c>
      <c r="J76" s="9">
        <f t="shared" si="7"/>
        <v>0.1519858508997812</v>
      </c>
      <c r="K76" s="7" t="s">
        <v>16</v>
      </c>
    </row>
    <row r="77" spans="1:11" x14ac:dyDescent="0.25">
      <c r="A77" s="7" t="s">
        <v>69</v>
      </c>
      <c r="B77" s="7" t="s">
        <v>105</v>
      </c>
      <c r="C77" s="7" t="s">
        <v>181</v>
      </c>
      <c r="D77" s="7" t="s">
        <v>15</v>
      </c>
      <c r="E77" s="16">
        <v>635</v>
      </c>
      <c r="F77" s="16">
        <v>633.88</v>
      </c>
      <c r="G77" s="8">
        <f t="shared" si="4"/>
        <v>82.65795199999998</v>
      </c>
      <c r="H77" s="8">
        <f t="shared" si="5"/>
        <v>551.22204799999997</v>
      </c>
      <c r="I77" s="8">
        <f t="shared" si="6"/>
        <v>83.777952000000028</v>
      </c>
      <c r="J77" s="9">
        <f t="shared" si="7"/>
        <v>0.1519858508997812</v>
      </c>
      <c r="K77" s="7" t="s">
        <v>16</v>
      </c>
    </row>
    <row r="78" spans="1:11" x14ac:dyDescent="0.25">
      <c r="A78" s="7" t="s">
        <v>69</v>
      </c>
      <c r="B78" s="7" t="s">
        <v>105</v>
      </c>
      <c r="C78" s="7" t="s">
        <v>182</v>
      </c>
      <c r="D78" s="7" t="s">
        <v>15</v>
      </c>
      <c r="E78" s="16">
        <v>635</v>
      </c>
      <c r="F78" s="16">
        <v>633.88</v>
      </c>
      <c r="G78" s="8">
        <f t="shared" si="4"/>
        <v>82.65795199999998</v>
      </c>
      <c r="H78" s="8">
        <f t="shared" si="5"/>
        <v>551.22204799999997</v>
      </c>
      <c r="I78" s="8">
        <f t="shared" si="6"/>
        <v>83.777952000000028</v>
      </c>
      <c r="J78" s="9">
        <f t="shared" si="7"/>
        <v>0.1519858508997812</v>
      </c>
      <c r="K78" s="7" t="s">
        <v>16</v>
      </c>
    </row>
    <row r="79" spans="1:11" x14ac:dyDescent="0.25">
      <c r="A79" s="7" t="s">
        <v>69</v>
      </c>
      <c r="B79" s="7" t="s">
        <v>105</v>
      </c>
      <c r="C79" s="7" t="s">
        <v>183</v>
      </c>
      <c r="D79" s="7" t="s">
        <v>15</v>
      </c>
      <c r="E79" s="16">
        <v>635</v>
      </c>
      <c r="F79" s="16">
        <v>633.88</v>
      </c>
      <c r="G79" s="8">
        <f t="shared" si="4"/>
        <v>82.65795199999998</v>
      </c>
      <c r="H79" s="8">
        <f t="shared" si="5"/>
        <v>551.22204799999997</v>
      </c>
      <c r="I79" s="8">
        <f t="shared" si="6"/>
        <v>83.777952000000028</v>
      </c>
      <c r="J79" s="9">
        <f t="shared" si="7"/>
        <v>0.1519858508997812</v>
      </c>
      <c r="K79" s="7" t="s">
        <v>16</v>
      </c>
    </row>
    <row r="80" spans="1:11" x14ac:dyDescent="0.25">
      <c r="A80" s="7" t="s">
        <v>69</v>
      </c>
      <c r="B80" s="7" t="s">
        <v>105</v>
      </c>
      <c r="C80" s="7" t="s">
        <v>184</v>
      </c>
      <c r="D80" s="7" t="s">
        <v>15</v>
      </c>
      <c r="E80" s="16">
        <v>635</v>
      </c>
      <c r="F80" s="16">
        <v>633.88</v>
      </c>
      <c r="G80" s="8">
        <f t="shared" si="4"/>
        <v>82.65795199999998</v>
      </c>
      <c r="H80" s="8">
        <f t="shared" si="5"/>
        <v>551.22204799999997</v>
      </c>
      <c r="I80" s="8">
        <f t="shared" si="6"/>
        <v>83.777952000000028</v>
      </c>
      <c r="J80" s="9">
        <f t="shared" si="7"/>
        <v>0.1519858508997812</v>
      </c>
      <c r="K80" s="7" t="s">
        <v>16</v>
      </c>
    </row>
    <row r="81" spans="1:11" x14ac:dyDescent="0.25">
      <c r="A81" s="7" t="s">
        <v>69</v>
      </c>
      <c r="B81" s="7" t="s">
        <v>105</v>
      </c>
      <c r="C81" s="7" t="s">
        <v>185</v>
      </c>
      <c r="D81" s="7" t="s">
        <v>15</v>
      </c>
      <c r="E81" s="16">
        <v>635</v>
      </c>
      <c r="F81" s="16">
        <v>633.88</v>
      </c>
      <c r="G81" s="8">
        <f t="shared" si="4"/>
        <v>82.65795199999998</v>
      </c>
      <c r="H81" s="8">
        <f t="shared" si="5"/>
        <v>551.22204799999997</v>
      </c>
      <c r="I81" s="8">
        <f t="shared" si="6"/>
        <v>83.777952000000028</v>
      </c>
      <c r="J81" s="9">
        <f t="shared" si="7"/>
        <v>0.1519858508997812</v>
      </c>
      <c r="K81" s="7" t="s">
        <v>16</v>
      </c>
    </row>
    <row r="82" spans="1:11" x14ac:dyDescent="0.25">
      <c r="A82" s="7" t="s">
        <v>69</v>
      </c>
      <c r="B82" s="7" t="s">
        <v>105</v>
      </c>
      <c r="C82" s="7" t="s">
        <v>186</v>
      </c>
      <c r="D82" s="7" t="s">
        <v>15</v>
      </c>
      <c r="E82" s="16">
        <v>635</v>
      </c>
      <c r="F82" s="16">
        <v>633.88</v>
      </c>
      <c r="G82" s="8">
        <f t="shared" si="4"/>
        <v>82.65795199999998</v>
      </c>
      <c r="H82" s="8">
        <f t="shared" si="5"/>
        <v>551.22204799999997</v>
      </c>
      <c r="I82" s="8">
        <f t="shared" si="6"/>
        <v>83.777952000000028</v>
      </c>
      <c r="J82" s="9">
        <f t="shared" si="7"/>
        <v>0.1519858508997812</v>
      </c>
      <c r="K82" s="7" t="s">
        <v>16</v>
      </c>
    </row>
    <row r="83" spans="1:11" x14ac:dyDescent="0.25">
      <c r="A83" s="7" t="s">
        <v>69</v>
      </c>
      <c r="B83" s="7" t="s">
        <v>105</v>
      </c>
      <c r="C83" s="7" t="s">
        <v>187</v>
      </c>
      <c r="D83" s="7" t="s">
        <v>15</v>
      </c>
      <c r="E83" s="16">
        <v>635</v>
      </c>
      <c r="F83" s="16">
        <v>633.88</v>
      </c>
      <c r="G83" s="8">
        <f t="shared" si="4"/>
        <v>82.65795199999998</v>
      </c>
      <c r="H83" s="8">
        <f t="shared" si="5"/>
        <v>551.22204799999997</v>
      </c>
      <c r="I83" s="8">
        <f t="shared" si="6"/>
        <v>83.777952000000028</v>
      </c>
      <c r="J83" s="9">
        <f t="shared" si="7"/>
        <v>0.1519858508997812</v>
      </c>
      <c r="K83" s="7" t="s">
        <v>16</v>
      </c>
    </row>
    <row r="84" spans="1:11" x14ac:dyDescent="0.25">
      <c r="A84" s="7" t="s">
        <v>69</v>
      </c>
      <c r="B84" s="7" t="s">
        <v>105</v>
      </c>
      <c r="C84" s="7" t="s">
        <v>188</v>
      </c>
      <c r="D84" s="7" t="s">
        <v>15</v>
      </c>
      <c r="E84" s="16">
        <v>635</v>
      </c>
      <c r="F84" s="16">
        <v>633.88</v>
      </c>
      <c r="G84" s="8">
        <f t="shared" si="4"/>
        <v>82.65795199999998</v>
      </c>
      <c r="H84" s="8">
        <f t="shared" si="5"/>
        <v>551.22204799999997</v>
      </c>
      <c r="I84" s="8">
        <f t="shared" si="6"/>
        <v>83.777952000000028</v>
      </c>
      <c r="J84" s="9">
        <f t="shared" si="7"/>
        <v>0.1519858508997812</v>
      </c>
      <c r="K84" s="7" t="s">
        <v>16</v>
      </c>
    </row>
    <row r="85" spans="1:11" x14ac:dyDescent="0.25">
      <c r="A85" s="7" t="s">
        <v>69</v>
      </c>
      <c r="B85" s="7" t="s">
        <v>105</v>
      </c>
      <c r="C85" s="7" t="s">
        <v>189</v>
      </c>
      <c r="D85" s="7" t="s">
        <v>15</v>
      </c>
      <c r="E85" s="16">
        <v>635</v>
      </c>
      <c r="F85" s="16">
        <v>633.88</v>
      </c>
      <c r="G85" s="8">
        <f t="shared" si="4"/>
        <v>82.65795199999998</v>
      </c>
      <c r="H85" s="8">
        <f t="shared" si="5"/>
        <v>551.22204799999997</v>
      </c>
      <c r="I85" s="8">
        <f t="shared" si="6"/>
        <v>83.777952000000028</v>
      </c>
      <c r="J85" s="9">
        <f t="shared" si="7"/>
        <v>0.1519858508997812</v>
      </c>
      <c r="K85" s="7" t="s">
        <v>16</v>
      </c>
    </row>
    <row r="86" spans="1:11" x14ac:dyDescent="0.25">
      <c r="A86" s="7" t="s">
        <v>69</v>
      </c>
      <c r="B86" s="7" t="s">
        <v>105</v>
      </c>
      <c r="C86" s="7" t="s">
        <v>190</v>
      </c>
      <c r="D86" s="7" t="s">
        <v>15</v>
      </c>
      <c r="E86" s="16">
        <v>635</v>
      </c>
      <c r="F86" s="16">
        <v>633.88</v>
      </c>
      <c r="G86" s="8">
        <f t="shared" si="4"/>
        <v>82.65795199999998</v>
      </c>
      <c r="H86" s="8">
        <f t="shared" si="5"/>
        <v>551.22204799999997</v>
      </c>
      <c r="I86" s="8">
        <f t="shared" si="6"/>
        <v>83.777952000000028</v>
      </c>
      <c r="J86" s="9">
        <f t="shared" si="7"/>
        <v>0.1519858508997812</v>
      </c>
      <c r="K86" s="7" t="s">
        <v>16</v>
      </c>
    </row>
    <row r="87" spans="1:11" x14ac:dyDescent="0.25">
      <c r="A87" s="7" t="s">
        <v>69</v>
      </c>
      <c r="B87" s="7" t="s">
        <v>105</v>
      </c>
      <c r="C87" s="7" t="s">
        <v>191</v>
      </c>
      <c r="D87" s="7" t="s">
        <v>15</v>
      </c>
      <c r="E87" s="16">
        <v>635</v>
      </c>
      <c r="F87" s="16">
        <v>633.88</v>
      </c>
      <c r="G87" s="8">
        <f t="shared" si="4"/>
        <v>82.65795199999998</v>
      </c>
      <c r="H87" s="8">
        <f t="shared" si="5"/>
        <v>551.22204799999997</v>
      </c>
      <c r="I87" s="8">
        <f t="shared" si="6"/>
        <v>83.777952000000028</v>
      </c>
      <c r="J87" s="9">
        <f t="shared" si="7"/>
        <v>0.1519858508997812</v>
      </c>
      <c r="K87" s="7" t="s">
        <v>16</v>
      </c>
    </row>
    <row r="88" spans="1:11" x14ac:dyDescent="0.25">
      <c r="A88" s="7" t="s">
        <v>69</v>
      </c>
      <c r="B88" s="7" t="s">
        <v>105</v>
      </c>
      <c r="C88" s="7" t="s">
        <v>192</v>
      </c>
      <c r="D88" s="7" t="s">
        <v>15</v>
      </c>
      <c r="E88" s="16">
        <v>635</v>
      </c>
      <c r="F88" s="16">
        <v>633.88</v>
      </c>
      <c r="G88" s="8">
        <f t="shared" si="4"/>
        <v>82.65795199999998</v>
      </c>
      <c r="H88" s="8">
        <f t="shared" si="5"/>
        <v>551.22204799999997</v>
      </c>
      <c r="I88" s="8">
        <f t="shared" si="6"/>
        <v>83.777952000000028</v>
      </c>
      <c r="J88" s="9">
        <f t="shared" si="7"/>
        <v>0.1519858508997812</v>
      </c>
      <c r="K88" s="7" t="s">
        <v>16</v>
      </c>
    </row>
    <row r="89" spans="1:11" x14ac:dyDescent="0.25">
      <c r="A89" s="7" t="s">
        <v>69</v>
      </c>
      <c r="B89" s="7" t="s">
        <v>105</v>
      </c>
      <c r="C89" s="7" t="s">
        <v>193</v>
      </c>
      <c r="D89" s="7" t="s">
        <v>15</v>
      </c>
      <c r="E89" s="16">
        <v>635</v>
      </c>
      <c r="F89" s="16">
        <v>633.88</v>
      </c>
      <c r="G89" s="8">
        <f t="shared" si="4"/>
        <v>82.65795199999998</v>
      </c>
      <c r="H89" s="8">
        <f t="shared" si="5"/>
        <v>551.22204799999997</v>
      </c>
      <c r="I89" s="8">
        <f t="shared" si="6"/>
        <v>83.777952000000028</v>
      </c>
      <c r="J89" s="9">
        <f t="shared" si="7"/>
        <v>0.1519858508997812</v>
      </c>
      <c r="K89" s="7" t="s">
        <v>16</v>
      </c>
    </row>
    <row r="90" spans="1:11" x14ac:dyDescent="0.25">
      <c r="A90" s="7" t="s">
        <v>69</v>
      </c>
      <c r="B90" s="7" t="s">
        <v>105</v>
      </c>
      <c r="C90" s="7" t="s">
        <v>194</v>
      </c>
      <c r="D90" s="7" t="s">
        <v>15</v>
      </c>
      <c r="E90" s="16">
        <v>635</v>
      </c>
      <c r="F90" s="16">
        <v>633.88</v>
      </c>
      <c r="G90" s="8">
        <f t="shared" si="4"/>
        <v>82.65795199999998</v>
      </c>
      <c r="H90" s="8">
        <f t="shared" si="5"/>
        <v>551.22204799999997</v>
      </c>
      <c r="I90" s="8">
        <f t="shared" si="6"/>
        <v>83.777952000000028</v>
      </c>
      <c r="J90" s="9">
        <f t="shared" si="7"/>
        <v>0.1519858508997812</v>
      </c>
      <c r="K90" s="7" t="s">
        <v>16</v>
      </c>
    </row>
    <row r="91" spans="1:11" x14ac:dyDescent="0.25">
      <c r="A91" s="7" t="s">
        <v>69</v>
      </c>
      <c r="B91" s="7" t="s">
        <v>105</v>
      </c>
      <c r="C91" s="7" t="s">
        <v>195</v>
      </c>
      <c r="D91" s="7" t="s">
        <v>15</v>
      </c>
      <c r="E91" s="16">
        <v>635</v>
      </c>
      <c r="F91" s="16">
        <v>633.88</v>
      </c>
      <c r="G91" s="8">
        <f t="shared" si="4"/>
        <v>82.65795199999998</v>
      </c>
      <c r="H91" s="8">
        <f t="shared" si="5"/>
        <v>551.22204799999997</v>
      </c>
      <c r="I91" s="8">
        <f t="shared" si="6"/>
        <v>83.777952000000028</v>
      </c>
      <c r="J91" s="9">
        <f t="shared" si="7"/>
        <v>0.1519858508997812</v>
      </c>
      <c r="K91" s="7" t="s">
        <v>16</v>
      </c>
    </row>
    <row r="92" spans="1:11" x14ac:dyDescent="0.25">
      <c r="A92" s="7" t="s">
        <v>69</v>
      </c>
      <c r="B92" s="7" t="s">
        <v>105</v>
      </c>
      <c r="C92" s="7" t="s">
        <v>196</v>
      </c>
      <c r="D92" s="7" t="s">
        <v>15</v>
      </c>
      <c r="E92" s="16">
        <v>635</v>
      </c>
      <c r="F92" s="16">
        <v>633.88</v>
      </c>
      <c r="G92" s="8">
        <f t="shared" si="4"/>
        <v>82.65795199999998</v>
      </c>
      <c r="H92" s="8">
        <f t="shared" si="5"/>
        <v>551.22204799999997</v>
      </c>
      <c r="I92" s="8">
        <f t="shared" si="6"/>
        <v>83.777952000000028</v>
      </c>
      <c r="J92" s="9">
        <f t="shared" si="7"/>
        <v>0.1519858508997812</v>
      </c>
      <c r="K92" s="7" t="s">
        <v>16</v>
      </c>
    </row>
    <row r="93" spans="1:11" x14ac:dyDescent="0.25">
      <c r="A93" s="7" t="s">
        <v>69</v>
      </c>
      <c r="B93" s="7" t="s">
        <v>105</v>
      </c>
      <c r="C93" s="7" t="s">
        <v>197</v>
      </c>
      <c r="D93" s="7" t="s">
        <v>15</v>
      </c>
      <c r="E93" s="16">
        <v>635</v>
      </c>
      <c r="F93" s="16">
        <v>633.88</v>
      </c>
      <c r="G93" s="8">
        <f t="shared" si="4"/>
        <v>82.65795199999998</v>
      </c>
      <c r="H93" s="8">
        <f t="shared" si="5"/>
        <v>551.22204799999997</v>
      </c>
      <c r="I93" s="8">
        <f t="shared" si="6"/>
        <v>83.777952000000028</v>
      </c>
      <c r="J93" s="9">
        <f t="shared" si="7"/>
        <v>0.1519858508997812</v>
      </c>
      <c r="K93" s="7" t="s">
        <v>16</v>
      </c>
    </row>
    <row r="94" spans="1:11" x14ac:dyDescent="0.25">
      <c r="A94" s="7" t="s">
        <v>69</v>
      </c>
      <c r="B94" s="7" t="s">
        <v>105</v>
      </c>
      <c r="C94" s="7" t="s">
        <v>198</v>
      </c>
      <c r="D94" s="7" t="s">
        <v>15</v>
      </c>
      <c r="E94" s="16">
        <v>635</v>
      </c>
      <c r="F94" s="16">
        <v>633.88</v>
      </c>
      <c r="G94" s="8">
        <f t="shared" si="4"/>
        <v>82.65795199999998</v>
      </c>
      <c r="H94" s="8">
        <f t="shared" si="5"/>
        <v>551.22204799999997</v>
      </c>
      <c r="I94" s="8">
        <f t="shared" si="6"/>
        <v>83.777952000000028</v>
      </c>
      <c r="J94" s="9">
        <f t="shared" si="7"/>
        <v>0.1519858508997812</v>
      </c>
      <c r="K94" s="7" t="s">
        <v>16</v>
      </c>
    </row>
    <row r="95" spans="1:11" x14ac:dyDescent="0.25">
      <c r="A95" s="7" t="s">
        <v>69</v>
      </c>
      <c r="B95" s="7" t="s">
        <v>105</v>
      </c>
      <c r="C95" s="7" t="s">
        <v>199</v>
      </c>
      <c r="D95" s="7" t="s">
        <v>15</v>
      </c>
      <c r="E95" s="16">
        <v>635</v>
      </c>
      <c r="F95" s="16">
        <v>633.88</v>
      </c>
      <c r="G95" s="8">
        <f t="shared" si="4"/>
        <v>82.65795199999998</v>
      </c>
      <c r="H95" s="8">
        <f t="shared" si="5"/>
        <v>551.22204799999997</v>
      </c>
      <c r="I95" s="8">
        <f t="shared" si="6"/>
        <v>83.777952000000028</v>
      </c>
      <c r="J95" s="9">
        <f t="shared" si="7"/>
        <v>0.1519858508997812</v>
      </c>
      <c r="K95" s="7" t="s">
        <v>16</v>
      </c>
    </row>
    <row r="96" spans="1:11" x14ac:dyDescent="0.25">
      <c r="A96" s="7" t="s">
        <v>69</v>
      </c>
      <c r="B96" s="7" t="s">
        <v>105</v>
      </c>
      <c r="C96" s="7" t="s">
        <v>200</v>
      </c>
      <c r="D96" s="7" t="s">
        <v>15</v>
      </c>
      <c r="E96" s="16">
        <v>635</v>
      </c>
      <c r="F96" s="16">
        <v>633.88</v>
      </c>
      <c r="G96" s="8">
        <f t="shared" si="4"/>
        <v>82.65795199999998</v>
      </c>
      <c r="H96" s="8">
        <f t="shared" si="5"/>
        <v>551.22204799999997</v>
      </c>
      <c r="I96" s="8">
        <f t="shared" si="6"/>
        <v>83.777952000000028</v>
      </c>
      <c r="J96" s="9">
        <f t="shared" si="7"/>
        <v>0.1519858508997812</v>
      </c>
      <c r="K96" s="7" t="s">
        <v>16</v>
      </c>
    </row>
    <row r="97" spans="1:11" x14ac:dyDescent="0.25">
      <c r="A97" s="7" t="s">
        <v>69</v>
      </c>
      <c r="B97" s="7" t="s">
        <v>105</v>
      </c>
      <c r="C97" s="7" t="s">
        <v>201</v>
      </c>
      <c r="D97" s="7" t="s">
        <v>15</v>
      </c>
      <c r="E97" s="16">
        <v>635</v>
      </c>
      <c r="F97" s="16">
        <v>633.88</v>
      </c>
      <c r="G97" s="8">
        <f t="shared" si="4"/>
        <v>82.65795199999998</v>
      </c>
      <c r="H97" s="8">
        <f t="shared" si="5"/>
        <v>551.22204799999997</v>
      </c>
      <c r="I97" s="8">
        <f t="shared" si="6"/>
        <v>83.777952000000028</v>
      </c>
      <c r="J97" s="9">
        <f t="shared" si="7"/>
        <v>0.1519858508997812</v>
      </c>
      <c r="K97" s="7" t="s">
        <v>16</v>
      </c>
    </row>
    <row r="98" spans="1:11" x14ac:dyDescent="0.25">
      <c r="A98" s="7" t="s">
        <v>69</v>
      </c>
      <c r="B98" s="7" t="s">
        <v>105</v>
      </c>
      <c r="C98" s="7" t="s">
        <v>202</v>
      </c>
      <c r="D98" s="7" t="s">
        <v>15</v>
      </c>
      <c r="E98" s="16">
        <v>635</v>
      </c>
      <c r="F98" s="16">
        <v>633.88</v>
      </c>
      <c r="G98" s="8">
        <f t="shared" si="4"/>
        <v>82.65795199999998</v>
      </c>
      <c r="H98" s="8">
        <f t="shared" si="5"/>
        <v>551.22204799999997</v>
      </c>
      <c r="I98" s="8">
        <f t="shared" si="6"/>
        <v>83.777952000000028</v>
      </c>
      <c r="J98" s="9">
        <f t="shared" si="7"/>
        <v>0.1519858508997812</v>
      </c>
      <c r="K98" s="7" t="s">
        <v>16</v>
      </c>
    </row>
    <row r="99" spans="1:11" x14ac:dyDescent="0.25">
      <c r="A99" s="7" t="s">
        <v>69</v>
      </c>
      <c r="B99" s="7" t="s">
        <v>105</v>
      </c>
      <c r="C99" s="7" t="s">
        <v>203</v>
      </c>
      <c r="D99" s="7" t="s">
        <v>15</v>
      </c>
      <c r="E99" s="16">
        <v>635</v>
      </c>
      <c r="F99" s="16">
        <v>633.88</v>
      </c>
      <c r="G99" s="8">
        <f t="shared" si="4"/>
        <v>82.65795199999998</v>
      </c>
      <c r="H99" s="8">
        <f t="shared" si="5"/>
        <v>551.22204799999997</v>
      </c>
      <c r="I99" s="8">
        <f t="shared" si="6"/>
        <v>83.777952000000028</v>
      </c>
      <c r="J99" s="9">
        <f t="shared" si="7"/>
        <v>0.1519858508997812</v>
      </c>
      <c r="K99" s="7" t="s">
        <v>16</v>
      </c>
    </row>
    <row r="100" spans="1:11" x14ac:dyDescent="0.25">
      <c r="A100" s="7" t="s">
        <v>69</v>
      </c>
      <c r="B100" s="7" t="s">
        <v>105</v>
      </c>
      <c r="C100" s="7" t="s">
        <v>204</v>
      </c>
      <c r="D100" s="7" t="s">
        <v>15</v>
      </c>
      <c r="E100" s="16">
        <v>635</v>
      </c>
      <c r="F100" s="16">
        <v>633.88</v>
      </c>
      <c r="G100" s="8">
        <f t="shared" si="4"/>
        <v>82.65795199999998</v>
      </c>
      <c r="H100" s="8">
        <f t="shared" si="5"/>
        <v>551.22204799999997</v>
      </c>
      <c r="I100" s="8">
        <f t="shared" si="6"/>
        <v>83.777952000000028</v>
      </c>
      <c r="J100" s="9">
        <f t="shared" si="7"/>
        <v>0.1519858508997812</v>
      </c>
      <c r="K100" s="7" t="s">
        <v>16</v>
      </c>
    </row>
    <row r="101" spans="1:11" x14ac:dyDescent="0.25">
      <c r="A101" s="7" t="s">
        <v>69</v>
      </c>
      <c r="B101" s="7" t="s">
        <v>105</v>
      </c>
      <c r="C101" s="7" t="s">
        <v>205</v>
      </c>
      <c r="D101" s="7" t="s">
        <v>15</v>
      </c>
      <c r="E101" s="16">
        <v>635</v>
      </c>
      <c r="F101" s="16">
        <v>633.88</v>
      </c>
      <c r="G101" s="8">
        <f t="shared" si="4"/>
        <v>82.65795199999998</v>
      </c>
      <c r="H101" s="8">
        <f t="shared" si="5"/>
        <v>551.22204799999997</v>
      </c>
      <c r="I101" s="8">
        <f t="shared" si="6"/>
        <v>83.777952000000028</v>
      </c>
      <c r="J101" s="9">
        <f t="shared" si="7"/>
        <v>0.1519858508997812</v>
      </c>
      <c r="K101" s="7" t="s">
        <v>16</v>
      </c>
    </row>
    <row r="102" spans="1:11" x14ac:dyDescent="0.25">
      <c r="A102" s="7" t="s">
        <v>545</v>
      </c>
      <c r="B102" s="7" t="s">
        <v>105</v>
      </c>
      <c r="C102" s="7" t="s">
        <v>557</v>
      </c>
      <c r="D102" s="7" t="s">
        <v>15</v>
      </c>
      <c r="E102" s="16">
        <v>630</v>
      </c>
      <c r="F102" s="16">
        <v>637</v>
      </c>
      <c r="G102" s="8">
        <f t="shared" si="4"/>
        <v>83.064799999999991</v>
      </c>
      <c r="H102" s="8">
        <f t="shared" si="5"/>
        <v>553.93520000000001</v>
      </c>
      <c r="I102" s="8">
        <f t="shared" si="6"/>
        <v>76.064799999999991</v>
      </c>
      <c r="J102" s="9">
        <f t="shared" si="7"/>
        <v>0.13731714467685027</v>
      </c>
      <c r="K102" s="7" t="s">
        <v>81</v>
      </c>
    </row>
    <row r="103" spans="1:11" x14ac:dyDescent="0.25">
      <c r="A103" s="7" t="s">
        <v>545</v>
      </c>
      <c r="B103" s="7" t="s">
        <v>105</v>
      </c>
      <c r="C103" s="7" t="s">
        <v>558</v>
      </c>
      <c r="D103" s="7" t="s">
        <v>15</v>
      </c>
      <c r="E103" s="16">
        <v>630</v>
      </c>
      <c r="F103" s="16">
        <v>637</v>
      </c>
      <c r="G103" s="8">
        <f t="shared" si="4"/>
        <v>83.064799999999991</v>
      </c>
      <c r="H103" s="8">
        <f t="shared" si="5"/>
        <v>553.93520000000001</v>
      </c>
      <c r="I103" s="8">
        <f t="shared" si="6"/>
        <v>76.064799999999991</v>
      </c>
      <c r="J103" s="9">
        <f t="shared" si="7"/>
        <v>0.13731714467685027</v>
      </c>
      <c r="K103" s="7" t="s">
        <v>81</v>
      </c>
    </row>
    <row r="104" spans="1:11" x14ac:dyDescent="0.25">
      <c r="A104" s="7" t="s">
        <v>545</v>
      </c>
      <c r="B104" s="7" t="s">
        <v>105</v>
      </c>
      <c r="C104" s="7" t="s">
        <v>559</v>
      </c>
      <c r="D104" s="7" t="s">
        <v>15</v>
      </c>
      <c r="E104" s="16">
        <v>630</v>
      </c>
      <c r="F104" s="16">
        <v>637</v>
      </c>
      <c r="G104" s="8">
        <f t="shared" si="4"/>
        <v>83.064799999999991</v>
      </c>
      <c r="H104" s="8">
        <f t="shared" si="5"/>
        <v>553.93520000000001</v>
      </c>
      <c r="I104" s="8">
        <f t="shared" si="6"/>
        <v>76.064799999999991</v>
      </c>
      <c r="J104" s="9">
        <f t="shared" si="7"/>
        <v>0.13731714467685027</v>
      </c>
      <c r="K104" s="7" t="s">
        <v>81</v>
      </c>
    </row>
    <row r="105" spans="1:11" x14ac:dyDescent="0.25">
      <c r="A105" s="7" t="s">
        <v>545</v>
      </c>
      <c r="B105" s="7" t="s">
        <v>105</v>
      </c>
      <c r="C105" s="7" t="s">
        <v>560</v>
      </c>
      <c r="D105" s="7" t="s">
        <v>15</v>
      </c>
      <c r="E105" s="16">
        <v>630</v>
      </c>
      <c r="F105" s="16">
        <v>637</v>
      </c>
      <c r="G105" s="8">
        <f t="shared" si="4"/>
        <v>83.064799999999991</v>
      </c>
      <c r="H105" s="8">
        <f t="shared" si="5"/>
        <v>553.93520000000001</v>
      </c>
      <c r="I105" s="8">
        <f t="shared" si="6"/>
        <v>76.064799999999991</v>
      </c>
      <c r="J105" s="9">
        <f t="shared" si="7"/>
        <v>0.13731714467685027</v>
      </c>
      <c r="K105" s="7" t="s">
        <v>81</v>
      </c>
    </row>
    <row r="106" spans="1:11" x14ac:dyDescent="0.25">
      <c r="A106" s="7" t="s">
        <v>545</v>
      </c>
      <c r="B106" s="7" t="s">
        <v>105</v>
      </c>
      <c r="C106" s="7" t="s">
        <v>561</v>
      </c>
      <c r="D106" s="7" t="s">
        <v>15</v>
      </c>
      <c r="E106" s="16">
        <v>630</v>
      </c>
      <c r="F106" s="16">
        <v>637</v>
      </c>
      <c r="G106" s="8">
        <f t="shared" si="4"/>
        <v>83.064799999999991</v>
      </c>
      <c r="H106" s="8">
        <f t="shared" si="5"/>
        <v>553.93520000000001</v>
      </c>
      <c r="I106" s="8">
        <f t="shared" si="6"/>
        <v>76.064799999999991</v>
      </c>
      <c r="J106" s="9">
        <f t="shared" si="7"/>
        <v>0.13731714467685027</v>
      </c>
      <c r="K106" s="7" t="s">
        <v>81</v>
      </c>
    </row>
    <row r="107" spans="1:11" x14ac:dyDescent="0.25">
      <c r="A107" s="7" t="s">
        <v>545</v>
      </c>
      <c r="B107" s="7" t="s">
        <v>105</v>
      </c>
      <c r="C107" s="7" t="s">
        <v>562</v>
      </c>
      <c r="D107" s="7" t="s">
        <v>15</v>
      </c>
      <c r="E107" s="16">
        <v>630</v>
      </c>
      <c r="F107" s="16">
        <v>637</v>
      </c>
      <c r="G107" s="8">
        <f t="shared" si="4"/>
        <v>83.064799999999991</v>
      </c>
      <c r="H107" s="8">
        <f t="shared" si="5"/>
        <v>553.93520000000001</v>
      </c>
      <c r="I107" s="8">
        <f t="shared" si="6"/>
        <v>76.064799999999991</v>
      </c>
      <c r="J107" s="9">
        <f t="shared" si="7"/>
        <v>0.13731714467685027</v>
      </c>
      <c r="K107" s="7" t="s">
        <v>81</v>
      </c>
    </row>
    <row r="108" spans="1:11" x14ac:dyDescent="0.25">
      <c r="A108" s="7" t="s">
        <v>545</v>
      </c>
      <c r="B108" s="7" t="s">
        <v>105</v>
      </c>
      <c r="C108" s="7" t="s">
        <v>563</v>
      </c>
      <c r="D108" s="7" t="s">
        <v>15</v>
      </c>
      <c r="E108" s="16">
        <v>630</v>
      </c>
      <c r="F108" s="16">
        <v>637</v>
      </c>
      <c r="G108" s="8">
        <f t="shared" si="4"/>
        <v>83.064799999999991</v>
      </c>
      <c r="H108" s="8">
        <f t="shared" si="5"/>
        <v>553.93520000000001</v>
      </c>
      <c r="I108" s="8">
        <f t="shared" si="6"/>
        <v>76.064799999999991</v>
      </c>
      <c r="J108" s="9">
        <f t="shared" si="7"/>
        <v>0.13731714467685027</v>
      </c>
      <c r="K108" s="7" t="s">
        <v>81</v>
      </c>
    </row>
    <row r="109" spans="1:11" x14ac:dyDescent="0.25">
      <c r="A109" s="7" t="s">
        <v>545</v>
      </c>
      <c r="B109" s="7" t="s">
        <v>105</v>
      </c>
      <c r="C109" s="7" t="s">
        <v>564</v>
      </c>
      <c r="D109" s="7" t="s">
        <v>15</v>
      </c>
      <c r="E109" s="16">
        <v>630</v>
      </c>
      <c r="F109" s="16">
        <v>637</v>
      </c>
      <c r="G109" s="8">
        <f t="shared" si="4"/>
        <v>83.064799999999991</v>
      </c>
      <c r="H109" s="8">
        <f t="shared" si="5"/>
        <v>553.93520000000001</v>
      </c>
      <c r="I109" s="8">
        <f t="shared" si="6"/>
        <v>76.064799999999991</v>
      </c>
      <c r="J109" s="9">
        <f t="shared" si="7"/>
        <v>0.13731714467685027</v>
      </c>
      <c r="K109" s="7" t="s">
        <v>81</v>
      </c>
    </row>
    <row r="110" spans="1:11" x14ac:dyDescent="0.25">
      <c r="A110" s="7" t="s">
        <v>545</v>
      </c>
      <c r="B110" s="7" t="s">
        <v>105</v>
      </c>
      <c r="C110" s="7" t="s">
        <v>565</v>
      </c>
      <c r="D110" s="7" t="s">
        <v>15</v>
      </c>
      <c r="E110" s="16">
        <v>630</v>
      </c>
      <c r="F110" s="16">
        <v>637</v>
      </c>
      <c r="G110" s="8">
        <f t="shared" si="4"/>
        <v>83.064799999999991</v>
      </c>
      <c r="H110" s="8">
        <f t="shared" si="5"/>
        <v>553.93520000000001</v>
      </c>
      <c r="I110" s="8">
        <f t="shared" si="6"/>
        <v>76.064799999999991</v>
      </c>
      <c r="J110" s="9">
        <f t="shared" si="7"/>
        <v>0.13731714467685027</v>
      </c>
      <c r="K110" s="7" t="s">
        <v>81</v>
      </c>
    </row>
    <row r="111" spans="1:11" x14ac:dyDescent="0.25">
      <c r="A111" s="7" t="s">
        <v>545</v>
      </c>
      <c r="B111" s="7" t="s">
        <v>105</v>
      </c>
      <c r="C111" s="7" t="s">
        <v>566</v>
      </c>
      <c r="D111" s="7" t="s">
        <v>15</v>
      </c>
      <c r="E111" s="16">
        <v>630</v>
      </c>
      <c r="F111" s="16">
        <v>637</v>
      </c>
      <c r="G111" s="8">
        <f t="shared" si="4"/>
        <v>83.064799999999991</v>
      </c>
      <c r="H111" s="8">
        <f t="shared" si="5"/>
        <v>553.93520000000001</v>
      </c>
      <c r="I111" s="8">
        <f t="shared" si="6"/>
        <v>76.064799999999991</v>
      </c>
      <c r="J111" s="9">
        <f t="shared" si="7"/>
        <v>0.13731714467685027</v>
      </c>
      <c r="K111" s="7" t="s">
        <v>81</v>
      </c>
    </row>
    <row r="112" spans="1:11" x14ac:dyDescent="0.25">
      <c r="A112" s="7" t="s">
        <v>726</v>
      </c>
      <c r="B112" s="7" t="s">
        <v>70</v>
      </c>
      <c r="C112" s="7" t="s">
        <v>727</v>
      </c>
      <c r="D112" s="7" t="s">
        <v>15</v>
      </c>
      <c r="E112" s="16">
        <v>3690</v>
      </c>
      <c r="F112" s="16">
        <v>2829.19</v>
      </c>
      <c r="G112" s="8">
        <f t="shared" si="4"/>
        <v>368.926376</v>
      </c>
      <c r="H112" s="8">
        <f t="shared" si="5"/>
        <v>2460.2636240000002</v>
      </c>
      <c r="I112" s="8">
        <f t="shared" si="6"/>
        <v>1229.7363759999998</v>
      </c>
      <c r="J112" s="9">
        <f t="shared" si="7"/>
        <v>0.49983927088294816</v>
      </c>
      <c r="K112" s="7" t="s">
        <v>16</v>
      </c>
    </row>
    <row r="113" spans="1:11" x14ac:dyDescent="0.25">
      <c r="A113" s="7" t="s">
        <v>726</v>
      </c>
      <c r="B113" s="7" t="s">
        <v>70</v>
      </c>
      <c r="C113" s="7" t="s">
        <v>728</v>
      </c>
      <c r="D113" s="7" t="s">
        <v>15</v>
      </c>
      <c r="E113" s="16">
        <v>3690</v>
      </c>
      <c r="F113" s="16">
        <v>2829.19</v>
      </c>
      <c r="G113" s="8">
        <f t="shared" si="4"/>
        <v>368.926376</v>
      </c>
      <c r="H113" s="8">
        <f t="shared" si="5"/>
        <v>2460.2636240000002</v>
      </c>
      <c r="I113" s="8">
        <f t="shared" si="6"/>
        <v>1229.7363759999998</v>
      </c>
      <c r="J113" s="9">
        <f t="shared" si="7"/>
        <v>0.49983927088294816</v>
      </c>
      <c r="K113" s="7" t="s">
        <v>16</v>
      </c>
    </row>
    <row r="114" spans="1:11" x14ac:dyDescent="0.25">
      <c r="A114" s="7" t="s">
        <v>726</v>
      </c>
      <c r="B114" s="7" t="s">
        <v>70</v>
      </c>
      <c r="C114" s="7" t="s">
        <v>729</v>
      </c>
      <c r="D114" s="7" t="s">
        <v>15</v>
      </c>
      <c r="E114" s="16">
        <v>3690</v>
      </c>
      <c r="F114" s="16">
        <v>2829.19</v>
      </c>
      <c r="G114" s="8">
        <f t="shared" si="4"/>
        <v>368.926376</v>
      </c>
      <c r="H114" s="8">
        <f t="shared" si="5"/>
        <v>2460.2636240000002</v>
      </c>
      <c r="I114" s="8">
        <f t="shared" si="6"/>
        <v>1229.7363759999998</v>
      </c>
      <c r="J114" s="9">
        <f t="shared" si="7"/>
        <v>0.49983927088294816</v>
      </c>
      <c r="K114" s="7" t="s">
        <v>16</v>
      </c>
    </row>
    <row r="115" spans="1:11" x14ac:dyDescent="0.25">
      <c r="A115" s="7" t="s">
        <v>726</v>
      </c>
      <c r="B115" s="7" t="s">
        <v>70</v>
      </c>
      <c r="C115" s="7" t="s">
        <v>730</v>
      </c>
      <c r="D115" s="7" t="s">
        <v>15</v>
      </c>
      <c r="E115" s="16">
        <v>3690</v>
      </c>
      <c r="F115" s="16">
        <v>2829.19</v>
      </c>
      <c r="G115" s="8">
        <f t="shared" si="4"/>
        <v>368.926376</v>
      </c>
      <c r="H115" s="8">
        <f t="shared" si="5"/>
        <v>2460.2636240000002</v>
      </c>
      <c r="I115" s="8">
        <f t="shared" si="6"/>
        <v>1229.7363759999998</v>
      </c>
      <c r="J115" s="9">
        <f t="shared" si="7"/>
        <v>0.49983927088294816</v>
      </c>
      <c r="K115" s="7" t="s">
        <v>16</v>
      </c>
    </row>
    <row r="116" spans="1:11" x14ac:dyDescent="0.25">
      <c r="A116" s="7" t="s">
        <v>726</v>
      </c>
      <c r="B116" s="7" t="s">
        <v>70</v>
      </c>
      <c r="C116" s="7" t="s">
        <v>731</v>
      </c>
      <c r="D116" s="7" t="s">
        <v>15</v>
      </c>
      <c r="E116" s="16">
        <v>3690</v>
      </c>
      <c r="F116" s="16">
        <v>2829.19</v>
      </c>
      <c r="G116" s="8">
        <f t="shared" si="4"/>
        <v>368.926376</v>
      </c>
      <c r="H116" s="8">
        <f t="shared" si="5"/>
        <v>2460.2636240000002</v>
      </c>
      <c r="I116" s="8">
        <f t="shared" si="6"/>
        <v>1229.7363759999998</v>
      </c>
      <c r="J116" s="9">
        <f t="shared" si="7"/>
        <v>0.49983927088294816</v>
      </c>
      <c r="K116" s="7" t="s">
        <v>16</v>
      </c>
    </row>
    <row r="117" spans="1:11" x14ac:dyDescent="0.25">
      <c r="A117" s="7" t="s">
        <v>857</v>
      </c>
      <c r="B117" s="7" t="s">
        <v>868</v>
      </c>
      <c r="C117" s="7" t="s">
        <v>869</v>
      </c>
      <c r="D117" s="7" t="s">
        <v>15</v>
      </c>
      <c r="E117" s="16">
        <v>58</v>
      </c>
      <c r="F117" s="16">
        <v>59.36</v>
      </c>
      <c r="G117" s="8">
        <f t="shared" si="4"/>
        <v>7.7405439999999999</v>
      </c>
      <c r="H117" s="8">
        <f t="shared" si="5"/>
        <v>51.619456</v>
      </c>
      <c r="I117" s="8">
        <f t="shared" si="6"/>
        <v>6.3805440000000004</v>
      </c>
      <c r="J117" s="9">
        <f t="shared" si="7"/>
        <v>0.12360734681124885</v>
      </c>
      <c r="K117" s="7" t="s">
        <v>16</v>
      </c>
    </row>
    <row r="118" spans="1:11" x14ac:dyDescent="0.25">
      <c r="A118" s="7" t="s">
        <v>857</v>
      </c>
      <c r="B118" s="7" t="s">
        <v>868</v>
      </c>
      <c r="C118" s="7" t="s">
        <v>870</v>
      </c>
      <c r="D118" s="7" t="s">
        <v>15</v>
      </c>
      <c r="E118" s="16">
        <v>58</v>
      </c>
      <c r="F118" s="16">
        <v>59.36</v>
      </c>
      <c r="G118" s="8">
        <f t="shared" si="4"/>
        <v>7.7405439999999999</v>
      </c>
      <c r="H118" s="8">
        <f t="shared" si="5"/>
        <v>51.619456</v>
      </c>
      <c r="I118" s="8">
        <f t="shared" si="6"/>
        <v>6.3805440000000004</v>
      </c>
      <c r="J118" s="9">
        <f t="shared" si="7"/>
        <v>0.12360734681124885</v>
      </c>
      <c r="K118" s="7" t="s">
        <v>16</v>
      </c>
    </row>
    <row r="119" spans="1:11" x14ac:dyDescent="0.25">
      <c r="A119" s="7" t="s">
        <v>857</v>
      </c>
      <c r="B119" s="7" t="s">
        <v>868</v>
      </c>
      <c r="C119" s="7" t="s">
        <v>871</v>
      </c>
      <c r="D119" s="7" t="s">
        <v>15</v>
      </c>
      <c r="E119" s="16">
        <v>58</v>
      </c>
      <c r="F119" s="16">
        <v>59.36</v>
      </c>
      <c r="G119" s="8">
        <f t="shared" si="4"/>
        <v>7.7405439999999999</v>
      </c>
      <c r="H119" s="8">
        <f t="shared" si="5"/>
        <v>51.619456</v>
      </c>
      <c r="I119" s="8">
        <f t="shared" si="6"/>
        <v>6.3805440000000004</v>
      </c>
      <c r="J119" s="9">
        <f t="shared" si="7"/>
        <v>0.12360734681124885</v>
      </c>
      <c r="K119" s="7" t="s">
        <v>16</v>
      </c>
    </row>
    <row r="120" spans="1:11" x14ac:dyDescent="0.25">
      <c r="A120" s="7" t="s">
        <v>857</v>
      </c>
      <c r="B120" s="7" t="s">
        <v>868</v>
      </c>
      <c r="C120" s="7" t="s">
        <v>872</v>
      </c>
      <c r="D120" s="7" t="s">
        <v>15</v>
      </c>
      <c r="E120" s="16">
        <v>58</v>
      </c>
      <c r="F120" s="16">
        <v>59.36</v>
      </c>
      <c r="G120" s="8">
        <f t="shared" si="4"/>
        <v>7.7405439999999999</v>
      </c>
      <c r="H120" s="8">
        <f t="shared" si="5"/>
        <v>51.619456</v>
      </c>
      <c r="I120" s="8">
        <f t="shared" si="6"/>
        <v>6.3805440000000004</v>
      </c>
      <c r="J120" s="9">
        <f t="shared" si="7"/>
        <v>0.12360734681124885</v>
      </c>
      <c r="K120" s="7" t="s">
        <v>16</v>
      </c>
    </row>
    <row r="121" spans="1:11" x14ac:dyDescent="0.25">
      <c r="A121" s="7" t="s">
        <v>857</v>
      </c>
      <c r="B121" s="7" t="s">
        <v>868</v>
      </c>
      <c r="C121" s="7" t="s">
        <v>873</v>
      </c>
      <c r="D121" s="7" t="s">
        <v>15</v>
      </c>
      <c r="E121" s="16">
        <v>58</v>
      </c>
      <c r="F121" s="16">
        <v>59.36</v>
      </c>
      <c r="G121" s="8">
        <f t="shared" si="4"/>
        <v>7.7405439999999999</v>
      </c>
      <c r="H121" s="8">
        <f t="shared" si="5"/>
        <v>51.619456</v>
      </c>
      <c r="I121" s="8">
        <f t="shared" si="6"/>
        <v>6.3805440000000004</v>
      </c>
      <c r="J121" s="9">
        <f t="shared" si="7"/>
        <v>0.12360734681124885</v>
      </c>
      <c r="K121" s="7" t="s">
        <v>16</v>
      </c>
    </row>
    <row r="122" spans="1:11" x14ac:dyDescent="0.25">
      <c r="A122" s="7" t="s">
        <v>857</v>
      </c>
      <c r="B122" s="7" t="s">
        <v>868</v>
      </c>
      <c r="C122" s="7" t="s">
        <v>874</v>
      </c>
      <c r="D122" s="7" t="s">
        <v>15</v>
      </c>
      <c r="E122" s="16">
        <v>58</v>
      </c>
      <c r="F122" s="16">
        <v>59.36</v>
      </c>
      <c r="G122" s="8">
        <f t="shared" si="4"/>
        <v>7.7405439999999999</v>
      </c>
      <c r="H122" s="8">
        <f t="shared" si="5"/>
        <v>51.619456</v>
      </c>
      <c r="I122" s="8">
        <f t="shared" si="6"/>
        <v>6.3805440000000004</v>
      </c>
      <c r="J122" s="9">
        <f t="shared" si="7"/>
        <v>0.12360734681124885</v>
      </c>
      <c r="K122" s="7" t="s">
        <v>16</v>
      </c>
    </row>
    <row r="123" spans="1:11" x14ac:dyDescent="0.25">
      <c r="A123" s="7" t="s">
        <v>857</v>
      </c>
      <c r="B123" s="7" t="s">
        <v>868</v>
      </c>
      <c r="C123" s="7" t="s">
        <v>875</v>
      </c>
      <c r="D123" s="7" t="s">
        <v>15</v>
      </c>
      <c r="E123" s="16">
        <v>58</v>
      </c>
      <c r="F123" s="16">
        <v>59.36</v>
      </c>
      <c r="G123" s="8">
        <f t="shared" si="4"/>
        <v>7.7405439999999999</v>
      </c>
      <c r="H123" s="8">
        <f t="shared" si="5"/>
        <v>51.619456</v>
      </c>
      <c r="I123" s="8">
        <f t="shared" si="6"/>
        <v>6.3805440000000004</v>
      </c>
      <c r="J123" s="9">
        <f t="shared" si="7"/>
        <v>0.12360734681124885</v>
      </c>
      <c r="K123" s="7" t="s">
        <v>16</v>
      </c>
    </row>
    <row r="124" spans="1:11" x14ac:dyDescent="0.25">
      <c r="A124" s="7" t="s">
        <v>857</v>
      </c>
      <c r="B124" s="7" t="s">
        <v>868</v>
      </c>
      <c r="C124" s="7" t="s">
        <v>876</v>
      </c>
      <c r="D124" s="7" t="s">
        <v>15</v>
      </c>
      <c r="E124" s="16">
        <v>58</v>
      </c>
      <c r="F124" s="16">
        <v>59.36</v>
      </c>
      <c r="G124" s="8">
        <f t="shared" si="4"/>
        <v>7.7405439999999999</v>
      </c>
      <c r="H124" s="8">
        <f t="shared" si="5"/>
        <v>51.619456</v>
      </c>
      <c r="I124" s="8">
        <f t="shared" si="6"/>
        <v>6.3805440000000004</v>
      </c>
      <c r="J124" s="9">
        <f t="shared" si="7"/>
        <v>0.12360734681124885</v>
      </c>
      <c r="K124" s="7" t="s">
        <v>16</v>
      </c>
    </row>
    <row r="125" spans="1:11" x14ac:dyDescent="0.25">
      <c r="A125" s="7" t="s">
        <v>857</v>
      </c>
      <c r="B125" s="7" t="s">
        <v>868</v>
      </c>
      <c r="C125" s="7" t="s">
        <v>877</v>
      </c>
      <c r="D125" s="7" t="s">
        <v>15</v>
      </c>
      <c r="E125" s="16">
        <v>58</v>
      </c>
      <c r="F125" s="16">
        <v>59.36</v>
      </c>
      <c r="G125" s="8">
        <f t="shared" si="4"/>
        <v>7.7405439999999999</v>
      </c>
      <c r="H125" s="8">
        <f t="shared" si="5"/>
        <v>51.619456</v>
      </c>
      <c r="I125" s="8">
        <f t="shared" si="6"/>
        <v>6.3805440000000004</v>
      </c>
      <c r="J125" s="9">
        <f t="shared" si="7"/>
        <v>0.12360734681124885</v>
      </c>
      <c r="K125" s="7" t="s">
        <v>16</v>
      </c>
    </row>
    <row r="126" spans="1:11" x14ac:dyDescent="0.25">
      <c r="A126" s="7" t="s">
        <v>857</v>
      </c>
      <c r="B126" s="7" t="s">
        <v>868</v>
      </c>
      <c r="C126" s="7" t="s">
        <v>878</v>
      </c>
      <c r="D126" s="7" t="s">
        <v>15</v>
      </c>
      <c r="E126" s="16">
        <v>58</v>
      </c>
      <c r="F126" s="16">
        <v>59.36</v>
      </c>
      <c r="G126" s="8">
        <f t="shared" si="4"/>
        <v>7.7405439999999999</v>
      </c>
      <c r="H126" s="8">
        <f t="shared" si="5"/>
        <v>51.619456</v>
      </c>
      <c r="I126" s="8">
        <f t="shared" si="6"/>
        <v>6.3805440000000004</v>
      </c>
      <c r="J126" s="9">
        <f t="shared" si="7"/>
        <v>0.12360734681124885</v>
      </c>
      <c r="K126" s="7" t="s">
        <v>16</v>
      </c>
    </row>
    <row r="127" spans="1:11" x14ac:dyDescent="0.25">
      <c r="A127" s="7" t="s">
        <v>857</v>
      </c>
      <c r="B127" s="7" t="s">
        <v>868</v>
      </c>
      <c r="C127" s="7" t="s">
        <v>879</v>
      </c>
      <c r="D127" s="7" t="s">
        <v>15</v>
      </c>
      <c r="E127" s="16">
        <v>58</v>
      </c>
      <c r="F127" s="16">
        <v>59.36</v>
      </c>
      <c r="G127" s="8">
        <f t="shared" si="4"/>
        <v>7.7405439999999999</v>
      </c>
      <c r="H127" s="8">
        <f t="shared" si="5"/>
        <v>51.619456</v>
      </c>
      <c r="I127" s="8">
        <f t="shared" si="6"/>
        <v>6.3805440000000004</v>
      </c>
      <c r="J127" s="9">
        <f t="shared" si="7"/>
        <v>0.12360734681124885</v>
      </c>
      <c r="K127" s="7" t="s">
        <v>16</v>
      </c>
    </row>
    <row r="128" spans="1:11" x14ac:dyDescent="0.25">
      <c r="A128" s="7" t="s">
        <v>857</v>
      </c>
      <c r="B128" s="7" t="s">
        <v>868</v>
      </c>
      <c r="C128" s="7" t="s">
        <v>880</v>
      </c>
      <c r="D128" s="7" t="s">
        <v>15</v>
      </c>
      <c r="E128" s="16">
        <v>58</v>
      </c>
      <c r="F128" s="16">
        <v>59.36</v>
      </c>
      <c r="G128" s="8">
        <f t="shared" si="4"/>
        <v>7.7405439999999999</v>
      </c>
      <c r="H128" s="8">
        <f t="shared" si="5"/>
        <v>51.619456</v>
      </c>
      <c r="I128" s="8">
        <f t="shared" si="6"/>
        <v>6.3805440000000004</v>
      </c>
      <c r="J128" s="9">
        <f t="shared" si="7"/>
        <v>0.12360734681124885</v>
      </c>
      <c r="K128" s="7" t="s">
        <v>16</v>
      </c>
    </row>
    <row r="129" spans="1:11" x14ac:dyDescent="0.25">
      <c r="A129" s="7" t="s">
        <v>857</v>
      </c>
      <c r="B129" s="7" t="s">
        <v>868</v>
      </c>
      <c r="C129" s="7" t="s">
        <v>881</v>
      </c>
      <c r="D129" s="7" t="s">
        <v>15</v>
      </c>
      <c r="E129" s="16">
        <v>58</v>
      </c>
      <c r="F129" s="16">
        <v>59.36</v>
      </c>
      <c r="G129" s="8">
        <f t="shared" si="4"/>
        <v>7.7405439999999999</v>
      </c>
      <c r="H129" s="8">
        <f t="shared" si="5"/>
        <v>51.619456</v>
      </c>
      <c r="I129" s="8">
        <f t="shared" si="6"/>
        <v>6.3805440000000004</v>
      </c>
      <c r="J129" s="9">
        <f t="shared" si="7"/>
        <v>0.12360734681124885</v>
      </c>
      <c r="K129" s="7" t="s">
        <v>16</v>
      </c>
    </row>
    <row r="130" spans="1:11" x14ac:dyDescent="0.25">
      <c r="A130" s="7" t="s">
        <v>857</v>
      </c>
      <c r="B130" s="7" t="s">
        <v>868</v>
      </c>
      <c r="C130" s="7" t="s">
        <v>882</v>
      </c>
      <c r="D130" s="7" t="s">
        <v>15</v>
      </c>
      <c r="E130" s="16">
        <v>58</v>
      </c>
      <c r="F130" s="16">
        <v>59.36</v>
      </c>
      <c r="G130" s="8">
        <f t="shared" si="4"/>
        <v>7.7405439999999999</v>
      </c>
      <c r="H130" s="8">
        <f t="shared" si="5"/>
        <v>51.619456</v>
      </c>
      <c r="I130" s="8">
        <f t="shared" si="6"/>
        <v>6.3805440000000004</v>
      </c>
      <c r="J130" s="9">
        <f t="shared" si="7"/>
        <v>0.12360734681124885</v>
      </c>
      <c r="K130" s="7" t="s">
        <v>16</v>
      </c>
    </row>
    <row r="131" spans="1:11" x14ac:dyDescent="0.25">
      <c r="A131" s="7" t="s">
        <v>857</v>
      </c>
      <c r="B131" s="7" t="s">
        <v>868</v>
      </c>
      <c r="C131" s="7" t="s">
        <v>883</v>
      </c>
      <c r="D131" s="7" t="s">
        <v>15</v>
      </c>
      <c r="E131" s="16">
        <v>58</v>
      </c>
      <c r="F131" s="16">
        <v>59.36</v>
      </c>
      <c r="G131" s="8">
        <f t="shared" ref="G131:G169" si="8">F131*13.04/100</f>
        <v>7.7405439999999999</v>
      </c>
      <c r="H131" s="8">
        <f t="shared" ref="H131:H169" si="9">F131-G131</f>
        <v>51.619456</v>
      </c>
      <c r="I131" s="8">
        <f t="shared" ref="I131:I169" si="10">E131-H131</f>
        <v>6.3805440000000004</v>
      </c>
      <c r="J131" s="9">
        <f t="shared" ref="J131:J169" si="11">(E131-H131)/H131</f>
        <v>0.12360734681124885</v>
      </c>
      <c r="K131" s="7" t="s">
        <v>16</v>
      </c>
    </row>
    <row r="132" spans="1:11" x14ac:dyDescent="0.25">
      <c r="A132" s="7" t="s">
        <v>857</v>
      </c>
      <c r="B132" s="7" t="s">
        <v>868</v>
      </c>
      <c r="C132" s="7" t="s">
        <v>884</v>
      </c>
      <c r="D132" s="7" t="s">
        <v>15</v>
      </c>
      <c r="E132" s="16">
        <v>58</v>
      </c>
      <c r="F132" s="16">
        <v>59.36</v>
      </c>
      <c r="G132" s="8">
        <f t="shared" si="8"/>
        <v>7.7405439999999999</v>
      </c>
      <c r="H132" s="8">
        <f t="shared" si="9"/>
        <v>51.619456</v>
      </c>
      <c r="I132" s="8">
        <f t="shared" si="10"/>
        <v>6.3805440000000004</v>
      </c>
      <c r="J132" s="9">
        <f t="shared" si="11"/>
        <v>0.12360734681124885</v>
      </c>
      <c r="K132" s="7" t="s">
        <v>16</v>
      </c>
    </row>
    <row r="133" spans="1:11" x14ac:dyDescent="0.25">
      <c r="A133" s="7" t="s">
        <v>857</v>
      </c>
      <c r="B133" s="7" t="s">
        <v>868</v>
      </c>
      <c r="C133" s="7" t="s">
        <v>885</v>
      </c>
      <c r="D133" s="7" t="s">
        <v>15</v>
      </c>
      <c r="E133" s="16">
        <v>58</v>
      </c>
      <c r="F133" s="16">
        <v>59.36</v>
      </c>
      <c r="G133" s="8">
        <f t="shared" si="8"/>
        <v>7.7405439999999999</v>
      </c>
      <c r="H133" s="8">
        <f t="shared" si="9"/>
        <v>51.619456</v>
      </c>
      <c r="I133" s="8">
        <f t="shared" si="10"/>
        <v>6.3805440000000004</v>
      </c>
      <c r="J133" s="9">
        <f t="shared" si="11"/>
        <v>0.12360734681124885</v>
      </c>
      <c r="K133" s="7" t="s">
        <v>16</v>
      </c>
    </row>
    <row r="134" spans="1:11" x14ac:dyDescent="0.25">
      <c r="A134" s="7" t="s">
        <v>857</v>
      </c>
      <c r="B134" s="7" t="s">
        <v>868</v>
      </c>
      <c r="C134" s="7" t="s">
        <v>886</v>
      </c>
      <c r="D134" s="7" t="s">
        <v>15</v>
      </c>
      <c r="E134" s="16">
        <v>58</v>
      </c>
      <c r="F134" s="16">
        <v>59.36</v>
      </c>
      <c r="G134" s="8">
        <f t="shared" si="8"/>
        <v>7.7405439999999999</v>
      </c>
      <c r="H134" s="8">
        <f t="shared" si="9"/>
        <v>51.619456</v>
      </c>
      <c r="I134" s="8">
        <f t="shared" si="10"/>
        <v>6.3805440000000004</v>
      </c>
      <c r="J134" s="9">
        <f t="shared" si="11"/>
        <v>0.12360734681124885</v>
      </c>
      <c r="K134" s="7" t="s">
        <v>16</v>
      </c>
    </row>
    <row r="135" spans="1:11" x14ac:dyDescent="0.25">
      <c r="A135" s="7" t="s">
        <v>857</v>
      </c>
      <c r="B135" s="7" t="s">
        <v>868</v>
      </c>
      <c r="C135" s="7" t="s">
        <v>887</v>
      </c>
      <c r="D135" s="7" t="s">
        <v>15</v>
      </c>
      <c r="E135" s="16">
        <v>58</v>
      </c>
      <c r="F135" s="16">
        <v>59.36</v>
      </c>
      <c r="G135" s="8">
        <f t="shared" si="8"/>
        <v>7.7405439999999999</v>
      </c>
      <c r="H135" s="8">
        <f t="shared" si="9"/>
        <v>51.619456</v>
      </c>
      <c r="I135" s="8">
        <f t="shared" si="10"/>
        <v>6.3805440000000004</v>
      </c>
      <c r="J135" s="9">
        <f t="shared" si="11"/>
        <v>0.12360734681124885</v>
      </c>
      <c r="K135" s="7" t="s">
        <v>16</v>
      </c>
    </row>
    <row r="136" spans="1:11" x14ac:dyDescent="0.25">
      <c r="A136" s="7" t="s">
        <v>857</v>
      </c>
      <c r="B136" s="7" t="s">
        <v>868</v>
      </c>
      <c r="C136" s="7" t="s">
        <v>888</v>
      </c>
      <c r="D136" s="7" t="s">
        <v>15</v>
      </c>
      <c r="E136" s="16">
        <v>58</v>
      </c>
      <c r="F136" s="16">
        <v>59.36</v>
      </c>
      <c r="G136" s="8">
        <f t="shared" si="8"/>
        <v>7.7405439999999999</v>
      </c>
      <c r="H136" s="8">
        <f t="shared" si="9"/>
        <v>51.619456</v>
      </c>
      <c r="I136" s="8">
        <f t="shared" si="10"/>
        <v>6.3805440000000004</v>
      </c>
      <c r="J136" s="9">
        <f t="shared" si="11"/>
        <v>0.12360734681124885</v>
      </c>
      <c r="K136" s="7" t="s">
        <v>16</v>
      </c>
    </row>
    <row r="137" spans="1:11" x14ac:dyDescent="0.25">
      <c r="A137" s="7" t="s">
        <v>857</v>
      </c>
      <c r="B137" s="7" t="s">
        <v>868</v>
      </c>
      <c r="C137" s="7" t="s">
        <v>889</v>
      </c>
      <c r="D137" s="7" t="s">
        <v>15</v>
      </c>
      <c r="E137" s="16">
        <v>58</v>
      </c>
      <c r="F137" s="16">
        <v>59.36</v>
      </c>
      <c r="G137" s="8">
        <f t="shared" si="8"/>
        <v>7.7405439999999999</v>
      </c>
      <c r="H137" s="8">
        <f t="shared" si="9"/>
        <v>51.619456</v>
      </c>
      <c r="I137" s="8">
        <f t="shared" si="10"/>
        <v>6.3805440000000004</v>
      </c>
      <c r="J137" s="9">
        <f t="shared" si="11"/>
        <v>0.12360734681124885</v>
      </c>
      <c r="K137" s="7" t="s">
        <v>16</v>
      </c>
    </row>
    <row r="138" spans="1:11" x14ac:dyDescent="0.25">
      <c r="A138" s="7" t="s">
        <v>857</v>
      </c>
      <c r="B138" s="7" t="s">
        <v>868</v>
      </c>
      <c r="C138" s="7" t="s">
        <v>890</v>
      </c>
      <c r="D138" s="7" t="s">
        <v>15</v>
      </c>
      <c r="E138" s="16">
        <v>58</v>
      </c>
      <c r="F138" s="16">
        <v>59.36</v>
      </c>
      <c r="G138" s="8">
        <f t="shared" si="8"/>
        <v>7.7405439999999999</v>
      </c>
      <c r="H138" s="8">
        <f t="shared" si="9"/>
        <v>51.619456</v>
      </c>
      <c r="I138" s="8">
        <f t="shared" si="10"/>
        <v>6.3805440000000004</v>
      </c>
      <c r="J138" s="9">
        <f t="shared" si="11"/>
        <v>0.12360734681124885</v>
      </c>
      <c r="K138" s="7" t="s">
        <v>16</v>
      </c>
    </row>
    <row r="139" spans="1:11" x14ac:dyDescent="0.25">
      <c r="A139" s="7" t="s">
        <v>857</v>
      </c>
      <c r="B139" s="7" t="s">
        <v>868</v>
      </c>
      <c r="C139" s="7" t="s">
        <v>891</v>
      </c>
      <c r="D139" s="7" t="s">
        <v>15</v>
      </c>
      <c r="E139" s="16">
        <v>58</v>
      </c>
      <c r="F139" s="16">
        <v>59.36</v>
      </c>
      <c r="G139" s="8">
        <f t="shared" si="8"/>
        <v>7.7405439999999999</v>
      </c>
      <c r="H139" s="8">
        <f t="shared" si="9"/>
        <v>51.619456</v>
      </c>
      <c r="I139" s="8">
        <f t="shared" si="10"/>
        <v>6.3805440000000004</v>
      </c>
      <c r="J139" s="9">
        <f t="shared" si="11"/>
        <v>0.12360734681124885</v>
      </c>
      <c r="K139" s="7" t="s">
        <v>16</v>
      </c>
    </row>
    <row r="140" spans="1:11" x14ac:dyDescent="0.25">
      <c r="A140" s="7" t="s">
        <v>857</v>
      </c>
      <c r="B140" s="7" t="s">
        <v>868</v>
      </c>
      <c r="C140" s="7" t="s">
        <v>892</v>
      </c>
      <c r="D140" s="7" t="s">
        <v>15</v>
      </c>
      <c r="E140" s="16">
        <v>58</v>
      </c>
      <c r="F140" s="16">
        <v>59.36</v>
      </c>
      <c r="G140" s="8">
        <f t="shared" si="8"/>
        <v>7.7405439999999999</v>
      </c>
      <c r="H140" s="8">
        <f t="shared" si="9"/>
        <v>51.619456</v>
      </c>
      <c r="I140" s="8">
        <f t="shared" si="10"/>
        <v>6.3805440000000004</v>
      </c>
      <c r="J140" s="9">
        <f t="shared" si="11"/>
        <v>0.12360734681124885</v>
      </c>
      <c r="K140" s="7" t="s">
        <v>16</v>
      </c>
    </row>
    <row r="141" spans="1:11" x14ac:dyDescent="0.25">
      <c r="A141" s="7" t="s">
        <v>857</v>
      </c>
      <c r="B141" s="7" t="s">
        <v>868</v>
      </c>
      <c r="C141" s="7" t="s">
        <v>893</v>
      </c>
      <c r="D141" s="7" t="s">
        <v>15</v>
      </c>
      <c r="E141" s="16">
        <v>58</v>
      </c>
      <c r="F141" s="16">
        <v>59.36</v>
      </c>
      <c r="G141" s="8">
        <f t="shared" si="8"/>
        <v>7.7405439999999999</v>
      </c>
      <c r="H141" s="8">
        <f t="shared" si="9"/>
        <v>51.619456</v>
      </c>
      <c r="I141" s="8">
        <f t="shared" si="10"/>
        <v>6.3805440000000004</v>
      </c>
      <c r="J141" s="9">
        <f t="shared" si="11"/>
        <v>0.12360734681124885</v>
      </c>
      <c r="K141" s="7" t="s">
        <v>16</v>
      </c>
    </row>
    <row r="142" spans="1:11" x14ac:dyDescent="0.25">
      <c r="A142" s="7" t="s">
        <v>857</v>
      </c>
      <c r="B142" s="7" t="s">
        <v>868</v>
      </c>
      <c r="C142" s="7" t="s">
        <v>894</v>
      </c>
      <c r="D142" s="7" t="s">
        <v>15</v>
      </c>
      <c r="E142" s="16">
        <v>58</v>
      </c>
      <c r="F142" s="16">
        <v>59.36</v>
      </c>
      <c r="G142" s="8">
        <f t="shared" si="8"/>
        <v>7.7405439999999999</v>
      </c>
      <c r="H142" s="8">
        <f t="shared" si="9"/>
        <v>51.619456</v>
      </c>
      <c r="I142" s="8">
        <f t="shared" si="10"/>
        <v>6.3805440000000004</v>
      </c>
      <c r="J142" s="9">
        <f t="shared" si="11"/>
        <v>0.12360734681124885</v>
      </c>
      <c r="K142" s="7" t="s">
        <v>16</v>
      </c>
    </row>
    <row r="143" spans="1:11" x14ac:dyDescent="0.25">
      <c r="A143" s="7" t="s">
        <v>857</v>
      </c>
      <c r="B143" s="7" t="s">
        <v>868</v>
      </c>
      <c r="C143" s="7" t="s">
        <v>895</v>
      </c>
      <c r="D143" s="7" t="s">
        <v>15</v>
      </c>
      <c r="E143" s="16">
        <v>58</v>
      </c>
      <c r="F143" s="16">
        <v>59.36</v>
      </c>
      <c r="G143" s="8">
        <f t="shared" si="8"/>
        <v>7.7405439999999999</v>
      </c>
      <c r="H143" s="8">
        <f t="shared" si="9"/>
        <v>51.619456</v>
      </c>
      <c r="I143" s="8">
        <f t="shared" si="10"/>
        <v>6.3805440000000004</v>
      </c>
      <c r="J143" s="9">
        <f t="shared" si="11"/>
        <v>0.12360734681124885</v>
      </c>
      <c r="K143" s="7" t="s">
        <v>16</v>
      </c>
    </row>
    <row r="144" spans="1:11" x14ac:dyDescent="0.25">
      <c r="A144" s="7" t="s">
        <v>857</v>
      </c>
      <c r="B144" s="7" t="s">
        <v>868</v>
      </c>
      <c r="C144" s="7" t="s">
        <v>896</v>
      </c>
      <c r="D144" s="7" t="s">
        <v>15</v>
      </c>
      <c r="E144" s="16">
        <v>58</v>
      </c>
      <c r="F144" s="16">
        <v>59.36</v>
      </c>
      <c r="G144" s="8">
        <f t="shared" si="8"/>
        <v>7.7405439999999999</v>
      </c>
      <c r="H144" s="8">
        <f t="shared" si="9"/>
        <v>51.619456</v>
      </c>
      <c r="I144" s="8">
        <f t="shared" si="10"/>
        <v>6.3805440000000004</v>
      </c>
      <c r="J144" s="9">
        <f t="shared" si="11"/>
        <v>0.12360734681124885</v>
      </c>
      <c r="K144" s="7" t="s">
        <v>16</v>
      </c>
    </row>
    <row r="145" spans="1:11" x14ac:dyDescent="0.25">
      <c r="A145" s="7" t="s">
        <v>857</v>
      </c>
      <c r="B145" s="7" t="s">
        <v>868</v>
      </c>
      <c r="C145" s="7" t="s">
        <v>897</v>
      </c>
      <c r="D145" s="7" t="s">
        <v>15</v>
      </c>
      <c r="E145" s="16">
        <v>58</v>
      </c>
      <c r="F145" s="16">
        <v>59.36</v>
      </c>
      <c r="G145" s="8">
        <f t="shared" si="8"/>
        <v>7.7405439999999999</v>
      </c>
      <c r="H145" s="8">
        <f t="shared" si="9"/>
        <v>51.619456</v>
      </c>
      <c r="I145" s="8">
        <f t="shared" si="10"/>
        <v>6.3805440000000004</v>
      </c>
      <c r="J145" s="9">
        <f t="shared" si="11"/>
        <v>0.12360734681124885</v>
      </c>
      <c r="K145" s="7" t="s">
        <v>16</v>
      </c>
    </row>
    <row r="146" spans="1:11" x14ac:dyDescent="0.25">
      <c r="A146" s="7" t="s">
        <v>857</v>
      </c>
      <c r="B146" s="7" t="s">
        <v>868</v>
      </c>
      <c r="C146" s="7" t="s">
        <v>898</v>
      </c>
      <c r="D146" s="7" t="s">
        <v>15</v>
      </c>
      <c r="E146" s="16">
        <v>58</v>
      </c>
      <c r="F146" s="16">
        <v>59.36</v>
      </c>
      <c r="G146" s="8">
        <f t="shared" si="8"/>
        <v>7.7405439999999999</v>
      </c>
      <c r="H146" s="8">
        <f t="shared" si="9"/>
        <v>51.619456</v>
      </c>
      <c r="I146" s="8">
        <f t="shared" si="10"/>
        <v>6.3805440000000004</v>
      </c>
      <c r="J146" s="9">
        <f t="shared" si="11"/>
        <v>0.12360734681124885</v>
      </c>
      <c r="K146" s="7" t="s">
        <v>16</v>
      </c>
    </row>
    <row r="147" spans="1:11" x14ac:dyDescent="0.25">
      <c r="A147" s="7" t="s">
        <v>857</v>
      </c>
      <c r="B147" s="7" t="s">
        <v>868</v>
      </c>
      <c r="C147" s="7" t="s">
        <v>899</v>
      </c>
      <c r="D147" s="7" t="s">
        <v>15</v>
      </c>
      <c r="E147" s="16">
        <v>58</v>
      </c>
      <c r="F147" s="16">
        <v>59.36</v>
      </c>
      <c r="G147" s="8">
        <f t="shared" si="8"/>
        <v>7.7405439999999999</v>
      </c>
      <c r="H147" s="8">
        <f t="shared" si="9"/>
        <v>51.619456</v>
      </c>
      <c r="I147" s="8">
        <f t="shared" si="10"/>
        <v>6.3805440000000004</v>
      </c>
      <c r="J147" s="9">
        <f t="shared" si="11"/>
        <v>0.12360734681124885</v>
      </c>
      <c r="K147" s="7" t="s">
        <v>16</v>
      </c>
    </row>
    <row r="148" spans="1:11" x14ac:dyDescent="0.25">
      <c r="A148" s="7" t="s">
        <v>857</v>
      </c>
      <c r="B148" s="7" t="s">
        <v>868</v>
      </c>
      <c r="C148" s="7" t="s">
        <v>900</v>
      </c>
      <c r="D148" s="7" t="s">
        <v>15</v>
      </c>
      <c r="E148" s="16">
        <v>58</v>
      </c>
      <c r="F148" s="16">
        <v>59.36</v>
      </c>
      <c r="G148" s="8">
        <f t="shared" si="8"/>
        <v>7.7405439999999999</v>
      </c>
      <c r="H148" s="8">
        <f t="shared" si="9"/>
        <v>51.619456</v>
      </c>
      <c r="I148" s="8">
        <f t="shared" si="10"/>
        <v>6.3805440000000004</v>
      </c>
      <c r="J148" s="9">
        <f t="shared" si="11"/>
        <v>0.12360734681124885</v>
      </c>
      <c r="K148" s="7" t="s">
        <v>16</v>
      </c>
    </row>
    <row r="149" spans="1:11" x14ac:dyDescent="0.25">
      <c r="A149" s="7" t="s">
        <v>857</v>
      </c>
      <c r="B149" s="7" t="s">
        <v>868</v>
      </c>
      <c r="C149" s="7" t="s">
        <v>901</v>
      </c>
      <c r="D149" s="7" t="s">
        <v>15</v>
      </c>
      <c r="E149" s="16">
        <v>58</v>
      </c>
      <c r="F149" s="16">
        <v>59.36</v>
      </c>
      <c r="G149" s="8">
        <f t="shared" si="8"/>
        <v>7.7405439999999999</v>
      </c>
      <c r="H149" s="8">
        <f t="shared" si="9"/>
        <v>51.619456</v>
      </c>
      <c r="I149" s="8">
        <f t="shared" si="10"/>
        <v>6.3805440000000004</v>
      </c>
      <c r="J149" s="9">
        <f t="shared" si="11"/>
        <v>0.12360734681124885</v>
      </c>
      <c r="K149" s="7" t="s">
        <v>16</v>
      </c>
    </row>
    <row r="150" spans="1:11" x14ac:dyDescent="0.25">
      <c r="A150" s="7" t="s">
        <v>857</v>
      </c>
      <c r="B150" s="7" t="s">
        <v>868</v>
      </c>
      <c r="C150" s="7" t="s">
        <v>902</v>
      </c>
      <c r="D150" s="7" t="s">
        <v>15</v>
      </c>
      <c r="E150" s="16">
        <v>58</v>
      </c>
      <c r="F150" s="16">
        <v>59.36</v>
      </c>
      <c r="G150" s="8">
        <f t="shared" si="8"/>
        <v>7.7405439999999999</v>
      </c>
      <c r="H150" s="8">
        <f t="shared" si="9"/>
        <v>51.619456</v>
      </c>
      <c r="I150" s="8">
        <f t="shared" si="10"/>
        <v>6.3805440000000004</v>
      </c>
      <c r="J150" s="9">
        <f t="shared" si="11"/>
        <v>0.12360734681124885</v>
      </c>
      <c r="K150" s="7" t="s">
        <v>16</v>
      </c>
    </row>
    <row r="151" spans="1:11" x14ac:dyDescent="0.25">
      <c r="A151" s="7" t="s">
        <v>857</v>
      </c>
      <c r="B151" s="7" t="s">
        <v>868</v>
      </c>
      <c r="C151" s="7" t="s">
        <v>903</v>
      </c>
      <c r="D151" s="7" t="s">
        <v>15</v>
      </c>
      <c r="E151" s="16">
        <v>58</v>
      </c>
      <c r="F151" s="16">
        <v>59.36</v>
      </c>
      <c r="G151" s="8">
        <f t="shared" si="8"/>
        <v>7.7405439999999999</v>
      </c>
      <c r="H151" s="8">
        <f t="shared" si="9"/>
        <v>51.619456</v>
      </c>
      <c r="I151" s="8">
        <f t="shared" si="10"/>
        <v>6.3805440000000004</v>
      </c>
      <c r="J151" s="9">
        <f t="shared" si="11"/>
        <v>0.12360734681124885</v>
      </c>
      <c r="K151" s="7" t="s">
        <v>16</v>
      </c>
    </row>
    <row r="152" spans="1:11" x14ac:dyDescent="0.25">
      <c r="A152" s="7" t="s">
        <v>857</v>
      </c>
      <c r="B152" s="7" t="s">
        <v>868</v>
      </c>
      <c r="C152" s="7" t="s">
        <v>904</v>
      </c>
      <c r="D152" s="7" t="s">
        <v>15</v>
      </c>
      <c r="E152" s="16">
        <v>58</v>
      </c>
      <c r="F152" s="16">
        <v>59.36</v>
      </c>
      <c r="G152" s="8">
        <f t="shared" si="8"/>
        <v>7.7405439999999999</v>
      </c>
      <c r="H152" s="8">
        <f t="shared" si="9"/>
        <v>51.619456</v>
      </c>
      <c r="I152" s="8">
        <f t="shared" si="10"/>
        <v>6.3805440000000004</v>
      </c>
      <c r="J152" s="9">
        <f t="shared" si="11"/>
        <v>0.12360734681124885</v>
      </c>
      <c r="K152" s="7" t="s">
        <v>16</v>
      </c>
    </row>
    <row r="153" spans="1:11" x14ac:dyDescent="0.25">
      <c r="A153" s="7" t="s">
        <v>1063</v>
      </c>
      <c r="B153" s="7" t="s">
        <v>105</v>
      </c>
      <c r="C153" s="7" t="s">
        <v>1065</v>
      </c>
      <c r="D153" s="7" t="s">
        <v>15</v>
      </c>
      <c r="E153" s="16">
        <v>670</v>
      </c>
      <c r="F153" s="16">
        <v>637</v>
      </c>
      <c r="G153" s="8">
        <f t="shared" si="8"/>
        <v>83.064799999999991</v>
      </c>
      <c r="H153" s="8">
        <f t="shared" si="9"/>
        <v>553.93520000000001</v>
      </c>
      <c r="I153" s="8">
        <f t="shared" si="10"/>
        <v>116.06479999999999</v>
      </c>
      <c r="J153" s="9">
        <f t="shared" si="11"/>
        <v>0.20952775703728521</v>
      </c>
      <c r="K153" s="7" t="s">
        <v>81</v>
      </c>
    </row>
    <row r="154" spans="1:11" x14ac:dyDescent="0.25">
      <c r="A154" s="7" t="s">
        <v>1601</v>
      </c>
      <c r="B154" s="7" t="s">
        <v>105</v>
      </c>
      <c r="C154" s="7" t="s">
        <v>1603</v>
      </c>
      <c r="D154" s="7" t="s">
        <v>15</v>
      </c>
      <c r="E154" s="16">
        <v>630</v>
      </c>
      <c r="F154" s="16">
        <v>637</v>
      </c>
      <c r="G154" s="8">
        <f t="shared" si="8"/>
        <v>83.064799999999991</v>
      </c>
      <c r="H154" s="8">
        <f t="shared" si="9"/>
        <v>553.93520000000001</v>
      </c>
      <c r="I154" s="8">
        <f t="shared" si="10"/>
        <v>76.064799999999991</v>
      </c>
      <c r="J154" s="9">
        <f t="shared" si="11"/>
        <v>0.13731714467685027</v>
      </c>
      <c r="K154" s="7" t="s">
        <v>81</v>
      </c>
    </row>
    <row r="155" spans="1:11" x14ac:dyDescent="0.25">
      <c r="A155" s="7" t="s">
        <v>1601</v>
      </c>
      <c r="B155" s="7" t="s">
        <v>105</v>
      </c>
      <c r="C155" s="7" t="s">
        <v>1604</v>
      </c>
      <c r="D155" s="7" t="s">
        <v>15</v>
      </c>
      <c r="E155" s="16">
        <v>630</v>
      </c>
      <c r="F155" s="16">
        <v>637</v>
      </c>
      <c r="G155" s="8">
        <f t="shared" si="8"/>
        <v>83.064799999999991</v>
      </c>
      <c r="H155" s="8">
        <f t="shared" si="9"/>
        <v>553.93520000000001</v>
      </c>
      <c r="I155" s="8">
        <f t="shared" si="10"/>
        <v>76.064799999999991</v>
      </c>
      <c r="J155" s="9">
        <f t="shared" si="11"/>
        <v>0.13731714467685027</v>
      </c>
      <c r="K155" s="7" t="s">
        <v>81</v>
      </c>
    </row>
    <row r="156" spans="1:11" x14ac:dyDescent="0.25">
      <c r="A156" s="7" t="s">
        <v>1601</v>
      </c>
      <c r="B156" s="7" t="s">
        <v>105</v>
      </c>
      <c r="C156" s="7" t="s">
        <v>1605</v>
      </c>
      <c r="D156" s="7" t="s">
        <v>15</v>
      </c>
      <c r="E156" s="16">
        <v>630</v>
      </c>
      <c r="F156" s="16">
        <v>637</v>
      </c>
      <c r="G156" s="8">
        <f t="shared" si="8"/>
        <v>83.064799999999991</v>
      </c>
      <c r="H156" s="8">
        <f t="shared" si="9"/>
        <v>553.93520000000001</v>
      </c>
      <c r="I156" s="8">
        <f t="shared" si="10"/>
        <v>76.064799999999991</v>
      </c>
      <c r="J156" s="9">
        <f t="shared" si="11"/>
        <v>0.13731714467685027</v>
      </c>
      <c r="K156" s="7" t="s">
        <v>81</v>
      </c>
    </row>
    <row r="157" spans="1:11" x14ac:dyDescent="0.25">
      <c r="A157" s="7" t="s">
        <v>1601</v>
      </c>
      <c r="B157" s="7" t="s">
        <v>105</v>
      </c>
      <c r="C157" s="7" t="s">
        <v>1606</v>
      </c>
      <c r="D157" s="7" t="s">
        <v>15</v>
      </c>
      <c r="E157" s="16">
        <v>630</v>
      </c>
      <c r="F157" s="16">
        <v>637</v>
      </c>
      <c r="G157" s="8">
        <f t="shared" si="8"/>
        <v>83.064799999999991</v>
      </c>
      <c r="H157" s="8">
        <f t="shared" si="9"/>
        <v>553.93520000000001</v>
      </c>
      <c r="I157" s="8">
        <f t="shared" si="10"/>
        <v>76.064799999999991</v>
      </c>
      <c r="J157" s="9">
        <f t="shared" si="11"/>
        <v>0.13731714467685027</v>
      </c>
      <c r="K157" s="7" t="s">
        <v>81</v>
      </c>
    </row>
    <row r="158" spans="1:11" x14ac:dyDescent="0.25">
      <c r="A158" s="7" t="s">
        <v>1601</v>
      </c>
      <c r="B158" s="7" t="s">
        <v>105</v>
      </c>
      <c r="C158" s="7" t="s">
        <v>1607</v>
      </c>
      <c r="D158" s="7" t="s">
        <v>15</v>
      </c>
      <c r="E158" s="16">
        <v>630</v>
      </c>
      <c r="F158" s="16">
        <v>637</v>
      </c>
      <c r="G158" s="8">
        <f t="shared" si="8"/>
        <v>83.064799999999991</v>
      </c>
      <c r="H158" s="8">
        <f t="shared" si="9"/>
        <v>553.93520000000001</v>
      </c>
      <c r="I158" s="8">
        <f t="shared" si="10"/>
        <v>76.064799999999991</v>
      </c>
      <c r="J158" s="9">
        <f t="shared" si="11"/>
        <v>0.13731714467685027</v>
      </c>
      <c r="K158" s="7" t="s">
        <v>81</v>
      </c>
    </row>
    <row r="159" spans="1:11" x14ac:dyDescent="0.25">
      <c r="A159" s="7" t="s">
        <v>1601</v>
      </c>
      <c r="B159" s="7" t="s">
        <v>105</v>
      </c>
      <c r="C159" s="7" t="s">
        <v>1608</v>
      </c>
      <c r="D159" s="7" t="s">
        <v>15</v>
      </c>
      <c r="E159" s="16">
        <v>630</v>
      </c>
      <c r="F159" s="16">
        <v>637</v>
      </c>
      <c r="G159" s="8">
        <f t="shared" si="8"/>
        <v>83.064799999999991</v>
      </c>
      <c r="H159" s="8">
        <f t="shared" si="9"/>
        <v>553.93520000000001</v>
      </c>
      <c r="I159" s="8">
        <f t="shared" si="10"/>
        <v>76.064799999999991</v>
      </c>
      <c r="J159" s="9">
        <f t="shared" si="11"/>
        <v>0.13731714467685027</v>
      </c>
      <c r="K159" s="7" t="s">
        <v>81</v>
      </c>
    </row>
    <row r="160" spans="1:11" x14ac:dyDescent="0.25">
      <c r="A160" s="7" t="s">
        <v>1601</v>
      </c>
      <c r="B160" s="7" t="s">
        <v>105</v>
      </c>
      <c r="C160" s="7" t="s">
        <v>1609</v>
      </c>
      <c r="D160" s="7" t="s">
        <v>15</v>
      </c>
      <c r="E160" s="16">
        <v>630</v>
      </c>
      <c r="F160" s="16">
        <v>637</v>
      </c>
      <c r="G160" s="8">
        <f t="shared" si="8"/>
        <v>83.064799999999991</v>
      </c>
      <c r="H160" s="8">
        <f t="shared" si="9"/>
        <v>553.93520000000001</v>
      </c>
      <c r="I160" s="8">
        <f t="shared" si="10"/>
        <v>76.064799999999991</v>
      </c>
      <c r="J160" s="9">
        <f t="shared" si="11"/>
        <v>0.13731714467685027</v>
      </c>
      <c r="K160" s="7" t="s">
        <v>81</v>
      </c>
    </row>
    <row r="161" spans="1:11" x14ac:dyDescent="0.25">
      <c r="A161" s="7" t="s">
        <v>1601</v>
      </c>
      <c r="B161" s="7" t="s">
        <v>105</v>
      </c>
      <c r="C161" s="7" t="s">
        <v>1610</v>
      </c>
      <c r="D161" s="7" t="s">
        <v>15</v>
      </c>
      <c r="E161" s="16">
        <v>630</v>
      </c>
      <c r="F161" s="16">
        <v>633.88</v>
      </c>
      <c r="G161" s="8">
        <f t="shared" si="8"/>
        <v>82.65795199999998</v>
      </c>
      <c r="H161" s="8">
        <f t="shared" si="9"/>
        <v>551.22204799999997</v>
      </c>
      <c r="I161" s="8">
        <f t="shared" si="10"/>
        <v>78.777952000000028</v>
      </c>
      <c r="J161" s="9">
        <f t="shared" si="11"/>
        <v>0.14291509616828685</v>
      </c>
      <c r="K161" s="7" t="s">
        <v>16</v>
      </c>
    </row>
    <row r="162" spans="1:11" x14ac:dyDescent="0.25">
      <c r="A162" s="7" t="s">
        <v>1601</v>
      </c>
      <c r="B162" s="7" t="s">
        <v>105</v>
      </c>
      <c r="C162" s="7" t="s">
        <v>1611</v>
      </c>
      <c r="D162" s="7" t="s">
        <v>15</v>
      </c>
      <c r="E162" s="16">
        <v>630</v>
      </c>
      <c r="F162" s="16">
        <v>633.88</v>
      </c>
      <c r="G162" s="8">
        <f t="shared" si="8"/>
        <v>82.65795199999998</v>
      </c>
      <c r="H162" s="8">
        <f t="shared" si="9"/>
        <v>551.22204799999997</v>
      </c>
      <c r="I162" s="8">
        <f t="shared" si="10"/>
        <v>78.777952000000028</v>
      </c>
      <c r="J162" s="9">
        <f t="shared" si="11"/>
        <v>0.14291509616828685</v>
      </c>
      <c r="K162" s="7" t="s">
        <v>16</v>
      </c>
    </row>
    <row r="163" spans="1:11" x14ac:dyDescent="0.25">
      <c r="A163" s="7" t="s">
        <v>1601</v>
      </c>
      <c r="B163" s="7" t="s">
        <v>105</v>
      </c>
      <c r="C163" s="7" t="s">
        <v>1612</v>
      </c>
      <c r="D163" s="7" t="s">
        <v>15</v>
      </c>
      <c r="E163" s="16">
        <v>630</v>
      </c>
      <c r="F163" s="16">
        <v>633.88</v>
      </c>
      <c r="G163" s="8">
        <f t="shared" si="8"/>
        <v>82.65795199999998</v>
      </c>
      <c r="H163" s="8">
        <f t="shared" si="9"/>
        <v>551.22204799999997</v>
      </c>
      <c r="I163" s="8">
        <f t="shared" si="10"/>
        <v>78.777952000000028</v>
      </c>
      <c r="J163" s="9">
        <f t="shared" si="11"/>
        <v>0.14291509616828685</v>
      </c>
      <c r="K163" s="7" t="s">
        <v>16</v>
      </c>
    </row>
    <row r="164" spans="1:11" x14ac:dyDescent="0.25">
      <c r="A164" s="7" t="s">
        <v>1601</v>
      </c>
      <c r="B164" s="7" t="s">
        <v>105</v>
      </c>
      <c r="C164" s="7" t="s">
        <v>1613</v>
      </c>
      <c r="D164" s="7" t="s">
        <v>15</v>
      </c>
      <c r="E164" s="16">
        <v>630</v>
      </c>
      <c r="F164" s="16">
        <v>633.88</v>
      </c>
      <c r="G164" s="8">
        <f t="shared" si="8"/>
        <v>82.65795199999998</v>
      </c>
      <c r="H164" s="8">
        <f t="shared" si="9"/>
        <v>551.22204799999997</v>
      </c>
      <c r="I164" s="8">
        <f t="shared" si="10"/>
        <v>78.777952000000028</v>
      </c>
      <c r="J164" s="9">
        <f t="shared" si="11"/>
        <v>0.14291509616828685</v>
      </c>
      <c r="K164" s="7" t="s">
        <v>16</v>
      </c>
    </row>
    <row r="165" spans="1:11" x14ac:dyDescent="0.25">
      <c r="A165" s="7" t="s">
        <v>1601</v>
      </c>
      <c r="B165" s="7" t="s">
        <v>105</v>
      </c>
      <c r="C165" s="7" t="s">
        <v>1614</v>
      </c>
      <c r="D165" s="7" t="s">
        <v>15</v>
      </c>
      <c r="E165" s="16">
        <v>630</v>
      </c>
      <c r="F165" s="16">
        <v>633.88</v>
      </c>
      <c r="G165" s="8">
        <f t="shared" si="8"/>
        <v>82.65795199999998</v>
      </c>
      <c r="H165" s="8">
        <f t="shared" si="9"/>
        <v>551.22204799999997</v>
      </c>
      <c r="I165" s="8">
        <f t="shared" si="10"/>
        <v>78.777952000000028</v>
      </c>
      <c r="J165" s="9">
        <f t="shared" si="11"/>
        <v>0.14291509616828685</v>
      </c>
      <c r="K165" s="7" t="s">
        <v>16</v>
      </c>
    </row>
    <row r="166" spans="1:11" x14ac:dyDescent="0.25">
      <c r="A166" s="7" t="s">
        <v>1601</v>
      </c>
      <c r="B166" s="7" t="s">
        <v>105</v>
      </c>
      <c r="C166" s="7" t="s">
        <v>1615</v>
      </c>
      <c r="D166" s="7" t="s">
        <v>15</v>
      </c>
      <c r="E166" s="16">
        <v>630</v>
      </c>
      <c r="F166" s="16">
        <v>633.88</v>
      </c>
      <c r="G166" s="8">
        <f t="shared" si="8"/>
        <v>82.65795199999998</v>
      </c>
      <c r="H166" s="8">
        <f t="shared" si="9"/>
        <v>551.22204799999997</v>
      </c>
      <c r="I166" s="8">
        <f t="shared" si="10"/>
        <v>78.777952000000028</v>
      </c>
      <c r="J166" s="9">
        <f t="shared" si="11"/>
        <v>0.14291509616828685</v>
      </c>
      <c r="K166" s="7" t="s">
        <v>16</v>
      </c>
    </row>
    <row r="167" spans="1:11" x14ac:dyDescent="0.25">
      <c r="A167" s="7" t="s">
        <v>1601</v>
      </c>
      <c r="B167" s="7" t="s">
        <v>105</v>
      </c>
      <c r="C167" s="7" t="s">
        <v>1616</v>
      </c>
      <c r="D167" s="7" t="s">
        <v>15</v>
      </c>
      <c r="E167" s="16">
        <v>630</v>
      </c>
      <c r="F167" s="16">
        <v>633.88</v>
      </c>
      <c r="G167" s="8">
        <f t="shared" si="8"/>
        <v>82.65795199999998</v>
      </c>
      <c r="H167" s="8">
        <f t="shared" si="9"/>
        <v>551.22204799999997</v>
      </c>
      <c r="I167" s="8">
        <f t="shared" si="10"/>
        <v>78.777952000000028</v>
      </c>
      <c r="J167" s="9">
        <f t="shared" si="11"/>
        <v>0.14291509616828685</v>
      </c>
      <c r="K167" s="7" t="s">
        <v>16</v>
      </c>
    </row>
    <row r="168" spans="1:11" x14ac:dyDescent="0.25">
      <c r="A168" s="7" t="s">
        <v>1601</v>
      </c>
      <c r="B168" s="7" t="s">
        <v>105</v>
      </c>
      <c r="C168" s="7" t="s">
        <v>1617</v>
      </c>
      <c r="D168" s="7" t="s">
        <v>15</v>
      </c>
      <c r="E168" s="16">
        <v>630</v>
      </c>
      <c r="F168" s="16">
        <v>633.88</v>
      </c>
      <c r="G168" s="8">
        <f t="shared" si="8"/>
        <v>82.65795199999998</v>
      </c>
      <c r="H168" s="8">
        <f t="shared" si="9"/>
        <v>551.22204799999997</v>
      </c>
      <c r="I168" s="8">
        <f t="shared" si="10"/>
        <v>78.777952000000028</v>
      </c>
      <c r="J168" s="9">
        <f t="shared" si="11"/>
        <v>0.14291509616828685</v>
      </c>
      <c r="K168" s="7" t="s">
        <v>16</v>
      </c>
    </row>
    <row r="169" spans="1:11" x14ac:dyDescent="0.25">
      <c r="A169" s="7" t="s">
        <v>1618</v>
      </c>
      <c r="B169" s="7" t="s">
        <v>1619</v>
      </c>
      <c r="C169" s="7" t="s">
        <v>1620</v>
      </c>
      <c r="D169" s="7" t="s">
        <v>15</v>
      </c>
      <c r="E169" s="16">
        <v>2650</v>
      </c>
      <c r="F169" s="16">
        <v>2741.46</v>
      </c>
      <c r="G169" s="8">
        <f t="shared" si="8"/>
        <v>357.48638399999999</v>
      </c>
      <c r="H169" s="8">
        <f t="shared" si="9"/>
        <v>2383.9736160000002</v>
      </c>
      <c r="I169" s="8">
        <f t="shared" si="10"/>
        <v>266.02638399999978</v>
      </c>
      <c r="J169" s="9">
        <f t="shared" si="11"/>
        <v>0.11158948329569086</v>
      </c>
      <c r="K169" s="7" t="s">
        <v>16</v>
      </c>
    </row>
    <row r="170" spans="1:11" x14ac:dyDescent="0.25">
      <c r="E170" s="10" t="s">
        <v>1727</v>
      </c>
      <c r="F170" s="10" t="s">
        <v>1726</v>
      </c>
      <c r="G170" s="11" t="s">
        <v>1723</v>
      </c>
      <c r="H170" s="11" t="s">
        <v>1724</v>
      </c>
      <c r="I170" s="10" t="s">
        <v>1722</v>
      </c>
      <c r="J170" s="10" t="s">
        <v>1725</v>
      </c>
      <c r="K170" s="6"/>
    </row>
    <row r="171" spans="1:11" x14ac:dyDescent="0.25">
      <c r="E171" s="19">
        <f t="shared" ref="E171:H171" si="12">SUM(E2:E170)</f>
        <v>102608</v>
      </c>
      <c r="F171" s="19">
        <f t="shared" si="12"/>
        <v>100616.21000000004</v>
      </c>
      <c r="G171" s="20">
        <f t="shared" si="12"/>
        <v>13120.353783999995</v>
      </c>
      <c r="H171" s="20">
        <f t="shared" si="12"/>
        <v>87495.85621600016</v>
      </c>
      <c r="I171" s="20">
        <f>SUM(I2:I170)</f>
        <v>15112.143784000004</v>
      </c>
      <c r="J171" s="21">
        <f>AVERAGE(J2:J170)</f>
        <v>0.13310842723411817</v>
      </c>
      <c r="K171" s="6"/>
    </row>
    <row r="179" spans="2:3" x14ac:dyDescent="0.25">
      <c r="B179" s="55" t="s">
        <v>2065</v>
      </c>
      <c r="C179" s="55">
        <v>5854</v>
      </c>
    </row>
    <row r="180" spans="2:3" x14ac:dyDescent="0.25">
      <c r="B180" s="55" t="s">
        <v>2072</v>
      </c>
      <c r="C180" s="55">
        <v>2322</v>
      </c>
    </row>
    <row r="181" spans="2:3" x14ac:dyDescent="0.25">
      <c r="B181" s="55"/>
      <c r="C181" s="55"/>
    </row>
    <row r="182" spans="2:3" x14ac:dyDescent="0.25">
      <c r="B182" s="63" t="s">
        <v>2070</v>
      </c>
      <c r="C182" s="63">
        <f>SUM(C179:C181)</f>
        <v>8176</v>
      </c>
    </row>
    <row r="183" spans="2:3" x14ac:dyDescent="0.25">
      <c r="B183" s="55"/>
      <c r="C183" s="55"/>
    </row>
    <row r="184" spans="2:3" ht="21" x14ac:dyDescent="0.35">
      <c r="B184" s="64" t="s">
        <v>2073</v>
      </c>
      <c r="C184" s="65">
        <f>I171-C182</f>
        <v>6936.1437840000035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DF216-4D4C-42A5-A13B-D49EAF78CDD0}">
  <dimension ref="A1:I33"/>
  <sheetViews>
    <sheetView zoomScale="80" zoomScaleNormal="80" workbookViewId="0">
      <selection activeCell="F31" sqref="F31"/>
    </sheetView>
  </sheetViews>
  <sheetFormatPr defaultRowHeight="15" x14ac:dyDescent="0.25"/>
  <cols>
    <col min="1" max="1" width="18.28515625" customWidth="1"/>
    <col min="2" max="2" width="39.42578125" customWidth="1"/>
    <col min="3" max="3" width="38.28515625" customWidth="1"/>
    <col min="4" max="11" width="18.28515625" customWidth="1"/>
  </cols>
  <sheetData>
    <row r="1" spans="1:9" x14ac:dyDescent="0.25">
      <c r="A1" s="43" t="s">
        <v>3</v>
      </c>
      <c r="B1" s="43" t="s">
        <v>4</v>
      </c>
      <c r="C1" s="42" t="s">
        <v>5</v>
      </c>
      <c r="D1" s="43" t="s">
        <v>6</v>
      </c>
      <c r="E1" s="43" t="s">
        <v>7</v>
      </c>
      <c r="F1" s="43" t="s">
        <v>8</v>
      </c>
      <c r="G1" s="43" t="s">
        <v>9</v>
      </c>
      <c r="H1" s="44" t="s">
        <v>10</v>
      </c>
      <c r="I1" s="43" t="s">
        <v>11</v>
      </c>
    </row>
    <row r="2" spans="1:9" x14ac:dyDescent="0.25">
      <c r="A2" s="55" t="s">
        <v>12</v>
      </c>
      <c r="B2" s="55" t="s">
        <v>27</v>
      </c>
      <c r="C2" s="38">
        <v>351525510727416</v>
      </c>
      <c r="D2" s="55" t="s">
        <v>15</v>
      </c>
      <c r="E2" s="29">
        <v>1671</v>
      </c>
      <c r="F2" s="29">
        <v>1350</v>
      </c>
      <c r="G2" s="16">
        <f>E2-F2</f>
        <v>321</v>
      </c>
      <c r="H2" s="9">
        <f>(E2-F2)/F2</f>
        <v>0.23777777777777778</v>
      </c>
      <c r="I2" s="55" t="s">
        <v>2074</v>
      </c>
    </row>
    <row r="3" spans="1:9" x14ac:dyDescent="0.25">
      <c r="A3" s="55" t="s">
        <v>12</v>
      </c>
      <c r="B3" s="55" t="s">
        <v>27</v>
      </c>
      <c r="C3" s="38">
        <v>351525510878441</v>
      </c>
      <c r="D3" s="55" t="s">
        <v>15</v>
      </c>
      <c r="E3" s="29">
        <v>1671</v>
      </c>
      <c r="F3" s="29">
        <v>1350</v>
      </c>
      <c r="G3" s="16">
        <f t="shared" ref="G3:G19" si="0">E3-F3</f>
        <v>321</v>
      </c>
      <c r="H3" s="9">
        <f t="shared" ref="H3:H19" si="1">(E3-F3)/F3</f>
        <v>0.23777777777777778</v>
      </c>
      <c r="I3" s="55" t="s">
        <v>2074</v>
      </c>
    </row>
    <row r="4" spans="1:9" x14ac:dyDescent="0.25">
      <c r="A4" s="55" t="s">
        <v>545</v>
      </c>
      <c r="B4" s="55" t="s">
        <v>582</v>
      </c>
      <c r="C4" s="38">
        <v>353263428008269</v>
      </c>
      <c r="D4" s="55" t="s">
        <v>15</v>
      </c>
      <c r="E4" s="29">
        <v>4164.55</v>
      </c>
      <c r="F4" s="29">
        <v>3130</v>
      </c>
      <c r="G4" s="16">
        <f t="shared" si="0"/>
        <v>1034.5500000000002</v>
      </c>
      <c r="H4" s="9">
        <f t="shared" si="1"/>
        <v>0.33052715654952081</v>
      </c>
      <c r="I4" s="55" t="s">
        <v>2074</v>
      </c>
    </row>
    <row r="5" spans="1:9" x14ac:dyDescent="0.25">
      <c r="A5" s="55" t="s">
        <v>12</v>
      </c>
      <c r="B5" s="55" t="s">
        <v>31</v>
      </c>
      <c r="C5" s="38">
        <v>352700323139724</v>
      </c>
      <c r="D5" s="55" t="s">
        <v>15</v>
      </c>
      <c r="E5" s="29">
        <v>974</v>
      </c>
      <c r="F5" s="29">
        <v>736.98</v>
      </c>
      <c r="G5" s="16">
        <f t="shared" si="0"/>
        <v>237.01999999999998</v>
      </c>
      <c r="H5" s="9">
        <f t="shared" si="1"/>
        <v>0.32160981302070607</v>
      </c>
      <c r="I5" s="55" t="s">
        <v>2074</v>
      </c>
    </row>
    <row r="6" spans="1:9" x14ac:dyDescent="0.25">
      <c r="A6" s="55" t="s">
        <v>12</v>
      </c>
      <c r="B6" s="55" t="s">
        <v>33</v>
      </c>
      <c r="C6" s="38">
        <v>356605227804917</v>
      </c>
      <c r="D6" s="55" t="s">
        <v>15</v>
      </c>
      <c r="E6" s="29">
        <v>3772</v>
      </c>
      <c r="F6" s="29">
        <v>3451</v>
      </c>
      <c r="G6" s="16">
        <f t="shared" si="0"/>
        <v>321</v>
      </c>
      <c r="H6" s="9">
        <f t="shared" si="1"/>
        <v>9.301651695160823E-2</v>
      </c>
      <c r="I6" s="55" t="s">
        <v>2074</v>
      </c>
    </row>
    <row r="7" spans="1:9" x14ac:dyDescent="0.25">
      <c r="A7" s="55" t="s">
        <v>390</v>
      </c>
      <c r="B7" s="55" t="s">
        <v>393</v>
      </c>
      <c r="C7" s="38">
        <v>355008282401839</v>
      </c>
      <c r="D7" s="55" t="s">
        <v>15</v>
      </c>
      <c r="E7" s="29">
        <v>3126</v>
      </c>
      <c r="F7" s="29">
        <v>2628</v>
      </c>
      <c r="G7" s="16">
        <f t="shared" si="0"/>
        <v>498</v>
      </c>
      <c r="H7" s="9">
        <f t="shared" si="1"/>
        <v>0.18949771689497716</v>
      </c>
      <c r="I7" s="55" t="s">
        <v>2074</v>
      </c>
    </row>
    <row r="8" spans="1:9" x14ac:dyDescent="0.25">
      <c r="A8" s="55" t="s">
        <v>478</v>
      </c>
      <c r="B8" s="55" t="s">
        <v>33</v>
      </c>
      <c r="C8" s="38">
        <v>350599861566120</v>
      </c>
      <c r="D8" s="55" t="s">
        <v>15</v>
      </c>
      <c r="E8" s="29">
        <v>3835.44</v>
      </c>
      <c r="F8" s="29">
        <v>3235</v>
      </c>
      <c r="G8" s="16">
        <f t="shared" si="0"/>
        <v>600.44000000000005</v>
      </c>
      <c r="H8" s="9">
        <f t="shared" si="1"/>
        <v>0.18560741885625967</v>
      </c>
      <c r="I8" s="55" t="s">
        <v>2074</v>
      </c>
    </row>
    <row r="9" spans="1:9" x14ac:dyDescent="0.25">
      <c r="A9" s="55" t="s">
        <v>623</v>
      </c>
      <c r="B9" s="55" t="s">
        <v>33</v>
      </c>
      <c r="C9" s="38">
        <v>350599861078688</v>
      </c>
      <c r="D9" s="55" t="s">
        <v>15</v>
      </c>
      <c r="E9" s="29">
        <v>4164.55</v>
      </c>
      <c r="F9" s="29">
        <v>3397</v>
      </c>
      <c r="G9" s="16">
        <f t="shared" si="0"/>
        <v>767.55000000000018</v>
      </c>
      <c r="H9" s="9">
        <f t="shared" si="1"/>
        <v>0.22594936708860766</v>
      </c>
      <c r="I9" s="55" t="s">
        <v>2074</v>
      </c>
    </row>
    <row r="10" spans="1:9" x14ac:dyDescent="0.25">
      <c r="A10" s="55" t="s">
        <v>857</v>
      </c>
      <c r="B10" s="55" t="s">
        <v>33</v>
      </c>
      <c r="C10" s="38">
        <v>350599861426267</v>
      </c>
      <c r="D10" s="55" t="s">
        <v>15</v>
      </c>
      <c r="E10" s="29">
        <v>3936.7</v>
      </c>
      <c r="F10" s="29">
        <v>3343</v>
      </c>
      <c r="G10" s="16">
        <f t="shared" si="0"/>
        <v>593.69999999999982</v>
      </c>
      <c r="H10" s="9">
        <f t="shared" si="1"/>
        <v>0.1775949745737361</v>
      </c>
      <c r="I10" s="55" t="s">
        <v>2074</v>
      </c>
    </row>
    <row r="11" spans="1:9" x14ac:dyDescent="0.25">
      <c r="A11" s="55" t="s">
        <v>999</v>
      </c>
      <c r="B11" s="55" t="s">
        <v>33</v>
      </c>
      <c r="C11" s="38">
        <v>350889864680956</v>
      </c>
      <c r="D11" s="55" t="s">
        <v>15</v>
      </c>
      <c r="E11" s="29">
        <v>4164.55</v>
      </c>
      <c r="F11" s="29">
        <v>3428.45</v>
      </c>
      <c r="G11" s="16">
        <f t="shared" si="0"/>
        <v>736.10000000000036</v>
      </c>
      <c r="H11" s="9">
        <f t="shared" si="1"/>
        <v>0.2147034374134085</v>
      </c>
      <c r="I11" s="55" t="s">
        <v>2074</v>
      </c>
    </row>
    <row r="12" spans="1:9" x14ac:dyDescent="0.25">
      <c r="A12" s="55" t="s">
        <v>999</v>
      </c>
      <c r="B12" s="55" t="s">
        <v>33</v>
      </c>
      <c r="C12" s="38">
        <v>352791396508374</v>
      </c>
      <c r="D12" s="55" t="s">
        <v>15</v>
      </c>
      <c r="E12" s="29">
        <v>3949.36</v>
      </c>
      <c r="F12" s="29">
        <v>3338.7</v>
      </c>
      <c r="G12" s="16">
        <f t="shared" si="0"/>
        <v>610.66000000000031</v>
      </c>
      <c r="H12" s="9">
        <f t="shared" si="1"/>
        <v>0.1829035253242281</v>
      </c>
      <c r="I12" s="55" t="s">
        <v>2074</v>
      </c>
    </row>
    <row r="13" spans="1:9" x14ac:dyDescent="0.25">
      <c r="A13" s="55" t="s">
        <v>999</v>
      </c>
      <c r="B13" s="55" t="s">
        <v>33</v>
      </c>
      <c r="C13" s="38">
        <v>358902510326775</v>
      </c>
      <c r="D13" s="55" t="s">
        <v>15</v>
      </c>
      <c r="E13" s="29">
        <v>3949.36</v>
      </c>
      <c r="F13" s="29">
        <v>3338.7</v>
      </c>
      <c r="G13" s="16">
        <f t="shared" si="0"/>
        <v>610.66000000000031</v>
      </c>
      <c r="H13" s="9">
        <f t="shared" si="1"/>
        <v>0.1829035253242281</v>
      </c>
      <c r="I13" s="55" t="s">
        <v>2074</v>
      </c>
    </row>
    <row r="14" spans="1:9" x14ac:dyDescent="0.25">
      <c r="A14" s="55" t="s">
        <v>1335</v>
      </c>
      <c r="B14" s="55" t="s">
        <v>1344</v>
      </c>
      <c r="C14" s="38">
        <v>355478872556005</v>
      </c>
      <c r="D14" s="55" t="s">
        <v>15</v>
      </c>
      <c r="E14" s="29">
        <v>3860.75</v>
      </c>
      <c r="F14" s="29">
        <v>3300</v>
      </c>
      <c r="G14" s="16">
        <f t="shared" si="0"/>
        <v>560.75</v>
      </c>
      <c r="H14" s="9">
        <f t="shared" si="1"/>
        <v>0.16992424242424242</v>
      </c>
      <c r="I14" s="55" t="s">
        <v>2074</v>
      </c>
    </row>
    <row r="15" spans="1:9" x14ac:dyDescent="0.25">
      <c r="A15" s="7" t="s">
        <v>1618</v>
      </c>
      <c r="B15" s="7" t="s">
        <v>33</v>
      </c>
      <c r="C15" s="39">
        <v>355246652282609</v>
      </c>
      <c r="D15" s="7" t="s">
        <v>490</v>
      </c>
      <c r="E15" s="16">
        <v>3873.41</v>
      </c>
      <c r="F15" s="16">
        <v>3338.7</v>
      </c>
      <c r="G15" s="16">
        <f t="shared" si="0"/>
        <v>534.71</v>
      </c>
      <c r="H15" s="9">
        <f t="shared" si="1"/>
        <v>0.16015515020816487</v>
      </c>
      <c r="I15" s="7" t="s">
        <v>2074</v>
      </c>
    </row>
    <row r="16" spans="1:9" x14ac:dyDescent="0.25">
      <c r="A16" s="7" t="s">
        <v>1618</v>
      </c>
      <c r="B16" s="7" t="s">
        <v>33</v>
      </c>
      <c r="C16" s="39">
        <v>357586349143344</v>
      </c>
      <c r="D16" s="7" t="s">
        <v>490</v>
      </c>
      <c r="E16" s="16">
        <v>3873.41</v>
      </c>
      <c r="F16" s="16">
        <v>3338.7</v>
      </c>
      <c r="G16" s="16">
        <f t="shared" si="0"/>
        <v>534.71</v>
      </c>
      <c r="H16" s="9">
        <f t="shared" si="1"/>
        <v>0.16015515020816487</v>
      </c>
      <c r="I16" s="7" t="s">
        <v>2074</v>
      </c>
    </row>
    <row r="17" spans="1:9" x14ac:dyDescent="0.25">
      <c r="A17" s="55" t="s">
        <v>1335</v>
      </c>
      <c r="B17" s="67" t="s">
        <v>1339</v>
      </c>
      <c r="C17" s="68">
        <v>355964948552797</v>
      </c>
      <c r="D17" s="55" t="s">
        <v>2075</v>
      </c>
      <c r="E17" s="69">
        <v>2493.67</v>
      </c>
      <c r="F17" s="69">
        <v>2000</v>
      </c>
      <c r="G17" s="16">
        <f t="shared" si="0"/>
        <v>493.67000000000007</v>
      </c>
      <c r="H17" s="9">
        <f t="shared" si="1"/>
        <v>0.24683500000000003</v>
      </c>
      <c r="I17" s="7" t="s">
        <v>2074</v>
      </c>
    </row>
    <row r="18" spans="1:9" x14ac:dyDescent="0.25">
      <c r="A18" s="55" t="s">
        <v>478</v>
      </c>
      <c r="B18" s="67" t="s">
        <v>479</v>
      </c>
      <c r="C18" s="68">
        <v>352653442265609</v>
      </c>
      <c r="D18" s="55" t="s">
        <v>2076</v>
      </c>
      <c r="E18" s="69">
        <v>1126.58</v>
      </c>
      <c r="F18" s="69">
        <v>4</v>
      </c>
      <c r="G18" s="16">
        <f t="shared" si="0"/>
        <v>1122.58</v>
      </c>
      <c r="H18" s="9">
        <f t="shared" si="1"/>
        <v>280.64499999999998</v>
      </c>
      <c r="I18" s="7" t="s">
        <v>2074</v>
      </c>
    </row>
    <row r="19" spans="1:9" x14ac:dyDescent="0.25">
      <c r="A19" s="7" t="s">
        <v>1618</v>
      </c>
      <c r="B19" s="67" t="s">
        <v>2077</v>
      </c>
      <c r="C19" s="68">
        <v>353247105566665</v>
      </c>
      <c r="D19" s="55" t="s">
        <v>2076</v>
      </c>
      <c r="E19" s="69">
        <v>594.92999999999995</v>
      </c>
      <c r="F19" s="69">
        <v>4</v>
      </c>
      <c r="G19" s="16">
        <f t="shared" si="0"/>
        <v>590.92999999999995</v>
      </c>
      <c r="H19" s="9">
        <f t="shared" si="1"/>
        <v>147.73249999999999</v>
      </c>
      <c r="I19" s="7" t="s">
        <v>2074</v>
      </c>
    </row>
    <row r="20" spans="1:9" x14ac:dyDescent="0.25">
      <c r="E20" s="10" t="s">
        <v>1727</v>
      </c>
      <c r="F20" s="10" t="s">
        <v>1726</v>
      </c>
      <c r="G20" s="10" t="s">
        <v>1967</v>
      </c>
      <c r="H20" s="10" t="s">
        <v>1725</v>
      </c>
      <c r="I20" s="55"/>
    </row>
    <row r="21" spans="1:9" x14ac:dyDescent="0.25">
      <c r="E21" s="19">
        <f t="shared" ref="E21:G21" si="2">SUM(E2:E20)</f>
        <v>55201.26</v>
      </c>
      <c r="F21" s="19">
        <f t="shared" si="2"/>
        <v>44712.229999999996</v>
      </c>
      <c r="G21" s="19">
        <f t="shared" si="2"/>
        <v>10489.03</v>
      </c>
      <c r="H21" s="21">
        <v>0.20730000000000001</v>
      </c>
      <c r="I21" s="55"/>
    </row>
    <row r="27" spans="1:9" x14ac:dyDescent="0.25">
      <c r="B27" s="55" t="s">
        <v>2078</v>
      </c>
      <c r="C27" s="55">
        <v>2663</v>
      </c>
    </row>
    <row r="28" spans="1:9" x14ac:dyDescent="0.25">
      <c r="B28" s="55" t="s">
        <v>2079</v>
      </c>
      <c r="C28" s="55">
        <v>1329</v>
      </c>
    </row>
    <row r="29" spans="1:9" x14ac:dyDescent="0.25">
      <c r="B29" s="55" t="s">
        <v>2080</v>
      </c>
      <c r="C29" s="55">
        <v>7786</v>
      </c>
    </row>
    <row r="30" spans="1:9" x14ac:dyDescent="0.25">
      <c r="B30" s="55"/>
      <c r="C30" s="55"/>
    </row>
    <row r="31" spans="1:9" x14ac:dyDescent="0.25">
      <c r="B31" s="63" t="s">
        <v>2070</v>
      </c>
      <c r="C31" s="63">
        <f>SUM(C27:C30)</f>
        <v>11778</v>
      </c>
    </row>
    <row r="32" spans="1:9" x14ac:dyDescent="0.25">
      <c r="B32" s="55"/>
      <c r="C32" s="55"/>
    </row>
    <row r="33" spans="2:3" ht="21" x14ac:dyDescent="0.35">
      <c r="B33" s="66" t="s">
        <v>2081</v>
      </c>
      <c r="C33" s="66">
        <f>G21-C31</f>
        <v>-1288.9699999999993</v>
      </c>
    </row>
  </sheetData>
  <conditionalFormatting sqref="C1">
    <cfRule type="duplicateValues" dxfId="7" priority="1"/>
  </conditionalFormatting>
  <conditionalFormatting sqref="C2:C16">
    <cfRule type="duplicateValues" dxfId="6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88223-3CFF-442D-950B-12BB47512B85}">
  <dimension ref="A1:I51"/>
  <sheetViews>
    <sheetView topLeftCell="A22" zoomScale="80" zoomScaleNormal="80" workbookViewId="0">
      <selection activeCell="B46" sqref="B46"/>
    </sheetView>
  </sheetViews>
  <sheetFormatPr defaultRowHeight="15" x14ac:dyDescent="0.25"/>
  <cols>
    <col min="1" max="1" width="19.28515625" customWidth="1"/>
    <col min="2" max="2" width="33.5703125" customWidth="1"/>
    <col min="3" max="3" width="39.85546875" customWidth="1"/>
    <col min="4" max="7" width="19.28515625" customWidth="1"/>
    <col min="8" max="8" width="19.28515625" style="5" customWidth="1"/>
    <col min="9" max="9" width="27" customWidth="1"/>
    <col min="10" max="11" width="19.28515625" customWidth="1"/>
  </cols>
  <sheetData>
    <row r="1" spans="1:9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2" t="s">
        <v>10</v>
      </c>
      <c r="I1" s="1" t="s">
        <v>11</v>
      </c>
    </row>
    <row r="2" spans="1:9" x14ac:dyDescent="0.25">
      <c r="A2" s="55" t="s">
        <v>857</v>
      </c>
      <c r="B2" s="55" t="s">
        <v>905</v>
      </c>
      <c r="C2" s="55" t="s">
        <v>906</v>
      </c>
      <c r="D2" s="55" t="s">
        <v>15</v>
      </c>
      <c r="E2" s="29">
        <v>430</v>
      </c>
      <c r="F2" s="29">
        <v>10</v>
      </c>
      <c r="G2" s="29">
        <v>420</v>
      </c>
      <c r="H2" s="32">
        <f>(E2-F2)/F2</f>
        <v>42</v>
      </c>
      <c r="I2" s="55" t="s">
        <v>907</v>
      </c>
    </row>
    <row r="3" spans="1:9" x14ac:dyDescent="0.25">
      <c r="A3" s="55" t="s">
        <v>857</v>
      </c>
      <c r="B3" s="55" t="s">
        <v>905</v>
      </c>
      <c r="C3" s="55" t="s">
        <v>908</v>
      </c>
      <c r="D3" s="55" t="s">
        <v>15</v>
      </c>
      <c r="E3" s="29">
        <v>430</v>
      </c>
      <c r="F3" s="29">
        <v>10</v>
      </c>
      <c r="G3" s="29">
        <v>420</v>
      </c>
      <c r="H3" s="32">
        <f t="shared" ref="H3:H37" si="0">(E3-F3)/F3</f>
        <v>42</v>
      </c>
      <c r="I3" s="55" t="s">
        <v>907</v>
      </c>
    </row>
    <row r="4" spans="1:9" x14ac:dyDescent="0.25">
      <c r="A4" s="55" t="s">
        <v>857</v>
      </c>
      <c r="B4" s="55" t="s">
        <v>905</v>
      </c>
      <c r="C4" s="55" t="s">
        <v>909</v>
      </c>
      <c r="D4" s="55" t="s">
        <v>15</v>
      </c>
      <c r="E4" s="29">
        <v>430</v>
      </c>
      <c r="F4" s="29">
        <v>10</v>
      </c>
      <c r="G4" s="29">
        <v>420</v>
      </c>
      <c r="H4" s="32">
        <f t="shared" si="0"/>
        <v>42</v>
      </c>
      <c r="I4" s="55" t="s">
        <v>907</v>
      </c>
    </row>
    <row r="5" spans="1:9" x14ac:dyDescent="0.25">
      <c r="A5" s="55" t="s">
        <v>857</v>
      </c>
      <c r="B5" s="55" t="s">
        <v>905</v>
      </c>
      <c r="C5" s="55" t="s">
        <v>910</v>
      </c>
      <c r="D5" s="55" t="s">
        <v>15</v>
      </c>
      <c r="E5" s="29">
        <v>430</v>
      </c>
      <c r="F5" s="29">
        <v>10</v>
      </c>
      <c r="G5" s="29">
        <v>420</v>
      </c>
      <c r="H5" s="32">
        <f t="shared" si="0"/>
        <v>42</v>
      </c>
      <c r="I5" s="55" t="s">
        <v>907</v>
      </c>
    </row>
    <row r="6" spans="1:9" x14ac:dyDescent="0.25">
      <c r="A6" s="55" t="s">
        <v>857</v>
      </c>
      <c r="B6" s="55" t="s">
        <v>905</v>
      </c>
      <c r="C6" s="55" t="s">
        <v>911</v>
      </c>
      <c r="D6" s="55" t="s">
        <v>15</v>
      </c>
      <c r="E6" s="29">
        <v>430</v>
      </c>
      <c r="F6" s="29">
        <v>10</v>
      </c>
      <c r="G6" s="29">
        <v>420</v>
      </c>
      <c r="H6" s="32">
        <f t="shared" si="0"/>
        <v>42</v>
      </c>
      <c r="I6" s="55" t="s">
        <v>907</v>
      </c>
    </row>
    <row r="7" spans="1:9" x14ac:dyDescent="0.25">
      <c r="A7" s="55" t="s">
        <v>857</v>
      </c>
      <c r="B7" s="55" t="s">
        <v>905</v>
      </c>
      <c r="C7" s="55" t="s">
        <v>912</v>
      </c>
      <c r="D7" s="55" t="s">
        <v>15</v>
      </c>
      <c r="E7" s="29">
        <v>430</v>
      </c>
      <c r="F7" s="29">
        <v>10</v>
      </c>
      <c r="G7" s="29">
        <v>420</v>
      </c>
      <c r="H7" s="32">
        <f t="shared" si="0"/>
        <v>42</v>
      </c>
      <c r="I7" s="55" t="s">
        <v>907</v>
      </c>
    </row>
    <row r="8" spans="1:9" x14ac:dyDescent="0.25">
      <c r="A8" s="55" t="s">
        <v>390</v>
      </c>
      <c r="B8" s="55" t="s">
        <v>33</v>
      </c>
      <c r="C8" s="34">
        <v>350889867351605</v>
      </c>
      <c r="D8" s="55" t="s">
        <v>15</v>
      </c>
      <c r="E8" s="29">
        <v>3820</v>
      </c>
      <c r="F8" s="29">
        <v>3770</v>
      </c>
      <c r="G8" s="29">
        <v>50</v>
      </c>
      <c r="H8" s="32">
        <f t="shared" si="0"/>
        <v>1.3262599469496022E-2</v>
      </c>
      <c r="I8" s="55" t="s">
        <v>396</v>
      </c>
    </row>
    <row r="9" spans="1:9" x14ac:dyDescent="0.25">
      <c r="A9" s="55" t="s">
        <v>390</v>
      </c>
      <c r="B9" s="55" t="s">
        <v>33</v>
      </c>
      <c r="C9" s="34">
        <v>358051325669902</v>
      </c>
      <c r="D9" s="55" t="s">
        <v>15</v>
      </c>
      <c r="E9" s="29">
        <v>3820</v>
      </c>
      <c r="F9" s="29">
        <v>3770</v>
      </c>
      <c r="G9" s="29">
        <v>50</v>
      </c>
      <c r="H9" s="32">
        <f t="shared" si="0"/>
        <v>1.3262599469496022E-2</v>
      </c>
      <c r="I9" s="55" t="s">
        <v>396</v>
      </c>
    </row>
    <row r="10" spans="1:9" x14ac:dyDescent="0.25">
      <c r="A10" s="55" t="s">
        <v>390</v>
      </c>
      <c r="B10" s="55" t="s">
        <v>33</v>
      </c>
      <c r="C10" s="34">
        <v>358051325792381</v>
      </c>
      <c r="D10" s="55" t="s">
        <v>15</v>
      </c>
      <c r="E10" s="29">
        <v>3820</v>
      </c>
      <c r="F10" s="29">
        <v>3770</v>
      </c>
      <c r="G10" s="29">
        <v>50</v>
      </c>
      <c r="H10" s="32">
        <f t="shared" si="0"/>
        <v>1.3262599469496022E-2</v>
      </c>
      <c r="I10" s="55" t="s">
        <v>396</v>
      </c>
    </row>
    <row r="11" spans="1:9" x14ac:dyDescent="0.25">
      <c r="A11" s="30" t="s">
        <v>726</v>
      </c>
      <c r="B11" s="30" t="s">
        <v>736</v>
      </c>
      <c r="C11" s="35" t="s">
        <v>737</v>
      </c>
      <c r="D11" s="30" t="s">
        <v>15</v>
      </c>
      <c r="E11" s="31">
        <v>45</v>
      </c>
      <c r="F11" s="31">
        <v>1</v>
      </c>
      <c r="G11" s="31">
        <v>44</v>
      </c>
      <c r="H11" s="32">
        <f t="shared" si="0"/>
        <v>44</v>
      </c>
      <c r="I11" s="30" t="s">
        <v>738</v>
      </c>
    </row>
    <row r="12" spans="1:9" x14ac:dyDescent="0.25">
      <c r="A12" s="30" t="s">
        <v>726</v>
      </c>
      <c r="B12" s="30" t="s">
        <v>736</v>
      </c>
      <c r="C12" s="35" t="s">
        <v>739</v>
      </c>
      <c r="D12" s="30" t="s">
        <v>15</v>
      </c>
      <c r="E12" s="31">
        <v>45</v>
      </c>
      <c r="F12" s="31">
        <v>1</v>
      </c>
      <c r="G12" s="31">
        <v>44</v>
      </c>
      <c r="H12" s="32">
        <f t="shared" si="0"/>
        <v>44</v>
      </c>
      <c r="I12" s="30" t="s">
        <v>738</v>
      </c>
    </row>
    <row r="13" spans="1:9" x14ac:dyDescent="0.25">
      <c r="A13" s="30" t="s">
        <v>726</v>
      </c>
      <c r="B13" s="30" t="s">
        <v>736</v>
      </c>
      <c r="C13" s="35" t="s">
        <v>740</v>
      </c>
      <c r="D13" s="30" t="s">
        <v>15</v>
      </c>
      <c r="E13" s="31">
        <v>45</v>
      </c>
      <c r="F13" s="31">
        <v>1</v>
      </c>
      <c r="G13" s="31">
        <v>44</v>
      </c>
      <c r="H13" s="32">
        <f t="shared" si="0"/>
        <v>44</v>
      </c>
      <c r="I13" s="30" t="s">
        <v>738</v>
      </c>
    </row>
    <row r="14" spans="1:9" x14ac:dyDescent="0.25">
      <c r="A14" s="30" t="s">
        <v>726</v>
      </c>
      <c r="B14" s="30" t="s">
        <v>736</v>
      </c>
      <c r="C14" s="35" t="s">
        <v>741</v>
      </c>
      <c r="D14" s="30" t="s">
        <v>15</v>
      </c>
      <c r="E14" s="31">
        <v>45</v>
      </c>
      <c r="F14" s="31">
        <v>1</v>
      </c>
      <c r="G14" s="31">
        <v>44</v>
      </c>
      <c r="H14" s="32">
        <f t="shared" si="0"/>
        <v>44</v>
      </c>
      <c r="I14" s="30" t="s">
        <v>738</v>
      </c>
    </row>
    <row r="15" spans="1:9" x14ac:dyDescent="0.25">
      <c r="A15" s="30" t="s">
        <v>726</v>
      </c>
      <c r="B15" s="30" t="s">
        <v>736</v>
      </c>
      <c r="C15" s="35" t="s">
        <v>742</v>
      </c>
      <c r="D15" s="30" t="s">
        <v>15</v>
      </c>
      <c r="E15" s="31">
        <v>45</v>
      </c>
      <c r="F15" s="31">
        <v>1</v>
      </c>
      <c r="G15" s="31">
        <v>44</v>
      </c>
      <c r="H15" s="32">
        <f t="shared" si="0"/>
        <v>44</v>
      </c>
      <c r="I15" s="30" t="s">
        <v>738</v>
      </c>
    </row>
    <row r="16" spans="1:9" x14ac:dyDescent="0.25">
      <c r="A16" s="30" t="s">
        <v>726</v>
      </c>
      <c r="B16" s="30" t="s">
        <v>736</v>
      </c>
      <c r="C16" s="35" t="s">
        <v>743</v>
      </c>
      <c r="D16" s="30" t="s">
        <v>15</v>
      </c>
      <c r="E16" s="31">
        <v>45</v>
      </c>
      <c r="F16" s="31">
        <v>1</v>
      </c>
      <c r="G16" s="31">
        <v>44</v>
      </c>
      <c r="H16" s="32">
        <f t="shared" si="0"/>
        <v>44</v>
      </c>
      <c r="I16" s="30" t="s">
        <v>738</v>
      </c>
    </row>
    <row r="17" spans="1:9" x14ac:dyDescent="0.25">
      <c r="A17" s="30" t="s">
        <v>726</v>
      </c>
      <c r="B17" s="30" t="s">
        <v>736</v>
      </c>
      <c r="C17" s="35" t="s">
        <v>744</v>
      </c>
      <c r="D17" s="30" t="s">
        <v>15</v>
      </c>
      <c r="E17" s="31">
        <v>45</v>
      </c>
      <c r="F17" s="31">
        <v>1</v>
      </c>
      <c r="G17" s="31">
        <v>44</v>
      </c>
      <c r="H17" s="32">
        <f t="shared" si="0"/>
        <v>44</v>
      </c>
      <c r="I17" s="30" t="s">
        <v>738</v>
      </c>
    </row>
    <row r="18" spans="1:9" x14ac:dyDescent="0.25">
      <c r="A18" s="30" t="s">
        <v>726</v>
      </c>
      <c r="B18" s="30" t="s">
        <v>736</v>
      </c>
      <c r="C18" s="35" t="s">
        <v>745</v>
      </c>
      <c r="D18" s="30" t="s">
        <v>15</v>
      </c>
      <c r="E18" s="31">
        <v>45</v>
      </c>
      <c r="F18" s="31">
        <v>1</v>
      </c>
      <c r="G18" s="31">
        <v>44</v>
      </c>
      <c r="H18" s="32">
        <f t="shared" si="0"/>
        <v>44</v>
      </c>
      <c r="I18" s="30" t="s">
        <v>738</v>
      </c>
    </row>
    <row r="19" spans="1:9" x14ac:dyDescent="0.25">
      <c r="A19" s="30" t="s">
        <v>726</v>
      </c>
      <c r="B19" s="30" t="s">
        <v>736</v>
      </c>
      <c r="C19" s="35" t="s">
        <v>746</v>
      </c>
      <c r="D19" s="30" t="s">
        <v>15</v>
      </c>
      <c r="E19" s="31">
        <v>45</v>
      </c>
      <c r="F19" s="31">
        <v>1</v>
      </c>
      <c r="G19" s="31">
        <v>44</v>
      </c>
      <c r="H19" s="32">
        <f t="shared" si="0"/>
        <v>44</v>
      </c>
      <c r="I19" s="30" t="s">
        <v>738</v>
      </c>
    </row>
    <row r="20" spans="1:9" x14ac:dyDescent="0.25">
      <c r="A20" s="30" t="s">
        <v>726</v>
      </c>
      <c r="B20" s="30" t="s">
        <v>736</v>
      </c>
      <c r="C20" s="35" t="s">
        <v>747</v>
      </c>
      <c r="D20" s="30" t="s">
        <v>15</v>
      </c>
      <c r="E20" s="31">
        <v>45</v>
      </c>
      <c r="F20" s="31">
        <v>1</v>
      </c>
      <c r="G20" s="31">
        <v>44</v>
      </c>
      <c r="H20" s="32">
        <f t="shared" si="0"/>
        <v>44</v>
      </c>
      <c r="I20" s="30" t="s">
        <v>738</v>
      </c>
    </row>
    <row r="21" spans="1:9" x14ac:dyDescent="0.25">
      <c r="A21" s="30" t="s">
        <v>726</v>
      </c>
      <c r="B21" s="30" t="s">
        <v>736</v>
      </c>
      <c r="C21" s="35" t="s">
        <v>748</v>
      </c>
      <c r="D21" s="30" t="s">
        <v>15</v>
      </c>
      <c r="E21" s="31">
        <v>45</v>
      </c>
      <c r="F21" s="31">
        <v>1</v>
      </c>
      <c r="G21" s="31">
        <v>44</v>
      </c>
      <c r="H21" s="32">
        <f t="shared" si="0"/>
        <v>44</v>
      </c>
      <c r="I21" s="30" t="s">
        <v>738</v>
      </c>
    </row>
    <row r="22" spans="1:9" x14ac:dyDescent="0.25">
      <c r="A22" s="30" t="s">
        <v>726</v>
      </c>
      <c r="B22" s="30" t="s">
        <v>736</v>
      </c>
      <c r="C22" s="35" t="s">
        <v>749</v>
      </c>
      <c r="D22" s="30" t="s">
        <v>15</v>
      </c>
      <c r="E22" s="31">
        <v>45</v>
      </c>
      <c r="F22" s="31">
        <v>1</v>
      </c>
      <c r="G22" s="31">
        <v>44</v>
      </c>
      <c r="H22" s="32">
        <f t="shared" si="0"/>
        <v>44</v>
      </c>
      <c r="I22" s="30" t="s">
        <v>738</v>
      </c>
    </row>
    <row r="23" spans="1:9" x14ac:dyDescent="0.25">
      <c r="A23" s="30" t="s">
        <v>726</v>
      </c>
      <c r="B23" s="30" t="s">
        <v>736</v>
      </c>
      <c r="C23" s="35" t="s">
        <v>750</v>
      </c>
      <c r="D23" s="30" t="s">
        <v>15</v>
      </c>
      <c r="E23" s="31">
        <v>45</v>
      </c>
      <c r="F23" s="31">
        <v>1</v>
      </c>
      <c r="G23" s="31">
        <v>44</v>
      </c>
      <c r="H23" s="32">
        <f t="shared" si="0"/>
        <v>44</v>
      </c>
      <c r="I23" s="30" t="s">
        <v>738</v>
      </c>
    </row>
    <row r="24" spans="1:9" x14ac:dyDescent="0.25">
      <c r="A24" s="30" t="s">
        <v>726</v>
      </c>
      <c r="B24" s="30" t="s">
        <v>736</v>
      </c>
      <c r="C24" s="35" t="s">
        <v>751</v>
      </c>
      <c r="D24" s="30" t="s">
        <v>15</v>
      </c>
      <c r="E24" s="31">
        <v>45</v>
      </c>
      <c r="F24" s="31">
        <v>1</v>
      </c>
      <c r="G24" s="31">
        <v>44</v>
      </c>
      <c r="H24" s="32">
        <f t="shared" si="0"/>
        <v>44</v>
      </c>
      <c r="I24" s="30" t="s">
        <v>738</v>
      </c>
    </row>
    <row r="25" spans="1:9" x14ac:dyDescent="0.25">
      <c r="A25" s="30" t="s">
        <v>726</v>
      </c>
      <c r="B25" s="30" t="s">
        <v>736</v>
      </c>
      <c r="C25" s="35" t="s">
        <v>752</v>
      </c>
      <c r="D25" s="30" t="s">
        <v>15</v>
      </c>
      <c r="E25" s="31">
        <v>45</v>
      </c>
      <c r="F25" s="31">
        <v>1</v>
      </c>
      <c r="G25" s="31">
        <v>44</v>
      </c>
      <c r="H25" s="32">
        <f t="shared" si="0"/>
        <v>44</v>
      </c>
      <c r="I25" s="30" t="s">
        <v>738</v>
      </c>
    </row>
    <row r="26" spans="1:9" x14ac:dyDescent="0.25">
      <c r="A26" s="30" t="s">
        <v>726</v>
      </c>
      <c r="B26" s="30" t="s">
        <v>736</v>
      </c>
      <c r="C26" s="35" t="s">
        <v>753</v>
      </c>
      <c r="D26" s="30" t="s">
        <v>15</v>
      </c>
      <c r="E26" s="31">
        <v>45</v>
      </c>
      <c r="F26" s="31">
        <v>1</v>
      </c>
      <c r="G26" s="31">
        <v>44</v>
      </c>
      <c r="H26" s="32">
        <f t="shared" si="0"/>
        <v>44</v>
      </c>
      <c r="I26" s="30" t="s">
        <v>738</v>
      </c>
    </row>
    <row r="27" spans="1:9" x14ac:dyDescent="0.25">
      <c r="A27" s="30" t="s">
        <v>726</v>
      </c>
      <c r="B27" s="30" t="s">
        <v>736</v>
      </c>
      <c r="C27" s="35" t="s">
        <v>754</v>
      </c>
      <c r="D27" s="30" t="s">
        <v>15</v>
      </c>
      <c r="E27" s="31">
        <v>45</v>
      </c>
      <c r="F27" s="31">
        <v>1</v>
      </c>
      <c r="G27" s="31">
        <v>44</v>
      </c>
      <c r="H27" s="32">
        <f t="shared" si="0"/>
        <v>44</v>
      </c>
      <c r="I27" s="30" t="s">
        <v>738</v>
      </c>
    </row>
    <row r="28" spans="1:9" x14ac:dyDescent="0.25">
      <c r="A28" s="30" t="s">
        <v>726</v>
      </c>
      <c r="B28" s="30" t="s">
        <v>736</v>
      </c>
      <c r="C28" s="35" t="s">
        <v>755</v>
      </c>
      <c r="D28" s="30" t="s">
        <v>15</v>
      </c>
      <c r="E28" s="31">
        <v>45</v>
      </c>
      <c r="F28" s="31">
        <v>1</v>
      </c>
      <c r="G28" s="31">
        <v>44</v>
      </c>
      <c r="H28" s="32">
        <f t="shared" si="0"/>
        <v>44</v>
      </c>
      <c r="I28" s="30" t="s">
        <v>738</v>
      </c>
    </row>
    <row r="29" spans="1:9" x14ac:dyDescent="0.25">
      <c r="A29" s="30" t="s">
        <v>726</v>
      </c>
      <c r="B29" s="30" t="s">
        <v>736</v>
      </c>
      <c r="C29" s="35" t="s">
        <v>756</v>
      </c>
      <c r="D29" s="30" t="s">
        <v>15</v>
      </c>
      <c r="E29" s="31">
        <v>45</v>
      </c>
      <c r="F29" s="31">
        <v>1</v>
      </c>
      <c r="G29" s="31">
        <v>44</v>
      </c>
      <c r="H29" s="32">
        <f t="shared" si="0"/>
        <v>44</v>
      </c>
      <c r="I29" s="30" t="s">
        <v>738</v>
      </c>
    </row>
    <row r="30" spans="1:9" x14ac:dyDescent="0.25">
      <c r="A30" s="55" t="s">
        <v>12</v>
      </c>
      <c r="B30" s="55" t="s">
        <v>24</v>
      </c>
      <c r="C30" s="34">
        <v>810116381937</v>
      </c>
      <c r="D30" s="55" t="s">
        <v>15</v>
      </c>
      <c r="E30" s="29">
        <v>575</v>
      </c>
      <c r="F30" s="29">
        <v>4</v>
      </c>
      <c r="G30" s="29">
        <v>571</v>
      </c>
      <c r="H30" s="32">
        <f t="shared" si="0"/>
        <v>142.75</v>
      </c>
      <c r="I30" s="55" t="s">
        <v>26</v>
      </c>
    </row>
    <row r="31" spans="1:9" x14ac:dyDescent="0.25">
      <c r="A31" s="55" t="s">
        <v>1740</v>
      </c>
      <c r="B31" s="55" t="s">
        <v>1755</v>
      </c>
      <c r="C31" s="34" t="s">
        <v>2082</v>
      </c>
      <c r="D31" s="55" t="s">
        <v>2083</v>
      </c>
      <c r="E31" s="29">
        <v>194</v>
      </c>
      <c r="F31" s="29">
        <v>3.59</v>
      </c>
      <c r="G31" s="29">
        <v>190.41</v>
      </c>
      <c r="H31" s="32">
        <f t="shared" si="0"/>
        <v>53.038997214484681</v>
      </c>
      <c r="I31" s="55" t="s">
        <v>26</v>
      </c>
    </row>
    <row r="32" spans="1:9" x14ac:dyDescent="0.25">
      <c r="A32" s="55" t="s">
        <v>1740</v>
      </c>
      <c r="B32" s="55" t="s">
        <v>1755</v>
      </c>
      <c r="C32" s="34" t="s">
        <v>2084</v>
      </c>
      <c r="D32" s="55" t="s">
        <v>2083</v>
      </c>
      <c r="E32" s="29">
        <v>194</v>
      </c>
      <c r="F32" s="29">
        <v>3.59</v>
      </c>
      <c r="G32" s="29">
        <v>190.41</v>
      </c>
      <c r="H32" s="32">
        <f t="shared" si="0"/>
        <v>53.038997214484681</v>
      </c>
      <c r="I32" s="55" t="s">
        <v>26</v>
      </c>
    </row>
    <row r="33" spans="1:9" x14ac:dyDescent="0.25">
      <c r="A33" s="55" t="s">
        <v>1740</v>
      </c>
      <c r="B33" s="55" t="s">
        <v>1755</v>
      </c>
      <c r="C33" s="34" t="s">
        <v>2085</v>
      </c>
      <c r="D33" s="55" t="s">
        <v>2083</v>
      </c>
      <c r="E33" s="29">
        <v>192</v>
      </c>
      <c r="F33" s="29">
        <v>3.59</v>
      </c>
      <c r="G33" s="29">
        <v>188.41</v>
      </c>
      <c r="H33" s="32">
        <f t="shared" si="0"/>
        <v>52.48189415041783</v>
      </c>
      <c r="I33" s="55" t="s">
        <v>26</v>
      </c>
    </row>
    <row r="34" spans="1:9" x14ac:dyDescent="0.25">
      <c r="A34" s="55" t="s">
        <v>1740</v>
      </c>
      <c r="B34" s="55" t="s">
        <v>1755</v>
      </c>
      <c r="C34" s="34" t="s">
        <v>2086</v>
      </c>
      <c r="D34" s="55" t="s">
        <v>2083</v>
      </c>
      <c r="E34" s="29">
        <v>192</v>
      </c>
      <c r="F34" s="29">
        <v>3.59</v>
      </c>
      <c r="G34" s="29">
        <v>188.41</v>
      </c>
      <c r="H34" s="32">
        <f t="shared" si="0"/>
        <v>52.48189415041783</v>
      </c>
      <c r="I34" s="55" t="s">
        <v>26</v>
      </c>
    </row>
    <row r="35" spans="1:9" x14ac:dyDescent="0.25">
      <c r="A35" s="55" t="s">
        <v>1740</v>
      </c>
      <c r="B35" s="55" t="s">
        <v>38</v>
      </c>
      <c r="C35" s="34" t="s">
        <v>2087</v>
      </c>
      <c r="D35" s="55" t="s">
        <v>2088</v>
      </c>
      <c r="E35" s="29">
        <v>2493</v>
      </c>
      <c r="F35" s="29">
        <v>2112.1999999999998</v>
      </c>
      <c r="G35" s="29">
        <v>380.8</v>
      </c>
      <c r="H35" s="32">
        <f t="shared" si="0"/>
        <v>0.18028595776915074</v>
      </c>
      <c r="I35" s="55" t="s">
        <v>26</v>
      </c>
    </row>
    <row r="36" spans="1:9" x14ac:dyDescent="0.25">
      <c r="A36" s="55" t="s">
        <v>390</v>
      </c>
      <c r="B36" s="55" t="s">
        <v>33</v>
      </c>
      <c r="C36" s="34">
        <v>356188168995952</v>
      </c>
      <c r="D36" s="55" t="s">
        <v>15</v>
      </c>
      <c r="E36" s="29">
        <v>3610</v>
      </c>
      <c r="F36" s="29">
        <v>3590</v>
      </c>
      <c r="G36" s="29">
        <v>20</v>
      </c>
      <c r="H36" s="32">
        <f t="shared" si="0"/>
        <v>5.5710306406685237E-3</v>
      </c>
      <c r="I36" s="55" t="s">
        <v>398</v>
      </c>
    </row>
    <row r="37" spans="1:9" x14ac:dyDescent="0.25">
      <c r="A37" s="55" t="s">
        <v>390</v>
      </c>
      <c r="B37" s="55" t="s">
        <v>33</v>
      </c>
      <c r="C37" s="34">
        <v>359614549256241</v>
      </c>
      <c r="D37" s="55" t="s">
        <v>15</v>
      </c>
      <c r="E37" s="29">
        <v>3610</v>
      </c>
      <c r="F37" s="29">
        <v>3590</v>
      </c>
      <c r="G37" s="29">
        <v>20</v>
      </c>
      <c r="H37" s="32">
        <f t="shared" si="0"/>
        <v>5.5710306406685237E-3</v>
      </c>
      <c r="I37" s="55" t="s">
        <v>398</v>
      </c>
    </row>
    <row r="38" spans="1:9" x14ac:dyDescent="0.25">
      <c r="E38" s="10" t="s">
        <v>1727</v>
      </c>
      <c r="F38" s="10" t="s">
        <v>1726</v>
      </c>
      <c r="G38" s="10" t="s">
        <v>1967</v>
      </c>
      <c r="H38" s="32"/>
      <c r="I38" s="55"/>
    </row>
    <row r="39" spans="1:9" x14ac:dyDescent="0.25">
      <c r="E39" s="19">
        <f t="shared" ref="E39:G39" si="1">SUM(E2:E38)</f>
        <v>25955</v>
      </c>
      <c r="F39" s="19">
        <f t="shared" si="1"/>
        <v>20699.560000000001</v>
      </c>
      <c r="G39" s="19">
        <f t="shared" si="1"/>
        <v>5255.44</v>
      </c>
      <c r="H39" s="32"/>
      <c r="I39" s="55"/>
    </row>
    <row r="44" spans="1:9" x14ac:dyDescent="0.25">
      <c r="B44" s="55" t="s">
        <v>2089</v>
      </c>
      <c r="C44" s="55">
        <v>13215</v>
      </c>
    </row>
    <row r="45" spans="1:9" x14ac:dyDescent="0.25">
      <c r="B45" s="55" t="s">
        <v>2090</v>
      </c>
      <c r="C45" s="55">
        <v>19500</v>
      </c>
    </row>
    <row r="46" spans="1:9" x14ac:dyDescent="0.25">
      <c r="B46" s="55" t="s">
        <v>2091</v>
      </c>
      <c r="C46" s="55">
        <v>614</v>
      </c>
    </row>
    <row r="47" spans="1:9" x14ac:dyDescent="0.25">
      <c r="B47" s="55" t="s">
        <v>2092</v>
      </c>
      <c r="C47" s="55">
        <v>15000</v>
      </c>
    </row>
    <row r="48" spans="1:9" x14ac:dyDescent="0.25">
      <c r="B48" s="55"/>
      <c r="C48" s="55"/>
    </row>
    <row r="49" spans="2:3" x14ac:dyDescent="0.25">
      <c r="B49" s="63" t="s">
        <v>2070</v>
      </c>
      <c r="C49" s="63">
        <f>SUM(C44:C48)</f>
        <v>48329</v>
      </c>
    </row>
    <row r="50" spans="2:3" x14ac:dyDescent="0.25">
      <c r="B50" s="19"/>
      <c r="C50" s="19"/>
    </row>
    <row r="51" spans="2:3" ht="21" x14ac:dyDescent="0.35">
      <c r="B51" s="64" t="s">
        <v>2093</v>
      </c>
      <c r="C51" s="64">
        <f>G39-C49</f>
        <v>-43073.56</v>
      </c>
    </row>
  </sheetData>
  <conditionalFormatting sqref="C1:C7">
    <cfRule type="duplicateValues" dxfId="5" priority="5"/>
  </conditionalFormatting>
  <conditionalFormatting sqref="C8:C10">
    <cfRule type="duplicateValues" dxfId="4" priority="4"/>
  </conditionalFormatting>
  <conditionalFormatting sqref="C11:C29">
    <cfRule type="duplicateValues" dxfId="3" priority="3"/>
  </conditionalFormatting>
  <conditionalFormatting sqref="C30:C35">
    <cfRule type="duplicateValues" dxfId="2" priority="2"/>
  </conditionalFormatting>
  <conditionalFormatting sqref="C36:C37">
    <cfRule type="duplicateValues" dxfId="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ADE1-9D64-4645-A903-D0D0DFD0C520}">
  <dimension ref="A1:I23"/>
  <sheetViews>
    <sheetView tabSelected="1" workbookViewId="0">
      <selection activeCell="E31" sqref="E31"/>
    </sheetView>
  </sheetViews>
  <sheetFormatPr defaultRowHeight="15" x14ac:dyDescent="0.25"/>
  <cols>
    <col min="1" max="1" width="12.28515625" customWidth="1"/>
    <col min="2" max="2" width="32.5703125" customWidth="1"/>
    <col min="3" max="3" width="21.28515625" customWidth="1"/>
    <col min="4" max="10" width="17" customWidth="1"/>
  </cols>
  <sheetData>
    <row r="1" spans="1:9" x14ac:dyDescent="0.25">
      <c r="A1" s="24" t="s">
        <v>3</v>
      </c>
      <c r="B1" s="24" t="s">
        <v>4</v>
      </c>
      <c r="C1" s="24" t="s">
        <v>5</v>
      </c>
      <c r="D1" s="24" t="s">
        <v>6</v>
      </c>
      <c r="E1" s="24" t="s">
        <v>7</v>
      </c>
      <c r="F1" s="24" t="s">
        <v>8</v>
      </c>
      <c r="G1" s="24" t="s">
        <v>9</v>
      </c>
      <c r="H1" s="25" t="s">
        <v>10</v>
      </c>
      <c r="I1" s="24" t="s">
        <v>11</v>
      </c>
    </row>
    <row r="2" spans="1:9" x14ac:dyDescent="0.25">
      <c r="A2" s="26" t="s">
        <v>623</v>
      </c>
      <c r="B2" s="26" t="s">
        <v>624</v>
      </c>
      <c r="C2" s="37">
        <v>352673831095177</v>
      </c>
      <c r="D2" s="26" t="s">
        <v>15</v>
      </c>
      <c r="E2" s="27">
        <v>730</v>
      </c>
      <c r="F2" s="27">
        <v>900</v>
      </c>
      <c r="G2" s="27">
        <v>-170</v>
      </c>
      <c r="H2" s="28">
        <v>-0.18888888888888888</v>
      </c>
      <c r="I2" s="26" t="s">
        <v>29</v>
      </c>
    </row>
    <row r="3" spans="1:9" x14ac:dyDescent="0.25">
      <c r="A3" s="26" t="s">
        <v>1450</v>
      </c>
      <c r="B3" s="26" t="s">
        <v>1458</v>
      </c>
      <c r="C3" s="37">
        <v>353478903515030</v>
      </c>
      <c r="D3" s="26" t="s">
        <v>15</v>
      </c>
      <c r="E3" s="27">
        <v>3050</v>
      </c>
      <c r="F3" s="27">
        <v>3250</v>
      </c>
      <c r="G3" s="27">
        <v>-200</v>
      </c>
      <c r="H3" s="28">
        <v>-6.1538461538461542E-2</v>
      </c>
      <c r="I3" s="26" t="s">
        <v>29</v>
      </c>
    </row>
    <row r="4" spans="1:9" x14ac:dyDescent="0.25">
      <c r="A4" s="26" t="s">
        <v>1649</v>
      </c>
      <c r="B4" s="26" t="s">
        <v>1147</v>
      </c>
      <c r="C4" s="37">
        <v>353660340926249</v>
      </c>
      <c r="D4" s="26" t="s">
        <v>15</v>
      </c>
      <c r="E4" s="27">
        <v>850</v>
      </c>
      <c r="F4" s="27">
        <v>900</v>
      </c>
      <c r="G4" s="26">
        <v>-50</v>
      </c>
      <c r="H4" s="28">
        <v>-5.5555555555555552E-2</v>
      </c>
      <c r="I4" s="26" t="s">
        <v>29</v>
      </c>
    </row>
    <row r="5" spans="1:9" x14ac:dyDescent="0.25">
      <c r="A5" s="26" t="s">
        <v>1649</v>
      </c>
      <c r="B5" s="26" t="s">
        <v>43</v>
      </c>
      <c r="C5" s="37">
        <v>356187983162202</v>
      </c>
      <c r="D5" s="26" t="s">
        <v>1151</v>
      </c>
      <c r="E5" s="27">
        <v>2200</v>
      </c>
      <c r="F5" s="27">
        <v>2380</v>
      </c>
      <c r="G5" s="26">
        <v>-180</v>
      </c>
      <c r="H5" s="28">
        <v>-7.5630252100840331E-2</v>
      </c>
      <c r="I5" s="26" t="s">
        <v>29</v>
      </c>
    </row>
    <row r="6" spans="1:9" x14ac:dyDescent="0.25">
      <c r="A6" s="26" t="s">
        <v>12</v>
      </c>
      <c r="B6" s="26" t="s">
        <v>21</v>
      </c>
      <c r="C6" s="37" t="s">
        <v>22</v>
      </c>
      <c r="D6" s="26" t="s">
        <v>15</v>
      </c>
      <c r="E6" s="27">
        <v>575</v>
      </c>
      <c r="F6" s="27">
        <v>629</v>
      </c>
      <c r="G6" s="27">
        <v>-54</v>
      </c>
      <c r="H6" s="28">
        <v>-8.5850556438791734E-2</v>
      </c>
      <c r="I6" s="26" t="s">
        <v>23</v>
      </c>
    </row>
    <row r="7" spans="1:9" x14ac:dyDescent="0.25">
      <c r="A7" s="26" t="s">
        <v>390</v>
      </c>
      <c r="B7" s="26" t="s">
        <v>409</v>
      </c>
      <c r="C7" s="37" t="s">
        <v>410</v>
      </c>
      <c r="D7" s="27" t="s">
        <v>15</v>
      </c>
      <c r="E7" s="27">
        <v>850</v>
      </c>
      <c r="F7" s="27">
        <v>1080</v>
      </c>
      <c r="G7" s="27">
        <v>-230</v>
      </c>
      <c r="H7" s="28">
        <v>-0.21296296296296297</v>
      </c>
      <c r="I7" s="26" t="s">
        <v>23</v>
      </c>
    </row>
    <row r="8" spans="1:9" x14ac:dyDescent="0.25">
      <c r="A8" s="26" t="s">
        <v>390</v>
      </c>
      <c r="B8" s="26" t="s">
        <v>426</v>
      </c>
      <c r="C8" s="37" t="s">
        <v>427</v>
      </c>
      <c r="D8" s="26" t="s">
        <v>15</v>
      </c>
      <c r="E8" s="27">
        <v>850</v>
      </c>
      <c r="F8" s="27">
        <v>1260</v>
      </c>
      <c r="G8" s="27">
        <v>-410</v>
      </c>
      <c r="H8" s="28">
        <v>-0.32539682539682541</v>
      </c>
      <c r="I8" s="26" t="s">
        <v>23</v>
      </c>
    </row>
    <row r="9" spans="1:9" x14ac:dyDescent="0.25">
      <c r="A9" s="26" t="s">
        <v>390</v>
      </c>
      <c r="B9" s="26" t="s">
        <v>448</v>
      </c>
      <c r="C9" s="37" t="s">
        <v>463</v>
      </c>
      <c r="D9" s="26" t="s">
        <v>15</v>
      </c>
      <c r="E9" s="27">
        <v>1250</v>
      </c>
      <c r="F9" s="27">
        <v>1258.25</v>
      </c>
      <c r="G9" s="27">
        <v>-8.25</v>
      </c>
      <c r="H9" s="28">
        <v>-6.5567256109676135E-3</v>
      </c>
      <c r="I9" s="26" t="s">
        <v>23</v>
      </c>
    </row>
    <row r="10" spans="1:9" x14ac:dyDescent="0.25">
      <c r="A10" s="26" t="s">
        <v>390</v>
      </c>
      <c r="B10" s="26" t="s">
        <v>448</v>
      </c>
      <c r="C10" s="37" t="s">
        <v>466</v>
      </c>
      <c r="D10" s="26" t="s">
        <v>15</v>
      </c>
      <c r="E10" s="27">
        <v>1250</v>
      </c>
      <c r="F10" s="27">
        <v>1258.25</v>
      </c>
      <c r="G10" s="27">
        <v>-8.25</v>
      </c>
      <c r="H10" s="28">
        <v>-6.5567256109676135E-3</v>
      </c>
      <c r="I10" s="26" t="s">
        <v>23</v>
      </c>
    </row>
    <row r="11" spans="1:9" x14ac:dyDescent="0.25">
      <c r="A11" s="26" t="s">
        <v>726</v>
      </c>
      <c r="B11" s="26" t="s">
        <v>850</v>
      </c>
      <c r="C11" s="37" t="s">
        <v>851</v>
      </c>
      <c r="D11" s="26" t="s">
        <v>15</v>
      </c>
      <c r="E11" s="27">
        <v>1130</v>
      </c>
      <c r="F11" s="27">
        <v>1438</v>
      </c>
      <c r="G11" s="27">
        <v>-308</v>
      </c>
      <c r="H11" s="28">
        <v>-0.21418636995827539</v>
      </c>
      <c r="I11" s="26" t="s">
        <v>23</v>
      </c>
    </row>
    <row r="12" spans="1:9" x14ac:dyDescent="0.25">
      <c r="A12" s="26" t="s">
        <v>857</v>
      </c>
      <c r="B12" s="26" t="s">
        <v>866</v>
      </c>
      <c r="C12" s="37" t="s">
        <v>867</v>
      </c>
      <c r="D12" s="26" t="s">
        <v>15</v>
      </c>
      <c r="E12" s="27">
        <v>180</v>
      </c>
      <c r="F12" s="27">
        <v>306</v>
      </c>
      <c r="G12" s="27">
        <v>-126</v>
      </c>
      <c r="H12" s="28">
        <v>-0.41176470588235292</v>
      </c>
      <c r="I12" s="26" t="s">
        <v>23</v>
      </c>
    </row>
    <row r="13" spans="1:9" x14ac:dyDescent="0.25">
      <c r="A13" s="26" t="s">
        <v>999</v>
      </c>
      <c r="B13" s="26" t="s">
        <v>27</v>
      </c>
      <c r="C13" s="37">
        <v>351420494380632</v>
      </c>
      <c r="D13" s="26" t="s">
        <v>15</v>
      </c>
      <c r="E13" s="27">
        <v>1650</v>
      </c>
      <c r="F13" s="27">
        <v>1869</v>
      </c>
      <c r="G13" s="27">
        <v>-219</v>
      </c>
      <c r="H13" s="28">
        <v>-0.11717495987158909</v>
      </c>
      <c r="I13" s="26" t="s">
        <v>23</v>
      </c>
    </row>
    <row r="14" spans="1:9" x14ac:dyDescent="0.25">
      <c r="A14" s="26" t="s">
        <v>999</v>
      </c>
      <c r="B14" s="26" t="s">
        <v>27</v>
      </c>
      <c r="C14" s="37">
        <v>351420494815363</v>
      </c>
      <c r="D14" s="26" t="s">
        <v>15</v>
      </c>
      <c r="E14" s="27">
        <v>1650</v>
      </c>
      <c r="F14" s="27">
        <v>1869</v>
      </c>
      <c r="G14" s="27">
        <v>-219</v>
      </c>
      <c r="H14" s="28">
        <v>-0.11717495987158909</v>
      </c>
      <c r="I14" s="26" t="s">
        <v>23</v>
      </c>
    </row>
    <row r="15" spans="1:9" x14ac:dyDescent="0.25">
      <c r="A15" s="26" t="s">
        <v>999</v>
      </c>
      <c r="B15" s="26" t="s">
        <v>393</v>
      </c>
      <c r="C15" s="37">
        <v>358594364461483</v>
      </c>
      <c r="D15" s="26" t="s">
        <v>15</v>
      </c>
      <c r="E15" s="27">
        <v>3200</v>
      </c>
      <c r="F15" s="27">
        <v>3523.1</v>
      </c>
      <c r="G15" s="27">
        <v>-323.09999999999991</v>
      </c>
      <c r="H15" s="28">
        <v>-9.1709006272884655E-2</v>
      </c>
      <c r="I15" s="26" t="s">
        <v>23</v>
      </c>
    </row>
    <row r="16" spans="1:9" x14ac:dyDescent="0.25">
      <c r="A16" s="26" t="s">
        <v>1146</v>
      </c>
      <c r="B16" s="26" t="s">
        <v>206</v>
      </c>
      <c r="C16" s="37">
        <v>358302110725908</v>
      </c>
      <c r="D16" s="26" t="s">
        <v>646</v>
      </c>
      <c r="E16" s="27">
        <v>2550</v>
      </c>
      <c r="F16" s="27">
        <v>2856</v>
      </c>
      <c r="G16" s="27">
        <v>-306</v>
      </c>
      <c r="H16" s="28">
        <v>-0.10714285714285714</v>
      </c>
      <c r="I16" s="26" t="s">
        <v>23</v>
      </c>
    </row>
    <row r="17" spans="1:9" x14ac:dyDescent="0.25">
      <c r="A17" s="26" t="s">
        <v>1693</v>
      </c>
      <c r="B17" s="26" t="s">
        <v>1700</v>
      </c>
      <c r="C17" s="37" t="s">
        <v>1701</v>
      </c>
      <c r="D17" s="26" t="s">
        <v>15</v>
      </c>
      <c r="E17" s="27">
        <v>520</v>
      </c>
      <c r="F17" s="27">
        <v>719</v>
      </c>
      <c r="G17" s="27">
        <v>-199</v>
      </c>
      <c r="H17" s="28">
        <v>-0.27677329624478442</v>
      </c>
      <c r="I17" s="26" t="s">
        <v>23</v>
      </c>
    </row>
    <row r="18" spans="1:9" x14ac:dyDescent="0.25">
      <c r="A18" s="26" t="s">
        <v>1693</v>
      </c>
      <c r="B18" s="26" t="s">
        <v>215</v>
      </c>
      <c r="C18" s="37">
        <v>357254470072135</v>
      </c>
      <c r="D18" s="26" t="s">
        <v>644</v>
      </c>
      <c r="E18" s="27">
        <v>3900</v>
      </c>
      <c r="F18" s="27">
        <v>3909.15</v>
      </c>
      <c r="G18" s="27">
        <v>-9.1500000000000909</v>
      </c>
      <c r="H18" s="28">
        <v>-2.3406622923142092E-3</v>
      </c>
      <c r="I18" s="26" t="s">
        <v>23</v>
      </c>
    </row>
    <row r="19" spans="1:9" x14ac:dyDescent="0.25">
      <c r="A19" s="26" t="s">
        <v>1693</v>
      </c>
      <c r="B19" s="26" t="s">
        <v>33</v>
      </c>
      <c r="C19" s="37">
        <v>350889867621262</v>
      </c>
      <c r="D19" s="26" t="s">
        <v>15</v>
      </c>
      <c r="E19" s="27">
        <v>3440</v>
      </c>
      <c r="F19" s="27">
        <v>3949</v>
      </c>
      <c r="G19" s="26">
        <v>-509</v>
      </c>
      <c r="H19" s="28">
        <v>-0.12889339073183084</v>
      </c>
      <c r="I19" s="26" t="s">
        <v>23</v>
      </c>
    </row>
    <row r="20" spans="1:9" x14ac:dyDescent="0.25">
      <c r="A20" s="26" t="s">
        <v>1908</v>
      </c>
      <c r="B20" s="26" t="s">
        <v>33</v>
      </c>
      <c r="C20" s="37">
        <v>355246658984901</v>
      </c>
      <c r="D20" s="26" t="s">
        <v>15</v>
      </c>
      <c r="E20" s="27">
        <v>3470</v>
      </c>
      <c r="F20" s="27">
        <v>4272.1000000000004</v>
      </c>
      <c r="G20" s="26">
        <v>-802.10000000000036</v>
      </c>
      <c r="H20" s="28">
        <v>-0.18775309566723633</v>
      </c>
      <c r="I20" s="26" t="s">
        <v>23</v>
      </c>
    </row>
    <row r="21" spans="1:9" x14ac:dyDescent="0.25">
      <c r="A21" s="26" t="s">
        <v>1927</v>
      </c>
      <c r="B21" s="26" t="s">
        <v>1650</v>
      </c>
      <c r="C21" s="37" t="s">
        <v>1928</v>
      </c>
      <c r="D21" s="26" t="s">
        <v>15</v>
      </c>
      <c r="E21" s="27">
        <v>520</v>
      </c>
      <c r="F21" s="27">
        <v>538.5</v>
      </c>
      <c r="G21" s="26">
        <v>-18.5</v>
      </c>
      <c r="H21" s="28">
        <v>-3.4354688950789226E-2</v>
      </c>
      <c r="I21" s="26" t="s">
        <v>23</v>
      </c>
    </row>
    <row r="22" spans="1:9" x14ac:dyDescent="0.25">
      <c r="A22" s="26" t="s">
        <v>1927</v>
      </c>
      <c r="B22" s="26" t="s">
        <v>1650</v>
      </c>
      <c r="C22" s="37" t="s">
        <v>1929</v>
      </c>
      <c r="D22" s="26" t="s">
        <v>15</v>
      </c>
      <c r="E22" s="27">
        <v>520</v>
      </c>
      <c r="F22" s="27">
        <v>538.5</v>
      </c>
      <c r="G22" s="26">
        <v>-18.5</v>
      </c>
      <c r="H22" s="28">
        <v>-3.4354688950789226E-2</v>
      </c>
      <c r="I22" s="26" t="s">
        <v>23</v>
      </c>
    </row>
    <row r="23" spans="1:9" x14ac:dyDescent="0.25">
      <c r="A23" s="26" t="s">
        <v>1927</v>
      </c>
      <c r="B23" s="26" t="s">
        <v>582</v>
      </c>
      <c r="C23" s="37">
        <v>353837419148398</v>
      </c>
      <c r="D23" s="26" t="s">
        <v>15</v>
      </c>
      <c r="E23" s="27">
        <v>3800</v>
      </c>
      <c r="F23" s="27">
        <v>3805.4</v>
      </c>
      <c r="G23" s="26">
        <v>-5.4000000000000909</v>
      </c>
      <c r="H23" s="28">
        <v>-1.4190361065854024E-3</v>
      </c>
      <c r="I23" s="26" t="s">
        <v>23</v>
      </c>
    </row>
  </sheetData>
  <conditionalFormatting sqref="C23 C2:C2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Sale_wise_Profit</vt:lpstr>
      <vt:lpstr>Australia</vt:lpstr>
      <vt:lpstr>Usa</vt:lpstr>
      <vt:lpstr>Newzealand</vt:lpstr>
      <vt:lpstr>Karachi</vt:lpstr>
      <vt:lpstr>Dubai</vt:lpstr>
      <vt:lpstr>Usa Loss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2026-02-25T18:47:17Z</dcterms:created>
  <dcterms:modified xsi:type="dcterms:W3CDTF">2026-05-09T16:00:55Z</dcterms:modified>
  <cp:category/>
</cp:coreProperties>
</file>