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5300\Documents\Swiss Tech Files 2025\Sales Reports 2025\"/>
    </mc:Choice>
  </mc:AlternateContent>
  <xr:revisionPtr revIDLastSave="0" documentId="13_ncr:1_{E211F2C0-1B06-444D-AAC5-EF6F94D87E24}" xr6:coauthVersionLast="47" xr6:coauthVersionMax="47" xr10:uidLastSave="{00000000-0000-0000-0000-000000000000}"/>
  <bookViews>
    <workbookView xWindow="-120" yWindow="-120" windowWidth="29040" windowHeight="15720" xr2:uid="{94407B90-8FD6-41A7-9126-DB1219ECCC7C}"/>
  </bookViews>
  <sheets>
    <sheet name="Profit" sheetId="2" r:id="rId1"/>
    <sheet name="Feb last" sheetId="4" r:id="rId2"/>
    <sheet name="Los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4" i="4" l="1"/>
  <c r="G32" i="4"/>
  <c r="F3" i="4"/>
  <c r="G3" i="4"/>
  <c r="H3" i="4"/>
  <c r="I3" i="4" s="1"/>
  <c r="I2" i="4"/>
  <c r="H2" i="4"/>
  <c r="G2" i="4"/>
  <c r="F2" i="4"/>
  <c r="F7" i="4" l="1"/>
  <c r="G7" i="4"/>
  <c r="H7" i="4"/>
  <c r="F8" i="4"/>
  <c r="G8" i="4"/>
  <c r="H8" i="4"/>
  <c r="F9" i="4"/>
  <c r="G9" i="4"/>
  <c r="H9" i="4"/>
  <c r="F10" i="4"/>
  <c r="G10" i="4"/>
  <c r="H10" i="4"/>
  <c r="F11" i="4"/>
  <c r="G11" i="4"/>
  <c r="H11" i="4"/>
  <c r="F12" i="4"/>
  <c r="G12" i="4"/>
  <c r="H12" i="4"/>
  <c r="F13" i="4"/>
  <c r="G13" i="4"/>
  <c r="H13" i="4"/>
  <c r="F14" i="4"/>
  <c r="G14" i="4"/>
  <c r="H14" i="4"/>
  <c r="F15" i="4"/>
  <c r="G15" i="4"/>
  <c r="H15" i="4"/>
  <c r="F16" i="4"/>
  <c r="G16" i="4"/>
  <c r="H16" i="4"/>
  <c r="F17" i="4"/>
  <c r="G17" i="4"/>
  <c r="H17" i="4"/>
  <c r="F18" i="4"/>
  <c r="G18" i="4"/>
  <c r="H18" i="4"/>
  <c r="F19" i="4"/>
  <c r="G19" i="4"/>
  <c r="H19" i="4"/>
  <c r="F20" i="4"/>
  <c r="G20" i="4"/>
  <c r="H20" i="4"/>
  <c r="F21" i="4"/>
  <c r="G21" i="4"/>
  <c r="H21" i="4"/>
  <c r="F22" i="4"/>
  <c r="G22" i="4"/>
  <c r="H22" i="4"/>
  <c r="F23" i="4"/>
  <c r="G23" i="4"/>
  <c r="H23" i="4"/>
  <c r="F24" i="4"/>
  <c r="G24" i="4"/>
  <c r="H24" i="4"/>
  <c r="F25" i="4"/>
  <c r="G25" i="4"/>
  <c r="H25" i="4"/>
  <c r="F26" i="4"/>
  <c r="G26" i="4"/>
  <c r="H26" i="4"/>
  <c r="F27" i="4"/>
  <c r="G27" i="4"/>
  <c r="H27" i="4"/>
  <c r="F28" i="4"/>
  <c r="G28" i="4"/>
  <c r="H28" i="4"/>
  <c r="F29" i="4"/>
  <c r="G29" i="4"/>
  <c r="H29" i="4"/>
  <c r="F30" i="4"/>
  <c r="G30" i="4"/>
  <c r="H30" i="4"/>
  <c r="H6" i="4"/>
  <c r="G6" i="4"/>
  <c r="F6" i="4"/>
  <c r="H5" i="4"/>
  <c r="G5" i="4"/>
  <c r="F5" i="4"/>
  <c r="H4" i="4"/>
  <c r="G4" i="4"/>
  <c r="F4" i="4"/>
  <c r="F2" i="3"/>
  <c r="G2" i="3"/>
  <c r="H2" i="3"/>
  <c r="I2" i="3" s="1"/>
  <c r="F4" i="3"/>
  <c r="G4" i="3"/>
  <c r="H4" i="3"/>
  <c r="F9" i="3"/>
  <c r="G9" i="3"/>
  <c r="H9" i="3"/>
  <c r="F10" i="3"/>
  <c r="G10" i="3"/>
  <c r="H10" i="3"/>
  <c r="F11" i="3"/>
  <c r="G11" i="3"/>
  <c r="H11" i="3"/>
  <c r="F12" i="3"/>
  <c r="G12" i="3"/>
  <c r="H12" i="3"/>
  <c r="F3" i="3"/>
  <c r="G3" i="3"/>
  <c r="H3" i="3"/>
  <c r="F5" i="3"/>
  <c r="G5" i="3"/>
  <c r="H5" i="3"/>
  <c r="F6" i="3"/>
  <c r="G6" i="3"/>
  <c r="H6" i="3"/>
  <c r="F13" i="3"/>
  <c r="G13" i="3"/>
  <c r="H13" i="3"/>
  <c r="F14" i="3"/>
  <c r="G14" i="3"/>
  <c r="H14" i="3"/>
  <c r="F7" i="3"/>
  <c r="G7" i="3"/>
  <c r="H7" i="3"/>
  <c r="F15" i="3"/>
  <c r="G15" i="3"/>
  <c r="H15" i="3"/>
  <c r="F16" i="3"/>
  <c r="G16" i="3"/>
  <c r="I16" i="3" s="1"/>
  <c r="H16" i="3"/>
  <c r="F17" i="3"/>
  <c r="G17" i="3"/>
  <c r="H17" i="3"/>
  <c r="F18" i="3"/>
  <c r="G18" i="3"/>
  <c r="H18" i="3"/>
  <c r="F8" i="3"/>
  <c r="G8" i="3"/>
  <c r="H8" i="3"/>
  <c r="I8" i="3" s="1"/>
  <c r="H64" i="2"/>
  <c r="G64" i="2"/>
  <c r="F64" i="2"/>
  <c r="H63" i="2"/>
  <c r="G63" i="2"/>
  <c r="I63" i="2" s="1"/>
  <c r="F63" i="2"/>
  <c r="H62" i="2"/>
  <c r="G62" i="2"/>
  <c r="F62" i="2"/>
  <c r="H61" i="2"/>
  <c r="G61" i="2"/>
  <c r="F61" i="2"/>
  <c r="H60" i="2"/>
  <c r="G60" i="2"/>
  <c r="F60" i="2"/>
  <c r="H59" i="2"/>
  <c r="G59" i="2"/>
  <c r="F59" i="2"/>
  <c r="H58" i="2"/>
  <c r="G58" i="2"/>
  <c r="F58" i="2"/>
  <c r="H57" i="2"/>
  <c r="G57" i="2"/>
  <c r="I57" i="2" s="1"/>
  <c r="F57" i="2"/>
  <c r="H56" i="2"/>
  <c r="G56" i="2"/>
  <c r="F56" i="2"/>
  <c r="H55" i="2"/>
  <c r="G55" i="2"/>
  <c r="F55" i="2"/>
  <c r="H54" i="2"/>
  <c r="G54" i="2"/>
  <c r="F54" i="2"/>
  <c r="H53" i="2"/>
  <c r="I53" i="2" s="1"/>
  <c r="G53" i="2"/>
  <c r="F53" i="2"/>
  <c r="H52" i="2"/>
  <c r="G52" i="2"/>
  <c r="I52" i="2" s="1"/>
  <c r="F52" i="2"/>
  <c r="H51" i="2"/>
  <c r="G51" i="2"/>
  <c r="F51" i="2"/>
  <c r="H50" i="2"/>
  <c r="G50" i="2"/>
  <c r="I50" i="2" s="1"/>
  <c r="F50" i="2"/>
  <c r="H49" i="2"/>
  <c r="G49" i="2"/>
  <c r="F49" i="2"/>
  <c r="H48" i="2"/>
  <c r="G48" i="2"/>
  <c r="F48" i="2"/>
  <c r="H47" i="2"/>
  <c r="G47" i="2"/>
  <c r="F47" i="2"/>
  <c r="H46" i="2"/>
  <c r="G46" i="2"/>
  <c r="F46" i="2"/>
  <c r="H45" i="2"/>
  <c r="G45" i="2"/>
  <c r="F45" i="2"/>
  <c r="H44" i="2"/>
  <c r="G44" i="2"/>
  <c r="F44" i="2"/>
  <c r="H43" i="2"/>
  <c r="G43" i="2"/>
  <c r="F43" i="2"/>
  <c r="H42" i="2"/>
  <c r="G42" i="2"/>
  <c r="F42" i="2"/>
  <c r="H41" i="2"/>
  <c r="G41" i="2"/>
  <c r="F41" i="2"/>
  <c r="H40" i="2"/>
  <c r="G40" i="2"/>
  <c r="F40" i="2"/>
  <c r="H39" i="2"/>
  <c r="G39" i="2"/>
  <c r="F39" i="2"/>
  <c r="H38" i="2"/>
  <c r="G38" i="2"/>
  <c r="F38" i="2"/>
  <c r="H37" i="2"/>
  <c r="G37" i="2"/>
  <c r="F37" i="2"/>
  <c r="H36" i="2"/>
  <c r="G36" i="2"/>
  <c r="F36" i="2"/>
  <c r="H35" i="2"/>
  <c r="G35" i="2"/>
  <c r="F35" i="2"/>
  <c r="H34" i="2"/>
  <c r="G34" i="2"/>
  <c r="F34" i="2"/>
  <c r="H33" i="2"/>
  <c r="G33" i="2"/>
  <c r="F33" i="2"/>
  <c r="H32" i="2"/>
  <c r="G32" i="2"/>
  <c r="F32" i="2"/>
  <c r="H31" i="2"/>
  <c r="G31" i="2"/>
  <c r="F31" i="2"/>
  <c r="H30" i="2"/>
  <c r="G30" i="2"/>
  <c r="F30" i="2"/>
  <c r="H29" i="2"/>
  <c r="G29" i="2"/>
  <c r="F29" i="2"/>
  <c r="H28" i="2"/>
  <c r="G28" i="2"/>
  <c r="F28" i="2"/>
  <c r="H27" i="2"/>
  <c r="G27" i="2"/>
  <c r="F27" i="2"/>
  <c r="H26" i="2"/>
  <c r="G26" i="2"/>
  <c r="F26" i="2"/>
  <c r="H25" i="2"/>
  <c r="G25" i="2"/>
  <c r="F25" i="2"/>
  <c r="H24" i="2"/>
  <c r="G24" i="2"/>
  <c r="F24" i="2"/>
  <c r="H23" i="2"/>
  <c r="G23" i="2"/>
  <c r="F23" i="2"/>
  <c r="H22" i="2"/>
  <c r="G22" i="2"/>
  <c r="F22" i="2"/>
  <c r="H21" i="2"/>
  <c r="G21" i="2"/>
  <c r="F21" i="2"/>
  <c r="H20" i="2"/>
  <c r="G20" i="2"/>
  <c r="F20" i="2"/>
  <c r="H19" i="2"/>
  <c r="G19" i="2"/>
  <c r="F19" i="2"/>
  <c r="H18" i="2"/>
  <c r="G18" i="2"/>
  <c r="I18" i="2" s="1"/>
  <c r="F18" i="2"/>
  <c r="H17" i="2"/>
  <c r="G17" i="2"/>
  <c r="F17" i="2"/>
  <c r="H16" i="2"/>
  <c r="G16" i="2"/>
  <c r="F16" i="2"/>
  <c r="H15" i="2"/>
  <c r="G15" i="2"/>
  <c r="F15" i="2"/>
  <c r="H14" i="2"/>
  <c r="G14" i="2"/>
  <c r="F14" i="2"/>
  <c r="H13" i="2"/>
  <c r="G13" i="2"/>
  <c r="F13" i="2"/>
  <c r="H12" i="2"/>
  <c r="G12" i="2"/>
  <c r="F12" i="2"/>
  <c r="H11" i="2"/>
  <c r="G11" i="2"/>
  <c r="F11" i="2"/>
  <c r="H10" i="2"/>
  <c r="G10" i="2"/>
  <c r="F10" i="2"/>
  <c r="H9" i="2"/>
  <c r="G9" i="2"/>
  <c r="F9" i="2"/>
  <c r="H8" i="2"/>
  <c r="G8" i="2"/>
  <c r="F8" i="2"/>
  <c r="H7" i="2"/>
  <c r="G7" i="2"/>
  <c r="F7" i="2"/>
  <c r="H6" i="2"/>
  <c r="G6" i="2"/>
  <c r="F6" i="2"/>
  <c r="H5" i="2"/>
  <c r="G5" i="2"/>
  <c r="F5" i="2"/>
  <c r="H4" i="2"/>
  <c r="G4" i="2"/>
  <c r="F4" i="2"/>
  <c r="H3" i="2"/>
  <c r="G3" i="2"/>
  <c r="F3" i="2"/>
  <c r="H2" i="2"/>
  <c r="G2" i="2"/>
  <c r="F2" i="2"/>
  <c r="I7" i="3" l="1"/>
  <c r="I6" i="3"/>
  <c r="I9" i="3"/>
  <c r="I28" i="4"/>
  <c r="I30" i="4"/>
  <c r="I27" i="4"/>
  <c r="I26" i="4"/>
  <c r="I8" i="4"/>
  <c r="I4" i="4"/>
  <c r="I29" i="4"/>
  <c r="I18" i="4"/>
  <c r="I6" i="4"/>
  <c r="I24" i="4"/>
  <c r="I16" i="4"/>
  <c r="I13" i="4"/>
  <c r="I10" i="4"/>
  <c r="I20" i="4"/>
  <c r="I7" i="4"/>
  <c r="I12" i="4"/>
  <c r="I22" i="4"/>
  <c r="I23" i="4"/>
  <c r="I21" i="4"/>
  <c r="I25" i="4"/>
  <c r="I17" i="4"/>
  <c r="I14" i="4"/>
  <c r="I15" i="4"/>
  <c r="I19" i="4"/>
  <c r="I11" i="4"/>
  <c r="I9" i="4"/>
  <c r="I5" i="4"/>
  <c r="I21" i="2"/>
  <c r="I61" i="2"/>
  <c r="I20" i="2"/>
  <c r="I36" i="2"/>
  <c r="I15" i="2"/>
  <c r="I47" i="2"/>
  <c r="I9" i="2"/>
  <c r="I19" i="2"/>
  <c r="I30" i="2"/>
  <c r="I51" i="2"/>
  <c r="I59" i="2"/>
  <c r="I55" i="2"/>
  <c r="I37" i="2"/>
  <c r="I58" i="2"/>
  <c r="I11" i="2"/>
  <c r="I40" i="2"/>
  <c r="I11" i="3"/>
  <c r="I15" i="3"/>
  <c r="I17" i="3"/>
  <c r="I3" i="3"/>
  <c r="I5" i="3"/>
  <c r="I10" i="3"/>
  <c r="I14" i="3"/>
  <c r="I18" i="3"/>
  <c r="I4" i="3"/>
  <c r="I12" i="3"/>
  <c r="I13" i="3"/>
  <c r="I5" i="2"/>
  <c r="I4" i="2"/>
  <c r="I41" i="2"/>
  <c r="I23" i="2"/>
  <c r="I31" i="2"/>
  <c r="I39" i="2"/>
  <c r="I34" i="2"/>
  <c r="I3" i="2"/>
  <c r="I8" i="2"/>
  <c r="I13" i="2"/>
  <c r="I26" i="2"/>
  <c r="I49" i="2"/>
  <c r="I62" i="2"/>
  <c r="I14" i="2"/>
  <c r="I24" i="2"/>
  <c r="I29" i="2"/>
  <c r="I42" i="2"/>
  <c r="I27" i="2"/>
  <c r="I17" i="2"/>
  <c r="I45" i="2"/>
  <c r="I2" i="2"/>
  <c r="I7" i="2"/>
  <c r="I25" i="2"/>
  <c r="I35" i="2"/>
  <c r="I43" i="2"/>
  <c r="I10" i="2"/>
  <c r="I33" i="2"/>
  <c r="I46" i="2"/>
  <c r="I56" i="2"/>
  <c r="I16" i="2"/>
  <c r="I32" i="2"/>
  <c r="I48" i="2"/>
  <c r="I64" i="2"/>
  <c r="I12" i="2"/>
  <c r="I28" i="2"/>
  <c r="I44" i="2"/>
  <c r="I60" i="2"/>
  <c r="I6" i="2"/>
  <c r="I22" i="2"/>
  <c r="I38" i="2"/>
  <c r="I54" i="2"/>
  <c r="I19" i="3" l="1"/>
  <c r="I66" i="2"/>
</calcChain>
</file>

<file path=xl/sharedStrings.xml><?xml version="1.0" encoding="utf-8"?>
<sst xmlns="http://schemas.openxmlformats.org/spreadsheetml/2006/main" count="129" uniqueCount="39">
  <si>
    <t>Date</t>
  </si>
  <si>
    <t>Product Name</t>
  </si>
  <si>
    <t>Qty</t>
  </si>
  <si>
    <t>Per Unit Sale</t>
  </si>
  <si>
    <t>Per unit Purchase</t>
  </si>
  <si>
    <t>Per Unit Profit</t>
  </si>
  <si>
    <t>Total Sale</t>
  </si>
  <si>
    <t>Total Purhcase</t>
  </si>
  <si>
    <t>Total Profit</t>
  </si>
  <si>
    <t>STARLINK MINI</t>
  </si>
  <si>
    <t>MACBOOK M4</t>
  </si>
  <si>
    <t xml:space="preserve">APPLE WATCH ULTRA </t>
  </si>
  <si>
    <t>STARLINK V4</t>
  </si>
  <si>
    <t>AIRPODS</t>
  </si>
  <si>
    <t>CHROME CAST</t>
  </si>
  <si>
    <t>iPad Pro 11 256 Wifi Only</t>
  </si>
  <si>
    <t>iPad Pro 11 256 Cellular Unlock</t>
  </si>
  <si>
    <t>iPhone16 Pro Max 256</t>
  </si>
  <si>
    <t>BREVILLE COFFEE MACHINE</t>
  </si>
  <si>
    <t>JBL CHARGE 5</t>
  </si>
  <si>
    <t>Meta Quest 3 512</t>
  </si>
  <si>
    <t>Ps5 Controller Dual sense</t>
  </si>
  <si>
    <t>Beats Fit Pro</t>
  </si>
  <si>
    <t>Beats Studio Buds</t>
  </si>
  <si>
    <t>DELONGI COFFEE MACHINE</t>
  </si>
  <si>
    <t xml:space="preserve"> INSTAX WIDE 400</t>
  </si>
  <si>
    <t>INSTAX MINI EVO</t>
  </si>
  <si>
    <t>INSTAX Li PLAY</t>
  </si>
  <si>
    <t>INSTAX MINI 40</t>
  </si>
  <si>
    <t>INSTAX MINI 99</t>
  </si>
  <si>
    <t>Macbook Air M4 13 inch</t>
  </si>
  <si>
    <t>PS5</t>
  </si>
  <si>
    <t>MACBOOK PRO 14 INC</t>
  </si>
  <si>
    <t>APPLE AIR TAG 1 PACK</t>
  </si>
  <si>
    <t>INSTAX MINI 99 BUNDEL</t>
  </si>
  <si>
    <t>Total Loss</t>
  </si>
  <si>
    <t>STARLINK HIGH.P KIT</t>
  </si>
  <si>
    <t>APPLE I MAC</t>
  </si>
  <si>
    <t>DJI MAVIC PRO 3 DRONE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</si>
</sst>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AED&quot;* #,##0_-;\-&quot;AED&quot;* #,##0_-;_-&quot;AED&quot;* &quot;-&quot;_-;_-@_-"/>
    <numFmt numFmtId="44" formatCode="_-&quot;AED&quot;* #,##0.00_-;\-&quot;AED&quot;* #,##0.00_-;_-&quot;AED&quot;* &quot;-&quot;??_-;_-@_-"/>
    <numFmt numFmtId="164" formatCode="0_ ;\-0\ "/>
  </numFmts>
  <fonts count="9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rgb="FF000000"/>
      <name val="Times New Roman"/>
      <family val="1"/>
    </font>
    <font>
      <sz val="16"/>
      <color theme="1"/>
      <name val="Calibri"/>
      <family val="2"/>
      <scheme val="minor"/>
    </font>
    <font>
      <b/>
      <sz val="18"/>
      <color theme="1" tint="0.34998626667073579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6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164" fontId="0" fillId="0" borderId="0" xfId="0" applyNumberFormat="1" applyAlignment="1">
      <alignment horizontal="center"/>
    </xf>
    <xf numFmtId="2" fontId="0" fillId="0" borderId="0" xfId="0" applyNumberFormat="1"/>
    <xf numFmtId="42" fontId="0" fillId="0" borderId="0" xfId="0" applyNumberFormat="1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2" fontId="1" fillId="2" borderId="0" xfId="0" applyNumberFormat="1" applyFont="1" applyFill="1" applyAlignment="1">
      <alignment horizontal="center"/>
    </xf>
    <xf numFmtId="42" fontId="1" fillId="2" borderId="0" xfId="0" applyNumberFormat="1" applyFont="1" applyFill="1" applyAlignment="1">
      <alignment horizontal="center"/>
    </xf>
    <xf numFmtId="14" fontId="2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2" fontId="0" fillId="3" borderId="1" xfId="0" applyNumberFormat="1" applyFill="1" applyBorder="1"/>
    <xf numFmtId="44" fontId="0" fillId="3" borderId="1" xfId="0" applyNumberFormat="1" applyFill="1" applyBorder="1"/>
    <xf numFmtId="42" fontId="0" fillId="3" borderId="1" xfId="0" applyNumberFormat="1" applyFill="1" applyBorder="1"/>
    <xf numFmtId="14" fontId="0" fillId="3" borderId="1" xfId="0" applyNumberForma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vertical="center" wrapText="1"/>
    </xf>
    <xf numFmtId="14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2" fontId="0" fillId="0" borderId="1" xfId="0" applyNumberFormat="1" applyBorder="1"/>
    <xf numFmtId="44" fontId="0" fillId="0" borderId="1" xfId="0" applyNumberFormat="1" applyBorder="1"/>
    <xf numFmtId="42" fontId="0" fillId="0" borderId="1" xfId="0" applyNumberFormat="1" applyBorder="1"/>
    <xf numFmtId="0" fontId="3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14" fontId="0" fillId="4" borderId="1" xfId="0" applyNumberFormat="1" applyFill="1" applyBorder="1" applyAlignment="1">
      <alignment horizontal="center"/>
    </xf>
    <xf numFmtId="0" fontId="3" fillId="4" borderId="1" xfId="0" applyFont="1" applyFill="1" applyBorder="1" applyAlignment="1">
      <alignment horizontal="left"/>
    </xf>
    <xf numFmtId="0" fontId="3" fillId="0" borderId="1" xfId="0" applyFont="1" applyBorder="1"/>
    <xf numFmtId="0" fontId="3" fillId="0" borderId="1" xfId="0" applyFont="1" applyBorder="1" applyAlignment="1">
      <alignment vertical="center" wrapText="1"/>
    </xf>
    <xf numFmtId="44" fontId="0" fillId="0" borderId="0" xfId="0" applyNumberFormat="1"/>
    <xf numFmtId="14" fontId="0" fillId="3" borderId="2" xfId="0" applyNumberForma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2" fontId="0" fillId="3" borderId="2" xfId="0" applyNumberFormat="1" applyFill="1" applyBorder="1"/>
    <xf numFmtId="44" fontId="0" fillId="3" borderId="2" xfId="0" applyNumberFormat="1" applyFill="1" applyBorder="1"/>
    <xf numFmtId="42" fontId="0" fillId="3" borderId="2" xfId="0" applyNumberFormat="1" applyFill="1" applyBorder="1"/>
    <xf numFmtId="14" fontId="0" fillId="0" borderId="0" xfId="0" applyNumberFormat="1" applyAlignment="1">
      <alignment horizontal="center"/>
    </xf>
    <xf numFmtId="0" fontId="3" fillId="0" borderId="0" xfId="0" applyFont="1" applyAlignment="1">
      <alignment horizontal="left"/>
    </xf>
    <xf numFmtId="0" fontId="0" fillId="0" borderId="0" xfId="0" applyAlignment="1">
      <alignment horizontal="center"/>
    </xf>
    <xf numFmtId="44" fontId="5" fillId="5" borderId="0" xfId="0" applyNumberFormat="1" applyFont="1" applyFill="1"/>
    <xf numFmtId="42" fontId="5" fillId="5" borderId="0" xfId="0" applyNumberFormat="1" applyFont="1" applyFill="1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42" fontId="1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/>
    </xf>
    <xf numFmtId="2" fontId="0" fillId="0" borderId="1" xfId="0" applyNumberForma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/>
    </xf>
    <xf numFmtId="2" fontId="6" fillId="0" borderId="1" xfId="0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42" fontId="6" fillId="0" borderId="1" xfId="0" applyNumberFormat="1" applyFont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3" fillId="3" borderId="2" xfId="0" applyFont="1" applyFill="1" applyBorder="1" applyAlignment="1">
      <alignment vertical="center" wrapText="1"/>
    </xf>
    <xf numFmtId="164" fontId="4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E75EE-A8A6-4D21-8A95-329E2F458AF9}">
  <dimension ref="A1:I102"/>
  <sheetViews>
    <sheetView tabSelected="1" zoomScale="86" zoomScaleNormal="86" workbookViewId="0">
      <pane ySplit="1" topLeftCell="A2" activePane="bottomLeft" state="frozen"/>
      <selection pane="bottomLeft" activeCell="E2" sqref="E2"/>
    </sheetView>
  </sheetViews>
  <sheetFormatPr defaultRowHeight="15" x14ac:dyDescent="0.25"/>
  <cols>
    <col min="1" max="1" width="11.7109375" customWidth="1"/>
    <col min="2" max="2" width="53.85546875" customWidth="1"/>
    <col min="3" max="3" width="12.7109375" customWidth="1"/>
    <col min="4" max="4" width="15.28515625" customWidth="1"/>
    <col min="5" max="5" width="21.140625" customWidth="1"/>
    <col min="6" max="6" width="18" customWidth="1"/>
    <col min="7" max="7" width="16.28515625" customWidth="1"/>
    <col min="8" max="8" width="16.5703125" customWidth="1"/>
    <col min="9" max="9" width="17.7109375" customWidth="1"/>
  </cols>
  <sheetData>
    <row r="1" spans="1:9" ht="18.75" x14ac:dyDescent="0.3">
      <c r="A1" s="4" t="s">
        <v>0</v>
      </c>
      <c r="B1" s="4" t="s">
        <v>1</v>
      </c>
      <c r="C1" s="5" t="s">
        <v>2</v>
      </c>
      <c r="D1" s="6" t="s">
        <v>3</v>
      </c>
      <c r="E1" s="4" t="s">
        <v>4</v>
      </c>
      <c r="F1" s="4" t="s">
        <v>5</v>
      </c>
      <c r="G1" s="4" t="s">
        <v>6</v>
      </c>
      <c r="H1" s="6" t="s">
        <v>7</v>
      </c>
      <c r="I1" s="7" t="s">
        <v>8</v>
      </c>
    </row>
    <row r="2" spans="1:9" ht="21" x14ac:dyDescent="0.25">
      <c r="A2" s="19">
        <v>45717</v>
      </c>
      <c r="B2" s="20" t="s">
        <v>12</v>
      </c>
      <c r="C2" s="21">
        <v>3</v>
      </c>
      <c r="D2" s="22">
        <v>1175</v>
      </c>
      <c r="E2" s="22">
        <v>1045.5287759999999</v>
      </c>
      <c r="F2" s="22">
        <f t="shared" ref="F2:F46" si="0">D2-E2</f>
        <v>129.47122400000012</v>
      </c>
      <c r="G2" s="23">
        <f t="shared" ref="G2:G46" si="1">D2*C2</f>
        <v>3525</v>
      </c>
      <c r="H2" s="23">
        <f t="shared" ref="H2:H46" si="2">E2*C2</f>
        <v>3136.5863279999994</v>
      </c>
      <c r="I2" s="24">
        <f t="shared" ref="I2:I46" si="3">G2-H2</f>
        <v>388.41367200000059</v>
      </c>
    </row>
    <row r="3" spans="1:9" ht="21" x14ac:dyDescent="0.25">
      <c r="A3" s="19">
        <v>45717</v>
      </c>
      <c r="B3" s="20" t="s">
        <v>12</v>
      </c>
      <c r="C3" s="21">
        <v>7</v>
      </c>
      <c r="D3" s="22">
        <v>1175</v>
      </c>
      <c r="E3" s="22">
        <v>1045.5287759999999</v>
      </c>
      <c r="F3" s="22">
        <f t="shared" si="0"/>
        <v>129.47122400000012</v>
      </c>
      <c r="G3" s="23">
        <f t="shared" si="1"/>
        <v>8225</v>
      </c>
      <c r="H3" s="23">
        <f t="shared" si="2"/>
        <v>7318.7014319999989</v>
      </c>
      <c r="I3" s="24">
        <f t="shared" si="3"/>
        <v>906.29856800000107</v>
      </c>
    </row>
    <row r="4" spans="1:9" ht="21" x14ac:dyDescent="0.25">
      <c r="A4" s="19">
        <v>45717</v>
      </c>
      <c r="B4" s="20" t="s">
        <v>12</v>
      </c>
      <c r="C4" s="21">
        <v>10</v>
      </c>
      <c r="D4" s="22">
        <v>1180</v>
      </c>
      <c r="E4" s="22">
        <v>1045.5287759999999</v>
      </c>
      <c r="F4" s="22">
        <f t="shared" si="0"/>
        <v>134.47122400000012</v>
      </c>
      <c r="G4" s="23">
        <f t="shared" si="1"/>
        <v>11800</v>
      </c>
      <c r="H4" s="23">
        <f t="shared" si="2"/>
        <v>10455.287759999999</v>
      </c>
      <c r="I4" s="24">
        <f t="shared" si="3"/>
        <v>1344.7122400000007</v>
      </c>
    </row>
    <row r="5" spans="1:9" ht="21" x14ac:dyDescent="0.25">
      <c r="A5" s="19">
        <v>45717</v>
      </c>
      <c r="B5" s="20" t="s">
        <v>12</v>
      </c>
      <c r="C5" s="21">
        <v>15</v>
      </c>
      <c r="D5" s="22">
        <v>1175</v>
      </c>
      <c r="E5" s="22">
        <v>1045.5287759999999</v>
      </c>
      <c r="F5" s="22">
        <f t="shared" si="0"/>
        <v>129.47122400000012</v>
      </c>
      <c r="G5" s="23">
        <f t="shared" si="1"/>
        <v>17625</v>
      </c>
      <c r="H5" s="23">
        <f t="shared" si="2"/>
        <v>15682.931639999999</v>
      </c>
      <c r="I5" s="24">
        <f t="shared" si="3"/>
        <v>1942.0683600000011</v>
      </c>
    </row>
    <row r="6" spans="1:9" ht="21" x14ac:dyDescent="0.25">
      <c r="A6" s="19">
        <v>45717</v>
      </c>
      <c r="B6" s="20" t="s">
        <v>12</v>
      </c>
      <c r="C6" s="21">
        <v>7</v>
      </c>
      <c r="D6" s="22">
        <v>1175</v>
      </c>
      <c r="E6" s="22">
        <v>1045.5287759999999</v>
      </c>
      <c r="F6" s="22">
        <f t="shared" si="0"/>
        <v>129.47122400000012</v>
      </c>
      <c r="G6" s="23">
        <f t="shared" si="1"/>
        <v>8225</v>
      </c>
      <c r="H6" s="23">
        <f t="shared" si="2"/>
        <v>7318.7014319999989</v>
      </c>
      <c r="I6" s="24">
        <f t="shared" si="3"/>
        <v>906.29856800000107</v>
      </c>
    </row>
    <row r="7" spans="1:9" ht="21" x14ac:dyDescent="0.35">
      <c r="A7" s="25"/>
      <c r="B7" s="25"/>
      <c r="C7" s="21">
        <v>0</v>
      </c>
      <c r="D7" s="22"/>
      <c r="E7" s="22">
        <v>0</v>
      </c>
      <c r="F7" s="22">
        <f t="shared" si="0"/>
        <v>0</v>
      </c>
      <c r="G7" s="23">
        <f t="shared" si="1"/>
        <v>0</v>
      </c>
      <c r="H7" s="23">
        <f t="shared" si="2"/>
        <v>0</v>
      </c>
      <c r="I7" s="24">
        <f t="shared" si="3"/>
        <v>0</v>
      </c>
    </row>
    <row r="8" spans="1:9" ht="21" x14ac:dyDescent="0.25">
      <c r="A8" s="19">
        <v>45719</v>
      </c>
      <c r="B8" s="20" t="s">
        <v>12</v>
      </c>
      <c r="C8" s="21">
        <v>8</v>
      </c>
      <c r="D8" s="22">
        <v>1170</v>
      </c>
      <c r="E8" s="22">
        <v>1045.5287759999999</v>
      </c>
      <c r="F8" s="22">
        <f t="shared" si="0"/>
        <v>124.47122400000012</v>
      </c>
      <c r="G8" s="23">
        <f t="shared" si="1"/>
        <v>9360</v>
      </c>
      <c r="H8" s="23">
        <f t="shared" si="2"/>
        <v>8364.230207999999</v>
      </c>
      <c r="I8" s="24">
        <f t="shared" si="3"/>
        <v>995.76979200000096</v>
      </c>
    </row>
    <row r="9" spans="1:9" ht="21" x14ac:dyDescent="0.35">
      <c r="A9" s="19">
        <v>45719</v>
      </c>
      <c r="B9" s="25" t="s">
        <v>13</v>
      </c>
      <c r="C9" s="21">
        <v>21</v>
      </c>
      <c r="D9" s="22">
        <v>540</v>
      </c>
      <c r="E9" s="22">
        <v>0</v>
      </c>
      <c r="F9" s="22">
        <f t="shared" si="0"/>
        <v>540</v>
      </c>
      <c r="G9" s="23">
        <f t="shared" si="1"/>
        <v>11340</v>
      </c>
      <c r="H9" s="23">
        <f t="shared" si="2"/>
        <v>0</v>
      </c>
      <c r="I9" s="24">
        <f t="shared" si="3"/>
        <v>11340</v>
      </c>
    </row>
    <row r="10" spans="1:9" ht="21" x14ac:dyDescent="0.25">
      <c r="A10" s="19">
        <v>45719</v>
      </c>
      <c r="B10" s="20" t="s">
        <v>14</v>
      </c>
      <c r="C10" s="21">
        <v>100</v>
      </c>
      <c r="D10" s="22">
        <v>310</v>
      </c>
      <c r="E10" s="22">
        <v>283.75917600000002</v>
      </c>
      <c r="F10" s="22">
        <f t="shared" si="0"/>
        <v>26.240823999999975</v>
      </c>
      <c r="G10" s="23">
        <f t="shared" si="1"/>
        <v>31000</v>
      </c>
      <c r="H10" s="23">
        <f t="shared" si="2"/>
        <v>28375.917600000001</v>
      </c>
      <c r="I10" s="24">
        <f t="shared" si="3"/>
        <v>2624.0823999999993</v>
      </c>
    </row>
    <row r="11" spans="1:9" ht="21" x14ac:dyDescent="0.35">
      <c r="A11" s="26">
        <v>45722</v>
      </c>
      <c r="B11" s="25" t="s">
        <v>10</v>
      </c>
      <c r="C11" s="21">
        <v>3</v>
      </c>
      <c r="D11" s="22">
        <v>6150</v>
      </c>
      <c r="E11" s="22">
        <v>5019.6000000000004</v>
      </c>
      <c r="F11" s="22">
        <f t="shared" si="0"/>
        <v>1130.3999999999996</v>
      </c>
      <c r="G11" s="23">
        <f t="shared" si="1"/>
        <v>18450</v>
      </c>
      <c r="H11" s="23">
        <f t="shared" si="2"/>
        <v>15058.800000000001</v>
      </c>
      <c r="I11" s="24">
        <f t="shared" si="3"/>
        <v>3391.1999999999989</v>
      </c>
    </row>
    <row r="12" spans="1:9" ht="21" x14ac:dyDescent="0.25">
      <c r="A12" s="26">
        <v>45722</v>
      </c>
      <c r="B12" s="27" t="s">
        <v>15</v>
      </c>
      <c r="C12" s="21">
        <v>13</v>
      </c>
      <c r="D12" s="22">
        <v>3120</v>
      </c>
      <c r="E12" s="22">
        <v>2940.3</v>
      </c>
      <c r="F12" s="22">
        <f t="shared" si="0"/>
        <v>179.69999999999982</v>
      </c>
      <c r="G12" s="23">
        <f t="shared" si="1"/>
        <v>40560</v>
      </c>
      <c r="H12" s="23">
        <f t="shared" si="2"/>
        <v>38223.9</v>
      </c>
      <c r="I12" s="24">
        <f t="shared" si="3"/>
        <v>2336.0999999999985</v>
      </c>
    </row>
    <row r="13" spans="1:9" ht="21" x14ac:dyDescent="0.25">
      <c r="A13" s="26">
        <v>45722</v>
      </c>
      <c r="B13" s="27" t="s">
        <v>16</v>
      </c>
      <c r="C13" s="21">
        <v>4</v>
      </c>
      <c r="D13" s="22">
        <v>3800</v>
      </c>
      <c r="E13" s="22">
        <v>3630</v>
      </c>
      <c r="F13" s="22">
        <f t="shared" si="0"/>
        <v>170</v>
      </c>
      <c r="G13" s="23">
        <f t="shared" si="1"/>
        <v>15200</v>
      </c>
      <c r="H13" s="23">
        <f t="shared" si="2"/>
        <v>14520</v>
      </c>
      <c r="I13" s="24">
        <f t="shared" si="3"/>
        <v>680</v>
      </c>
    </row>
    <row r="14" spans="1:9" ht="21" x14ac:dyDescent="0.25">
      <c r="A14" s="26">
        <v>45722</v>
      </c>
      <c r="B14" s="27" t="s">
        <v>17</v>
      </c>
      <c r="C14" s="21">
        <v>17</v>
      </c>
      <c r="D14" s="22">
        <v>2860</v>
      </c>
      <c r="E14" s="22">
        <v>2766.06</v>
      </c>
      <c r="F14" s="22">
        <f t="shared" si="0"/>
        <v>93.940000000000055</v>
      </c>
      <c r="G14" s="23">
        <f t="shared" si="1"/>
        <v>48620</v>
      </c>
      <c r="H14" s="23">
        <f t="shared" si="2"/>
        <v>47023.02</v>
      </c>
      <c r="I14" s="24">
        <f t="shared" si="3"/>
        <v>1596.9800000000032</v>
      </c>
    </row>
    <row r="15" spans="1:9" ht="21" x14ac:dyDescent="0.25">
      <c r="A15" s="26">
        <v>45722</v>
      </c>
      <c r="B15" s="27" t="s">
        <v>17</v>
      </c>
      <c r="C15" s="21">
        <v>2</v>
      </c>
      <c r="D15" s="22">
        <v>2805</v>
      </c>
      <c r="E15" s="22">
        <v>2766.06</v>
      </c>
      <c r="F15" s="22">
        <f t="shared" si="0"/>
        <v>38.940000000000055</v>
      </c>
      <c r="G15" s="23">
        <f t="shared" si="1"/>
        <v>5610</v>
      </c>
      <c r="H15" s="23">
        <f t="shared" si="2"/>
        <v>5532.12</v>
      </c>
      <c r="I15" s="24">
        <f t="shared" si="3"/>
        <v>77.880000000000109</v>
      </c>
    </row>
    <row r="16" spans="1:9" ht="21" x14ac:dyDescent="0.25">
      <c r="A16" s="26">
        <v>45723</v>
      </c>
      <c r="B16" s="20" t="s">
        <v>18</v>
      </c>
      <c r="C16" s="21">
        <v>1</v>
      </c>
      <c r="D16" s="22">
        <v>325</v>
      </c>
      <c r="E16" s="22">
        <v>250</v>
      </c>
      <c r="F16" s="22">
        <f t="shared" si="0"/>
        <v>75</v>
      </c>
      <c r="G16" s="23">
        <f t="shared" si="1"/>
        <v>325</v>
      </c>
      <c r="H16" s="23">
        <f t="shared" si="2"/>
        <v>250</v>
      </c>
      <c r="I16" s="24">
        <f t="shared" si="3"/>
        <v>75</v>
      </c>
    </row>
    <row r="17" spans="1:9" ht="21" x14ac:dyDescent="0.25">
      <c r="A17" s="26">
        <v>45723</v>
      </c>
      <c r="B17" s="20" t="s">
        <v>14</v>
      </c>
      <c r="C17" s="21">
        <v>20</v>
      </c>
      <c r="D17" s="22">
        <v>315</v>
      </c>
      <c r="E17" s="22">
        <v>283.75917600000002</v>
      </c>
      <c r="F17" s="22">
        <f t="shared" si="0"/>
        <v>31.240823999999975</v>
      </c>
      <c r="G17" s="23">
        <f t="shared" si="1"/>
        <v>6300</v>
      </c>
      <c r="H17" s="23">
        <f t="shared" si="2"/>
        <v>5675.1835200000005</v>
      </c>
      <c r="I17" s="24">
        <f t="shared" si="3"/>
        <v>624.8164799999995</v>
      </c>
    </row>
    <row r="18" spans="1:9" ht="21" x14ac:dyDescent="0.25">
      <c r="A18" s="26">
        <v>45723</v>
      </c>
      <c r="B18" s="20" t="s">
        <v>14</v>
      </c>
      <c r="C18" s="21">
        <v>102</v>
      </c>
      <c r="D18" s="22">
        <v>310</v>
      </c>
      <c r="E18" s="22">
        <v>283.75917600000002</v>
      </c>
      <c r="F18" s="22">
        <f t="shared" si="0"/>
        <v>26.240823999999975</v>
      </c>
      <c r="G18" s="23">
        <f t="shared" si="1"/>
        <v>31620</v>
      </c>
      <c r="H18" s="23">
        <f t="shared" si="2"/>
        <v>28943.435952000003</v>
      </c>
      <c r="I18" s="24">
        <f t="shared" si="3"/>
        <v>2676.5640479999965</v>
      </c>
    </row>
    <row r="19" spans="1:9" ht="21" x14ac:dyDescent="0.35">
      <c r="A19" s="25"/>
      <c r="B19" s="25"/>
      <c r="C19" s="21">
        <v>0</v>
      </c>
      <c r="D19" s="22"/>
      <c r="E19" s="22">
        <v>0</v>
      </c>
      <c r="F19" s="22">
        <f t="shared" si="0"/>
        <v>0</v>
      </c>
      <c r="G19" s="23">
        <f t="shared" si="1"/>
        <v>0</v>
      </c>
      <c r="H19" s="23">
        <f t="shared" si="2"/>
        <v>0</v>
      </c>
      <c r="I19" s="24">
        <f t="shared" si="3"/>
        <v>0</v>
      </c>
    </row>
    <row r="20" spans="1:9" ht="21" x14ac:dyDescent="0.25">
      <c r="A20" s="26">
        <v>45729</v>
      </c>
      <c r="B20" s="28" t="s">
        <v>19</v>
      </c>
      <c r="C20" s="21">
        <v>188</v>
      </c>
      <c r="D20" s="22">
        <v>320</v>
      </c>
      <c r="E20" s="22">
        <v>276.14148</v>
      </c>
      <c r="F20" s="22">
        <f t="shared" si="0"/>
        <v>43.858519999999999</v>
      </c>
      <c r="G20" s="23">
        <f t="shared" si="1"/>
        <v>60160</v>
      </c>
      <c r="H20" s="23">
        <f t="shared" si="2"/>
        <v>51914.598239999999</v>
      </c>
      <c r="I20" s="24">
        <f t="shared" si="3"/>
        <v>8245.4017600000006</v>
      </c>
    </row>
    <row r="21" spans="1:9" ht="21" x14ac:dyDescent="0.25">
      <c r="A21" s="26">
        <v>45729</v>
      </c>
      <c r="B21" s="29" t="s">
        <v>20</v>
      </c>
      <c r="C21" s="21">
        <v>13</v>
      </c>
      <c r="D21" s="22">
        <v>1730</v>
      </c>
      <c r="E21" s="22">
        <v>1542.75</v>
      </c>
      <c r="F21" s="22">
        <f t="shared" si="0"/>
        <v>187.25</v>
      </c>
      <c r="G21" s="23">
        <f t="shared" si="1"/>
        <v>22490</v>
      </c>
      <c r="H21" s="23">
        <f t="shared" si="2"/>
        <v>20055.75</v>
      </c>
      <c r="I21" s="24">
        <f t="shared" si="3"/>
        <v>2434.25</v>
      </c>
    </row>
    <row r="22" spans="1:9" ht="21" x14ac:dyDescent="0.35">
      <c r="A22" s="26">
        <v>45729</v>
      </c>
      <c r="B22" s="30" t="s">
        <v>21</v>
      </c>
      <c r="C22" s="21">
        <v>10</v>
      </c>
      <c r="D22" s="22">
        <v>205</v>
      </c>
      <c r="E22" s="22">
        <v>163.35</v>
      </c>
      <c r="F22" s="22">
        <f t="shared" si="0"/>
        <v>41.650000000000006</v>
      </c>
      <c r="G22" s="23">
        <f t="shared" si="1"/>
        <v>2050</v>
      </c>
      <c r="H22" s="23">
        <f t="shared" si="2"/>
        <v>1633.5</v>
      </c>
      <c r="I22" s="24">
        <f t="shared" si="3"/>
        <v>416.5</v>
      </c>
    </row>
    <row r="23" spans="1:9" ht="21" x14ac:dyDescent="0.35">
      <c r="A23" s="26">
        <v>45729</v>
      </c>
      <c r="B23" s="30" t="s">
        <v>13</v>
      </c>
      <c r="C23" s="21">
        <v>4</v>
      </c>
      <c r="D23" s="22">
        <v>545</v>
      </c>
      <c r="E23" s="22">
        <v>429</v>
      </c>
      <c r="F23" s="22">
        <f t="shared" si="0"/>
        <v>116</v>
      </c>
      <c r="G23" s="23">
        <f t="shared" si="1"/>
        <v>2180</v>
      </c>
      <c r="H23" s="23">
        <f t="shared" si="2"/>
        <v>1716</v>
      </c>
      <c r="I23" s="24">
        <f t="shared" si="3"/>
        <v>464</v>
      </c>
    </row>
    <row r="24" spans="1:9" ht="21" x14ac:dyDescent="0.25">
      <c r="A24" s="26">
        <v>45729</v>
      </c>
      <c r="B24" s="29" t="s">
        <v>20</v>
      </c>
      <c r="C24" s="21">
        <v>1</v>
      </c>
      <c r="D24" s="22">
        <v>1730</v>
      </c>
      <c r="E24" s="22">
        <v>1524.6</v>
      </c>
      <c r="F24" s="22">
        <f t="shared" si="0"/>
        <v>205.40000000000009</v>
      </c>
      <c r="G24" s="23">
        <f t="shared" si="1"/>
        <v>1730</v>
      </c>
      <c r="H24" s="23">
        <f t="shared" si="2"/>
        <v>1524.6</v>
      </c>
      <c r="I24" s="24">
        <f t="shared" si="3"/>
        <v>205.40000000000009</v>
      </c>
    </row>
    <row r="25" spans="1:9" ht="21" x14ac:dyDescent="0.35">
      <c r="A25" s="26">
        <v>45729</v>
      </c>
      <c r="B25" s="30" t="s">
        <v>22</v>
      </c>
      <c r="C25" s="21">
        <v>17</v>
      </c>
      <c r="D25" s="22">
        <v>380</v>
      </c>
      <c r="E25" s="22">
        <v>283.14</v>
      </c>
      <c r="F25" s="22">
        <f t="shared" si="0"/>
        <v>96.860000000000014</v>
      </c>
      <c r="G25" s="23">
        <f t="shared" si="1"/>
        <v>6460</v>
      </c>
      <c r="H25" s="23">
        <f t="shared" si="2"/>
        <v>4813.38</v>
      </c>
      <c r="I25" s="24">
        <f t="shared" si="3"/>
        <v>1646.62</v>
      </c>
    </row>
    <row r="26" spans="1:9" ht="21" x14ac:dyDescent="0.35">
      <c r="A26" s="26">
        <v>45729</v>
      </c>
      <c r="B26" s="30" t="s">
        <v>23</v>
      </c>
      <c r="C26" s="21">
        <v>6</v>
      </c>
      <c r="D26" s="22">
        <v>220</v>
      </c>
      <c r="E26" s="22">
        <v>174.24</v>
      </c>
      <c r="F26" s="22">
        <f t="shared" si="0"/>
        <v>45.759999999999991</v>
      </c>
      <c r="G26" s="23">
        <f t="shared" si="1"/>
        <v>1320</v>
      </c>
      <c r="H26" s="23">
        <f t="shared" si="2"/>
        <v>1045.44</v>
      </c>
      <c r="I26" s="24">
        <f t="shared" si="3"/>
        <v>274.55999999999995</v>
      </c>
    </row>
    <row r="27" spans="1:9" ht="21" x14ac:dyDescent="0.25">
      <c r="A27" s="26">
        <v>45729</v>
      </c>
      <c r="B27" s="29" t="s">
        <v>20</v>
      </c>
      <c r="C27" s="21">
        <v>1</v>
      </c>
      <c r="D27" s="22">
        <v>1730</v>
      </c>
      <c r="E27" s="22">
        <v>1524.6</v>
      </c>
      <c r="F27" s="22">
        <f t="shared" si="0"/>
        <v>205.40000000000009</v>
      </c>
      <c r="G27" s="23">
        <f t="shared" si="1"/>
        <v>1730</v>
      </c>
      <c r="H27" s="23">
        <f t="shared" si="2"/>
        <v>1524.6</v>
      </c>
      <c r="I27" s="24">
        <f t="shared" si="3"/>
        <v>205.40000000000009</v>
      </c>
    </row>
    <row r="28" spans="1:9" ht="21" x14ac:dyDescent="0.35">
      <c r="A28" s="25"/>
      <c r="B28" s="25"/>
      <c r="C28" s="21">
        <v>0</v>
      </c>
      <c r="D28" s="22"/>
      <c r="E28" s="22">
        <v>0</v>
      </c>
      <c r="F28" s="22">
        <f t="shared" si="0"/>
        <v>0</v>
      </c>
      <c r="G28" s="23">
        <f t="shared" si="1"/>
        <v>0</v>
      </c>
      <c r="H28" s="23">
        <f t="shared" si="2"/>
        <v>0</v>
      </c>
      <c r="I28" s="24">
        <f t="shared" si="3"/>
        <v>0</v>
      </c>
    </row>
    <row r="29" spans="1:9" ht="21" x14ac:dyDescent="0.25">
      <c r="A29" s="26">
        <v>45730</v>
      </c>
      <c r="B29" s="28" t="s">
        <v>24</v>
      </c>
      <c r="C29" s="21">
        <v>1</v>
      </c>
      <c r="D29" s="22">
        <v>325</v>
      </c>
      <c r="E29" s="22">
        <v>241</v>
      </c>
      <c r="F29" s="22">
        <f t="shared" si="0"/>
        <v>84</v>
      </c>
      <c r="G29" s="23">
        <f t="shared" si="1"/>
        <v>325</v>
      </c>
      <c r="H29" s="23">
        <f t="shared" si="2"/>
        <v>241</v>
      </c>
      <c r="I29" s="24">
        <f t="shared" si="3"/>
        <v>84</v>
      </c>
    </row>
    <row r="30" spans="1:9" ht="21" x14ac:dyDescent="0.25">
      <c r="A30" s="26">
        <v>45731</v>
      </c>
      <c r="B30" s="27" t="s">
        <v>17</v>
      </c>
      <c r="C30" s="21">
        <v>1</v>
      </c>
      <c r="D30" s="22">
        <v>2880</v>
      </c>
      <c r="E30" s="22">
        <v>2880</v>
      </c>
      <c r="F30" s="22">
        <f t="shared" si="0"/>
        <v>0</v>
      </c>
      <c r="G30" s="23">
        <f t="shared" si="1"/>
        <v>2880</v>
      </c>
      <c r="H30" s="23">
        <f t="shared" si="2"/>
        <v>2880</v>
      </c>
      <c r="I30" s="24">
        <f t="shared" si="3"/>
        <v>0</v>
      </c>
    </row>
    <row r="31" spans="1:9" ht="21" x14ac:dyDescent="0.35">
      <c r="A31" s="26">
        <v>45731</v>
      </c>
      <c r="B31" s="30" t="s">
        <v>25</v>
      </c>
      <c r="C31" s="21">
        <v>5</v>
      </c>
      <c r="D31" s="22">
        <v>510</v>
      </c>
      <c r="E31" s="22">
        <v>396.5090909090909</v>
      </c>
      <c r="F31" s="22">
        <f t="shared" si="0"/>
        <v>113.4909090909091</v>
      </c>
      <c r="G31" s="23">
        <f t="shared" si="1"/>
        <v>2550</v>
      </c>
      <c r="H31" s="23">
        <f t="shared" si="2"/>
        <v>1982.5454545454545</v>
      </c>
      <c r="I31" s="24">
        <f t="shared" si="3"/>
        <v>567.4545454545455</v>
      </c>
    </row>
    <row r="32" spans="1:9" ht="21" x14ac:dyDescent="0.35">
      <c r="A32" s="26">
        <v>45731</v>
      </c>
      <c r="B32" s="30" t="s">
        <v>26</v>
      </c>
      <c r="C32" s="21">
        <v>1</v>
      </c>
      <c r="D32" s="22">
        <v>680</v>
      </c>
      <c r="E32" s="22">
        <v>524.18181818181824</v>
      </c>
      <c r="F32" s="22">
        <f t="shared" si="0"/>
        <v>155.81818181818176</v>
      </c>
      <c r="G32" s="23">
        <f t="shared" si="1"/>
        <v>680</v>
      </c>
      <c r="H32" s="23">
        <f t="shared" si="2"/>
        <v>524.18181818181824</v>
      </c>
      <c r="I32" s="24">
        <f t="shared" si="3"/>
        <v>155.81818181818176</v>
      </c>
    </row>
    <row r="33" spans="1:9" ht="21" x14ac:dyDescent="0.35">
      <c r="A33" s="26">
        <v>45731</v>
      </c>
      <c r="B33" s="30" t="s">
        <v>27</v>
      </c>
      <c r="C33" s="21">
        <v>1</v>
      </c>
      <c r="D33" s="22">
        <v>470</v>
      </c>
      <c r="E33" s="22">
        <v>429.06363636363642</v>
      </c>
      <c r="F33" s="22">
        <f t="shared" si="0"/>
        <v>40.936363636363581</v>
      </c>
      <c r="G33" s="23">
        <f t="shared" si="1"/>
        <v>470</v>
      </c>
      <c r="H33" s="23">
        <f t="shared" si="2"/>
        <v>429.06363636363642</v>
      </c>
      <c r="I33" s="24">
        <f t="shared" si="3"/>
        <v>40.936363636363581</v>
      </c>
    </row>
    <row r="34" spans="1:9" ht="21" x14ac:dyDescent="0.35">
      <c r="A34" s="26">
        <v>45731</v>
      </c>
      <c r="B34" s="30" t="s">
        <v>28</v>
      </c>
      <c r="C34" s="21">
        <v>1</v>
      </c>
      <c r="D34" s="22">
        <v>330</v>
      </c>
      <c r="E34" s="22">
        <v>302.24545454545455</v>
      </c>
      <c r="F34" s="22">
        <f t="shared" si="0"/>
        <v>27.75454545454545</v>
      </c>
      <c r="G34" s="23">
        <f t="shared" si="1"/>
        <v>330</v>
      </c>
      <c r="H34" s="23">
        <f t="shared" si="2"/>
        <v>302.24545454545455</v>
      </c>
      <c r="I34" s="24">
        <f t="shared" si="3"/>
        <v>27.75454545454545</v>
      </c>
    </row>
    <row r="35" spans="1:9" ht="21" x14ac:dyDescent="0.35">
      <c r="A35" s="26">
        <v>45731</v>
      </c>
      <c r="B35" s="30" t="s">
        <v>29</v>
      </c>
      <c r="C35" s="21">
        <v>1</v>
      </c>
      <c r="D35" s="22">
        <v>545</v>
      </c>
      <c r="E35" s="22">
        <v>528.40909090909088</v>
      </c>
      <c r="F35" s="22">
        <f t="shared" si="0"/>
        <v>16.590909090909122</v>
      </c>
      <c r="G35" s="23">
        <f t="shared" si="1"/>
        <v>545</v>
      </c>
      <c r="H35" s="23">
        <f t="shared" si="2"/>
        <v>528.40909090909088</v>
      </c>
      <c r="I35" s="24">
        <f t="shared" si="3"/>
        <v>16.590909090909122</v>
      </c>
    </row>
    <row r="36" spans="1:9" ht="21" x14ac:dyDescent="0.35">
      <c r="A36" s="26">
        <v>45731</v>
      </c>
      <c r="B36" s="30" t="s">
        <v>30</v>
      </c>
      <c r="C36" s="21">
        <v>11</v>
      </c>
      <c r="D36" s="22">
        <v>3350</v>
      </c>
      <c r="E36" s="22">
        <v>3309.227272727273</v>
      </c>
      <c r="F36" s="22">
        <f t="shared" si="0"/>
        <v>40.772727272727025</v>
      </c>
      <c r="G36" s="23">
        <f t="shared" si="1"/>
        <v>36850</v>
      </c>
      <c r="H36" s="23">
        <f t="shared" si="2"/>
        <v>36401.5</v>
      </c>
      <c r="I36" s="24">
        <f t="shared" si="3"/>
        <v>448.5</v>
      </c>
    </row>
    <row r="37" spans="1:9" ht="21" x14ac:dyDescent="0.35">
      <c r="A37" s="31">
        <v>45731</v>
      </c>
      <c r="B37" s="32" t="s">
        <v>10</v>
      </c>
      <c r="C37" s="21">
        <v>2</v>
      </c>
      <c r="D37" s="22">
        <v>6350</v>
      </c>
      <c r="E37" s="22">
        <v>5019.6000000000004</v>
      </c>
      <c r="F37" s="22">
        <f t="shared" si="0"/>
        <v>1330.3999999999996</v>
      </c>
      <c r="G37" s="23">
        <f t="shared" si="1"/>
        <v>12700</v>
      </c>
      <c r="H37" s="23">
        <f t="shared" si="2"/>
        <v>10039.200000000001</v>
      </c>
      <c r="I37" s="24">
        <f t="shared" si="3"/>
        <v>2660.7999999999993</v>
      </c>
    </row>
    <row r="38" spans="1:9" ht="21" x14ac:dyDescent="0.25">
      <c r="A38" s="26">
        <v>45733</v>
      </c>
      <c r="B38" s="28" t="s">
        <v>31</v>
      </c>
      <c r="C38" s="21">
        <v>2</v>
      </c>
      <c r="D38" s="22">
        <v>1680</v>
      </c>
      <c r="E38" s="22">
        <v>1323.5746799999999</v>
      </c>
      <c r="F38" s="22">
        <f t="shared" si="0"/>
        <v>356.42532000000006</v>
      </c>
      <c r="G38" s="23">
        <f t="shared" si="1"/>
        <v>3360</v>
      </c>
      <c r="H38" s="23">
        <f t="shared" si="2"/>
        <v>2647.1493599999999</v>
      </c>
      <c r="I38" s="24">
        <f t="shared" si="3"/>
        <v>712.85064000000011</v>
      </c>
    </row>
    <row r="39" spans="1:9" ht="21" x14ac:dyDescent="0.35">
      <c r="A39" s="26">
        <v>45733</v>
      </c>
      <c r="B39" s="30" t="s">
        <v>13</v>
      </c>
      <c r="C39" s="21">
        <v>5</v>
      </c>
      <c r="D39" s="22">
        <v>4930</v>
      </c>
      <c r="E39" s="22">
        <v>0</v>
      </c>
      <c r="F39" s="22">
        <f t="shared" si="0"/>
        <v>4930</v>
      </c>
      <c r="G39" s="23">
        <f t="shared" si="1"/>
        <v>24650</v>
      </c>
      <c r="H39" s="23">
        <f t="shared" si="2"/>
        <v>0</v>
      </c>
      <c r="I39" s="24">
        <f t="shared" si="3"/>
        <v>24650</v>
      </c>
    </row>
    <row r="40" spans="1:9" ht="21" x14ac:dyDescent="0.35">
      <c r="A40" s="26">
        <v>45734</v>
      </c>
      <c r="B40" s="33" t="s">
        <v>13</v>
      </c>
      <c r="C40" s="21">
        <v>63</v>
      </c>
      <c r="D40" s="22">
        <v>550</v>
      </c>
      <c r="E40" s="22">
        <v>0</v>
      </c>
      <c r="F40" s="22">
        <f t="shared" si="0"/>
        <v>550</v>
      </c>
      <c r="G40" s="23">
        <f t="shared" si="1"/>
        <v>34650</v>
      </c>
      <c r="H40" s="23">
        <f t="shared" si="2"/>
        <v>0</v>
      </c>
      <c r="I40" s="24">
        <f t="shared" si="3"/>
        <v>34650</v>
      </c>
    </row>
    <row r="41" spans="1:9" ht="21" x14ac:dyDescent="0.25">
      <c r="A41" s="26">
        <v>45734</v>
      </c>
      <c r="B41" s="34" t="s">
        <v>14</v>
      </c>
      <c r="C41" s="21">
        <v>80</v>
      </c>
      <c r="D41" s="22">
        <v>310</v>
      </c>
      <c r="E41" s="22">
        <v>283.75917600000002</v>
      </c>
      <c r="F41" s="22">
        <f t="shared" si="0"/>
        <v>26.240823999999975</v>
      </c>
      <c r="G41" s="23">
        <f t="shared" si="1"/>
        <v>24800</v>
      </c>
      <c r="H41" s="23">
        <f t="shared" si="2"/>
        <v>22700.734080000002</v>
      </c>
      <c r="I41" s="24">
        <f t="shared" si="3"/>
        <v>2099.265919999998</v>
      </c>
    </row>
    <row r="42" spans="1:9" ht="21" x14ac:dyDescent="0.35">
      <c r="A42" s="31">
        <v>45734</v>
      </c>
      <c r="B42" s="32" t="s">
        <v>10</v>
      </c>
      <c r="C42" s="21">
        <v>4</v>
      </c>
      <c r="D42" s="22">
        <v>5200</v>
      </c>
      <c r="E42" s="22">
        <v>5019.6000000000004</v>
      </c>
      <c r="F42" s="22">
        <f t="shared" si="0"/>
        <v>180.39999999999964</v>
      </c>
      <c r="G42" s="23">
        <f t="shared" si="1"/>
        <v>20800</v>
      </c>
      <c r="H42" s="23">
        <f t="shared" si="2"/>
        <v>20078.400000000001</v>
      </c>
      <c r="I42" s="24">
        <f t="shared" si="3"/>
        <v>721.59999999999854</v>
      </c>
    </row>
    <row r="43" spans="1:9" ht="21" x14ac:dyDescent="0.25">
      <c r="A43" s="26">
        <v>45734</v>
      </c>
      <c r="B43" s="29" t="s">
        <v>20</v>
      </c>
      <c r="C43" s="21">
        <v>2</v>
      </c>
      <c r="D43" s="22">
        <v>1735</v>
      </c>
      <c r="E43" s="22">
        <v>1735</v>
      </c>
      <c r="F43" s="22">
        <f t="shared" si="0"/>
        <v>0</v>
      </c>
      <c r="G43" s="23">
        <f t="shared" si="1"/>
        <v>3470</v>
      </c>
      <c r="H43" s="23">
        <f t="shared" si="2"/>
        <v>3470</v>
      </c>
      <c r="I43" s="24">
        <f t="shared" si="3"/>
        <v>0</v>
      </c>
    </row>
    <row r="44" spans="1:9" ht="21" x14ac:dyDescent="0.25">
      <c r="A44" s="26">
        <v>45736</v>
      </c>
      <c r="B44" s="29" t="s">
        <v>20</v>
      </c>
      <c r="C44" s="21">
        <v>1</v>
      </c>
      <c r="D44" s="22">
        <v>1730</v>
      </c>
      <c r="E44" s="22">
        <v>1730</v>
      </c>
      <c r="F44" s="22">
        <f t="shared" si="0"/>
        <v>0</v>
      </c>
      <c r="G44" s="23">
        <f t="shared" si="1"/>
        <v>1730</v>
      </c>
      <c r="H44" s="23">
        <f t="shared" si="2"/>
        <v>1730</v>
      </c>
      <c r="I44" s="24">
        <f t="shared" si="3"/>
        <v>0</v>
      </c>
    </row>
    <row r="45" spans="1:9" ht="21" x14ac:dyDescent="0.25">
      <c r="A45" s="26">
        <v>45736</v>
      </c>
      <c r="B45" s="29" t="s">
        <v>20</v>
      </c>
      <c r="C45" s="21">
        <v>1</v>
      </c>
      <c r="D45" s="22">
        <v>1725</v>
      </c>
      <c r="E45" s="22">
        <v>1700</v>
      </c>
      <c r="F45" s="22">
        <f t="shared" si="0"/>
        <v>25</v>
      </c>
      <c r="G45" s="23">
        <f t="shared" si="1"/>
        <v>1725</v>
      </c>
      <c r="H45" s="23">
        <f t="shared" si="2"/>
        <v>1700</v>
      </c>
      <c r="I45" s="24">
        <f t="shared" si="3"/>
        <v>25</v>
      </c>
    </row>
    <row r="46" spans="1:9" ht="21" x14ac:dyDescent="0.25">
      <c r="A46" s="26">
        <v>45737</v>
      </c>
      <c r="B46" s="29" t="s">
        <v>32</v>
      </c>
      <c r="C46" s="21">
        <v>1</v>
      </c>
      <c r="D46" s="22">
        <v>3350</v>
      </c>
      <c r="E46" s="22">
        <v>3330</v>
      </c>
      <c r="F46" s="22">
        <f t="shared" si="0"/>
        <v>20</v>
      </c>
      <c r="G46" s="23">
        <f t="shared" si="1"/>
        <v>3350</v>
      </c>
      <c r="H46" s="23">
        <f t="shared" si="2"/>
        <v>3330</v>
      </c>
      <c r="I46" s="24">
        <f t="shared" si="3"/>
        <v>20</v>
      </c>
    </row>
    <row r="47" spans="1:9" ht="21" x14ac:dyDescent="0.35">
      <c r="A47" s="26">
        <v>45742</v>
      </c>
      <c r="B47" s="33" t="s">
        <v>10</v>
      </c>
      <c r="C47" s="21">
        <v>3</v>
      </c>
      <c r="D47" s="22">
        <v>5099</v>
      </c>
      <c r="E47" s="22">
        <v>5019.6000000000004</v>
      </c>
      <c r="F47" s="22">
        <f t="shared" ref="F47:F64" si="4">D47-E47</f>
        <v>79.399999999999636</v>
      </c>
      <c r="G47" s="23">
        <f t="shared" ref="G47:G64" si="5">D47*C47</f>
        <v>15297</v>
      </c>
      <c r="H47" s="23">
        <f t="shared" ref="H47:H64" si="6">E47*C47</f>
        <v>15058.800000000001</v>
      </c>
      <c r="I47" s="24">
        <f t="shared" ref="I47:I64" si="7">G47-H47</f>
        <v>238.19999999999891</v>
      </c>
    </row>
    <row r="48" spans="1:9" ht="21" x14ac:dyDescent="0.25">
      <c r="A48" s="26">
        <v>45742</v>
      </c>
      <c r="B48" s="28" t="s">
        <v>12</v>
      </c>
      <c r="C48" s="21">
        <v>10</v>
      </c>
      <c r="D48" s="22">
        <v>1130</v>
      </c>
      <c r="E48" s="22">
        <v>967.69087999999999</v>
      </c>
      <c r="F48" s="22">
        <f t="shared" si="4"/>
        <v>162.30912000000001</v>
      </c>
      <c r="G48" s="23">
        <f t="shared" si="5"/>
        <v>11300</v>
      </c>
      <c r="H48" s="23">
        <f t="shared" si="6"/>
        <v>9676.9087999999992</v>
      </c>
      <c r="I48" s="24">
        <f t="shared" si="7"/>
        <v>1623.0912000000008</v>
      </c>
    </row>
    <row r="49" spans="1:9" ht="21" x14ac:dyDescent="0.25">
      <c r="A49" s="26">
        <v>45742</v>
      </c>
      <c r="B49" s="28" t="s">
        <v>12</v>
      </c>
      <c r="C49" s="21">
        <v>25</v>
      </c>
      <c r="D49" s="22">
        <v>1140</v>
      </c>
      <c r="E49" s="22">
        <v>967.69087999999999</v>
      </c>
      <c r="F49" s="22">
        <f t="shared" si="4"/>
        <v>172.30912000000001</v>
      </c>
      <c r="G49" s="23">
        <f t="shared" si="5"/>
        <v>28500</v>
      </c>
      <c r="H49" s="23">
        <f t="shared" si="6"/>
        <v>24192.272000000001</v>
      </c>
      <c r="I49" s="24">
        <f t="shared" si="7"/>
        <v>4307.7279999999992</v>
      </c>
    </row>
    <row r="50" spans="1:9" ht="21" x14ac:dyDescent="0.35">
      <c r="A50" s="25"/>
      <c r="B50" s="25"/>
      <c r="C50" s="21">
        <v>0</v>
      </c>
      <c r="D50" s="22"/>
      <c r="E50" s="22">
        <v>0</v>
      </c>
      <c r="F50" s="22">
        <f t="shared" si="4"/>
        <v>0</v>
      </c>
      <c r="G50" s="23">
        <f t="shared" si="5"/>
        <v>0</v>
      </c>
      <c r="H50" s="23">
        <f t="shared" si="6"/>
        <v>0</v>
      </c>
      <c r="I50" s="24">
        <f t="shared" si="7"/>
        <v>0</v>
      </c>
    </row>
    <row r="51" spans="1:9" ht="21" x14ac:dyDescent="0.25">
      <c r="A51" s="26">
        <v>45743</v>
      </c>
      <c r="B51" s="28" t="s">
        <v>12</v>
      </c>
      <c r="C51" s="21">
        <v>9</v>
      </c>
      <c r="D51" s="22">
        <v>1140</v>
      </c>
      <c r="E51" s="22">
        <v>967.69087999999999</v>
      </c>
      <c r="F51" s="22">
        <f t="shared" si="4"/>
        <v>172.30912000000001</v>
      </c>
      <c r="G51" s="23">
        <f t="shared" si="5"/>
        <v>10260</v>
      </c>
      <c r="H51" s="23">
        <f t="shared" si="6"/>
        <v>8709.2179199999991</v>
      </c>
      <c r="I51" s="24">
        <f t="shared" si="7"/>
        <v>1550.7820800000009</v>
      </c>
    </row>
    <row r="52" spans="1:9" ht="21" x14ac:dyDescent="0.35">
      <c r="A52" s="26">
        <v>45743</v>
      </c>
      <c r="B52" s="30" t="s">
        <v>33</v>
      </c>
      <c r="C52" s="21">
        <v>5</v>
      </c>
      <c r="D52" s="22">
        <v>80</v>
      </c>
      <c r="E52" s="22">
        <v>76.5</v>
      </c>
      <c r="F52" s="22">
        <f t="shared" si="4"/>
        <v>3.5</v>
      </c>
      <c r="G52" s="23">
        <f t="shared" si="5"/>
        <v>400</v>
      </c>
      <c r="H52" s="23">
        <f t="shared" si="6"/>
        <v>382.5</v>
      </c>
      <c r="I52" s="24">
        <f t="shared" si="7"/>
        <v>17.5</v>
      </c>
    </row>
    <row r="53" spans="1:9" ht="21" x14ac:dyDescent="0.25">
      <c r="A53" s="26">
        <v>45743</v>
      </c>
      <c r="B53" s="28" t="s">
        <v>12</v>
      </c>
      <c r="C53" s="21">
        <v>4</v>
      </c>
      <c r="D53" s="22">
        <v>1140</v>
      </c>
      <c r="E53" s="22">
        <v>967.69087999999999</v>
      </c>
      <c r="F53" s="22">
        <f t="shared" si="4"/>
        <v>172.30912000000001</v>
      </c>
      <c r="G53" s="23">
        <f t="shared" si="5"/>
        <v>4560</v>
      </c>
      <c r="H53" s="23">
        <f t="shared" si="6"/>
        <v>3870.76352</v>
      </c>
      <c r="I53" s="24">
        <f t="shared" si="7"/>
        <v>689.23648000000003</v>
      </c>
    </row>
    <row r="54" spans="1:9" ht="21" x14ac:dyDescent="0.35">
      <c r="A54" s="25"/>
      <c r="B54" s="25"/>
      <c r="C54" s="21">
        <v>0</v>
      </c>
      <c r="D54" s="22"/>
      <c r="E54" s="22">
        <v>0</v>
      </c>
      <c r="F54" s="22">
        <f t="shared" si="4"/>
        <v>0</v>
      </c>
      <c r="G54" s="23">
        <f t="shared" si="5"/>
        <v>0</v>
      </c>
      <c r="H54" s="23">
        <f t="shared" si="6"/>
        <v>0</v>
      </c>
      <c r="I54" s="24">
        <f t="shared" si="7"/>
        <v>0</v>
      </c>
    </row>
    <row r="55" spans="1:9" ht="21" x14ac:dyDescent="0.25">
      <c r="A55" s="26">
        <v>45744</v>
      </c>
      <c r="B55" s="28" t="s">
        <v>12</v>
      </c>
      <c r="C55" s="21">
        <v>4</v>
      </c>
      <c r="D55" s="22">
        <v>1140</v>
      </c>
      <c r="E55" s="22">
        <v>967.69087999999999</v>
      </c>
      <c r="F55" s="22">
        <f t="shared" si="4"/>
        <v>172.30912000000001</v>
      </c>
      <c r="G55" s="23">
        <f t="shared" si="5"/>
        <v>4560</v>
      </c>
      <c r="H55" s="23">
        <f t="shared" si="6"/>
        <v>3870.76352</v>
      </c>
      <c r="I55" s="24">
        <f t="shared" si="7"/>
        <v>689.23648000000003</v>
      </c>
    </row>
    <row r="56" spans="1:9" ht="21" x14ac:dyDescent="0.25">
      <c r="A56" s="26">
        <v>45744</v>
      </c>
      <c r="B56" s="34" t="s">
        <v>9</v>
      </c>
      <c r="C56" s="21">
        <v>63</v>
      </c>
      <c r="D56" s="22">
        <v>1030</v>
      </c>
      <c r="E56" s="22">
        <v>1025</v>
      </c>
      <c r="F56" s="22">
        <f t="shared" si="4"/>
        <v>5</v>
      </c>
      <c r="G56" s="23">
        <f t="shared" si="5"/>
        <v>64890</v>
      </c>
      <c r="H56" s="23">
        <f t="shared" si="6"/>
        <v>64575</v>
      </c>
      <c r="I56" s="24">
        <f t="shared" si="7"/>
        <v>315</v>
      </c>
    </row>
    <row r="57" spans="1:9" ht="21" x14ac:dyDescent="0.25">
      <c r="A57" s="26">
        <v>45744</v>
      </c>
      <c r="B57" s="34" t="s">
        <v>9</v>
      </c>
      <c r="C57" s="21">
        <v>26</v>
      </c>
      <c r="D57" s="22">
        <v>1030</v>
      </c>
      <c r="E57" s="22">
        <v>1025</v>
      </c>
      <c r="F57" s="22">
        <f t="shared" si="4"/>
        <v>5</v>
      </c>
      <c r="G57" s="23">
        <f t="shared" si="5"/>
        <v>26780</v>
      </c>
      <c r="H57" s="23">
        <f t="shared" si="6"/>
        <v>26650</v>
      </c>
      <c r="I57" s="24">
        <f t="shared" si="7"/>
        <v>130</v>
      </c>
    </row>
    <row r="58" spans="1:9" ht="21" x14ac:dyDescent="0.25">
      <c r="A58" s="26">
        <v>45744</v>
      </c>
      <c r="B58" s="28" t="s">
        <v>12</v>
      </c>
      <c r="C58" s="21">
        <v>3</v>
      </c>
      <c r="D58" s="22">
        <v>1140</v>
      </c>
      <c r="E58" s="22">
        <v>967.69087999999999</v>
      </c>
      <c r="F58" s="22">
        <f t="shared" si="4"/>
        <v>172.30912000000001</v>
      </c>
      <c r="G58" s="23">
        <f t="shared" si="5"/>
        <v>3420</v>
      </c>
      <c r="H58" s="23">
        <f t="shared" si="6"/>
        <v>2903.0726399999999</v>
      </c>
      <c r="I58" s="24">
        <f t="shared" si="7"/>
        <v>516.92736000000014</v>
      </c>
    </row>
    <row r="59" spans="1:9" ht="21" x14ac:dyDescent="0.35">
      <c r="A59" s="26">
        <v>45744</v>
      </c>
      <c r="B59" s="30" t="s">
        <v>34</v>
      </c>
      <c r="C59" s="21">
        <v>7</v>
      </c>
      <c r="D59" s="22">
        <v>635</v>
      </c>
      <c r="E59" s="22">
        <v>502.04545454545456</v>
      </c>
      <c r="F59" s="22">
        <f t="shared" si="4"/>
        <v>132.95454545454544</v>
      </c>
      <c r="G59" s="23">
        <f t="shared" si="5"/>
        <v>4445</v>
      </c>
      <c r="H59" s="23">
        <f t="shared" si="6"/>
        <v>3514.318181818182</v>
      </c>
      <c r="I59" s="24">
        <f t="shared" si="7"/>
        <v>930.68181818181802</v>
      </c>
    </row>
    <row r="60" spans="1:9" ht="21" x14ac:dyDescent="0.35">
      <c r="A60" s="26">
        <v>45744</v>
      </c>
      <c r="B60" s="30" t="s">
        <v>29</v>
      </c>
      <c r="C60" s="21">
        <v>1</v>
      </c>
      <c r="D60" s="22">
        <v>595</v>
      </c>
      <c r="E60" s="22">
        <v>489.22727272727269</v>
      </c>
      <c r="F60" s="22">
        <f t="shared" si="4"/>
        <v>105.77272727272731</v>
      </c>
      <c r="G60" s="23">
        <f t="shared" si="5"/>
        <v>595</v>
      </c>
      <c r="H60" s="23">
        <f t="shared" si="6"/>
        <v>489.22727272727269</v>
      </c>
      <c r="I60" s="24">
        <f t="shared" si="7"/>
        <v>105.77272727272731</v>
      </c>
    </row>
    <row r="61" spans="1:9" ht="21" x14ac:dyDescent="0.35">
      <c r="A61" s="26">
        <v>45744</v>
      </c>
      <c r="B61" s="30" t="s">
        <v>25</v>
      </c>
      <c r="C61" s="21">
        <v>1</v>
      </c>
      <c r="D61" s="22">
        <v>510</v>
      </c>
      <c r="E61" s="22">
        <v>405.90909090909088</v>
      </c>
      <c r="F61" s="22">
        <f t="shared" si="4"/>
        <v>104.09090909090912</v>
      </c>
      <c r="G61" s="23">
        <f t="shared" si="5"/>
        <v>510</v>
      </c>
      <c r="H61" s="23">
        <f t="shared" si="6"/>
        <v>405.90909090909088</v>
      </c>
      <c r="I61" s="24">
        <f t="shared" si="7"/>
        <v>104.09090909090912</v>
      </c>
    </row>
    <row r="62" spans="1:9" ht="21" x14ac:dyDescent="0.35">
      <c r="A62" s="26">
        <v>45744</v>
      </c>
      <c r="B62" s="30" t="s">
        <v>33</v>
      </c>
      <c r="C62" s="21">
        <v>269</v>
      </c>
      <c r="D62" s="22">
        <v>77.5</v>
      </c>
      <c r="E62" s="22">
        <v>76.5</v>
      </c>
      <c r="F62" s="22">
        <f t="shared" si="4"/>
        <v>1</v>
      </c>
      <c r="G62" s="23">
        <f t="shared" si="5"/>
        <v>20847.5</v>
      </c>
      <c r="H62" s="23">
        <f t="shared" si="6"/>
        <v>20578.5</v>
      </c>
      <c r="I62" s="24">
        <f t="shared" si="7"/>
        <v>269</v>
      </c>
    </row>
    <row r="63" spans="1:9" ht="21" x14ac:dyDescent="0.35">
      <c r="A63" s="26">
        <v>45744</v>
      </c>
      <c r="B63" s="30" t="s">
        <v>10</v>
      </c>
      <c r="C63" s="21">
        <v>1</v>
      </c>
      <c r="D63" s="22">
        <v>5050</v>
      </c>
      <c r="E63" s="22">
        <v>5019.6000000000004</v>
      </c>
      <c r="F63" s="22">
        <f t="shared" si="4"/>
        <v>30.399999999999636</v>
      </c>
      <c r="G63" s="23">
        <f t="shared" si="5"/>
        <v>5050</v>
      </c>
      <c r="H63" s="23">
        <f t="shared" si="6"/>
        <v>5019.6000000000004</v>
      </c>
      <c r="I63" s="24">
        <f t="shared" si="7"/>
        <v>30.399999999999636</v>
      </c>
    </row>
    <row r="64" spans="1:9" ht="21" x14ac:dyDescent="0.25">
      <c r="A64" s="26">
        <v>45745</v>
      </c>
      <c r="B64" s="28" t="s">
        <v>12</v>
      </c>
      <c r="C64" s="21">
        <v>5</v>
      </c>
      <c r="D64" s="22">
        <v>1140</v>
      </c>
      <c r="E64" s="22">
        <v>967.69087999999999</v>
      </c>
      <c r="F64" s="22">
        <f t="shared" si="4"/>
        <v>172.30912000000001</v>
      </c>
      <c r="G64" s="23">
        <f t="shared" si="5"/>
        <v>5700</v>
      </c>
      <c r="H64" s="23">
        <f t="shared" si="6"/>
        <v>4838.4543999999996</v>
      </c>
      <c r="I64" s="24">
        <f t="shared" si="7"/>
        <v>861.54560000000038</v>
      </c>
    </row>
    <row r="65" spans="3:9" x14ac:dyDescent="0.25">
      <c r="C65" s="1"/>
      <c r="D65" s="2"/>
      <c r="G65" s="35"/>
      <c r="H65" s="35"/>
      <c r="I65" s="3"/>
    </row>
    <row r="66" spans="3:9" x14ac:dyDescent="0.25">
      <c r="C66" s="1"/>
      <c r="D66" s="2"/>
      <c r="G66" s="35"/>
      <c r="H66" s="44" t="s">
        <v>8</v>
      </c>
      <c r="I66" s="45">
        <f>SUM(I2:I65)</f>
        <v>125058.07964800003</v>
      </c>
    </row>
    <row r="67" spans="3:9" x14ac:dyDescent="0.25">
      <c r="C67" s="1"/>
      <c r="D67" s="2"/>
      <c r="H67" s="35"/>
      <c r="I67" s="3"/>
    </row>
    <row r="68" spans="3:9" x14ac:dyDescent="0.25">
      <c r="C68" s="1"/>
      <c r="D68" s="2"/>
      <c r="H68" s="35"/>
      <c r="I68" s="3"/>
    </row>
    <row r="69" spans="3:9" x14ac:dyDescent="0.25">
      <c r="C69" s="1"/>
      <c r="D69" s="2"/>
      <c r="H69" s="2"/>
      <c r="I69" s="3"/>
    </row>
    <row r="70" spans="3:9" x14ac:dyDescent="0.25">
      <c r="C70" s="1"/>
      <c r="D70" s="2"/>
      <c r="H70" s="2"/>
      <c r="I70" s="3"/>
    </row>
    <row r="71" spans="3:9" x14ac:dyDescent="0.25">
      <c r="C71" s="1"/>
      <c r="D71" s="2"/>
      <c r="H71" s="2"/>
      <c r="I71" s="3"/>
    </row>
    <row r="72" spans="3:9" x14ac:dyDescent="0.25">
      <c r="C72" s="1"/>
      <c r="D72" s="2"/>
      <c r="H72" s="2"/>
      <c r="I72" s="3"/>
    </row>
    <row r="73" spans="3:9" x14ac:dyDescent="0.25">
      <c r="C73" s="1"/>
      <c r="D73" s="2"/>
      <c r="H73" s="2"/>
      <c r="I73" s="3"/>
    </row>
    <row r="74" spans="3:9" x14ac:dyDescent="0.25">
      <c r="C74" s="1"/>
      <c r="D74" s="2"/>
      <c r="H74" s="2"/>
      <c r="I74" s="3"/>
    </row>
    <row r="75" spans="3:9" x14ac:dyDescent="0.25">
      <c r="C75" s="1"/>
      <c r="D75" s="2"/>
      <c r="H75" s="2"/>
      <c r="I75" s="3"/>
    </row>
    <row r="76" spans="3:9" x14ac:dyDescent="0.25">
      <c r="C76" s="1"/>
      <c r="D76" s="2"/>
      <c r="H76" s="2"/>
      <c r="I76" s="3"/>
    </row>
    <row r="77" spans="3:9" x14ac:dyDescent="0.25">
      <c r="C77" s="1"/>
      <c r="D77" s="2"/>
      <c r="H77" s="2"/>
      <c r="I77" s="3"/>
    </row>
    <row r="78" spans="3:9" x14ac:dyDescent="0.25">
      <c r="C78" s="1"/>
      <c r="D78" s="2"/>
      <c r="H78" s="2"/>
      <c r="I78" s="3"/>
    </row>
    <row r="79" spans="3:9" ht="23.25" x14ac:dyDescent="0.35">
      <c r="C79" s="63"/>
      <c r="D79" s="63"/>
      <c r="E79" s="63"/>
      <c r="F79" s="63"/>
      <c r="H79" s="2"/>
      <c r="I79" s="3"/>
    </row>
    <row r="80" spans="3:9" x14ac:dyDescent="0.25">
      <c r="C80" s="1"/>
      <c r="D80" s="2"/>
      <c r="H80" s="2"/>
      <c r="I80" s="3"/>
    </row>
    <row r="81" spans="1:9" ht="18.75" x14ac:dyDescent="0.3">
      <c r="A81" s="46"/>
      <c r="B81" s="46"/>
      <c r="C81" s="47"/>
      <c r="D81" s="48"/>
      <c r="E81" s="46"/>
      <c r="F81" s="46"/>
      <c r="G81" s="46"/>
      <c r="H81" s="48"/>
      <c r="I81" s="49"/>
    </row>
    <row r="82" spans="1:9" ht="21" x14ac:dyDescent="0.25">
      <c r="A82" s="50"/>
      <c r="B82" s="51"/>
      <c r="C82" s="43"/>
      <c r="D82" s="2"/>
      <c r="E82" s="2"/>
      <c r="F82" s="2"/>
      <c r="G82" s="35"/>
      <c r="H82" s="35"/>
      <c r="I82" s="3"/>
    </row>
    <row r="83" spans="1:9" ht="21" x14ac:dyDescent="0.25">
      <c r="A83" s="41"/>
      <c r="B83" s="51"/>
      <c r="C83" s="43"/>
      <c r="D83" s="2"/>
      <c r="E83" s="2"/>
      <c r="F83" s="2"/>
      <c r="G83" s="35"/>
      <c r="H83" s="35"/>
      <c r="I83" s="3"/>
    </row>
    <row r="84" spans="1:9" ht="21" x14ac:dyDescent="0.25">
      <c r="A84" s="41"/>
      <c r="B84" s="51"/>
      <c r="C84" s="43"/>
      <c r="D84" s="2"/>
      <c r="E84" s="2"/>
      <c r="F84" s="2"/>
      <c r="G84" s="35"/>
      <c r="H84" s="35"/>
      <c r="I84" s="3"/>
    </row>
    <row r="85" spans="1:9" ht="21" x14ac:dyDescent="0.25">
      <c r="A85" s="41"/>
      <c r="B85" s="51"/>
      <c r="C85" s="43"/>
      <c r="D85" s="2"/>
      <c r="E85" s="2"/>
      <c r="F85" s="2"/>
      <c r="G85" s="35"/>
      <c r="H85" s="35"/>
      <c r="I85" s="3"/>
    </row>
    <row r="86" spans="1:9" ht="21" x14ac:dyDescent="0.25">
      <c r="A86" s="41"/>
      <c r="B86" s="51"/>
      <c r="C86" s="43"/>
      <c r="D86" s="2"/>
      <c r="E86" s="2"/>
      <c r="F86" s="2"/>
      <c r="G86" s="35"/>
      <c r="H86" s="35"/>
      <c r="I86" s="3"/>
    </row>
    <row r="87" spans="1:9" ht="21" x14ac:dyDescent="0.25">
      <c r="A87" s="41"/>
      <c r="B87" s="51"/>
      <c r="C87" s="43"/>
      <c r="D87" s="2"/>
      <c r="E87" s="2"/>
      <c r="F87" s="2"/>
      <c r="G87" s="35"/>
      <c r="H87" s="35"/>
      <c r="I87" s="3"/>
    </row>
    <row r="88" spans="1:9" ht="21" x14ac:dyDescent="0.25">
      <c r="A88" s="41"/>
      <c r="B88" s="51"/>
      <c r="C88" s="43"/>
      <c r="D88" s="2"/>
      <c r="E88" s="2"/>
      <c r="F88" s="2"/>
      <c r="G88" s="35"/>
      <c r="H88" s="35"/>
      <c r="I88" s="3"/>
    </row>
    <row r="89" spans="1:9" ht="21" x14ac:dyDescent="0.25">
      <c r="A89" s="41"/>
      <c r="B89" s="51"/>
      <c r="C89" s="43"/>
      <c r="D89" s="2"/>
      <c r="E89" s="2"/>
      <c r="F89" s="2"/>
      <c r="G89" s="35"/>
      <c r="H89" s="35"/>
      <c r="I89" s="3"/>
    </row>
    <row r="90" spans="1:9" ht="21" x14ac:dyDescent="0.25">
      <c r="A90" s="41"/>
      <c r="B90" s="51"/>
      <c r="C90" s="43"/>
      <c r="D90" s="2"/>
      <c r="E90" s="2"/>
      <c r="F90" s="2"/>
      <c r="G90" s="35"/>
      <c r="H90" s="35"/>
      <c r="I90" s="3"/>
    </row>
    <row r="91" spans="1:9" ht="21" x14ac:dyDescent="0.25">
      <c r="A91" s="41"/>
      <c r="B91" s="51"/>
      <c r="C91" s="43"/>
      <c r="D91" s="2"/>
      <c r="E91" s="2"/>
      <c r="F91" s="2"/>
      <c r="G91" s="35"/>
      <c r="H91" s="35"/>
      <c r="I91" s="3"/>
    </row>
    <row r="92" spans="1:9" ht="21" x14ac:dyDescent="0.25">
      <c r="A92" s="41"/>
      <c r="B92" s="51"/>
      <c r="C92" s="43"/>
      <c r="D92" s="2"/>
      <c r="E92" s="2"/>
      <c r="F92" s="2"/>
      <c r="G92" s="35"/>
      <c r="H92" s="35"/>
      <c r="I92" s="3"/>
    </row>
    <row r="93" spans="1:9" ht="21" x14ac:dyDescent="0.35">
      <c r="A93" s="41"/>
      <c r="B93" s="42"/>
      <c r="C93" s="43"/>
      <c r="D93" s="2"/>
      <c r="E93" s="2"/>
      <c r="F93" s="2"/>
      <c r="G93" s="35"/>
      <c r="H93" s="35"/>
      <c r="I93" s="3"/>
    </row>
    <row r="94" spans="1:9" ht="21" x14ac:dyDescent="0.35">
      <c r="A94" s="41"/>
      <c r="B94" s="42"/>
      <c r="C94" s="43"/>
      <c r="D94" s="2"/>
      <c r="E94" s="2"/>
      <c r="F94" s="2"/>
      <c r="G94" s="35"/>
      <c r="H94" s="35"/>
      <c r="I94" s="3"/>
    </row>
    <row r="95" spans="1:9" ht="21" x14ac:dyDescent="0.35">
      <c r="A95" s="41"/>
      <c r="B95" s="42"/>
      <c r="C95" s="43"/>
      <c r="D95" s="2"/>
      <c r="E95" s="2"/>
      <c r="F95" s="2"/>
      <c r="G95" s="35"/>
      <c r="H95" s="35"/>
      <c r="I95" s="3"/>
    </row>
    <row r="96" spans="1:9" ht="21" x14ac:dyDescent="0.35">
      <c r="A96" s="41"/>
      <c r="B96" s="42"/>
      <c r="C96" s="43"/>
      <c r="D96" s="2"/>
      <c r="E96" s="2"/>
      <c r="F96" s="2"/>
      <c r="G96" s="35"/>
      <c r="H96" s="35"/>
      <c r="I96" s="3"/>
    </row>
    <row r="97" spans="1:9" ht="21" x14ac:dyDescent="0.35">
      <c r="A97" s="41"/>
      <c r="B97" s="42"/>
      <c r="C97" s="43"/>
      <c r="D97" s="2"/>
      <c r="E97" s="2"/>
      <c r="F97" s="2"/>
      <c r="G97" s="35"/>
      <c r="H97" s="35"/>
      <c r="I97" s="3"/>
    </row>
    <row r="98" spans="1:9" ht="21" x14ac:dyDescent="0.35">
      <c r="A98" s="41"/>
      <c r="B98" s="42"/>
      <c r="C98" s="43"/>
      <c r="D98" s="2"/>
      <c r="E98" s="2"/>
      <c r="F98" s="2"/>
      <c r="G98" s="35"/>
      <c r="H98" s="35"/>
      <c r="I98" s="3"/>
    </row>
    <row r="99" spans="1:9" x14ac:dyDescent="0.25">
      <c r="C99" s="1"/>
      <c r="D99" s="2"/>
      <c r="H99" s="2"/>
      <c r="I99" s="3"/>
    </row>
    <row r="100" spans="1:9" x14ac:dyDescent="0.25">
      <c r="C100" s="1"/>
      <c r="D100" s="2"/>
      <c r="H100" s="2"/>
      <c r="I100" s="3"/>
    </row>
    <row r="101" spans="1:9" x14ac:dyDescent="0.25">
      <c r="C101" s="1"/>
      <c r="D101" s="2"/>
      <c r="H101" s="2"/>
      <c r="I101" s="3"/>
    </row>
    <row r="102" spans="1:9" x14ac:dyDescent="0.25">
      <c r="C102" s="1"/>
      <c r="D102" s="2"/>
      <c r="H102" s="2"/>
      <c r="I102" s="3"/>
    </row>
  </sheetData>
  <mergeCells count="1">
    <mergeCell ref="C79:F7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06859-CBF6-4F16-A170-3E46F009D1AB}">
  <dimension ref="A1:I34"/>
  <sheetViews>
    <sheetView zoomScale="68" zoomScaleNormal="68" workbookViewId="0">
      <selection activeCell="Q13" sqref="Q13"/>
    </sheetView>
  </sheetViews>
  <sheetFormatPr defaultRowHeight="15" x14ac:dyDescent="0.25"/>
  <cols>
    <col min="1" max="1" width="18.85546875" customWidth="1"/>
    <col min="2" max="2" width="48.85546875" customWidth="1"/>
    <col min="3" max="3" width="6" customWidth="1"/>
    <col min="4" max="4" width="21" customWidth="1"/>
    <col min="5" max="5" width="20.7109375" customWidth="1"/>
    <col min="6" max="6" width="16.140625" customWidth="1"/>
    <col min="7" max="7" width="22" customWidth="1"/>
    <col min="8" max="8" width="18.28515625" customWidth="1"/>
    <col min="9" max="9" width="15.85546875" customWidth="1"/>
  </cols>
  <sheetData>
    <row r="1" spans="1:9" ht="18.75" x14ac:dyDescent="0.3">
      <c r="A1" s="4" t="s">
        <v>0</v>
      </c>
      <c r="B1" s="4" t="s">
        <v>1</v>
      </c>
      <c r="C1" s="5" t="s">
        <v>2</v>
      </c>
      <c r="D1" s="6" t="s">
        <v>3</v>
      </c>
      <c r="E1" s="4" t="s">
        <v>4</v>
      </c>
      <c r="F1" s="4" t="s">
        <v>5</v>
      </c>
      <c r="G1" s="4" t="s">
        <v>6</v>
      </c>
      <c r="H1" s="6" t="s">
        <v>7</v>
      </c>
      <c r="I1" s="7" t="s">
        <v>8</v>
      </c>
    </row>
    <row r="2" spans="1:9" ht="21" x14ac:dyDescent="0.3">
      <c r="A2" s="19">
        <v>45712</v>
      </c>
      <c r="B2" s="55" t="s">
        <v>9</v>
      </c>
      <c r="C2" s="56">
        <v>26</v>
      </c>
      <c r="D2" s="57">
        <v>1210</v>
      </c>
      <c r="E2" s="58">
        <v>1199.79</v>
      </c>
      <c r="F2" s="57">
        <f>D2-E2</f>
        <v>10.210000000000036</v>
      </c>
      <c r="G2" s="54">
        <f>D2*C2</f>
        <v>31460</v>
      </c>
      <c r="H2" s="57">
        <f>E2*C2</f>
        <v>31194.54</v>
      </c>
      <c r="I2" s="59">
        <f>G2-H2</f>
        <v>265.45999999999913</v>
      </c>
    </row>
    <row r="3" spans="1:9" ht="21" x14ac:dyDescent="0.35">
      <c r="A3" s="19">
        <v>45713</v>
      </c>
      <c r="B3" s="25" t="s">
        <v>36</v>
      </c>
      <c r="C3" s="56">
        <v>1</v>
      </c>
      <c r="D3" s="57">
        <v>6400</v>
      </c>
      <c r="E3" s="21">
        <v>3753.63</v>
      </c>
      <c r="F3" s="57">
        <f>D3-E3</f>
        <v>2646.37</v>
      </c>
      <c r="G3" s="54">
        <f>D3*C3</f>
        <v>6400</v>
      </c>
      <c r="H3" s="57">
        <f>E3*C3</f>
        <v>3753.63</v>
      </c>
      <c r="I3" s="59">
        <f>G3-H3</f>
        <v>2646.37</v>
      </c>
    </row>
    <row r="4" spans="1:9" ht="21" x14ac:dyDescent="0.35">
      <c r="A4" s="19">
        <v>45713</v>
      </c>
      <c r="B4" s="20" t="s">
        <v>31</v>
      </c>
      <c r="C4" s="25">
        <v>15</v>
      </c>
      <c r="D4" s="25">
        <v>1565</v>
      </c>
      <c r="E4" s="53">
        <v>1323.58</v>
      </c>
      <c r="F4" s="22">
        <f t="shared" ref="F4:F6" si="0">D4-E4</f>
        <v>241.42000000000007</v>
      </c>
      <c r="G4" s="23">
        <f t="shared" ref="G4:G6" si="1">D4*C4</f>
        <v>23475</v>
      </c>
      <c r="H4" s="23">
        <f t="shared" ref="H4:H6" si="2">E4*C4</f>
        <v>19853.699999999997</v>
      </c>
      <c r="I4" s="24">
        <f t="shared" ref="I4:I6" si="3">G4-H4</f>
        <v>3621.3000000000029</v>
      </c>
    </row>
    <row r="5" spans="1:9" ht="21" x14ac:dyDescent="0.35">
      <c r="A5" s="19">
        <v>45713</v>
      </c>
      <c r="B5" s="20" t="s">
        <v>19</v>
      </c>
      <c r="C5" s="25">
        <v>17</v>
      </c>
      <c r="D5" s="25">
        <v>340</v>
      </c>
      <c r="E5" s="53">
        <v>276.14</v>
      </c>
      <c r="F5" s="22">
        <f t="shared" si="0"/>
        <v>63.860000000000014</v>
      </c>
      <c r="G5" s="23">
        <f t="shared" si="1"/>
        <v>5780</v>
      </c>
      <c r="H5" s="23">
        <f t="shared" si="2"/>
        <v>4694.38</v>
      </c>
      <c r="I5" s="24">
        <f t="shared" si="3"/>
        <v>1085.6199999999999</v>
      </c>
    </row>
    <row r="6" spans="1:9" ht="21" x14ac:dyDescent="0.35">
      <c r="A6" s="19">
        <v>45713</v>
      </c>
      <c r="B6" s="20" t="s">
        <v>12</v>
      </c>
      <c r="C6" s="25">
        <v>5</v>
      </c>
      <c r="D6" s="25">
        <v>1215</v>
      </c>
      <c r="E6" s="53">
        <v>1045.53</v>
      </c>
      <c r="F6" s="22">
        <f t="shared" si="0"/>
        <v>169.47000000000003</v>
      </c>
      <c r="G6" s="23">
        <f t="shared" si="1"/>
        <v>6075</v>
      </c>
      <c r="H6" s="23">
        <f t="shared" si="2"/>
        <v>5227.6499999999996</v>
      </c>
      <c r="I6" s="24">
        <f t="shared" si="3"/>
        <v>847.35000000000036</v>
      </c>
    </row>
    <row r="7" spans="1:9" ht="21" x14ac:dyDescent="0.35">
      <c r="A7" s="19">
        <v>45713</v>
      </c>
      <c r="B7" s="25" t="s">
        <v>36</v>
      </c>
      <c r="C7" s="25">
        <v>5</v>
      </c>
      <c r="D7" s="25">
        <v>6900</v>
      </c>
      <c r="E7" s="21">
        <v>3753.63</v>
      </c>
      <c r="F7" s="22">
        <f t="shared" ref="F7:F30" si="4">D7-E7</f>
        <v>3146.37</v>
      </c>
      <c r="G7" s="23">
        <f t="shared" ref="G7:G30" si="5">D7*C7</f>
        <v>34500</v>
      </c>
      <c r="H7" s="23">
        <f t="shared" ref="H7:H30" si="6">E7*C7</f>
        <v>18768.150000000001</v>
      </c>
      <c r="I7" s="24">
        <f t="shared" ref="I7:I30" si="7">G7-H7</f>
        <v>15731.849999999999</v>
      </c>
    </row>
    <row r="8" spans="1:9" ht="21" x14ac:dyDescent="0.35">
      <c r="A8" s="19">
        <v>45713</v>
      </c>
      <c r="B8" s="20" t="s">
        <v>12</v>
      </c>
      <c r="C8" s="25">
        <v>2</v>
      </c>
      <c r="D8" s="25">
        <v>1230</v>
      </c>
      <c r="E8" s="53">
        <v>1045.53</v>
      </c>
      <c r="F8" s="22">
        <f t="shared" si="4"/>
        <v>184.47000000000003</v>
      </c>
      <c r="G8" s="23">
        <f t="shared" si="5"/>
        <v>2460</v>
      </c>
      <c r="H8" s="23">
        <f t="shared" si="6"/>
        <v>2091.06</v>
      </c>
      <c r="I8" s="24">
        <f t="shared" si="7"/>
        <v>368.94000000000005</v>
      </c>
    </row>
    <row r="9" spans="1:9" ht="21" x14ac:dyDescent="0.35">
      <c r="A9" s="19">
        <v>45713</v>
      </c>
      <c r="B9" s="20" t="s">
        <v>12</v>
      </c>
      <c r="C9" s="25">
        <v>1</v>
      </c>
      <c r="D9" s="25">
        <v>1240</v>
      </c>
      <c r="E9" s="53">
        <v>1045.53</v>
      </c>
      <c r="F9" s="22">
        <f t="shared" si="4"/>
        <v>194.47000000000003</v>
      </c>
      <c r="G9" s="23">
        <f t="shared" si="5"/>
        <v>1240</v>
      </c>
      <c r="H9" s="23">
        <f t="shared" si="6"/>
        <v>1045.53</v>
      </c>
      <c r="I9" s="24">
        <f t="shared" si="7"/>
        <v>194.47000000000003</v>
      </c>
    </row>
    <row r="10" spans="1:9" ht="21" x14ac:dyDescent="0.35">
      <c r="A10" s="52"/>
      <c r="B10" s="52"/>
      <c r="C10" s="52"/>
      <c r="D10" s="52"/>
      <c r="E10" s="43"/>
      <c r="F10" s="22">
        <f t="shared" si="4"/>
        <v>0</v>
      </c>
      <c r="G10" s="23">
        <f t="shared" si="5"/>
        <v>0</v>
      </c>
      <c r="H10" s="23">
        <f t="shared" si="6"/>
        <v>0</v>
      </c>
      <c r="I10" s="24">
        <f t="shared" si="7"/>
        <v>0</v>
      </c>
    </row>
    <row r="11" spans="1:9" ht="21" x14ac:dyDescent="0.35">
      <c r="A11" s="19">
        <v>45714</v>
      </c>
      <c r="B11" s="20" t="s">
        <v>12</v>
      </c>
      <c r="C11" s="25">
        <v>1</v>
      </c>
      <c r="D11" s="25">
        <v>1230</v>
      </c>
      <c r="E11" s="53">
        <v>1045.53</v>
      </c>
      <c r="F11" s="22">
        <f t="shared" si="4"/>
        <v>184.47000000000003</v>
      </c>
      <c r="G11" s="23">
        <f t="shared" si="5"/>
        <v>1230</v>
      </c>
      <c r="H11" s="23">
        <f t="shared" si="6"/>
        <v>1045.53</v>
      </c>
      <c r="I11" s="24">
        <f t="shared" si="7"/>
        <v>184.47000000000003</v>
      </c>
    </row>
    <row r="12" spans="1:9" ht="21" x14ac:dyDescent="0.35">
      <c r="A12" s="19">
        <v>45714</v>
      </c>
      <c r="B12" s="20" t="s">
        <v>9</v>
      </c>
      <c r="C12" s="25">
        <v>10</v>
      </c>
      <c r="D12" s="52">
        <v>1200</v>
      </c>
      <c r="E12" s="43">
        <v>1199.79</v>
      </c>
      <c r="F12" s="22">
        <f t="shared" si="4"/>
        <v>0.21000000000003638</v>
      </c>
      <c r="G12" s="23">
        <f t="shared" si="5"/>
        <v>12000</v>
      </c>
      <c r="H12" s="23">
        <f t="shared" si="6"/>
        <v>11997.9</v>
      </c>
      <c r="I12" s="24">
        <f t="shared" si="7"/>
        <v>2.1000000000003638</v>
      </c>
    </row>
    <row r="13" spans="1:9" ht="21" x14ac:dyDescent="0.35">
      <c r="A13" s="52"/>
      <c r="B13" s="52"/>
      <c r="C13" s="52"/>
      <c r="D13" s="52"/>
      <c r="E13" s="43"/>
      <c r="F13" s="22">
        <f t="shared" si="4"/>
        <v>0</v>
      </c>
      <c r="G13" s="23">
        <f t="shared" si="5"/>
        <v>0</v>
      </c>
      <c r="H13" s="23">
        <f t="shared" si="6"/>
        <v>0</v>
      </c>
      <c r="I13" s="24">
        <f t="shared" si="7"/>
        <v>0</v>
      </c>
    </row>
    <row r="14" spans="1:9" ht="21" x14ac:dyDescent="0.35">
      <c r="A14" s="19">
        <v>45715</v>
      </c>
      <c r="B14" s="20" t="s">
        <v>12</v>
      </c>
      <c r="C14" s="25">
        <v>10</v>
      </c>
      <c r="D14" s="25">
        <v>1180</v>
      </c>
      <c r="E14" s="53">
        <v>1045.53</v>
      </c>
      <c r="F14" s="22">
        <f t="shared" si="4"/>
        <v>134.47000000000003</v>
      </c>
      <c r="G14" s="23">
        <f t="shared" si="5"/>
        <v>11800</v>
      </c>
      <c r="H14" s="23">
        <f t="shared" si="6"/>
        <v>10455.299999999999</v>
      </c>
      <c r="I14" s="24">
        <f t="shared" si="7"/>
        <v>1344.7000000000007</v>
      </c>
    </row>
    <row r="15" spans="1:9" ht="21" x14ac:dyDescent="0.35">
      <c r="A15" s="19">
        <v>45715</v>
      </c>
      <c r="B15" s="20" t="s">
        <v>37</v>
      </c>
      <c r="C15" s="25">
        <v>4</v>
      </c>
      <c r="D15" s="52">
        <v>4400</v>
      </c>
      <c r="E15" s="43">
        <v>4099.6899999999996</v>
      </c>
      <c r="F15" s="22">
        <f t="shared" si="4"/>
        <v>300.3100000000004</v>
      </c>
      <c r="G15" s="23">
        <f t="shared" si="5"/>
        <v>17600</v>
      </c>
      <c r="H15" s="23">
        <f t="shared" si="6"/>
        <v>16398.759999999998</v>
      </c>
      <c r="I15" s="24">
        <f t="shared" si="7"/>
        <v>1201.2400000000016</v>
      </c>
    </row>
    <row r="16" spans="1:9" ht="21" x14ac:dyDescent="0.35">
      <c r="A16" s="19">
        <v>45715</v>
      </c>
      <c r="B16" s="20" t="s">
        <v>37</v>
      </c>
      <c r="C16" s="25">
        <v>1</v>
      </c>
      <c r="D16" s="52">
        <v>4500</v>
      </c>
      <c r="E16" s="43">
        <v>4099.6899999999996</v>
      </c>
      <c r="F16" s="22">
        <f t="shared" si="4"/>
        <v>400.3100000000004</v>
      </c>
      <c r="G16" s="23">
        <f t="shared" si="5"/>
        <v>4500</v>
      </c>
      <c r="H16" s="23">
        <f t="shared" si="6"/>
        <v>4099.6899999999996</v>
      </c>
      <c r="I16" s="24">
        <f t="shared" si="7"/>
        <v>400.3100000000004</v>
      </c>
    </row>
    <row r="17" spans="1:9" ht="21" x14ac:dyDescent="0.35">
      <c r="A17" s="19">
        <v>45715</v>
      </c>
      <c r="B17" s="25" t="s">
        <v>38</v>
      </c>
      <c r="C17" s="25">
        <v>2</v>
      </c>
      <c r="D17" s="52">
        <v>6050</v>
      </c>
      <c r="E17" s="43">
        <v>5467.5</v>
      </c>
      <c r="F17" s="22">
        <f t="shared" si="4"/>
        <v>582.5</v>
      </c>
      <c r="G17" s="23">
        <f t="shared" si="5"/>
        <v>12100</v>
      </c>
      <c r="H17" s="23">
        <f t="shared" si="6"/>
        <v>10935</v>
      </c>
      <c r="I17" s="24">
        <f t="shared" si="7"/>
        <v>1165</v>
      </c>
    </row>
    <row r="18" spans="1:9" ht="21" x14ac:dyDescent="0.35">
      <c r="A18" s="19">
        <v>45715</v>
      </c>
      <c r="B18" s="20" t="s">
        <v>12</v>
      </c>
      <c r="C18" s="25">
        <v>10</v>
      </c>
      <c r="D18" s="25">
        <v>1170</v>
      </c>
      <c r="E18" s="53">
        <v>1045.53</v>
      </c>
      <c r="F18" s="22">
        <f t="shared" si="4"/>
        <v>124.47000000000003</v>
      </c>
      <c r="G18" s="23">
        <f t="shared" si="5"/>
        <v>11700</v>
      </c>
      <c r="H18" s="23">
        <f t="shared" si="6"/>
        <v>10455.299999999999</v>
      </c>
      <c r="I18" s="24">
        <f t="shared" si="7"/>
        <v>1244.7000000000007</v>
      </c>
    </row>
    <row r="19" spans="1:9" ht="21" x14ac:dyDescent="0.35">
      <c r="A19" s="19"/>
      <c r="B19" s="20"/>
      <c r="C19" s="52"/>
      <c r="D19" s="52"/>
      <c r="E19" s="43"/>
      <c r="F19" s="22">
        <f t="shared" si="4"/>
        <v>0</v>
      </c>
      <c r="G19" s="23">
        <f t="shared" si="5"/>
        <v>0</v>
      </c>
      <c r="H19" s="23">
        <f t="shared" si="6"/>
        <v>0</v>
      </c>
      <c r="I19" s="24">
        <f t="shared" si="7"/>
        <v>0</v>
      </c>
    </row>
    <row r="20" spans="1:9" ht="21" x14ac:dyDescent="0.35">
      <c r="A20" s="19">
        <v>45715</v>
      </c>
      <c r="B20" s="20" t="s">
        <v>12</v>
      </c>
      <c r="C20" s="25">
        <v>10</v>
      </c>
      <c r="D20" s="25">
        <v>1180</v>
      </c>
      <c r="E20" s="53">
        <v>1045.53</v>
      </c>
      <c r="F20" s="22">
        <f t="shared" si="4"/>
        <v>134.47000000000003</v>
      </c>
      <c r="G20" s="23">
        <f t="shared" si="5"/>
        <v>11800</v>
      </c>
      <c r="H20" s="23">
        <f t="shared" si="6"/>
        <v>10455.299999999999</v>
      </c>
      <c r="I20" s="24">
        <f t="shared" si="7"/>
        <v>1344.7000000000007</v>
      </c>
    </row>
    <row r="21" spans="1:9" ht="21" x14ac:dyDescent="0.35">
      <c r="A21" s="19">
        <v>45715</v>
      </c>
      <c r="B21" s="20" t="s">
        <v>12</v>
      </c>
      <c r="C21" s="25">
        <v>6</v>
      </c>
      <c r="D21" s="25">
        <v>1180</v>
      </c>
      <c r="E21" s="53">
        <v>1045.53</v>
      </c>
      <c r="F21" s="22">
        <f t="shared" si="4"/>
        <v>134.47000000000003</v>
      </c>
      <c r="G21" s="23">
        <f t="shared" si="5"/>
        <v>7080</v>
      </c>
      <c r="H21" s="23">
        <f t="shared" si="6"/>
        <v>6273.18</v>
      </c>
      <c r="I21" s="24">
        <f t="shared" si="7"/>
        <v>806.81999999999971</v>
      </c>
    </row>
    <row r="22" spans="1:9" ht="21" x14ac:dyDescent="0.35">
      <c r="A22" s="19">
        <v>45715</v>
      </c>
      <c r="B22" s="20" t="s">
        <v>12</v>
      </c>
      <c r="C22" s="25">
        <v>14</v>
      </c>
      <c r="D22" s="25">
        <v>1180</v>
      </c>
      <c r="E22" s="53">
        <v>1045.53</v>
      </c>
      <c r="F22" s="22">
        <f t="shared" si="4"/>
        <v>134.47000000000003</v>
      </c>
      <c r="G22" s="23">
        <f t="shared" si="5"/>
        <v>16520</v>
      </c>
      <c r="H22" s="23">
        <f t="shared" si="6"/>
        <v>14637.42</v>
      </c>
      <c r="I22" s="24">
        <f t="shared" si="7"/>
        <v>1882.58</v>
      </c>
    </row>
    <row r="23" spans="1:9" ht="21" x14ac:dyDescent="0.35">
      <c r="A23" s="52"/>
      <c r="B23" s="52"/>
      <c r="C23" s="52"/>
      <c r="D23" s="52"/>
      <c r="E23" s="43"/>
      <c r="F23" s="22">
        <f t="shared" si="4"/>
        <v>0</v>
      </c>
      <c r="G23" s="23">
        <f t="shared" si="5"/>
        <v>0</v>
      </c>
      <c r="H23" s="23">
        <f t="shared" si="6"/>
        <v>0</v>
      </c>
      <c r="I23" s="24">
        <f t="shared" si="7"/>
        <v>0</v>
      </c>
    </row>
    <row r="24" spans="1:9" ht="21" x14ac:dyDescent="0.35">
      <c r="A24" s="8">
        <v>45716</v>
      </c>
      <c r="B24" s="9" t="s">
        <v>9</v>
      </c>
      <c r="C24" s="15">
        <v>3</v>
      </c>
      <c r="D24" s="60">
        <v>1120</v>
      </c>
      <c r="E24" s="61">
        <v>1199.79</v>
      </c>
      <c r="F24" s="11">
        <f t="shared" si="4"/>
        <v>-79.789999999999964</v>
      </c>
      <c r="G24" s="12">
        <f t="shared" si="5"/>
        <v>3360</v>
      </c>
      <c r="H24" s="12">
        <f t="shared" si="6"/>
        <v>3599.37</v>
      </c>
      <c r="I24" s="13">
        <f t="shared" si="7"/>
        <v>-239.36999999999989</v>
      </c>
    </row>
    <row r="25" spans="1:9" ht="21" x14ac:dyDescent="0.35">
      <c r="A25" s="19">
        <v>45716</v>
      </c>
      <c r="B25" s="20" t="s">
        <v>12</v>
      </c>
      <c r="C25" s="25">
        <v>8</v>
      </c>
      <c r="D25" s="25">
        <v>1210</v>
      </c>
      <c r="E25" s="53">
        <v>1045.53</v>
      </c>
      <c r="F25" s="22">
        <f t="shared" si="4"/>
        <v>164.47000000000003</v>
      </c>
      <c r="G25" s="23">
        <f t="shared" si="5"/>
        <v>9680</v>
      </c>
      <c r="H25" s="23">
        <f t="shared" si="6"/>
        <v>8364.24</v>
      </c>
      <c r="I25" s="24">
        <f t="shared" si="7"/>
        <v>1315.7600000000002</v>
      </c>
    </row>
    <row r="26" spans="1:9" ht="21" x14ac:dyDescent="0.35">
      <c r="A26" s="19">
        <v>45716</v>
      </c>
      <c r="B26" s="20" t="s">
        <v>12</v>
      </c>
      <c r="C26" s="25">
        <v>2</v>
      </c>
      <c r="D26" s="25">
        <v>1200</v>
      </c>
      <c r="E26" s="53">
        <v>1045.53</v>
      </c>
      <c r="F26" s="22">
        <f t="shared" si="4"/>
        <v>154.47000000000003</v>
      </c>
      <c r="G26" s="23">
        <f t="shared" si="5"/>
        <v>2400</v>
      </c>
      <c r="H26" s="23">
        <f t="shared" si="6"/>
        <v>2091.06</v>
      </c>
      <c r="I26" s="24">
        <f t="shared" si="7"/>
        <v>308.94000000000005</v>
      </c>
    </row>
    <row r="27" spans="1:9" ht="21" x14ac:dyDescent="0.35">
      <c r="A27" s="19">
        <v>45716</v>
      </c>
      <c r="B27" s="20" t="s">
        <v>12</v>
      </c>
      <c r="C27" s="25">
        <v>50</v>
      </c>
      <c r="D27" s="25">
        <v>1170</v>
      </c>
      <c r="E27" s="53">
        <v>1045.53</v>
      </c>
      <c r="F27" s="22">
        <f t="shared" si="4"/>
        <v>124.47000000000003</v>
      </c>
      <c r="G27" s="23">
        <f t="shared" si="5"/>
        <v>58500</v>
      </c>
      <c r="H27" s="23">
        <f t="shared" si="6"/>
        <v>52276.5</v>
      </c>
      <c r="I27" s="24">
        <f t="shared" si="7"/>
        <v>6223.5</v>
      </c>
    </row>
    <row r="28" spans="1:9" ht="21" x14ac:dyDescent="0.35">
      <c r="A28" s="8">
        <v>45716</v>
      </c>
      <c r="B28" s="9" t="s">
        <v>9</v>
      </c>
      <c r="C28" s="15">
        <v>50</v>
      </c>
      <c r="D28" s="60">
        <v>1185</v>
      </c>
      <c r="E28" s="61">
        <v>1199.79</v>
      </c>
      <c r="F28" s="11">
        <f t="shared" si="4"/>
        <v>-14.789999999999964</v>
      </c>
      <c r="G28" s="12">
        <f t="shared" si="5"/>
        <v>59250</v>
      </c>
      <c r="H28" s="12">
        <f t="shared" si="6"/>
        <v>59989.5</v>
      </c>
      <c r="I28" s="13">
        <f t="shared" si="7"/>
        <v>-739.5</v>
      </c>
    </row>
    <row r="29" spans="1:9" ht="21" x14ac:dyDescent="0.35">
      <c r="A29" s="19">
        <v>45716</v>
      </c>
      <c r="B29" s="20" t="s">
        <v>12</v>
      </c>
      <c r="C29" s="25">
        <v>30</v>
      </c>
      <c r="D29" s="25">
        <v>1175</v>
      </c>
      <c r="E29" s="53">
        <v>1045.53</v>
      </c>
      <c r="F29" s="22">
        <f t="shared" si="4"/>
        <v>129.47000000000003</v>
      </c>
      <c r="G29" s="23">
        <f t="shared" si="5"/>
        <v>35250</v>
      </c>
      <c r="H29" s="23">
        <f t="shared" si="6"/>
        <v>31365.899999999998</v>
      </c>
      <c r="I29" s="24">
        <f t="shared" si="7"/>
        <v>3884.1000000000022</v>
      </c>
    </row>
    <row r="30" spans="1:9" ht="21" x14ac:dyDescent="0.35">
      <c r="A30" s="19">
        <v>45716</v>
      </c>
      <c r="B30" s="20" t="s">
        <v>12</v>
      </c>
      <c r="C30" s="25">
        <v>1</v>
      </c>
      <c r="D30" s="25">
        <v>1175</v>
      </c>
      <c r="E30" s="53">
        <v>1045.53</v>
      </c>
      <c r="F30" s="22">
        <f t="shared" si="4"/>
        <v>129.47000000000003</v>
      </c>
      <c r="G30" s="23">
        <f t="shared" si="5"/>
        <v>1175</v>
      </c>
      <c r="H30" s="23">
        <f t="shared" si="6"/>
        <v>1045.53</v>
      </c>
      <c r="I30" s="24">
        <f t="shared" si="7"/>
        <v>129.47000000000003</v>
      </c>
    </row>
    <row r="32" spans="1:9" x14ac:dyDescent="0.25">
      <c r="G32" s="35">
        <f>SUM(G2:G31)</f>
        <v>387335</v>
      </c>
    </row>
    <row r="34" spans="8:8" x14ac:dyDescent="0.25">
      <c r="H34" s="2">
        <f>SUM(H2:H33)</f>
        <v>342114.12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95A2A-7573-4A39-95D6-4400EA2CB2C0}">
  <dimension ref="A1:I19"/>
  <sheetViews>
    <sheetView workbookViewId="0">
      <pane ySplit="1" topLeftCell="A2" activePane="bottomLeft" state="frozen"/>
      <selection pane="bottomLeft" activeCell="D20" sqref="D20"/>
    </sheetView>
  </sheetViews>
  <sheetFormatPr defaultRowHeight="15" x14ac:dyDescent="0.25"/>
  <cols>
    <col min="1" max="1" width="14.5703125" customWidth="1"/>
    <col min="2" max="2" width="44.5703125" customWidth="1"/>
    <col min="3" max="3" width="17.42578125" customWidth="1"/>
    <col min="4" max="6" width="18.28515625" customWidth="1"/>
    <col min="7" max="7" width="18.7109375" customWidth="1"/>
    <col min="8" max="8" width="16.28515625" customWidth="1"/>
    <col min="9" max="9" width="16.85546875" customWidth="1"/>
  </cols>
  <sheetData>
    <row r="1" spans="1:9" ht="18.75" x14ac:dyDescent="0.3">
      <c r="A1" s="4" t="s">
        <v>0</v>
      </c>
      <c r="B1" s="4" t="s">
        <v>1</v>
      </c>
      <c r="C1" s="5" t="s">
        <v>2</v>
      </c>
      <c r="D1" s="6" t="s">
        <v>3</v>
      </c>
      <c r="E1" s="4" t="s">
        <v>4</v>
      </c>
      <c r="F1" s="4" t="s">
        <v>5</v>
      </c>
      <c r="G1" s="4" t="s">
        <v>6</v>
      </c>
      <c r="H1" s="6" t="s">
        <v>7</v>
      </c>
      <c r="I1" s="7" t="s">
        <v>8</v>
      </c>
    </row>
    <row r="2" spans="1:9" ht="21" x14ac:dyDescent="0.25">
      <c r="A2" s="8">
        <v>45718</v>
      </c>
      <c r="B2" s="9" t="s">
        <v>9</v>
      </c>
      <c r="C2" s="10">
        <v>5</v>
      </c>
      <c r="D2" s="11">
        <v>1180</v>
      </c>
      <c r="E2" s="11">
        <v>1199.78712</v>
      </c>
      <c r="F2" s="11">
        <f t="shared" ref="F2" si="0">D2-E2</f>
        <v>-19.787119999999959</v>
      </c>
      <c r="G2" s="12">
        <f t="shared" ref="G2" si="1">D2*C2</f>
        <v>5900</v>
      </c>
      <c r="H2" s="12">
        <f t="shared" ref="H2" si="2">E2*C2</f>
        <v>5998.9355999999998</v>
      </c>
      <c r="I2" s="13">
        <f t="shared" ref="I2" si="3">G2-H2</f>
        <v>-98.935599999999795</v>
      </c>
    </row>
    <row r="3" spans="1:9" ht="21" x14ac:dyDescent="0.35">
      <c r="A3" s="14">
        <v>45729</v>
      </c>
      <c r="B3" s="16" t="s">
        <v>11</v>
      </c>
      <c r="C3" s="10">
        <v>1</v>
      </c>
      <c r="D3" s="11">
        <v>2150</v>
      </c>
      <c r="E3" s="11">
        <v>2250</v>
      </c>
      <c r="F3" s="11">
        <f t="shared" ref="F3:F18" si="4">D3-E3</f>
        <v>-100</v>
      </c>
      <c r="G3" s="12">
        <f t="shared" ref="G3:G18" si="5">D3*C3</f>
        <v>2150</v>
      </c>
      <c r="H3" s="12">
        <f t="shared" ref="H3:H18" si="6">E3*C3</f>
        <v>2250</v>
      </c>
      <c r="I3" s="13">
        <f t="shared" ref="I3:I18" si="7">G3-H3</f>
        <v>-100</v>
      </c>
    </row>
    <row r="4" spans="1:9" ht="21" x14ac:dyDescent="0.35">
      <c r="A4" s="14">
        <v>45722</v>
      </c>
      <c r="B4" s="15" t="s">
        <v>10</v>
      </c>
      <c r="C4" s="10">
        <v>20</v>
      </c>
      <c r="D4" s="11">
        <v>4900</v>
      </c>
      <c r="E4" s="11">
        <v>5019.6000000000004</v>
      </c>
      <c r="F4" s="11">
        <f t="shared" si="4"/>
        <v>-119.60000000000036</v>
      </c>
      <c r="G4" s="12">
        <f t="shared" si="5"/>
        <v>98000</v>
      </c>
      <c r="H4" s="12">
        <f t="shared" si="6"/>
        <v>100392</v>
      </c>
      <c r="I4" s="13">
        <f t="shared" si="7"/>
        <v>-2392</v>
      </c>
    </row>
    <row r="5" spans="1:9" ht="21" x14ac:dyDescent="0.35">
      <c r="A5" s="14">
        <v>45733</v>
      </c>
      <c r="B5" s="17" t="s">
        <v>10</v>
      </c>
      <c r="C5" s="10">
        <v>2</v>
      </c>
      <c r="D5" s="11">
        <v>4930</v>
      </c>
      <c r="E5" s="11">
        <v>5019.6000000000004</v>
      </c>
      <c r="F5" s="11">
        <f t="shared" si="4"/>
        <v>-89.600000000000364</v>
      </c>
      <c r="G5" s="12">
        <f t="shared" si="5"/>
        <v>9860</v>
      </c>
      <c r="H5" s="12">
        <f t="shared" si="6"/>
        <v>10039.200000000001</v>
      </c>
      <c r="I5" s="13">
        <f t="shared" si="7"/>
        <v>-179.20000000000073</v>
      </c>
    </row>
    <row r="6" spans="1:9" ht="21" x14ac:dyDescent="0.35">
      <c r="A6" s="14">
        <v>45734</v>
      </c>
      <c r="B6" s="17" t="s">
        <v>10</v>
      </c>
      <c r="C6" s="10">
        <v>31</v>
      </c>
      <c r="D6" s="11">
        <v>4900</v>
      </c>
      <c r="E6" s="11">
        <v>5019.6000000000004</v>
      </c>
      <c r="F6" s="11">
        <f t="shared" si="4"/>
        <v>-119.60000000000036</v>
      </c>
      <c r="G6" s="12">
        <f t="shared" si="5"/>
        <v>151900</v>
      </c>
      <c r="H6" s="12">
        <f t="shared" si="6"/>
        <v>155607.6</v>
      </c>
      <c r="I6" s="13">
        <f t="shared" si="7"/>
        <v>-3707.6000000000058</v>
      </c>
    </row>
    <row r="7" spans="1:9" ht="21" x14ac:dyDescent="0.35">
      <c r="A7" s="14">
        <v>45742</v>
      </c>
      <c r="B7" s="16" t="s">
        <v>10</v>
      </c>
      <c r="C7" s="10">
        <v>2</v>
      </c>
      <c r="D7" s="11">
        <v>4890</v>
      </c>
      <c r="E7" s="11">
        <v>5019.6000000000004</v>
      </c>
      <c r="F7" s="11">
        <f t="shared" si="4"/>
        <v>-129.60000000000036</v>
      </c>
      <c r="G7" s="12">
        <f t="shared" si="5"/>
        <v>9780</v>
      </c>
      <c r="H7" s="12">
        <f t="shared" si="6"/>
        <v>10039.200000000001</v>
      </c>
      <c r="I7" s="13">
        <f t="shared" si="7"/>
        <v>-259.20000000000073</v>
      </c>
    </row>
    <row r="8" spans="1:9" ht="21" x14ac:dyDescent="0.35">
      <c r="A8" s="14">
        <v>45744</v>
      </c>
      <c r="B8" s="17" t="s">
        <v>10</v>
      </c>
      <c r="C8" s="10">
        <v>2</v>
      </c>
      <c r="D8" s="11">
        <v>4870</v>
      </c>
      <c r="E8" s="11">
        <v>5019.6000000000004</v>
      </c>
      <c r="F8" s="11">
        <f t="shared" si="4"/>
        <v>-149.60000000000036</v>
      </c>
      <c r="G8" s="12">
        <f t="shared" si="5"/>
        <v>9740</v>
      </c>
      <c r="H8" s="12">
        <f t="shared" si="6"/>
        <v>10039.200000000001</v>
      </c>
      <c r="I8" s="13">
        <f t="shared" si="7"/>
        <v>-299.20000000000073</v>
      </c>
    </row>
    <row r="9" spans="1:9" ht="21" x14ac:dyDescent="0.25">
      <c r="A9" s="14">
        <v>45722</v>
      </c>
      <c r="B9" s="9" t="s">
        <v>9</v>
      </c>
      <c r="C9" s="10">
        <v>50</v>
      </c>
      <c r="D9" s="11">
        <v>1140</v>
      </c>
      <c r="E9" s="11">
        <v>1199.78712</v>
      </c>
      <c r="F9" s="11">
        <f t="shared" si="4"/>
        <v>-59.787119999999959</v>
      </c>
      <c r="G9" s="12">
        <f t="shared" si="5"/>
        <v>57000</v>
      </c>
      <c r="H9" s="12">
        <f t="shared" si="6"/>
        <v>59989.356</v>
      </c>
      <c r="I9" s="13">
        <f t="shared" si="7"/>
        <v>-2989.3559999999998</v>
      </c>
    </row>
    <row r="10" spans="1:9" ht="21" x14ac:dyDescent="0.25">
      <c r="A10" s="14">
        <v>45723</v>
      </c>
      <c r="B10" s="9" t="s">
        <v>9</v>
      </c>
      <c r="C10" s="10">
        <v>44</v>
      </c>
      <c r="D10" s="11">
        <v>1135</v>
      </c>
      <c r="E10" s="11">
        <v>1199.78712</v>
      </c>
      <c r="F10" s="11">
        <f t="shared" si="4"/>
        <v>-64.787119999999959</v>
      </c>
      <c r="G10" s="12">
        <f t="shared" si="5"/>
        <v>49940</v>
      </c>
      <c r="H10" s="12">
        <f t="shared" si="6"/>
        <v>52790.633279999995</v>
      </c>
      <c r="I10" s="13">
        <f t="shared" si="7"/>
        <v>-2850.6332799999946</v>
      </c>
    </row>
    <row r="11" spans="1:9" ht="21" x14ac:dyDescent="0.25">
      <c r="A11" s="14">
        <v>45728</v>
      </c>
      <c r="B11" s="9" t="s">
        <v>9</v>
      </c>
      <c r="C11" s="10">
        <v>2</v>
      </c>
      <c r="D11" s="11">
        <v>1135</v>
      </c>
      <c r="E11" s="11">
        <v>1199.78712</v>
      </c>
      <c r="F11" s="11">
        <f t="shared" si="4"/>
        <v>-64.787119999999959</v>
      </c>
      <c r="G11" s="12">
        <f t="shared" si="5"/>
        <v>2270</v>
      </c>
      <c r="H11" s="12">
        <f t="shared" si="6"/>
        <v>2399.5742399999999</v>
      </c>
      <c r="I11" s="13">
        <f t="shared" si="7"/>
        <v>-129.57423999999992</v>
      </c>
    </row>
    <row r="12" spans="1:9" ht="21" x14ac:dyDescent="0.25">
      <c r="A12" s="14">
        <v>45729</v>
      </c>
      <c r="B12" s="9" t="s">
        <v>9</v>
      </c>
      <c r="C12" s="10">
        <v>30</v>
      </c>
      <c r="D12" s="11">
        <v>1125</v>
      </c>
      <c r="E12" s="11">
        <v>1199.78712</v>
      </c>
      <c r="F12" s="11">
        <f t="shared" si="4"/>
        <v>-74.787119999999959</v>
      </c>
      <c r="G12" s="12">
        <f t="shared" si="5"/>
        <v>33750</v>
      </c>
      <c r="H12" s="12">
        <f t="shared" si="6"/>
        <v>35993.613599999997</v>
      </c>
      <c r="I12" s="13">
        <f t="shared" si="7"/>
        <v>-2243.6135999999969</v>
      </c>
    </row>
    <row r="13" spans="1:9" ht="21" x14ac:dyDescent="0.25">
      <c r="A13" s="14">
        <v>45734</v>
      </c>
      <c r="B13" s="9" t="s">
        <v>9</v>
      </c>
      <c r="C13" s="10">
        <v>3</v>
      </c>
      <c r="D13" s="11">
        <v>1115</v>
      </c>
      <c r="E13" s="11">
        <v>1199.78712</v>
      </c>
      <c r="F13" s="11">
        <f t="shared" si="4"/>
        <v>-84.787119999999959</v>
      </c>
      <c r="G13" s="12">
        <f t="shared" si="5"/>
        <v>3345</v>
      </c>
      <c r="H13" s="12">
        <f t="shared" si="6"/>
        <v>3599.3613599999999</v>
      </c>
      <c r="I13" s="13">
        <f t="shared" si="7"/>
        <v>-254.36135999999988</v>
      </c>
    </row>
    <row r="14" spans="1:9" ht="21" x14ac:dyDescent="0.25">
      <c r="A14" s="14">
        <v>45738</v>
      </c>
      <c r="B14" s="9" t="s">
        <v>9</v>
      </c>
      <c r="C14" s="10">
        <v>4</v>
      </c>
      <c r="D14" s="11">
        <v>1120</v>
      </c>
      <c r="E14" s="11">
        <v>1199.78712</v>
      </c>
      <c r="F14" s="11">
        <f t="shared" si="4"/>
        <v>-79.787119999999959</v>
      </c>
      <c r="G14" s="12">
        <f t="shared" si="5"/>
        <v>4480</v>
      </c>
      <c r="H14" s="12">
        <f t="shared" si="6"/>
        <v>4799.1484799999998</v>
      </c>
      <c r="I14" s="13">
        <f t="shared" si="7"/>
        <v>-319.14847999999984</v>
      </c>
    </row>
    <row r="15" spans="1:9" ht="21" x14ac:dyDescent="0.25">
      <c r="A15" s="14">
        <v>45742</v>
      </c>
      <c r="B15" s="18" t="s">
        <v>9</v>
      </c>
      <c r="C15" s="10">
        <v>25</v>
      </c>
      <c r="D15" s="11">
        <v>1050</v>
      </c>
      <c r="E15" s="11">
        <v>1199.78712</v>
      </c>
      <c r="F15" s="11">
        <f t="shared" si="4"/>
        <v>-149.78711999999996</v>
      </c>
      <c r="G15" s="12">
        <f t="shared" si="5"/>
        <v>26250</v>
      </c>
      <c r="H15" s="12">
        <f t="shared" si="6"/>
        <v>29994.678</v>
      </c>
      <c r="I15" s="13">
        <f t="shared" si="7"/>
        <v>-3744.6779999999999</v>
      </c>
    </row>
    <row r="16" spans="1:9" ht="21" x14ac:dyDescent="0.25">
      <c r="A16" s="14">
        <v>45742</v>
      </c>
      <c r="B16" s="18" t="s">
        <v>9</v>
      </c>
      <c r="C16" s="10">
        <v>1</v>
      </c>
      <c r="D16" s="11">
        <v>1080</v>
      </c>
      <c r="E16" s="11">
        <v>1199.78712</v>
      </c>
      <c r="F16" s="11">
        <f t="shared" si="4"/>
        <v>-119.78711999999996</v>
      </c>
      <c r="G16" s="12">
        <f t="shared" si="5"/>
        <v>1080</v>
      </c>
      <c r="H16" s="12">
        <f t="shared" si="6"/>
        <v>1199.78712</v>
      </c>
      <c r="I16" s="13">
        <f t="shared" si="7"/>
        <v>-119.78711999999996</v>
      </c>
    </row>
    <row r="17" spans="1:9" ht="21" x14ac:dyDescent="0.25">
      <c r="A17" s="14">
        <v>45743</v>
      </c>
      <c r="B17" s="18" t="s">
        <v>9</v>
      </c>
      <c r="C17" s="10">
        <v>20</v>
      </c>
      <c r="D17" s="11">
        <v>1040</v>
      </c>
      <c r="E17" s="11">
        <v>1199.78712</v>
      </c>
      <c r="F17" s="11">
        <f t="shared" si="4"/>
        <v>-159.78711999999996</v>
      </c>
      <c r="G17" s="12">
        <f t="shared" si="5"/>
        <v>20800</v>
      </c>
      <c r="H17" s="12">
        <f t="shared" si="6"/>
        <v>23995.742399999999</v>
      </c>
      <c r="I17" s="13">
        <f t="shared" si="7"/>
        <v>-3195.7423999999992</v>
      </c>
    </row>
    <row r="18" spans="1:9" ht="21" x14ac:dyDescent="0.25">
      <c r="A18" s="36">
        <v>45743</v>
      </c>
      <c r="B18" s="62" t="s">
        <v>9</v>
      </c>
      <c r="C18" s="37">
        <v>60</v>
      </c>
      <c r="D18" s="38">
        <v>1030</v>
      </c>
      <c r="E18" s="38">
        <v>1199.78712</v>
      </c>
      <c r="F18" s="38">
        <f t="shared" si="4"/>
        <v>-169.78711999999996</v>
      </c>
      <c r="G18" s="39">
        <f t="shared" si="5"/>
        <v>61800</v>
      </c>
      <c r="H18" s="39">
        <f t="shared" si="6"/>
        <v>71987.227199999994</v>
      </c>
      <c r="I18" s="40">
        <f t="shared" si="7"/>
        <v>-10187.227199999994</v>
      </c>
    </row>
    <row r="19" spans="1:9" ht="21" x14ac:dyDescent="0.35">
      <c r="A19" s="41"/>
      <c r="B19" s="42"/>
      <c r="C19" s="43"/>
      <c r="D19" s="2"/>
      <c r="E19" s="2"/>
      <c r="F19" s="2"/>
      <c r="G19" s="35"/>
      <c r="H19" s="44" t="s">
        <v>35</v>
      </c>
      <c r="I19" s="45">
        <f>SUM(I2:I18)</f>
        <v>-33070.257279999991</v>
      </c>
    </row>
  </sheetData>
  <sortState xmlns:xlrd2="http://schemas.microsoft.com/office/spreadsheetml/2017/richdata2" ref="A3:I18">
    <sortCondition ref="B3:B1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Profit</vt:lpstr>
      <vt:lpstr>Feb last</vt:lpstr>
      <vt:lpstr>Loss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dell5300</dc:creator>
  <cp:lastModifiedBy>Swiss Tech</cp:lastModifiedBy>
  <dcterms:created xsi:type="dcterms:W3CDTF">2025-04-10T16:00:11Z</dcterms:created>
  <dcterms:modified xsi:type="dcterms:W3CDTF">2026-05-09T15:24:17Z</dcterms:modified>
</cp:coreProperties>
</file>