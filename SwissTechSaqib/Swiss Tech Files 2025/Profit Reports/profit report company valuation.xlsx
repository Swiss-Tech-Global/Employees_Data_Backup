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Profit Reports\"/>
    </mc:Choice>
  </mc:AlternateContent>
  <xr:revisionPtr revIDLastSave="0" documentId="13_ncr:1_{B3F3E9F3-F4FE-42DC-B49E-7C4E70AFCDB2}" xr6:coauthVersionLast="47" xr6:coauthVersionMax="47" xr10:uidLastSave="{00000000-0000-0000-0000-000000000000}"/>
  <bookViews>
    <workbookView xWindow="-120" yWindow="-120" windowWidth="29040" windowHeight="15720" xr2:uid="{9BEA5A6F-46CC-46BB-B882-E8AAAC248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8" i="1" l="1"/>
  <c r="C68" i="1"/>
  <c r="C73" i="1" s="1"/>
  <c r="C90" i="1" s="1"/>
  <c r="C50" i="1"/>
  <c r="D53" i="1" s="1"/>
  <c r="F35" i="1"/>
</calcChain>
</file>

<file path=xl/sharedStrings.xml><?xml version="1.0" encoding="utf-8"?>
<sst xmlns="http://schemas.openxmlformats.org/spreadsheetml/2006/main" count="91" uniqueCount="89">
  <si>
    <t>Total Stock Worth</t>
  </si>
  <si>
    <t>January 31,2026</t>
  </si>
  <si>
    <t>Receivable</t>
  </si>
  <si>
    <t>PAYABLES</t>
  </si>
  <si>
    <t>Account</t>
  </si>
  <si>
    <t>AA Mobile</t>
  </si>
  <si>
    <t>Abdul Rafay</t>
  </si>
  <si>
    <t>Abdul Rehman Houston</t>
  </si>
  <si>
    <t>Ahsan Cba</t>
  </si>
  <si>
    <t>Abubaker Karachi</t>
  </si>
  <si>
    <t xml:space="preserve">Amir Mughal </t>
  </si>
  <si>
    <t>Ahsan Mohsin</t>
  </si>
  <si>
    <t>Amra Sister</t>
  </si>
  <si>
    <t>Ashfaq Shahab Card</t>
  </si>
  <si>
    <t>Wise Bank USA</t>
  </si>
  <si>
    <t>CT Freight Melbourne</t>
  </si>
  <si>
    <t>Baba</t>
  </si>
  <si>
    <t>CT Freight Newzealand</t>
  </si>
  <si>
    <t>Car</t>
  </si>
  <si>
    <t>easy buy</t>
  </si>
  <si>
    <t>Cellular link</t>
  </si>
  <si>
    <t xml:space="preserve">Hazarto </t>
  </si>
  <si>
    <t>CT Freight NZ</t>
  </si>
  <si>
    <t>Mudassir</t>
  </si>
  <si>
    <t>Faheem Ahmed Chacha</t>
  </si>
  <si>
    <t>Fahad Starcity</t>
  </si>
  <si>
    <t>Five Percent</t>
  </si>
  <si>
    <t>Faheem Khi</t>
  </si>
  <si>
    <t>Megatop Australia</t>
  </si>
  <si>
    <t>Faizan Ground Khi</t>
  </si>
  <si>
    <t>Turbo</t>
  </si>
  <si>
    <t>Hamza Customer</t>
  </si>
  <si>
    <t>Ontell</t>
  </si>
  <si>
    <t>Hassan Ashraf</t>
  </si>
  <si>
    <t>Usman</t>
  </si>
  <si>
    <t xml:space="preserve">Haseeb Merchant </t>
  </si>
  <si>
    <t>Wajahat</t>
  </si>
  <si>
    <t>Humair Khi</t>
  </si>
  <si>
    <t>Hold stock</t>
  </si>
  <si>
    <t>Ibs ISB</t>
  </si>
  <si>
    <t>AR Staff</t>
  </si>
  <si>
    <t>jawad bhai australia</t>
  </si>
  <si>
    <t>Waheed Bhai</t>
  </si>
  <si>
    <t>Karachi Office sale</t>
  </si>
  <si>
    <t>Abdul Majid Bhai</t>
  </si>
  <si>
    <t>Mr Saad</t>
  </si>
  <si>
    <t>Faisal Bhai</t>
  </si>
  <si>
    <t>Noman Amgt</t>
  </si>
  <si>
    <t>Rad Al Madina</t>
  </si>
  <si>
    <t>Powerplay</t>
  </si>
  <si>
    <t>Shuja Sydney</t>
  </si>
  <si>
    <t>Phone 4 U</t>
  </si>
  <si>
    <t>World Mart</t>
  </si>
  <si>
    <t>Rabi</t>
  </si>
  <si>
    <t>Owais HT</t>
  </si>
  <si>
    <t>Shahzaib ISB</t>
  </si>
  <si>
    <t>TOTAL PAYABLE</t>
  </si>
  <si>
    <t>Saad &amp; Wajahat</t>
  </si>
  <si>
    <t>Shehzad Mughal</t>
  </si>
  <si>
    <t>Sumair Pasta</t>
  </si>
  <si>
    <t>Umar Canada</t>
  </si>
  <si>
    <t>US Tech Sherin</t>
  </si>
  <si>
    <t>Waheed Bhai Z</t>
  </si>
  <si>
    <t>Waleed Bhai Aus</t>
  </si>
  <si>
    <t>Umair B Smart</t>
  </si>
  <si>
    <t>Waqas MT</t>
  </si>
  <si>
    <t>NEWZEALAND (25185) @2.12</t>
  </si>
  <si>
    <t>AUSTRALIA  (180361) @ 2.4995</t>
  </si>
  <si>
    <t>Old shipping amount adjustment</t>
  </si>
  <si>
    <t>CASH</t>
  </si>
  <si>
    <t>TOTAL RECEIVABLE</t>
  </si>
  <si>
    <t xml:space="preserve">Net Amount </t>
  </si>
  <si>
    <t>Income Statement For January-2026</t>
  </si>
  <si>
    <t>Revenues</t>
  </si>
  <si>
    <t>Sales Income</t>
  </si>
  <si>
    <t>Sales Discount</t>
  </si>
  <si>
    <t>Total Revenues</t>
  </si>
  <si>
    <t>Cost of Sales</t>
  </si>
  <si>
    <t>Cost of Goods Sold</t>
  </si>
  <si>
    <t>Profit</t>
  </si>
  <si>
    <t>Expenses</t>
  </si>
  <si>
    <t>Australia Office Exp</t>
  </si>
  <si>
    <t>Loss A/C</t>
  </si>
  <si>
    <t>Newzealand Expense</t>
  </si>
  <si>
    <t>USA Expense</t>
  </si>
  <si>
    <t xml:space="preserve">Dubai &amp; </t>
  </si>
  <si>
    <t>Khi Office Exp</t>
  </si>
  <si>
    <t>Total Expense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</si>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</sst>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AED&quot;* #,##0.00_-;\-&quot;AED&quot;* #,##0.00_-;_-&quot;AED&quot;* &quot;-&quot;??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Aptos Narrow"/>
      <family val="2"/>
      <charset val="1"/>
      <scheme val="minor"/>
    </font>
    <font>
      <sz val="8"/>
      <color theme="1"/>
      <name val="Aptos Narrow"/>
      <family val="2"/>
      <charset val="1"/>
      <scheme val="minor"/>
    </font>
    <font>
      <b/>
      <sz val="8"/>
      <color theme="1"/>
      <name val="Aptos Narrow"/>
      <family val="2"/>
      <scheme val="minor"/>
    </font>
    <font>
      <b/>
      <sz val="8"/>
      <color theme="1"/>
      <name val="Aptos Narrow"/>
      <family val="2"/>
      <charset val="1"/>
      <scheme val="minor"/>
    </font>
    <font>
      <b/>
      <sz val="20"/>
      <color theme="1" tint="0.34998626667073579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 tint="0.3499862666707357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/>
    <xf numFmtId="4" fontId="0" fillId="0" borderId="0" xfId="0" applyNumberFormat="1"/>
    <xf numFmtId="0" fontId="3" fillId="0" borderId="0" xfId="0" applyFont="1"/>
    <xf numFmtId="0" fontId="4" fillId="0" borderId="0" xfId="0" applyFont="1"/>
    <xf numFmtId="44" fontId="3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/>
    <xf numFmtId="44" fontId="2" fillId="2" borderId="2" xfId="0" applyNumberFormat="1" applyFont="1" applyFill="1" applyBorder="1"/>
    <xf numFmtId="44" fontId="2" fillId="2" borderId="0" xfId="0" applyNumberFormat="1" applyFont="1" applyFill="1"/>
    <xf numFmtId="0" fontId="3" fillId="0" borderId="1" xfId="0" applyFont="1" applyBorder="1"/>
    <xf numFmtId="44" fontId="3" fillId="0" borderId="1" xfId="0" applyNumberFormat="1" applyFont="1" applyBorder="1"/>
    <xf numFmtId="0" fontId="3" fillId="0" borderId="3" xfId="0" applyFont="1" applyBorder="1"/>
    <xf numFmtId="0" fontId="3" fillId="0" borderId="4" xfId="0" applyFont="1" applyBorder="1"/>
    <xf numFmtId="44" fontId="0" fillId="0" borderId="0" xfId="0" applyNumberFormat="1"/>
    <xf numFmtId="44" fontId="3" fillId="0" borderId="5" xfId="0" applyNumberFormat="1" applyFont="1" applyBorder="1"/>
    <xf numFmtId="4" fontId="3" fillId="0" borderId="1" xfId="0" applyNumberFormat="1" applyFont="1" applyBorder="1"/>
    <xf numFmtId="0" fontId="2" fillId="2" borderId="3" xfId="0" applyFont="1" applyFill="1" applyBorder="1"/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0" borderId="1" xfId="0" applyFont="1" applyBorder="1"/>
    <xf numFmtId="44" fontId="9" fillId="0" borderId="1" xfId="0" applyNumberFormat="1" applyFont="1" applyBorder="1"/>
    <xf numFmtId="0" fontId="9" fillId="0" borderId="0" xfId="0" applyFont="1"/>
    <xf numFmtId="0" fontId="8" fillId="0" borderId="0" xfId="0" applyFont="1"/>
    <xf numFmtId="0" fontId="1" fillId="0" borderId="1" xfId="0" applyFont="1" applyBorder="1"/>
    <xf numFmtId="44" fontId="9" fillId="0" borderId="0" xfId="0" applyNumberFormat="1" applyFont="1"/>
    <xf numFmtId="0" fontId="6" fillId="3" borderId="0" xfId="0" applyFont="1" applyFill="1"/>
    <xf numFmtId="44" fontId="10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31F8-13FA-487D-8AB3-15CF0EDB0C81}">
  <dimension ref="B3:F90"/>
  <sheetViews>
    <sheetView tabSelected="1" workbookViewId="0">
      <selection activeCell="E16" sqref="E16"/>
    </sheetView>
  </sheetViews>
  <sheetFormatPr defaultRowHeight="15" x14ac:dyDescent="0.25"/>
  <cols>
    <col min="1" max="1" width="12.42578125" customWidth="1"/>
    <col min="2" max="2" width="33" customWidth="1"/>
    <col min="3" max="3" width="37.140625" customWidth="1"/>
    <col min="5" max="5" width="29.140625" customWidth="1"/>
    <col min="6" max="6" width="15.140625" customWidth="1"/>
  </cols>
  <sheetData>
    <row r="3" spans="2:6" x14ac:dyDescent="0.25">
      <c r="B3" s="1" t="s">
        <v>0</v>
      </c>
      <c r="C3" s="2">
        <v>1965548</v>
      </c>
      <c r="D3" s="3"/>
      <c r="E3" s="4" t="s">
        <v>1</v>
      </c>
      <c r="F3" s="5"/>
    </row>
    <row r="4" spans="2:6" x14ac:dyDescent="0.25">
      <c r="B4" s="3"/>
      <c r="C4" s="5"/>
      <c r="D4" s="3"/>
      <c r="E4" s="3"/>
      <c r="F4" s="5"/>
    </row>
    <row r="5" spans="2:6" x14ac:dyDescent="0.25">
      <c r="B5" s="6" t="s">
        <v>2</v>
      </c>
      <c r="C5" s="5"/>
      <c r="D5" s="3"/>
      <c r="E5" s="7" t="s">
        <v>3</v>
      </c>
      <c r="F5" s="7"/>
    </row>
    <row r="6" spans="2:6" x14ac:dyDescent="0.25">
      <c r="B6" s="8" t="s">
        <v>4</v>
      </c>
      <c r="C6" s="9"/>
      <c r="D6" s="3"/>
      <c r="E6" s="8" t="s">
        <v>4</v>
      </c>
      <c r="F6" s="10"/>
    </row>
    <row r="7" spans="2:6" x14ac:dyDescent="0.25">
      <c r="B7" s="11" t="s">
        <v>5</v>
      </c>
      <c r="C7" s="12">
        <v>10</v>
      </c>
      <c r="D7" s="3"/>
      <c r="E7" s="13" t="s">
        <v>6</v>
      </c>
      <c r="F7" s="12">
        <v>0</v>
      </c>
    </row>
    <row r="8" spans="2:6" x14ac:dyDescent="0.25">
      <c r="B8" s="13" t="s">
        <v>7</v>
      </c>
      <c r="C8" s="12">
        <v>8341</v>
      </c>
      <c r="D8" s="3"/>
      <c r="E8" s="13" t="s">
        <v>8</v>
      </c>
      <c r="F8" s="12">
        <v>10653</v>
      </c>
    </row>
    <row r="9" spans="2:6" x14ac:dyDescent="0.25">
      <c r="B9" s="13" t="s">
        <v>9</v>
      </c>
      <c r="C9" s="12">
        <v>307</v>
      </c>
      <c r="D9" s="3"/>
      <c r="E9" s="3" t="s">
        <v>10</v>
      </c>
      <c r="F9" s="12">
        <v>0</v>
      </c>
    </row>
    <row r="10" spans="2:6" x14ac:dyDescent="0.25">
      <c r="B10" s="3" t="s">
        <v>11</v>
      </c>
      <c r="C10" s="12">
        <v>33831</v>
      </c>
      <c r="D10" s="3"/>
      <c r="F10" s="12"/>
    </row>
    <row r="11" spans="2:6" x14ac:dyDescent="0.25">
      <c r="B11" s="3" t="s">
        <v>12</v>
      </c>
      <c r="C11" s="12">
        <v>630</v>
      </c>
      <c r="D11" s="3"/>
      <c r="E11" s="11" t="s">
        <v>13</v>
      </c>
      <c r="F11" s="12">
        <v>20880</v>
      </c>
    </row>
    <row r="12" spans="2:6" x14ac:dyDescent="0.25">
      <c r="B12" s="3" t="s">
        <v>14</v>
      </c>
      <c r="C12" s="12">
        <v>46851</v>
      </c>
      <c r="D12" s="3"/>
      <c r="E12" s="11" t="s">
        <v>15</v>
      </c>
      <c r="F12" s="12">
        <v>0</v>
      </c>
    </row>
    <row r="13" spans="2:6" x14ac:dyDescent="0.25">
      <c r="B13" s="3" t="s">
        <v>16</v>
      </c>
      <c r="C13" s="12">
        <v>32869</v>
      </c>
      <c r="D13" s="3"/>
      <c r="E13" s="14" t="s">
        <v>17</v>
      </c>
      <c r="F13" s="12">
        <v>0</v>
      </c>
    </row>
    <row r="14" spans="2:6" x14ac:dyDescent="0.25">
      <c r="B14" s="3" t="s">
        <v>18</v>
      </c>
      <c r="C14" s="12">
        <v>21138</v>
      </c>
      <c r="D14" s="3"/>
      <c r="E14" s="14" t="s">
        <v>19</v>
      </c>
      <c r="F14" s="12">
        <v>1640</v>
      </c>
    </row>
    <row r="15" spans="2:6" x14ac:dyDescent="0.25">
      <c r="B15" s="3" t="s">
        <v>20</v>
      </c>
      <c r="C15" s="12">
        <v>550</v>
      </c>
      <c r="D15" s="3"/>
      <c r="E15" s="13" t="s">
        <v>21</v>
      </c>
      <c r="F15" s="5">
        <v>4732</v>
      </c>
    </row>
    <row r="16" spans="2:6" x14ac:dyDescent="0.25">
      <c r="B16" s="3" t="s">
        <v>22</v>
      </c>
      <c r="C16" s="12">
        <v>90</v>
      </c>
      <c r="D16" s="3"/>
      <c r="E16" s="11" t="s">
        <v>23</v>
      </c>
      <c r="F16" s="12">
        <v>19222</v>
      </c>
    </row>
    <row r="17" spans="2:6" x14ac:dyDescent="0.25">
      <c r="B17" s="3" t="s">
        <v>24</v>
      </c>
      <c r="C17" s="12">
        <v>12658</v>
      </c>
      <c r="D17" s="3"/>
      <c r="E17" s="11"/>
      <c r="F17" s="5"/>
    </row>
    <row r="18" spans="2:6" x14ac:dyDescent="0.25">
      <c r="B18" s="13" t="s">
        <v>25</v>
      </c>
      <c r="C18" s="12">
        <v>1546</v>
      </c>
      <c r="D18" s="3"/>
      <c r="E18" s="11" t="s">
        <v>26</v>
      </c>
      <c r="F18" s="5">
        <v>40006</v>
      </c>
    </row>
    <row r="19" spans="2:6" x14ac:dyDescent="0.25">
      <c r="B19" s="13" t="s">
        <v>27</v>
      </c>
      <c r="C19" s="15">
        <v>470</v>
      </c>
      <c r="D19" s="3"/>
      <c r="E19" s="11" t="s">
        <v>28</v>
      </c>
      <c r="F19" s="12">
        <v>99210</v>
      </c>
    </row>
    <row r="20" spans="2:6" x14ac:dyDescent="0.25">
      <c r="B20" s="3" t="s">
        <v>29</v>
      </c>
      <c r="C20" s="12">
        <v>7949</v>
      </c>
      <c r="D20" s="3"/>
      <c r="E20" s="3" t="s">
        <v>30</v>
      </c>
      <c r="F20" s="5">
        <v>2481</v>
      </c>
    </row>
    <row r="21" spans="2:6" x14ac:dyDescent="0.25">
      <c r="B21" s="3" t="s">
        <v>31</v>
      </c>
      <c r="C21" s="12">
        <v>2330</v>
      </c>
      <c r="D21" s="3"/>
      <c r="E21" s="13" t="s">
        <v>32</v>
      </c>
      <c r="F21" s="5">
        <v>1317</v>
      </c>
    </row>
    <row r="22" spans="2:6" x14ac:dyDescent="0.25">
      <c r="B22" s="3" t="s">
        <v>33</v>
      </c>
      <c r="C22" s="12">
        <v>16220</v>
      </c>
      <c r="D22" s="3"/>
      <c r="E22" s="3" t="s">
        <v>34</v>
      </c>
      <c r="F22" s="5">
        <v>20</v>
      </c>
    </row>
    <row r="23" spans="2:6" x14ac:dyDescent="0.25">
      <c r="B23" s="3" t="s">
        <v>35</v>
      </c>
      <c r="C23" s="12">
        <v>3772</v>
      </c>
      <c r="D23" s="3"/>
      <c r="E23" s="3" t="s">
        <v>36</v>
      </c>
      <c r="F23" s="5">
        <v>200</v>
      </c>
    </row>
    <row r="24" spans="2:6" x14ac:dyDescent="0.25">
      <c r="B24" s="3" t="s">
        <v>37</v>
      </c>
      <c r="C24" s="12">
        <v>340</v>
      </c>
      <c r="D24" s="3"/>
      <c r="E24" s="3" t="s">
        <v>38</v>
      </c>
      <c r="F24" s="5">
        <v>15326</v>
      </c>
    </row>
    <row r="25" spans="2:6" x14ac:dyDescent="0.25">
      <c r="B25" s="3" t="s">
        <v>39</v>
      </c>
      <c r="C25" s="12">
        <v>354</v>
      </c>
      <c r="D25" s="3"/>
      <c r="E25" s="11" t="s">
        <v>40</v>
      </c>
      <c r="F25" s="12">
        <v>788006</v>
      </c>
    </row>
    <row r="26" spans="2:6" x14ac:dyDescent="0.25">
      <c r="B26" s="3" t="s">
        <v>41</v>
      </c>
      <c r="C26" s="12">
        <v>2925</v>
      </c>
      <c r="D26" s="3"/>
      <c r="E26" s="11" t="s">
        <v>42</v>
      </c>
      <c r="F26" s="12">
        <v>1653949</v>
      </c>
    </row>
    <row r="27" spans="2:6" x14ac:dyDescent="0.25">
      <c r="B27" s="3" t="s">
        <v>43</v>
      </c>
      <c r="C27" s="12">
        <v>3101</v>
      </c>
      <c r="D27" s="3"/>
      <c r="E27" s="11" t="s">
        <v>44</v>
      </c>
      <c r="F27" s="12">
        <v>317832</v>
      </c>
    </row>
    <row r="28" spans="2:6" x14ac:dyDescent="0.25">
      <c r="B28" s="3" t="s">
        <v>45</v>
      </c>
      <c r="C28" s="12">
        <v>6700</v>
      </c>
      <c r="D28" s="3"/>
      <c r="E28" s="3" t="s">
        <v>46</v>
      </c>
      <c r="F28" s="12">
        <v>152271</v>
      </c>
    </row>
    <row r="29" spans="2:6" x14ac:dyDescent="0.25">
      <c r="B29" s="3" t="s">
        <v>47</v>
      </c>
      <c r="C29" s="12">
        <v>1835</v>
      </c>
      <c r="D29" s="3"/>
      <c r="E29" s="3" t="s">
        <v>48</v>
      </c>
      <c r="F29" s="5"/>
    </row>
    <row r="30" spans="2:6" x14ac:dyDescent="0.25">
      <c r="B30" s="13" t="s">
        <v>49</v>
      </c>
      <c r="C30" s="12">
        <v>28307</v>
      </c>
      <c r="D30" s="3"/>
      <c r="E30" s="3" t="s">
        <v>50</v>
      </c>
      <c r="F30" s="5">
        <v>95820</v>
      </c>
    </row>
    <row r="31" spans="2:6" x14ac:dyDescent="0.25">
      <c r="B31" s="3" t="s">
        <v>51</v>
      </c>
      <c r="C31" s="12">
        <v>11600</v>
      </c>
      <c r="D31" s="3"/>
      <c r="E31" s="14" t="s">
        <v>52</v>
      </c>
      <c r="F31" s="5">
        <v>3487</v>
      </c>
    </row>
    <row r="32" spans="2:6" x14ac:dyDescent="0.25">
      <c r="B32" s="13" t="s">
        <v>53</v>
      </c>
      <c r="C32" s="12">
        <v>830</v>
      </c>
      <c r="D32" s="3"/>
    </row>
    <row r="33" spans="2:6" x14ac:dyDescent="0.25">
      <c r="B33" s="3" t="s">
        <v>48</v>
      </c>
      <c r="C33" s="12">
        <v>1410</v>
      </c>
      <c r="D33" s="3"/>
    </row>
    <row r="34" spans="2:6" x14ac:dyDescent="0.25">
      <c r="B34" s="3" t="s">
        <v>54</v>
      </c>
      <c r="C34" s="12">
        <v>707311</v>
      </c>
      <c r="D34" s="3"/>
      <c r="E34" s="3"/>
      <c r="F34" s="5"/>
    </row>
    <row r="35" spans="2:6" x14ac:dyDescent="0.25">
      <c r="B35" s="3" t="s">
        <v>55</v>
      </c>
      <c r="C35" s="12">
        <v>3165</v>
      </c>
      <c r="D35" s="3"/>
      <c r="E35" t="s">
        <v>56</v>
      </c>
      <c r="F35" s="5">
        <f>SUM(F7:F31)</f>
        <v>3227052</v>
      </c>
    </row>
    <row r="36" spans="2:6" x14ac:dyDescent="0.25">
      <c r="B36" s="13" t="s">
        <v>57</v>
      </c>
      <c r="C36" s="12">
        <v>6956</v>
      </c>
      <c r="D36" s="3"/>
      <c r="F36" s="5"/>
    </row>
    <row r="37" spans="2:6" x14ac:dyDescent="0.25">
      <c r="B37" s="3" t="s">
        <v>58</v>
      </c>
      <c r="C37" s="16">
        <v>2715</v>
      </c>
      <c r="D37" s="3"/>
      <c r="E37" s="3"/>
      <c r="F37" s="5"/>
    </row>
    <row r="38" spans="2:6" x14ac:dyDescent="0.25">
      <c r="B38" s="3" t="s">
        <v>59</v>
      </c>
      <c r="C38" s="12">
        <v>4113</v>
      </c>
      <c r="D38" s="3"/>
      <c r="E38" s="3"/>
      <c r="F38" s="5"/>
    </row>
    <row r="39" spans="2:6" x14ac:dyDescent="0.25">
      <c r="B39" s="14" t="s">
        <v>60</v>
      </c>
      <c r="C39" s="12">
        <v>272</v>
      </c>
      <c r="D39" s="3"/>
      <c r="E39" s="3"/>
      <c r="F39" s="5"/>
    </row>
    <row r="40" spans="2:6" x14ac:dyDescent="0.25">
      <c r="B40" s="11" t="s">
        <v>61</v>
      </c>
      <c r="C40" s="12">
        <v>20</v>
      </c>
      <c r="D40" s="3"/>
      <c r="E40" s="3"/>
      <c r="F40" s="5"/>
    </row>
    <row r="41" spans="2:6" x14ac:dyDescent="0.25">
      <c r="B41" s="14" t="s">
        <v>62</v>
      </c>
      <c r="C41" s="15">
        <v>1242</v>
      </c>
      <c r="D41" s="3"/>
      <c r="E41" s="3"/>
      <c r="F41" s="5"/>
    </row>
    <row r="42" spans="2:6" x14ac:dyDescent="0.25">
      <c r="B42" s="14" t="s">
        <v>63</v>
      </c>
      <c r="C42" s="12">
        <v>6329</v>
      </c>
      <c r="D42" s="3"/>
      <c r="E42" s="3"/>
      <c r="F42" s="5"/>
    </row>
    <row r="43" spans="2:6" x14ac:dyDescent="0.25">
      <c r="B43" s="14" t="s">
        <v>64</v>
      </c>
      <c r="C43" s="12">
        <v>2600</v>
      </c>
      <c r="D43" s="3"/>
      <c r="E43" s="3"/>
      <c r="F43" s="5"/>
    </row>
    <row r="44" spans="2:6" x14ac:dyDescent="0.25">
      <c r="B44" s="14" t="s">
        <v>65</v>
      </c>
      <c r="C44" s="12">
        <v>2151</v>
      </c>
      <c r="D44" s="3"/>
      <c r="E44" s="4"/>
      <c r="F44" s="5"/>
    </row>
    <row r="45" spans="2:6" x14ac:dyDescent="0.25">
      <c r="B45" s="17" t="s">
        <v>66</v>
      </c>
      <c r="C45" s="12">
        <v>66048</v>
      </c>
      <c r="D45" s="3"/>
      <c r="E45" s="3"/>
      <c r="F45" s="5"/>
    </row>
    <row r="46" spans="2:6" x14ac:dyDescent="0.25">
      <c r="B46" s="11" t="s">
        <v>67</v>
      </c>
      <c r="C46" s="12">
        <v>450812</v>
      </c>
      <c r="D46" s="3"/>
      <c r="E46" s="3"/>
      <c r="F46" s="5"/>
    </row>
    <row r="47" spans="2:6" x14ac:dyDescent="0.25">
      <c r="B47" s="11" t="s">
        <v>68</v>
      </c>
      <c r="C47" s="12"/>
      <c r="D47" s="3"/>
      <c r="E47" s="3"/>
      <c r="F47" s="5"/>
    </row>
    <row r="48" spans="2:6" x14ac:dyDescent="0.25">
      <c r="B48" s="18" t="s">
        <v>69</v>
      </c>
      <c r="C48" s="12">
        <v>142033</v>
      </c>
      <c r="D48" s="3"/>
      <c r="E48" s="3"/>
      <c r="F48" s="5"/>
    </row>
    <row r="49" spans="2:6" x14ac:dyDescent="0.25">
      <c r="B49" s="3"/>
      <c r="C49" s="5"/>
      <c r="D49" s="3"/>
      <c r="E49" s="3"/>
      <c r="F49" s="5"/>
    </row>
    <row r="50" spans="2:6" x14ac:dyDescent="0.25">
      <c r="B50" s="3" t="s">
        <v>70</v>
      </c>
      <c r="C50" s="5">
        <f>SUM(C3:C49)</f>
        <v>3608279</v>
      </c>
      <c r="D50" s="3"/>
      <c r="E50" s="3"/>
      <c r="F50" s="5"/>
    </row>
    <row r="51" spans="2:6" x14ac:dyDescent="0.25">
      <c r="B51" s="3"/>
      <c r="C51" s="5"/>
      <c r="D51" s="3"/>
      <c r="E51" s="3"/>
      <c r="F51" s="5"/>
    </row>
    <row r="52" spans="2:6" x14ac:dyDescent="0.25">
      <c r="B52" s="3"/>
      <c r="C52" s="5"/>
      <c r="D52" s="3"/>
      <c r="E52" s="3"/>
      <c r="F52" s="5"/>
    </row>
    <row r="53" spans="2:6" x14ac:dyDescent="0.25">
      <c r="B53" s="3"/>
      <c r="C53" s="10" t="s">
        <v>71</v>
      </c>
      <c r="D53" s="10">
        <f>C50-F35</f>
        <v>381227</v>
      </c>
      <c r="E53" s="3"/>
      <c r="F53" s="5"/>
    </row>
    <row r="62" spans="2:6" ht="26.25" x14ac:dyDescent="0.4">
      <c r="B62" s="19" t="s">
        <v>72</v>
      </c>
      <c r="C62" s="19"/>
    </row>
    <row r="65" spans="2:3" ht="18.75" x14ac:dyDescent="0.3">
      <c r="B65" s="20" t="s">
        <v>73</v>
      </c>
      <c r="C65" s="20"/>
    </row>
    <row r="66" spans="2:3" ht="18.75" x14ac:dyDescent="0.3">
      <c r="B66" s="21" t="s">
        <v>74</v>
      </c>
      <c r="C66" s="22">
        <v>3425273</v>
      </c>
    </row>
    <row r="67" spans="2:3" ht="18.75" x14ac:dyDescent="0.3">
      <c r="B67" s="21" t="s">
        <v>75</v>
      </c>
      <c r="C67" s="22">
        <v>0</v>
      </c>
    </row>
    <row r="68" spans="2:3" ht="18.75" x14ac:dyDescent="0.3">
      <c r="B68" s="21" t="s">
        <v>76</v>
      </c>
      <c r="C68" s="22">
        <f>C66-C67</f>
        <v>3425273</v>
      </c>
    </row>
    <row r="69" spans="2:3" ht="18.75" x14ac:dyDescent="0.3">
      <c r="B69" s="23"/>
      <c r="C69" s="23"/>
    </row>
    <row r="70" spans="2:3" ht="18.75" x14ac:dyDescent="0.3">
      <c r="B70" s="20" t="s">
        <v>77</v>
      </c>
      <c r="C70" s="20"/>
    </row>
    <row r="71" spans="2:3" ht="18.75" x14ac:dyDescent="0.3">
      <c r="B71" s="21" t="s">
        <v>78</v>
      </c>
      <c r="C71" s="22">
        <v>2885724.42</v>
      </c>
    </row>
    <row r="72" spans="2:3" ht="18.75" x14ac:dyDescent="0.3">
      <c r="B72" s="24"/>
      <c r="C72" s="23"/>
    </row>
    <row r="73" spans="2:3" ht="18.75" x14ac:dyDescent="0.3">
      <c r="B73" s="21" t="s">
        <v>79</v>
      </c>
      <c r="C73" s="22">
        <f>C68-C71</f>
        <v>539548.58000000007</v>
      </c>
    </row>
    <row r="74" spans="2:3" ht="18.75" x14ac:dyDescent="0.3">
      <c r="B74" s="23"/>
      <c r="C74" s="23"/>
    </row>
    <row r="75" spans="2:3" ht="18.75" x14ac:dyDescent="0.3">
      <c r="B75" s="20" t="s">
        <v>80</v>
      </c>
      <c r="C75" s="20"/>
    </row>
    <row r="76" spans="2:3" ht="18.75" x14ac:dyDescent="0.3">
      <c r="B76" s="21" t="s">
        <v>81</v>
      </c>
      <c r="C76" s="25">
        <v>85113</v>
      </c>
    </row>
    <row r="77" spans="2:3" ht="18.75" x14ac:dyDescent="0.3">
      <c r="B77" s="21"/>
      <c r="C77" s="22"/>
    </row>
    <row r="78" spans="2:3" ht="18.75" x14ac:dyDescent="0.3">
      <c r="B78" s="21"/>
      <c r="C78" s="22"/>
    </row>
    <row r="79" spans="2:3" ht="18.75" x14ac:dyDescent="0.3">
      <c r="B79" s="21"/>
      <c r="C79" s="22"/>
    </row>
    <row r="80" spans="2:3" ht="18.75" x14ac:dyDescent="0.3">
      <c r="B80" s="21"/>
      <c r="C80" s="22"/>
    </row>
    <row r="81" spans="2:3" ht="18.75" x14ac:dyDescent="0.3">
      <c r="B81" s="21"/>
      <c r="C81" s="22"/>
    </row>
    <row r="82" spans="2:3" ht="18.75" x14ac:dyDescent="0.3">
      <c r="B82" s="21" t="s">
        <v>82</v>
      </c>
      <c r="C82" s="22">
        <v>15000</v>
      </c>
    </row>
    <row r="83" spans="2:3" ht="18.75" x14ac:dyDescent="0.3">
      <c r="B83" s="21" t="s">
        <v>83</v>
      </c>
      <c r="C83" s="22">
        <v>10600</v>
      </c>
    </row>
    <row r="84" spans="2:3" ht="18.75" x14ac:dyDescent="0.3">
      <c r="B84" s="21" t="s">
        <v>84</v>
      </c>
      <c r="C84" s="22">
        <v>-15132</v>
      </c>
    </row>
    <row r="85" spans="2:3" ht="18.75" x14ac:dyDescent="0.3">
      <c r="B85" s="21" t="s">
        <v>85</v>
      </c>
      <c r="C85" s="22">
        <v>45580</v>
      </c>
    </row>
    <row r="86" spans="2:3" ht="18.75" x14ac:dyDescent="0.3">
      <c r="B86" s="21" t="s">
        <v>86</v>
      </c>
      <c r="C86" s="22">
        <v>13107</v>
      </c>
    </row>
    <row r="87" spans="2:3" ht="18.75" x14ac:dyDescent="0.3">
      <c r="B87" s="23"/>
      <c r="C87" s="23"/>
    </row>
    <row r="88" spans="2:3" ht="18.75" x14ac:dyDescent="0.3">
      <c r="B88" s="21" t="s">
        <v>87</v>
      </c>
      <c r="C88" s="22">
        <f>SUM(C76:C87)</f>
        <v>154268</v>
      </c>
    </row>
    <row r="89" spans="2:3" ht="18.75" x14ac:dyDescent="0.3">
      <c r="B89" s="24"/>
      <c r="C89" s="26"/>
    </row>
    <row r="90" spans="2:3" ht="26.25" x14ac:dyDescent="0.4">
      <c r="B90" s="27" t="s">
        <v>88</v>
      </c>
      <c r="C90" s="28">
        <f>C73-C88</f>
        <v>385280.58000000007</v>
      </c>
    </row>
  </sheetData>
  <mergeCells count="5">
    <mergeCell ref="E5:F5"/>
    <mergeCell ref="B62:C62"/>
    <mergeCell ref="B65:C65"/>
    <mergeCell ref="B70:C70"/>
    <mergeCell ref="B75:C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2026-04-29T11:33:56Z</dcterms:created>
  <dcterms:modified xsi:type="dcterms:W3CDTF">2026-04-29T11:35:41Z</dcterms:modified>
</cp:coreProperties>
</file>