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X:\SwissTechSaqib\Swiss Tech Files 2025\Profit Reports\"/>
    </mc:Choice>
  </mc:AlternateContent>
  <xr:revisionPtr revIDLastSave="0" documentId="13_ncr:1_{5177570A-BA1A-404C-8D58-84200F20C6BF}" xr6:coauthVersionLast="47" xr6:coauthVersionMax="47" xr10:uidLastSave="{00000000-0000-0000-0000-000000000000}"/>
  <bookViews>
    <workbookView xWindow="-120" yWindow="-120" windowWidth="29040" windowHeight="15720" activeTab="1" xr2:uid="{C511F85B-2D97-4B40-9A5D-0F8673C41C5B}"/>
  </bookViews>
  <sheets>
    <sheet name="Company Worth" sheetId="1" r:id="rId1"/>
    <sheet name="monthly profit" sheetId="2" r:id="rId2"/>
    <sheet name="Distrib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8" i="2" l="1"/>
  <c r="C558" i="2"/>
  <c r="C563" i="2"/>
  <c r="B257" i="3"/>
  <c r="C243" i="3"/>
  <c r="C245" i="3" s="1"/>
  <c r="C536" i="2"/>
  <c r="C516" i="2"/>
  <c r="C521" i="2" s="1"/>
  <c r="C202" i="3"/>
  <c r="C204" i="3" s="1"/>
  <c r="B216" i="3"/>
  <c r="C617" i="1"/>
  <c r="F602" i="1"/>
  <c r="C476" i="2"/>
  <c r="C481" i="2" s="1"/>
  <c r="C496" i="2"/>
  <c r="C166" i="3"/>
  <c r="B177" i="3"/>
  <c r="C438" i="2"/>
  <c r="C458" i="2"/>
  <c r="B135" i="3"/>
  <c r="B98" i="3"/>
  <c r="C580" i="2" l="1"/>
  <c r="C246" i="3"/>
  <c r="C247" i="3" s="1"/>
  <c r="C538" i="2"/>
  <c r="C205" i="3"/>
  <c r="C206" i="3" s="1"/>
  <c r="D620" i="1"/>
  <c r="C498" i="2"/>
  <c r="C163" i="3"/>
  <c r="C165" i="3" s="1"/>
  <c r="C443" i="2"/>
  <c r="C460" i="2" s="1"/>
  <c r="C127" i="3"/>
  <c r="C129" i="3"/>
  <c r="C128" i="3"/>
  <c r="C121" i="3"/>
  <c r="C123" i="3" s="1"/>
  <c r="C84" i="3"/>
  <c r="C86" i="3" s="1"/>
  <c r="C87" i="3" s="1"/>
  <c r="C421" i="2"/>
  <c r="C401" i="2"/>
  <c r="C406" i="2" s="1"/>
  <c r="C46" i="3"/>
  <c r="B54" i="3"/>
  <c r="C40" i="3"/>
  <c r="C42" i="3" s="1"/>
  <c r="C11" i="3"/>
  <c r="C10" i="3"/>
  <c r="B17" i="3"/>
  <c r="C3" i="3"/>
  <c r="C5" i="3" s="1"/>
  <c r="C553" i="1"/>
  <c r="F538" i="1"/>
  <c r="C385" i="2"/>
  <c r="C251" i="3" l="1"/>
  <c r="C250" i="3"/>
  <c r="C249" i="3"/>
  <c r="C210" i="3"/>
  <c r="C209" i="3"/>
  <c r="C208" i="3"/>
  <c r="C167" i="3"/>
  <c r="C124" i="3"/>
  <c r="C125" i="3" s="1"/>
  <c r="C88" i="3"/>
  <c r="C423" i="2"/>
  <c r="C43" i="3"/>
  <c r="C44" i="3" s="1"/>
  <c r="C6" i="3"/>
  <c r="C7" i="3" s="1"/>
  <c r="C9" i="3" s="1"/>
  <c r="D556" i="1"/>
  <c r="C365" i="2"/>
  <c r="C370" i="2" s="1"/>
  <c r="I521" i="1"/>
  <c r="C493" i="1"/>
  <c r="F478" i="1"/>
  <c r="C171" i="3" l="1"/>
  <c r="C169" i="3"/>
  <c r="C170" i="3"/>
  <c r="C92" i="3"/>
  <c r="C91" i="3"/>
  <c r="C90" i="3"/>
  <c r="C387" i="2"/>
  <c r="D496" i="1"/>
  <c r="C434" i="1" l="1"/>
  <c r="F419" i="1"/>
  <c r="C349" i="2"/>
  <c r="C329" i="2"/>
  <c r="C334" i="2" s="1"/>
  <c r="C309" i="2"/>
  <c r="C289" i="2"/>
  <c r="C294" i="2" s="1"/>
  <c r="C311" i="2" s="1"/>
  <c r="C273" i="2"/>
  <c r="C252" i="2"/>
  <c r="C257" i="2" s="1"/>
  <c r="C275" i="2" s="1"/>
  <c r="C240" i="2"/>
  <c r="C221" i="2"/>
  <c r="C226" i="2" s="1"/>
  <c r="C242" i="2" s="1"/>
  <c r="C210" i="2"/>
  <c r="C191" i="2"/>
  <c r="C196" i="2" s="1"/>
  <c r="C212" i="2" s="1"/>
  <c r="C176" i="2"/>
  <c r="C157" i="2"/>
  <c r="C162" i="2" s="1"/>
  <c r="C178" i="2" s="1"/>
  <c r="C140" i="2"/>
  <c r="C124" i="2"/>
  <c r="C129" i="2" s="1"/>
  <c r="C142" i="2" s="1"/>
  <c r="C111" i="2"/>
  <c r="C95" i="2"/>
  <c r="C100" i="2" s="1"/>
  <c r="C113" i="2" s="1"/>
  <c r="C80" i="2"/>
  <c r="C64" i="2"/>
  <c r="C69" i="2" s="1"/>
  <c r="C82" i="2" s="1"/>
  <c r="C47" i="2"/>
  <c r="C45" i="2"/>
  <c r="C49" i="2" s="1"/>
  <c r="C38" i="2"/>
  <c r="C34" i="2"/>
  <c r="C35" i="2" s="1"/>
  <c r="C40" i="2" s="1"/>
  <c r="C52" i="2" s="1"/>
  <c r="C33" i="2"/>
  <c r="I21" i="2"/>
  <c r="C21" i="2"/>
  <c r="C12" i="2"/>
  <c r="C24" i="2" s="1"/>
  <c r="I7" i="2"/>
  <c r="I12" i="2" s="1"/>
  <c r="I24" i="2" s="1"/>
  <c r="C7" i="2"/>
  <c r="D437" i="1" l="1"/>
  <c r="C351" i="2"/>
  <c r="C378" i="1"/>
  <c r="F363" i="1"/>
  <c r="C323" i="1"/>
  <c r="F308" i="1"/>
  <c r="C273" i="1"/>
  <c r="F259" i="1"/>
  <c r="C225" i="1"/>
  <c r="F213" i="1"/>
  <c r="C175" i="1"/>
  <c r="F164" i="1"/>
  <c r="C127" i="1"/>
  <c r="F116" i="1"/>
  <c r="C81" i="1"/>
  <c r="F70" i="1"/>
  <c r="C36" i="1"/>
  <c r="F25" i="1"/>
  <c r="D228" i="1" l="1"/>
  <c r="D84" i="1"/>
  <c r="D276" i="1"/>
  <c r="D326" i="1"/>
  <c r="D130" i="1"/>
  <c r="D178" i="1"/>
  <c r="D381" i="1"/>
  <c r="D39" i="1"/>
</calcChain>
</file>

<file path=xl/sharedStrings.xml><?xml version="1.0" encoding="utf-8"?>
<sst xmlns="http://schemas.openxmlformats.org/spreadsheetml/2006/main" count="1259" uniqueCount="365">
  <si>
    <t>Total Stock Worth</t>
  </si>
  <si>
    <t>June 26, 2025</t>
  </si>
  <si>
    <t>Receivable</t>
  </si>
  <si>
    <t>PAYABLES</t>
  </si>
  <si>
    <t>Account</t>
  </si>
  <si>
    <t>ABUBAKER KARACHI</t>
  </si>
  <si>
    <t>BK MATRIX</t>
  </si>
  <si>
    <t>AHSAN MOHSIN</t>
  </si>
  <si>
    <t>AHSAN CBA</t>
  </si>
  <si>
    <t>AZAM RANA</t>
  </si>
  <si>
    <t>WAJAHAT</t>
  </si>
  <si>
    <t>ASAD KHREED0</t>
  </si>
  <si>
    <t>WORLD MART</t>
  </si>
  <si>
    <t>BABA</t>
  </si>
  <si>
    <t>CELL WEARS</t>
  </si>
  <si>
    <t>ABDUL MAJID BHAI</t>
  </si>
  <si>
    <t>DANIAL WIZZ TECH</t>
  </si>
  <si>
    <t>FIVE PERCENT</t>
  </si>
  <si>
    <t>WAHEED BHAI</t>
  </si>
  <si>
    <t>HAMZA CUSTOMER</t>
  </si>
  <si>
    <t>TURBO</t>
  </si>
  <si>
    <t>HASAN</t>
  </si>
  <si>
    <t>ABDUL MAJID BHAI DRAWINGS</t>
  </si>
  <si>
    <t>KARACHI SALE</t>
  </si>
  <si>
    <t>AR STAFF</t>
  </si>
  <si>
    <t>MUDASSIR</t>
  </si>
  <si>
    <t>FAISAL BHAI</t>
  </si>
  <si>
    <t>NOMAN AMGT</t>
  </si>
  <si>
    <t>OWAIS HOUSTON</t>
  </si>
  <si>
    <t>SHIPPING CHARGES (18924) @ 2.23</t>
  </si>
  <si>
    <t>POWER PALY</t>
  </si>
  <si>
    <t>19772 Aud @ 2.36</t>
  </si>
  <si>
    <t>SAAD</t>
  </si>
  <si>
    <t>SHEER ALAM</t>
  </si>
  <si>
    <t>TOTAL PAYABLE</t>
  </si>
  <si>
    <t>JAWED BHAI AUSTRALIA</t>
  </si>
  <si>
    <t>ASHFAQ SAHAB CARD</t>
  </si>
  <si>
    <t>UMAR CANADA</t>
  </si>
  <si>
    <t>NEWZELAND(75,886.54) @2.23</t>
  </si>
  <si>
    <t>NEWZELAND GST OLD (79794) @2.19</t>
  </si>
  <si>
    <t>AUSTRALIA  (85,154.53) @2.3615</t>
  </si>
  <si>
    <t>CASH</t>
  </si>
  <si>
    <t>TOTAL RECEIVABLE</t>
  </si>
  <si>
    <t xml:space="preserve">Net Amount </t>
  </si>
  <si>
    <t>July 14,2025</t>
  </si>
  <si>
    <t>Abbas 110</t>
  </si>
  <si>
    <t>Ahsan Mohsin: -73,300</t>
  </si>
  <si>
    <t>Abubaker Karachi 2465</t>
  </si>
  <si>
    <t>HMB -42197</t>
  </si>
  <si>
    <t>Ahsan CBA 1675</t>
  </si>
  <si>
    <t>Ontell -135,236</t>
  </si>
  <si>
    <t>Turbo -19,320</t>
  </si>
  <si>
    <t>Asad Khreedo 650</t>
  </si>
  <si>
    <t>Azam Rana 1450</t>
  </si>
  <si>
    <t>Baba: 19,071</t>
  </si>
  <si>
    <t>Cell Wears USA 3,452</t>
  </si>
  <si>
    <t>DJI Hub 2450</t>
  </si>
  <si>
    <t>Umair Rocker 73,176</t>
  </si>
  <si>
    <t>Fahim Ahmed 13,750</t>
  </si>
  <si>
    <t>Hasan 475</t>
  </si>
  <si>
    <t>Karachi Sale 3713</t>
  </si>
  <si>
    <t>Mudassir AR 101,994</t>
  </si>
  <si>
    <t>Owais Houston USA 215,451</t>
  </si>
  <si>
    <t>Power Play 1,180</t>
  </si>
  <si>
    <t>Raaz 93337.8</t>
  </si>
  <si>
    <t>Saad. 18,982</t>
  </si>
  <si>
    <t>Sher Alam AMGT 692</t>
  </si>
  <si>
    <t>Umer Canada 272</t>
  </si>
  <si>
    <t xml:space="preserve">Five percent </t>
  </si>
  <si>
    <t>Noman AMGT</t>
  </si>
  <si>
    <t>NEWZEALAND (75,483.3) @2.23</t>
  </si>
  <si>
    <t>AUSTRALIA  (72,057) @2.3999</t>
  </si>
  <si>
    <t>July 31,2025</t>
  </si>
  <si>
    <t>Ahsan Mohsin: -</t>
  </si>
  <si>
    <t>Raaz</t>
  </si>
  <si>
    <t>Ahsan CBA</t>
  </si>
  <si>
    <t>ASAD KHAREEDO</t>
  </si>
  <si>
    <t xml:space="preserve">Turbo </t>
  </si>
  <si>
    <t>DJI HUB</t>
  </si>
  <si>
    <t>Faheem Ahmed Chacha</t>
  </si>
  <si>
    <t>Hassan</t>
  </si>
  <si>
    <t>Hazarto</t>
  </si>
  <si>
    <t>Karachi Sale</t>
  </si>
  <si>
    <t>Moin Sahab</t>
  </si>
  <si>
    <t>mudassir Ar</t>
  </si>
  <si>
    <t>NY advance</t>
  </si>
  <si>
    <t>SHIPPING CHARGES (16,045) @ 2.37805</t>
  </si>
  <si>
    <t>Saad</t>
  </si>
  <si>
    <t>NZ Shipping 20,355 @2.23</t>
  </si>
  <si>
    <t>Sheer Alam AMGT</t>
  </si>
  <si>
    <t>Shehzad Mughal</t>
  </si>
  <si>
    <t xml:space="preserve">umar canada </t>
  </si>
  <si>
    <t>NEWZEALAND (51,723) @2.23</t>
  </si>
  <si>
    <t>AUSTRALIA  (9,093) @2.3999</t>
  </si>
  <si>
    <t>June 30,2025</t>
  </si>
  <si>
    <t>abdulmussawir</t>
  </si>
  <si>
    <t>Adil</t>
  </si>
  <si>
    <t>Ahsan Mohsin</t>
  </si>
  <si>
    <t>worlad mart</t>
  </si>
  <si>
    <t>hamza customer</t>
  </si>
  <si>
    <t>hassan</t>
  </si>
  <si>
    <t>METRO SHAMEEM</t>
  </si>
  <si>
    <t>jawed bahi aus</t>
  </si>
  <si>
    <t xml:space="preserve">Plower play </t>
  </si>
  <si>
    <t>SHIPPING CHARGES (19,772) @ 2.3999</t>
  </si>
  <si>
    <t>NZ Shipping 18,924 @2.23</t>
  </si>
  <si>
    <t>NEWZEALAND (76,290) @2.23</t>
  </si>
  <si>
    <t>AUSTRALIA  (72,421) @2.3999</t>
  </si>
  <si>
    <t>August 31,2025</t>
  </si>
  <si>
    <t>Ashfaq Sahab</t>
  </si>
  <si>
    <t>adil</t>
  </si>
  <si>
    <t>All digital</t>
  </si>
  <si>
    <t>Mudassir</t>
  </si>
  <si>
    <t>AR US bank</t>
  </si>
  <si>
    <t>Turbo</t>
  </si>
  <si>
    <t>Sumair Karachi</t>
  </si>
  <si>
    <t>Metro</t>
  </si>
  <si>
    <t>RAJESH</t>
  </si>
  <si>
    <t>Ontell</t>
  </si>
  <si>
    <t>SHIPPING CHARGES (15062) @ 2.3793</t>
  </si>
  <si>
    <t>NZ Shipping 11,484 @2.23</t>
  </si>
  <si>
    <t>SHEHZAD MUGHAL</t>
  </si>
  <si>
    <t>Us Tech sherin</t>
  </si>
  <si>
    <t>RAZI</t>
  </si>
  <si>
    <t>WAHEED BHAI Z (Loan)</t>
  </si>
  <si>
    <t>NEWZEALAND (83,860.22) @2.23</t>
  </si>
  <si>
    <t>AUSTRALIA  (34,677) @ 2.3793</t>
  </si>
  <si>
    <t>September 30,2025</t>
  </si>
  <si>
    <t>Abdul Rehman Houston</t>
  </si>
  <si>
    <t xml:space="preserve">Abubaker Karachi </t>
  </si>
  <si>
    <t>Amra Sister</t>
  </si>
  <si>
    <t>Wajahat</t>
  </si>
  <si>
    <t>Ravi New York</t>
  </si>
  <si>
    <t>Hamza Customer</t>
  </si>
  <si>
    <t>Power Play</t>
  </si>
  <si>
    <t>SHIPPING CHARGES (38752) @ 2.3956</t>
  </si>
  <si>
    <t>NZ Shipping 11,484 @2.18</t>
  </si>
  <si>
    <t>Sumair Pasta</t>
  </si>
  <si>
    <t>Saad Houston</t>
  </si>
  <si>
    <t>NEWZEALAND (33158) @2.18</t>
  </si>
  <si>
    <t>AUSTRALIA  (69402) @ 2.3956</t>
  </si>
  <si>
    <t>October 31,2025</t>
  </si>
  <si>
    <t>AA Mobile</t>
  </si>
  <si>
    <t>Abdul Rafay</t>
  </si>
  <si>
    <t>Ahsan Cba</t>
  </si>
  <si>
    <t>Abubaker Karachi</t>
  </si>
  <si>
    <t>Asad B Smart</t>
  </si>
  <si>
    <t>CH Sami</t>
  </si>
  <si>
    <t>Asad Khareedo</t>
  </si>
  <si>
    <t>Five Percent</t>
  </si>
  <si>
    <t>Baba</t>
  </si>
  <si>
    <t>Hassan 311</t>
  </si>
  <si>
    <t>Cell Wears</t>
  </si>
  <si>
    <t xml:space="preserve">Hazarto </t>
  </si>
  <si>
    <t>Cellular link</t>
  </si>
  <si>
    <t>Emirates Islamic Bank</t>
  </si>
  <si>
    <t>Qaiser Staff</t>
  </si>
  <si>
    <t>Fahad Starcity</t>
  </si>
  <si>
    <t>Saad HT</t>
  </si>
  <si>
    <t>Wise Bank USA</t>
  </si>
  <si>
    <t>Hassan Ashraf</t>
  </si>
  <si>
    <t>Usman</t>
  </si>
  <si>
    <t>HMB</t>
  </si>
  <si>
    <t>Noman Amgt</t>
  </si>
  <si>
    <t>AR Staff</t>
  </si>
  <si>
    <t>Waheed Bhai</t>
  </si>
  <si>
    <t>Owais HT</t>
  </si>
  <si>
    <t>Abdul Majid Bhai</t>
  </si>
  <si>
    <t>Powerplay</t>
  </si>
  <si>
    <t>Faisal Bhai</t>
  </si>
  <si>
    <t>Rabi</t>
  </si>
  <si>
    <t>Ravi NY</t>
  </si>
  <si>
    <t>SHIPPING CHARGES (21784) @ 2.3450</t>
  </si>
  <si>
    <t>Razi</t>
  </si>
  <si>
    <t>Saad &amp; Wajahat</t>
  </si>
  <si>
    <t>Shahid</t>
  </si>
  <si>
    <t xml:space="preserve">Sheer Alam </t>
  </si>
  <si>
    <t>Shehzad Mughal Sale Base</t>
  </si>
  <si>
    <t>Umar Canada</t>
  </si>
  <si>
    <t>US Tech Sherin</t>
  </si>
  <si>
    <t>Waheed Bhai Z</t>
  </si>
  <si>
    <t>World Mart</t>
  </si>
  <si>
    <t>NEWZEALAND (37083) @2.15</t>
  </si>
  <si>
    <t>AUSTRALIA  (83087) @ 2.3450</t>
  </si>
  <si>
    <t>November 30,2025</t>
  </si>
  <si>
    <t>Anas Starcity</t>
  </si>
  <si>
    <t>Faheem Karachi</t>
  </si>
  <si>
    <t>Haris Gujranwala</t>
  </si>
  <si>
    <t>moin hussain trading</t>
  </si>
  <si>
    <t>Hold stock</t>
  </si>
  <si>
    <t>Car</t>
  </si>
  <si>
    <t>SHIPPING CHARGES (11,421) @ 2.3715</t>
  </si>
  <si>
    <t>Shipping charges NZ 901 @ 2.15</t>
  </si>
  <si>
    <t>NEWZEALAND (10848) @2.15</t>
  </si>
  <si>
    <t>AUSTRALIA  (59868) @ 2.3715</t>
  </si>
  <si>
    <t>Old shipping amount adjustment</t>
  </si>
  <si>
    <t>Income Statement For March 2025</t>
  </si>
  <si>
    <t>Income Statement For Feb(last) 2025</t>
  </si>
  <si>
    <t>Revenues</t>
  </si>
  <si>
    <t>Sales Income</t>
  </si>
  <si>
    <t>Sales Discount</t>
  </si>
  <si>
    <t>Total Revenues</t>
  </si>
  <si>
    <t>Cost of Sales</t>
  </si>
  <si>
    <t>Cost of Goods Sold</t>
  </si>
  <si>
    <t>Profit</t>
  </si>
  <si>
    <t>Expenses</t>
  </si>
  <si>
    <t>Australia Office Exp</t>
  </si>
  <si>
    <t>Travelling Exp</t>
  </si>
  <si>
    <t>Mis. Exp</t>
  </si>
  <si>
    <t>Salaries Exp</t>
  </si>
  <si>
    <t>Shipping and Clearence</t>
  </si>
  <si>
    <t>Total Expense</t>
  </si>
  <si>
    <t>Net Income</t>
  </si>
  <si>
    <t>Income Statement Fom Feb 24 to Mar 31</t>
  </si>
  <si>
    <t>Jan</t>
  </si>
  <si>
    <t>Income Statement For April-2025</t>
  </si>
  <si>
    <t>Commision Charges</t>
  </si>
  <si>
    <t>Carray Charges</t>
  </si>
  <si>
    <t>Income Statement For May-2025</t>
  </si>
  <si>
    <t>Income Statement For June-2025</t>
  </si>
  <si>
    <t>Income Statement For July-2025</t>
  </si>
  <si>
    <t>Newzealand Expense</t>
  </si>
  <si>
    <t>USA Expense</t>
  </si>
  <si>
    <t>Karachi Office Expense</t>
  </si>
  <si>
    <t>Income Statement For August-2025</t>
  </si>
  <si>
    <t>Income Statement For September-2025</t>
  </si>
  <si>
    <t>Discount</t>
  </si>
  <si>
    <t>Dubai Office Exp</t>
  </si>
  <si>
    <t>Income Statement For October-2025</t>
  </si>
  <si>
    <t>Turbo Clearance Charges</t>
  </si>
  <si>
    <t>Karachi Office Rent</t>
  </si>
  <si>
    <t>Income Statement For November-2025</t>
  </si>
  <si>
    <t>Income Statement For December-2025</t>
  </si>
  <si>
    <t>Dubai &amp; Khi Office Exp</t>
  </si>
  <si>
    <t>December 31,2025</t>
  </si>
  <si>
    <t xml:space="preserve">Adeel China </t>
  </si>
  <si>
    <t xml:space="preserve">Amir Mughal </t>
  </si>
  <si>
    <t>Ashfaq Shahab Card</t>
  </si>
  <si>
    <t>CT Freight Melbourne</t>
  </si>
  <si>
    <t>CT Freight Newzealand</t>
  </si>
  <si>
    <t>Dji Hub</t>
  </si>
  <si>
    <t>easy buy</t>
  </si>
  <si>
    <t>Faheem Khi</t>
  </si>
  <si>
    <t>Hanzalah</t>
  </si>
  <si>
    <t>Humair Khi</t>
  </si>
  <si>
    <t>jawad bhai australia</t>
  </si>
  <si>
    <t>karachi office sale</t>
  </si>
  <si>
    <t>Megatop Australia</t>
  </si>
  <si>
    <t>Rad Al Madina</t>
  </si>
  <si>
    <t>Shapoor</t>
  </si>
  <si>
    <t>Shuja Sydney</t>
  </si>
  <si>
    <t>Umair B Smart</t>
  </si>
  <si>
    <t>Zeeshan</t>
  </si>
  <si>
    <t>NEWZEALAND (25185) @2.12</t>
  </si>
  <si>
    <t>AUSTRALIA  (135196) @ 2.4285</t>
  </si>
  <si>
    <t>COMPANY STANDING POSITION</t>
  </si>
  <si>
    <t>Total Receivable</t>
  </si>
  <si>
    <t>Total Payable</t>
  </si>
  <si>
    <t>Net Worth</t>
  </si>
  <si>
    <t>Income Statement For January-2026</t>
  </si>
  <si>
    <t>Loss A/C</t>
  </si>
  <si>
    <t>January 31,2026</t>
  </si>
  <si>
    <t>CT Freight NZ</t>
  </si>
  <si>
    <t>Faizan Ground Khi</t>
  </si>
  <si>
    <t xml:space="preserve">Haseeb Merchant </t>
  </si>
  <si>
    <t>Ibs ISB</t>
  </si>
  <si>
    <t>Karachi Office sale</t>
  </si>
  <si>
    <t>Mr Saad</t>
  </si>
  <si>
    <t>Phone 4 U</t>
  </si>
  <si>
    <t>Shahzaib ISB</t>
  </si>
  <si>
    <t>Waleed Bhai Aus</t>
  </si>
  <si>
    <t>Waqas MT</t>
  </si>
  <si>
    <t>AUSTRALIA  (180361) @ 2.4995</t>
  </si>
  <si>
    <t xml:space="preserve">Dubai &amp; </t>
  </si>
  <si>
    <t>Khi Office Exp</t>
  </si>
  <si>
    <t>5 % of Net</t>
  </si>
  <si>
    <t>remaining Amount</t>
  </si>
  <si>
    <t>profit 1</t>
  </si>
  <si>
    <t>40 percent</t>
  </si>
  <si>
    <t>profit 2</t>
  </si>
  <si>
    <t>60 percent</t>
  </si>
  <si>
    <t>Total (Investment )</t>
  </si>
  <si>
    <t>Investor</t>
  </si>
  <si>
    <t>Investment (AED)</t>
  </si>
  <si>
    <t>Ratio (Investment ÷ Total)</t>
  </si>
  <si>
    <t>Profit Share (AED)</t>
  </si>
  <si>
    <t>Abdul Rehman Bhai</t>
  </si>
  <si>
    <t xml:space="preserve">Waheed Bhai </t>
  </si>
  <si>
    <t>Formula for finding Investment Profit</t>
  </si>
  <si>
    <t>investment amount / total investment = percentage for profit</t>
  </si>
  <si>
    <t>40% percent of profit 2 WB</t>
  </si>
  <si>
    <t>30% percent of profit 2 AR</t>
  </si>
  <si>
    <t>30% percent of profit 2 FB</t>
  </si>
  <si>
    <r>
      <t xml:space="preserve">1441013 ÷ 24,45,320 = </t>
    </r>
    <r>
      <rPr>
        <b/>
        <sz val="11"/>
        <color theme="1"/>
        <rFont val="Aptos Narrow"/>
        <family val="2"/>
        <scheme val="minor"/>
      </rPr>
      <t>0.5892</t>
    </r>
  </si>
  <si>
    <r>
      <t xml:space="preserve">840365 ÷ 24,45,320 = </t>
    </r>
    <r>
      <rPr>
        <b/>
        <sz val="11"/>
        <color theme="1"/>
        <rFont val="Aptos Narrow"/>
        <family val="2"/>
        <scheme val="minor"/>
      </rPr>
      <t>0.3436</t>
    </r>
  </si>
  <si>
    <r>
      <t xml:space="preserve">163942 ÷ 24,45,320 = </t>
    </r>
    <r>
      <rPr>
        <b/>
        <sz val="11"/>
        <color theme="1"/>
        <rFont val="Aptos Narrow"/>
        <family val="2"/>
        <scheme val="minor"/>
      </rPr>
      <t>0.0670</t>
    </r>
  </si>
  <si>
    <r>
      <t xml:space="preserve">146,406.62 ×  0.5892= </t>
    </r>
    <r>
      <rPr>
        <b/>
        <sz val="11"/>
        <color theme="1"/>
        <rFont val="Aptos Narrow"/>
        <family val="2"/>
        <scheme val="minor"/>
      </rPr>
      <t>86,262.78</t>
    </r>
  </si>
  <si>
    <r>
      <t xml:space="preserve">146,406.62  ×  0.3436 = </t>
    </r>
    <r>
      <rPr>
        <b/>
        <sz val="11"/>
        <color theme="1"/>
        <rFont val="Aptos Narrow"/>
        <family val="2"/>
        <scheme val="minor"/>
      </rPr>
      <t>50,305.31</t>
    </r>
  </si>
  <si>
    <r>
      <t>146,406.62  × 0.0670 =</t>
    </r>
    <r>
      <rPr>
        <b/>
        <sz val="11"/>
        <color theme="1"/>
        <rFont val="Aptos Narrow"/>
        <family val="2"/>
        <scheme val="minor"/>
      </rPr>
      <t xml:space="preserve"> 9,809.24</t>
    </r>
  </si>
  <si>
    <t>40% of profit 2 + investment profit</t>
  </si>
  <si>
    <t>30% of profit 2 + investment profit</t>
  </si>
  <si>
    <t>Profit  33.33 percent</t>
  </si>
  <si>
    <t>Income Statement For Feburary-2026</t>
  </si>
  <si>
    <t>45% percent of profit 2 WB</t>
  </si>
  <si>
    <t>27.5% percent of profit 2 AR</t>
  </si>
  <si>
    <t>27.5% percent of profit 2 FB</t>
  </si>
  <si>
    <r>
      <t xml:space="preserve">1269227.69 ÷ 23,67,003 = </t>
    </r>
    <r>
      <rPr>
        <b/>
        <sz val="11"/>
        <color theme="1"/>
        <rFont val="Aptos Narrow"/>
        <family val="2"/>
        <scheme val="minor"/>
      </rPr>
      <t>0.536217</t>
    </r>
  </si>
  <si>
    <r>
      <t xml:space="preserve">950868 ÷ 23,67,003 = </t>
    </r>
    <r>
      <rPr>
        <b/>
        <sz val="11"/>
        <color theme="1"/>
        <rFont val="Aptos Narrow"/>
        <family val="2"/>
        <scheme val="minor"/>
      </rPr>
      <t>0.401718</t>
    </r>
  </si>
  <si>
    <r>
      <t xml:space="preserve">146908 ÷ 23,67,003 = </t>
    </r>
    <r>
      <rPr>
        <b/>
        <sz val="11"/>
        <color theme="1"/>
        <rFont val="Aptos Narrow"/>
        <family val="2"/>
        <scheme val="minor"/>
      </rPr>
      <t>0.06206</t>
    </r>
  </si>
  <si>
    <r>
      <t xml:space="preserve">121,364.13 ×  0.536217= </t>
    </r>
    <r>
      <rPr>
        <b/>
        <sz val="11"/>
        <color theme="1"/>
        <rFont val="Aptos Narrow"/>
        <family val="2"/>
        <scheme val="minor"/>
      </rPr>
      <t>65,077.51</t>
    </r>
  </si>
  <si>
    <r>
      <t xml:space="preserve">121,364.13 ×   0.401718= </t>
    </r>
    <r>
      <rPr>
        <b/>
        <sz val="11"/>
        <color theme="1"/>
        <rFont val="Aptos Narrow"/>
        <family val="2"/>
        <scheme val="minor"/>
      </rPr>
      <t>48,754.16</t>
    </r>
  </si>
  <si>
    <r>
      <t>121,364.13  × 0.06206 =</t>
    </r>
    <r>
      <rPr>
        <b/>
        <sz val="11"/>
        <color theme="1"/>
        <rFont val="Aptos Narrow"/>
        <family val="2"/>
        <scheme val="minor"/>
      </rPr>
      <t xml:space="preserve"> 7531.858</t>
    </r>
  </si>
  <si>
    <t>45% of profit 2 + investment profit</t>
  </si>
  <si>
    <t>27.5% of profit 2 + investment profit</t>
  </si>
  <si>
    <t>Income Statement For March-2026</t>
  </si>
  <si>
    <r>
      <t xml:space="preserve">1,470,053÷ 2,609,324 = </t>
    </r>
    <r>
      <rPr>
        <b/>
        <sz val="11"/>
        <color theme="1"/>
        <rFont val="Aptos Narrow"/>
        <family val="2"/>
        <scheme val="minor"/>
      </rPr>
      <t>0.56338</t>
    </r>
  </si>
  <si>
    <r>
      <t xml:space="preserve">9,41,421÷ 2,609,324 = </t>
    </r>
    <r>
      <rPr>
        <b/>
        <sz val="11"/>
        <color theme="1"/>
        <rFont val="Aptos Narrow"/>
        <family val="2"/>
        <scheme val="minor"/>
      </rPr>
      <t>0.36079</t>
    </r>
  </si>
  <si>
    <r>
      <t xml:space="preserve">1,97,850 ÷ 2,609,324 = </t>
    </r>
    <r>
      <rPr>
        <b/>
        <sz val="11"/>
        <color theme="1"/>
        <rFont val="Aptos Narrow"/>
        <family val="2"/>
        <scheme val="minor"/>
      </rPr>
      <t>0.07582</t>
    </r>
  </si>
  <si>
    <r>
      <t xml:space="preserve">58,663.18 × 0.56338 = </t>
    </r>
    <r>
      <rPr>
        <b/>
        <sz val="11"/>
        <color theme="1"/>
        <rFont val="Aptos Narrow"/>
        <family val="2"/>
        <scheme val="minor"/>
      </rPr>
      <t>33,049.66</t>
    </r>
  </si>
  <si>
    <r>
      <t xml:space="preserve">58,663.18 × 0.36079 = </t>
    </r>
    <r>
      <rPr>
        <b/>
        <sz val="11"/>
        <color theme="1"/>
        <rFont val="Aptos Narrow"/>
        <family val="2"/>
        <scheme val="minor"/>
      </rPr>
      <t>21,165.08</t>
    </r>
  </si>
  <si>
    <r>
      <t>58,663.18 × 0.07582  =</t>
    </r>
    <r>
      <rPr>
        <b/>
        <sz val="11"/>
        <color theme="1"/>
        <rFont val="Aptos Narrow"/>
        <family val="2"/>
        <scheme val="minor"/>
      </rPr>
      <t xml:space="preserve"> 4,447.84</t>
    </r>
  </si>
  <si>
    <t>Income Statement For April-2026</t>
  </si>
  <si>
    <r>
      <t xml:space="preserve">1726257 ÷ 30,41,435 = </t>
    </r>
    <r>
      <rPr>
        <b/>
        <sz val="11"/>
        <color theme="1"/>
        <rFont val="Aptos Narrow"/>
        <family val="2"/>
        <scheme val="minor"/>
      </rPr>
      <t>0.567579</t>
    </r>
  </si>
  <si>
    <r>
      <t xml:space="preserve">1116677 ÷ 30,41,435 = </t>
    </r>
    <r>
      <rPr>
        <b/>
        <sz val="11"/>
        <color theme="1"/>
        <rFont val="Aptos Narrow"/>
        <family val="2"/>
        <scheme val="minor"/>
      </rPr>
      <t>0.367154</t>
    </r>
  </si>
  <si>
    <r>
      <t xml:space="preserve">198501 ÷ 30,41,435 = </t>
    </r>
    <r>
      <rPr>
        <b/>
        <sz val="11"/>
        <color theme="1"/>
        <rFont val="Aptos Narrow"/>
        <family val="2"/>
        <scheme val="minor"/>
      </rPr>
      <t>0.065265</t>
    </r>
  </si>
  <si>
    <r>
      <t xml:space="preserve">95,390.73 × 0.567579 = </t>
    </r>
    <r>
      <rPr>
        <b/>
        <sz val="11"/>
        <color theme="1"/>
        <rFont val="Aptos Narrow"/>
        <family val="2"/>
        <scheme val="minor"/>
      </rPr>
      <t>54,141.77</t>
    </r>
  </si>
  <si>
    <r>
      <t xml:space="preserve">95,390.73 × 0.367154 = </t>
    </r>
    <r>
      <rPr>
        <b/>
        <sz val="11"/>
        <color theme="1"/>
        <rFont val="Aptos Narrow"/>
        <family val="2"/>
        <scheme val="minor"/>
      </rPr>
      <t>35,023.08</t>
    </r>
  </si>
  <si>
    <r>
      <t>95,390.73 × 0.065265 =</t>
    </r>
    <r>
      <rPr>
        <b/>
        <sz val="11"/>
        <color theme="1"/>
        <rFont val="Aptos Narrow"/>
        <family val="2"/>
        <scheme val="minor"/>
      </rPr>
      <t xml:space="preserve"> 6,225.67</t>
    </r>
  </si>
  <si>
    <t>Income Statement For May-2026</t>
  </si>
  <si>
    <t>May 31,2026</t>
  </si>
  <si>
    <t>ABDUL RAZAK WORLD PRO</t>
  </si>
  <si>
    <t>ADEEL KARACHI</t>
  </si>
  <si>
    <t>ANSARI EXCHANGE</t>
  </si>
  <si>
    <t>AUSTRALIA PURCHASING</t>
  </si>
  <si>
    <t>EURONEXT 408</t>
  </si>
  <si>
    <t>GARDEN STAR</t>
  </si>
  <si>
    <t>MAAZ STAFF</t>
  </si>
  <si>
    <t>NEW ZEALAND PURCHASING</t>
  </si>
  <si>
    <t>SALMAN KARACHI</t>
  </si>
  <si>
    <t>SAQIB MEEZAN</t>
  </si>
  <si>
    <t>TELEWORLD</t>
  </si>
  <si>
    <t>WASEEM 303</t>
  </si>
  <si>
    <t>WOJIN TECHNOLOGIES</t>
  </si>
  <si>
    <t>Abubaker</t>
  </si>
  <si>
    <t>ABUZAR DUBAI</t>
  </si>
  <si>
    <t>FAIZAN SULAIMAN</t>
  </si>
  <si>
    <t>FARAZ GVT</t>
  </si>
  <si>
    <t>HAZARTO</t>
  </si>
  <si>
    <t>METRO DELUXE</t>
  </si>
  <si>
    <t>NADEEM TURKIYA</t>
  </si>
  <si>
    <t>NEW GADGET</t>
  </si>
  <si>
    <t>ONTELL</t>
  </si>
  <si>
    <t>RAAD AL MADINA</t>
  </si>
  <si>
    <t>SALEEM</t>
  </si>
  <si>
    <t>ZUBAIR ISPEC</t>
  </si>
  <si>
    <t>AUSTRALIA  (71,452.34) @ 2.6010</t>
  </si>
  <si>
    <t>NEWZEALAND (34892.34) @2.15</t>
  </si>
  <si>
    <r>
      <t xml:space="preserve">1798132÷ 3248962= </t>
    </r>
    <r>
      <rPr>
        <b/>
        <sz val="11"/>
        <color theme="1"/>
        <rFont val="Aptos Narrow"/>
        <family val="2"/>
        <scheme val="minor"/>
      </rPr>
      <t>0.55344</t>
    </r>
  </si>
  <si>
    <r>
      <t xml:space="preserve">1161683 ÷ 3248962 = </t>
    </r>
    <r>
      <rPr>
        <b/>
        <sz val="11"/>
        <color theme="1"/>
        <rFont val="Aptos Narrow"/>
        <family val="2"/>
        <scheme val="minor"/>
      </rPr>
      <t>0.35755</t>
    </r>
  </si>
  <si>
    <r>
      <t xml:space="preserve">289147 ÷ 3248962 = </t>
    </r>
    <r>
      <rPr>
        <b/>
        <sz val="11"/>
        <color theme="1"/>
        <rFont val="Aptos Narrow"/>
        <family val="2"/>
        <scheme val="minor"/>
      </rPr>
      <t>0.08899</t>
    </r>
  </si>
  <si>
    <r>
      <t xml:space="preserve">130,335.32 × 0.55344 = </t>
    </r>
    <r>
      <rPr>
        <b/>
        <sz val="11"/>
        <color theme="1"/>
        <rFont val="Aptos Narrow"/>
        <family val="2"/>
        <scheme val="minor"/>
      </rPr>
      <t>72,132.77</t>
    </r>
  </si>
  <si>
    <r>
      <t xml:space="preserve">130,335.32 × 0.35755 = </t>
    </r>
    <r>
      <rPr>
        <b/>
        <sz val="11"/>
        <color theme="1"/>
        <rFont val="Aptos Narrow"/>
        <family val="2"/>
        <scheme val="minor"/>
      </rPr>
      <t>46,601.39</t>
    </r>
  </si>
  <si>
    <r>
      <t>130,335.32 × 0.08899 =</t>
    </r>
    <r>
      <rPr>
        <b/>
        <sz val="11"/>
        <color theme="1"/>
        <rFont val="Aptos Narrow"/>
        <family val="2"/>
        <scheme val="minor"/>
      </rPr>
      <t xml:space="preserve"> 11,598.54</t>
    </r>
  </si>
  <si>
    <t>Income Statement For June-2026</t>
  </si>
  <si>
    <t>Khi Carry &amp; Shop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</si>
</sst>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&quot;AED&quot;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charset val="1"/>
      <scheme val="minor"/>
    </font>
    <font>
      <sz val="8"/>
      <color theme="1"/>
      <name val="Aptos Narrow"/>
      <family val="2"/>
      <charset val="1"/>
      <scheme val="minor"/>
    </font>
    <font>
      <b/>
      <sz val="8"/>
      <color theme="1"/>
      <name val="Aptos Narrow"/>
      <family val="2"/>
      <charset val="1"/>
      <scheme val="minor"/>
    </font>
    <font>
      <b/>
      <sz val="8"/>
      <color theme="1"/>
      <name val="Aptos Narrow"/>
      <family val="2"/>
      <scheme val="minor"/>
    </font>
    <font>
      <b/>
      <sz val="20"/>
      <color theme="1" tint="0.3499862666707357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rgb="FF1E293B"/>
      <name val="Arial"/>
      <family val="2"/>
    </font>
    <font>
      <sz val="10"/>
      <color rgb="FF1E293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/>
    <xf numFmtId="44" fontId="3" fillId="0" borderId="1" xfId="0" applyNumberFormat="1" applyFont="1" applyBorder="1"/>
    <xf numFmtId="0" fontId="3" fillId="0" borderId="0" xfId="0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2" fillId="2" borderId="0" xfId="0" applyFont="1" applyFill="1"/>
    <xf numFmtId="44" fontId="2" fillId="2" borderId="2" xfId="0" applyNumberFormat="1" applyFont="1" applyFill="1" applyBorder="1"/>
    <xf numFmtId="44" fontId="2" fillId="2" borderId="0" xfId="0" applyNumberFormat="1" applyFont="1" applyFill="1"/>
    <xf numFmtId="0" fontId="3" fillId="0" borderId="1" xfId="0" applyFont="1" applyBorder="1"/>
    <xf numFmtId="0" fontId="3" fillId="0" borderId="3" xfId="0" applyFont="1" applyBorder="1"/>
    <xf numFmtId="4" fontId="3" fillId="0" borderId="0" xfId="0" applyNumberFormat="1" applyFont="1"/>
    <xf numFmtId="0" fontId="5" fillId="0" borderId="0" xfId="0" applyFont="1"/>
    <xf numFmtId="0" fontId="2" fillId="2" borderId="3" xfId="0" applyFont="1" applyFill="1" applyBorder="1"/>
    <xf numFmtId="44" fontId="0" fillId="0" borderId="0" xfId="0" applyNumberFormat="1"/>
    <xf numFmtId="0" fontId="3" fillId="0" borderId="4" xfId="0" applyFont="1" applyBorder="1"/>
    <xf numFmtId="4" fontId="3" fillId="0" borderId="1" xfId="0" applyNumberFormat="1" applyFont="1" applyBorder="1"/>
    <xf numFmtId="4" fontId="0" fillId="0" borderId="0" xfId="0" applyNumberFormat="1"/>
    <xf numFmtId="0" fontId="8" fillId="0" borderId="1" xfId="0" applyFont="1" applyBorder="1"/>
    <xf numFmtId="44" fontId="9" fillId="0" borderId="1" xfId="0" applyNumberFormat="1" applyFont="1" applyBorder="1"/>
    <xf numFmtId="0" fontId="9" fillId="0" borderId="0" xfId="0" applyFont="1"/>
    <xf numFmtId="0" fontId="8" fillId="0" borderId="0" xfId="0" applyFont="1"/>
    <xf numFmtId="0" fontId="6" fillId="3" borderId="0" xfId="0" applyFont="1" applyFill="1"/>
    <xf numFmtId="44" fontId="10" fillId="3" borderId="0" xfId="0" applyNumberFormat="1" applyFont="1" applyFill="1"/>
    <xf numFmtId="44" fontId="9" fillId="0" borderId="0" xfId="0" applyNumberFormat="1" applyFont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Fill="1" applyBorder="1"/>
    <xf numFmtId="0" fontId="3" fillId="0" borderId="4" xfId="0" applyFont="1" applyFill="1" applyBorder="1"/>
    <xf numFmtId="44" fontId="3" fillId="0" borderId="0" xfId="0" applyNumberFormat="1" applyFont="1" applyFill="1" applyBorder="1"/>
    <xf numFmtId="44" fontId="3" fillId="0" borderId="5" xfId="0" applyNumberFormat="1" applyFont="1" applyFill="1" applyBorder="1"/>
    <xf numFmtId="0" fontId="3" fillId="0" borderId="0" xfId="0" applyFont="1" applyBorder="1"/>
    <xf numFmtId="44" fontId="3" fillId="0" borderId="0" xfId="0" applyNumberFormat="1" applyFont="1" applyBorder="1"/>
    <xf numFmtId="0" fontId="11" fillId="8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44" fontId="0" fillId="6" borderId="1" xfId="0" applyNumberFormat="1" applyFill="1" applyBorder="1"/>
    <xf numFmtId="44" fontId="0" fillId="0" borderId="1" xfId="0" applyNumberFormat="1" applyBorder="1"/>
    <xf numFmtId="44" fontId="0" fillId="7" borderId="1" xfId="0" applyNumberFormat="1" applyFill="1" applyBorder="1"/>
    <xf numFmtId="44" fontId="0" fillId="5" borderId="1" xfId="0" applyNumberFormat="1" applyFill="1" applyBorder="1"/>
    <xf numFmtId="164" fontId="10" fillId="3" borderId="0" xfId="0" applyNumberFormat="1" applyFont="1" applyFill="1"/>
    <xf numFmtId="0" fontId="6" fillId="0" borderId="0" xfId="0" applyFont="1"/>
    <xf numFmtId="164" fontId="10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/>
    <xf numFmtId="0" fontId="1" fillId="0" borderId="0" xfId="0" applyFont="1"/>
    <xf numFmtId="17" fontId="1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AF5F-3B58-4B55-AEC1-ED45794DB4E3}">
  <sheetPr codeName="Sheet1"/>
  <dimension ref="B1:I620"/>
  <sheetViews>
    <sheetView topLeftCell="A576" zoomScaleNormal="100" workbookViewId="0">
      <selection activeCell="C600" sqref="C600"/>
    </sheetView>
  </sheetViews>
  <sheetFormatPr defaultRowHeight="15" x14ac:dyDescent="0.25"/>
  <cols>
    <col min="1" max="1" width="13.7109375" customWidth="1"/>
    <col min="2" max="2" width="33.5703125" customWidth="1"/>
    <col min="3" max="3" width="40.28515625" customWidth="1"/>
    <col min="4" max="4" width="16.140625" customWidth="1"/>
    <col min="5" max="5" width="26" customWidth="1"/>
    <col min="6" max="6" width="15" customWidth="1"/>
    <col min="8" max="8" width="29.7109375" customWidth="1"/>
    <col min="9" max="9" width="16.7109375" customWidth="1"/>
  </cols>
  <sheetData>
    <row r="1" spans="2:6" x14ac:dyDescent="0.25">
      <c r="B1" s="1" t="s">
        <v>0</v>
      </c>
      <c r="C1" s="2">
        <v>934957</v>
      </c>
      <c r="D1" s="3"/>
      <c r="E1" s="3" t="s">
        <v>1</v>
      </c>
      <c r="F1" s="4"/>
    </row>
    <row r="2" spans="2:6" x14ac:dyDescent="0.25">
      <c r="B2" s="3"/>
      <c r="C2" s="4"/>
      <c r="D2" s="3"/>
      <c r="E2" s="3"/>
      <c r="F2" s="4"/>
    </row>
    <row r="3" spans="2:6" x14ac:dyDescent="0.25">
      <c r="B3" s="5" t="s">
        <v>2</v>
      </c>
      <c r="C3" s="4"/>
      <c r="D3" s="3"/>
      <c r="E3" s="60" t="s">
        <v>3</v>
      </c>
      <c r="F3" s="60"/>
    </row>
    <row r="4" spans="2:6" x14ac:dyDescent="0.25">
      <c r="B4" s="6" t="s">
        <v>4</v>
      </c>
      <c r="C4" s="7"/>
      <c r="D4" s="3"/>
      <c r="E4" s="6" t="s">
        <v>4</v>
      </c>
      <c r="F4" s="8"/>
    </row>
    <row r="5" spans="2:6" x14ac:dyDescent="0.25">
      <c r="B5" s="9" t="s">
        <v>5</v>
      </c>
      <c r="C5" s="2">
        <v>23662.336800000001</v>
      </c>
      <c r="D5" s="3"/>
      <c r="F5" s="2"/>
    </row>
    <row r="6" spans="2:6" x14ac:dyDescent="0.25">
      <c r="B6" s="10" t="s">
        <v>6</v>
      </c>
      <c r="C6" s="2">
        <v>17600</v>
      </c>
      <c r="D6" s="3"/>
      <c r="E6" s="3" t="s">
        <v>7</v>
      </c>
      <c r="F6" s="2">
        <v>5840.5</v>
      </c>
    </row>
    <row r="7" spans="2:6" x14ac:dyDescent="0.25">
      <c r="B7" s="10"/>
      <c r="C7" s="2"/>
      <c r="D7" s="3"/>
      <c r="E7" s="10" t="s">
        <v>8</v>
      </c>
      <c r="F7" s="2">
        <v>573</v>
      </c>
    </row>
    <row r="8" spans="2:6" x14ac:dyDescent="0.25">
      <c r="B8" s="3" t="s">
        <v>9</v>
      </c>
      <c r="C8" s="2">
        <v>1450</v>
      </c>
      <c r="D8" s="3"/>
      <c r="E8" s="9"/>
      <c r="F8" s="2"/>
    </row>
    <row r="9" spans="2:6" x14ac:dyDescent="0.25">
      <c r="B9" s="10"/>
      <c r="C9" s="2"/>
      <c r="D9" s="3"/>
      <c r="E9" s="9" t="s">
        <v>10</v>
      </c>
      <c r="F9" s="2">
        <v>200</v>
      </c>
    </row>
    <row r="10" spans="2:6" x14ac:dyDescent="0.25">
      <c r="B10" s="10" t="s">
        <v>11</v>
      </c>
      <c r="C10" s="2">
        <v>650</v>
      </c>
      <c r="D10" s="3"/>
      <c r="E10" s="9" t="s">
        <v>12</v>
      </c>
      <c r="F10" s="2">
        <v>597</v>
      </c>
    </row>
    <row r="11" spans="2:6" x14ac:dyDescent="0.25">
      <c r="B11" s="10" t="s">
        <v>13</v>
      </c>
      <c r="C11" s="2">
        <v>19071</v>
      </c>
      <c r="D11" s="3"/>
      <c r="E11" s="3"/>
      <c r="F11" s="4"/>
    </row>
    <row r="12" spans="2:6" x14ac:dyDescent="0.25">
      <c r="B12" s="10" t="s">
        <v>14</v>
      </c>
      <c r="C12" s="2">
        <v>3452</v>
      </c>
      <c r="D12" s="3"/>
      <c r="E12" s="9" t="s">
        <v>15</v>
      </c>
      <c r="F12" s="2">
        <v>95582</v>
      </c>
    </row>
    <row r="13" spans="2:6" x14ac:dyDescent="0.25">
      <c r="B13" s="10" t="s">
        <v>16</v>
      </c>
      <c r="C13" s="2">
        <v>600</v>
      </c>
      <c r="D13" s="3"/>
      <c r="E13" s="3"/>
      <c r="F13" s="4"/>
    </row>
    <row r="14" spans="2:6" x14ac:dyDescent="0.25">
      <c r="B14" s="10" t="s">
        <v>17</v>
      </c>
      <c r="C14" s="2">
        <v>4640</v>
      </c>
      <c r="D14" s="3"/>
      <c r="E14" s="3"/>
      <c r="F14" s="4"/>
    </row>
    <row r="15" spans="2:6" x14ac:dyDescent="0.25">
      <c r="B15" s="10"/>
      <c r="C15" s="2"/>
      <c r="D15" s="3"/>
      <c r="E15" s="9" t="s">
        <v>18</v>
      </c>
      <c r="F15" s="2">
        <v>712356</v>
      </c>
    </row>
    <row r="16" spans="2:6" x14ac:dyDescent="0.25">
      <c r="B16" s="10" t="s">
        <v>19</v>
      </c>
      <c r="C16" s="2">
        <v>2330</v>
      </c>
      <c r="D16" s="3"/>
      <c r="E16" s="3"/>
      <c r="F16" s="4"/>
    </row>
    <row r="17" spans="2:6" x14ac:dyDescent="0.25">
      <c r="B17" s="10" t="s">
        <v>20</v>
      </c>
      <c r="C17" s="2">
        <v>500</v>
      </c>
      <c r="D17" s="3"/>
      <c r="E17" s="3"/>
      <c r="F17" s="4"/>
    </row>
    <row r="18" spans="2:6" x14ac:dyDescent="0.25">
      <c r="B18" s="10" t="s">
        <v>21</v>
      </c>
      <c r="C18" s="2">
        <v>475</v>
      </c>
      <c r="D18" s="3"/>
      <c r="E18" s="9" t="s">
        <v>22</v>
      </c>
      <c r="F18" s="2">
        <v>74867</v>
      </c>
    </row>
    <row r="19" spans="2:6" x14ac:dyDescent="0.25">
      <c r="B19" s="10" t="s">
        <v>23</v>
      </c>
      <c r="C19" s="2">
        <v>7900.38</v>
      </c>
      <c r="D19" s="3"/>
      <c r="E19" s="9" t="s">
        <v>24</v>
      </c>
      <c r="F19" s="2">
        <v>570804</v>
      </c>
    </row>
    <row r="20" spans="2:6" x14ac:dyDescent="0.25">
      <c r="B20" s="10" t="s">
        <v>25</v>
      </c>
      <c r="C20" s="2"/>
      <c r="D20" s="3"/>
      <c r="E20" s="9" t="s">
        <v>26</v>
      </c>
      <c r="F20" s="2">
        <v>118119</v>
      </c>
    </row>
    <row r="21" spans="2:6" x14ac:dyDescent="0.25">
      <c r="B21" s="10" t="s">
        <v>27</v>
      </c>
      <c r="C21" s="2">
        <v>3670</v>
      </c>
      <c r="D21" s="3"/>
      <c r="E21" s="3"/>
      <c r="F21" s="4"/>
    </row>
    <row r="22" spans="2:6" x14ac:dyDescent="0.25">
      <c r="B22" s="10" t="s">
        <v>28</v>
      </c>
      <c r="C22" s="2">
        <v>90040</v>
      </c>
      <c r="D22" s="3"/>
      <c r="E22" s="9" t="s">
        <v>29</v>
      </c>
      <c r="F22" s="2">
        <v>42200</v>
      </c>
    </row>
    <row r="23" spans="2:6" x14ac:dyDescent="0.25">
      <c r="B23" s="10" t="s">
        <v>30</v>
      </c>
      <c r="C23" s="2">
        <v>1180</v>
      </c>
      <c r="D23" s="3"/>
      <c r="E23" s="3" t="s">
        <v>31</v>
      </c>
      <c r="F23" s="4">
        <v>46661</v>
      </c>
    </row>
    <row r="24" spans="2:6" x14ac:dyDescent="0.25">
      <c r="B24" s="10" t="s">
        <v>32</v>
      </c>
      <c r="C24" s="2">
        <v>28982</v>
      </c>
      <c r="D24" s="3"/>
      <c r="E24" s="11"/>
      <c r="F24" s="4"/>
    </row>
    <row r="25" spans="2:6" x14ac:dyDescent="0.25">
      <c r="B25" s="9" t="s">
        <v>33</v>
      </c>
      <c r="C25" s="2">
        <v>692</v>
      </c>
      <c r="D25" s="3"/>
      <c r="E25" t="s">
        <v>34</v>
      </c>
      <c r="F25" s="4">
        <f>SUM(F7:F24)</f>
        <v>1661959</v>
      </c>
    </row>
    <row r="26" spans="2:6" x14ac:dyDescent="0.25">
      <c r="B26" s="9" t="s">
        <v>35</v>
      </c>
      <c r="C26" s="2">
        <v>2925</v>
      </c>
      <c r="D26" s="3"/>
      <c r="E26" s="3"/>
      <c r="F26" s="4"/>
    </row>
    <row r="27" spans="2:6" x14ac:dyDescent="0.25">
      <c r="B27" s="9" t="s">
        <v>36</v>
      </c>
      <c r="C27" s="2">
        <v>118.28</v>
      </c>
      <c r="D27" s="3"/>
      <c r="E27" s="3"/>
      <c r="F27" s="4"/>
    </row>
    <row r="28" spans="2:6" x14ac:dyDescent="0.25">
      <c r="B28" s="9" t="s">
        <v>37</v>
      </c>
      <c r="C28" s="2">
        <v>272</v>
      </c>
      <c r="D28" s="3"/>
      <c r="E28" s="3"/>
      <c r="F28" s="4"/>
    </row>
    <row r="29" spans="2:6" x14ac:dyDescent="0.25">
      <c r="B29" s="9"/>
      <c r="C29" s="2"/>
      <c r="D29" s="3"/>
      <c r="E29" s="3"/>
      <c r="F29" s="4"/>
    </row>
    <row r="30" spans="2:6" x14ac:dyDescent="0.25">
      <c r="B30" s="9" t="s">
        <v>38</v>
      </c>
      <c r="C30" s="2">
        <v>169226.984</v>
      </c>
      <c r="D30" s="3"/>
      <c r="E30" s="12"/>
      <c r="F30" s="4"/>
    </row>
    <row r="31" spans="2:6" x14ac:dyDescent="0.25">
      <c r="B31" s="9" t="s">
        <v>39</v>
      </c>
      <c r="C31" s="2">
        <v>174748.86</v>
      </c>
      <c r="D31" s="3"/>
      <c r="E31" s="3"/>
      <c r="F31" s="4"/>
    </row>
    <row r="32" spans="2:6" x14ac:dyDescent="0.25">
      <c r="B32" s="9" t="s">
        <v>40</v>
      </c>
      <c r="C32" s="2">
        <v>201092.42199999999</v>
      </c>
      <c r="D32" s="3"/>
      <c r="E32" s="3"/>
      <c r="F32" s="4"/>
    </row>
    <row r="33" spans="2:6" x14ac:dyDescent="0.25">
      <c r="B33" s="9"/>
      <c r="C33" s="2"/>
      <c r="D33" s="3"/>
      <c r="E33" s="3"/>
      <c r="F33" s="4"/>
    </row>
    <row r="34" spans="2:6" x14ac:dyDescent="0.25">
      <c r="B34" s="13" t="s">
        <v>41</v>
      </c>
      <c r="C34" s="2">
        <v>8021</v>
      </c>
      <c r="D34" s="3"/>
      <c r="E34" s="3"/>
      <c r="F34" s="4"/>
    </row>
    <row r="35" spans="2:6" x14ac:dyDescent="0.25">
      <c r="B35" s="3"/>
      <c r="C35" s="4"/>
      <c r="D35" s="3"/>
      <c r="E35" s="3"/>
      <c r="F35" s="4"/>
    </row>
    <row r="36" spans="2:6" x14ac:dyDescent="0.25">
      <c r="B36" s="3" t="s">
        <v>42</v>
      </c>
      <c r="C36" s="4">
        <f>SUM(C1:C35)</f>
        <v>1698256.2627999999</v>
      </c>
      <c r="D36" s="3"/>
      <c r="E36" s="3"/>
      <c r="F36" s="4"/>
    </row>
    <row r="37" spans="2:6" x14ac:dyDescent="0.25">
      <c r="B37" s="3"/>
      <c r="C37" s="4"/>
      <c r="D37" s="3"/>
      <c r="E37" s="3"/>
      <c r="F37" s="4"/>
    </row>
    <row r="38" spans="2:6" x14ac:dyDescent="0.25">
      <c r="B38" s="3"/>
      <c r="C38" s="4"/>
      <c r="D38" s="3"/>
      <c r="E38" s="3"/>
      <c r="F38" s="4"/>
    </row>
    <row r="39" spans="2:6" x14ac:dyDescent="0.25">
      <c r="B39" s="3"/>
      <c r="C39" s="8" t="s">
        <v>43</v>
      </c>
      <c r="D39" s="8">
        <f>C36-F25</f>
        <v>36297.262799999909</v>
      </c>
      <c r="E39" s="3"/>
      <c r="F39" s="4"/>
    </row>
    <row r="40" spans="2:6" x14ac:dyDescent="0.25">
      <c r="C40" s="14"/>
    </row>
    <row r="41" spans="2:6" x14ac:dyDescent="0.25">
      <c r="C41" s="14"/>
    </row>
    <row r="42" spans="2:6" x14ac:dyDescent="0.25">
      <c r="C42" s="14"/>
    </row>
    <row r="43" spans="2:6" x14ac:dyDescent="0.25">
      <c r="C43" s="14"/>
    </row>
    <row r="44" spans="2:6" x14ac:dyDescent="0.25">
      <c r="C44" s="14"/>
    </row>
    <row r="45" spans="2:6" x14ac:dyDescent="0.25">
      <c r="C45" s="14"/>
    </row>
    <row r="46" spans="2:6" x14ac:dyDescent="0.25">
      <c r="B46" s="1" t="s">
        <v>0</v>
      </c>
      <c r="C46" s="2">
        <v>919382</v>
      </c>
      <c r="D46" s="3"/>
      <c r="E46" s="3" t="s">
        <v>44</v>
      </c>
      <c r="F46" s="4"/>
    </row>
    <row r="47" spans="2:6" x14ac:dyDescent="0.25">
      <c r="B47" s="3"/>
      <c r="C47" s="4"/>
      <c r="D47" s="3"/>
      <c r="E47" s="3"/>
      <c r="F47" s="4"/>
    </row>
    <row r="48" spans="2:6" x14ac:dyDescent="0.25">
      <c r="B48" s="5" t="s">
        <v>2</v>
      </c>
      <c r="C48" s="4"/>
      <c r="D48" s="3"/>
      <c r="E48" s="60" t="s">
        <v>3</v>
      </c>
      <c r="F48" s="60"/>
    </row>
    <row r="49" spans="2:6" x14ac:dyDescent="0.25">
      <c r="B49" s="6" t="s">
        <v>4</v>
      </c>
      <c r="C49" s="7"/>
      <c r="D49" s="3"/>
      <c r="E49" s="6" t="s">
        <v>4</v>
      </c>
      <c r="F49" s="8"/>
    </row>
    <row r="50" spans="2:6" x14ac:dyDescent="0.25">
      <c r="B50" s="9" t="s">
        <v>45</v>
      </c>
      <c r="C50" s="2">
        <v>110</v>
      </c>
      <c r="D50" s="3"/>
      <c r="E50" s="3" t="s">
        <v>46</v>
      </c>
      <c r="F50" s="2">
        <v>73300</v>
      </c>
    </row>
    <row r="51" spans="2:6" x14ac:dyDescent="0.25">
      <c r="B51" s="10" t="s">
        <v>47</v>
      </c>
      <c r="C51" s="2">
        <v>2465</v>
      </c>
      <c r="D51" s="3"/>
      <c r="E51" s="10" t="s">
        <v>48</v>
      </c>
      <c r="F51" s="2">
        <v>42197</v>
      </c>
    </row>
    <row r="52" spans="2:6" x14ac:dyDescent="0.25">
      <c r="B52" s="10" t="s">
        <v>49</v>
      </c>
      <c r="C52" s="2">
        <v>1675</v>
      </c>
      <c r="D52" s="3"/>
      <c r="E52" t="s">
        <v>50</v>
      </c>
      <c r="F52" s="2">
        <v>135236</v>
      </c>
    </row>
    <row r="53" spans="2:6" x14ac:dyDescent="0.25">
      <c r="C53" s="2"/>
      <c r="D53" s="3"/>
      <c r="E53" s="9" t="s">
        <v>51</v>
      </c>
      <c r="F53" s="2">
        <v>19320</v>
      </c>
    </row>
    <row r="54" spans="2:6" x14ac:dyDescent="0.25">
      <c r="B54" s="10" t="s">
        <v>52</v>
      </c>
      <c r="C54" s="2">
        <v>650</v>
      </c>
      <c r="D54" s="3"/>
      <c r="E54" s="9" t="s">
        <v>10</v>
      </c>
      <c r="F54" s="2">
        <v>200</v>
      </c>
    </row>
    <row r="55" spans="2:6" x14ac:dyDescent="0.25">
      <c r="B55" s="10" t="s">
        <v>53</v>
      </c>
      <c r="C55" s="2">
        <v>1450</v>
      </c>
      <c r="D55" s="3"/>
      <c r="E55" s="9" t="s">
        <v>12</v>
      </c>
      <c r="F55" s="2">
        <v>597</v>
      </c>
    </row>
    <row r="56" spans="2:6" x14ac:dyDescent="0.25">
      <c r="B56" s="10" t="s">
        <v>54</v>
      </c>
      <c r="C56" s="2">
        <v>19071</v>
      </c>
      <c r="D56" s="3"/>
      <c r="E56" s="10"/>
      <c r="F56" s="4"/>
    </row>
    <row r="57" spans="2:6" x14ac:dyDescent="0.25">
      <c r="B57" s="10" t="s">
        <v>55</v>
      </c>
      <c r="C57" s="2">
        <v>3452</v>
      </c>
      <c r="D57" s="3"/>
      <c r="E57" s="9" t="s">
        <v>15</v>
      </c>
      <c r="F57" s="2">
        <v>234760</v>
      </c>
    </row>
    <row r="58" spans="2:6" x14ac:dyDescent="0.25">
      <c r="B58" s="10" t="s">
        <v>56</v>
      </c>
      <c r="C58" s="2">
        <v>2450</v>
      </c>
      <c r="D58" s="3"/>
      <c r="E58" s="9" t="s">
        <v>57</v>
      </c>
      <c r="F58" s="4">
        <v>73176</v>
      </c>
    </row>
    <row r="59" spans="2:6" x14ac:dyDescent="0.25">
      <c r="B59" s="10" t="s">
        <v>58</v>
      </c>
      <c r="C59" s="2">
        <v>13750</v>
      </c>
      <c r="D59" s="3"/>
      <c r="E59" s="3"/>
      <c r="F59" s="4"/>
    </row>
    <row r="60" spans="2:6" x14ac:dyDescent="0.25">
      <c r="B60" s="10" t="s">
        <v>59</v>
      </c>
      <c r="C60" s="2">
        <v>475</v>
      </c>
      <c r="D60" s="3"/>
      <c r="E60" s="9" t="s">
        <v>18</v>
      </c>
      <c r="F60" s="2">
        <v>718961</v>
      </c>
    </row>
    <row r="61" spans="2:6" x14ac:dyDescent="0.25">
      <c r="C61" s="2"/>
      <c r="D61" s="3"/>
      <c r="E61" s="3"/>
      <c r="F61" s="4"/>
    </row>
    <row r="62" spans="2:6" x14ac:dyDescent="0.25">
      <c r="B62" t="s">
        <v>60</v>
      </c>
      <c r="C62" s="2">
        <v>3713</v>
      </c>
      <c r="D62" s="3"/>
      <c r="E62" s="3"/>
      <c r="F62" s="4"/>
    </row>
    <row r="63" spans="2:6" x14ac:dyDescent="0.25">
      <c r="B63" s="10" t="s">
        <v>61</v>
      </c>
      <c r="C63" s="2">
        <v>101994</v>
      </c>
      <c r="D63" s="3"/>
      <c r="E63" s="9"/>
      <c r="F63" s="2"/>
    </row>
    <row r="64" spans="2:6" x14ac:dyDescent="0.25">
      <c r="C64" s="2"/>
      <c r="D64" s="3"/>
      <c r="E64" s="9" t="s">
        <v>24</v>
      </c>
      <c r="F64" s="2">
        <v>537702</v>
      </c>
    </row>
    <row r="65" spans="2:6" x14ac:dyDescent="0.25">
      <c r="B65" s="10" t="s">
        <v>62</v>
      </c>
      <c r="C65" s="2">
        <v>215451</v>
      </c>
      <c r="D65" s="3"/>
      <c r="E65" s="9" t="s">
        <v>26</v>
      </c>
      <c r="F65" s="2">
        <v>109912</v>
      </c>
    </row>
    <row r="66" spans="2:6" x14ac:dyDescent="0.25">
      <c r="B66" s="10" t="s">
        <v>63</v>
      </c>
      <c r="C66" s="2">
        <v>1180</v>
      </c>
      <c r="D66" s="3"/>
      <c r="E66" s="3"/>
      <c r="F66" s="4"/>
    </row>
    <row r="67" spans="2:6" x14ac:dyDescent="0.25">
      <c r="B67" t="s">
        <v>64</v>
      </c>
      <c r="C67" s="2">
        <v>93337.8</v>
      </c>
      <c r="D67" s="3"/>
      <c r="E67" s="9" t="s">
        <v>29</v>
      </c>
      <c r="F67" s="2">
        <v>42200</v>
      </c>
    </row>
    <row r="68" spans="2:6" x14ac:dyDescent="0.25">
      <c r="B68" s="10" t="s">
        <v>65</v>
      </c>
      <c r="C68" s="2">
        <v>18982</v>
      </c>
      <c r="D68" s="3"/>
      <c r="E68" s="3" t="s">
        <v>31</v>
      </c>
      <c r="F68" s="4">
        <v>46661</v>
      </c>
    </row>
    <row r="69" spans="2:6" x14ac:dyDescent="0.25">
      <c r="B69" s="10" t="s">
        <v>66</v>
      </c>
      <c r="C69" s="2">
        <v>692</v>
      </c>
      <c r="D69" s="3"/>
      <c r="E69" s="11"/>
      <c r="F69" s="4"/>
    </row>
    <row r="70" spans="2:6" x14ac:dyDescent="0.25">
      <c r="B70" s="9" t="s">
        <v>67</v>
      </c>
      <c r="C70" s="2">
        <v>272</v>
      </c>
      <c r="D70" s="3"/>
      <c r="E70" t="s">
        <v>34</v>
      </c>
      <c r="F70" s="4">
        <f>SUM(F52:F69)</f>
        <v>1918725</v>
      </c>
    </row>
    <row r="71" spans="2:6" x14ac:dyDescent="0.25">
      <c r="B71" s="15" t="s">
        <v>68</v>
      </c>
      <c r="C71" s="2">
        <v>4640</v>
      </c>
      <c r="D71" s="3"/>
      <c r="E71" s="3"/>
      <c r="F71" s="4"/>
    </row>
    <row r="72" spans="2:6" x14ac:dyDescent="0.25">
      <c r="B72" s="15" t="s">
        <v>69</v>
      </c>
      <c r="C72" s="2">
        <v>3670</v>
      </c>
      <c r="D72" s="3"/>
      <c r="E72" s="3"/>
      <c r="F72" s="4"/>
    </row>
    <row r="73" spans="2:6" x14ac:dyDescent="0.25">
      <c r="C73" s="14"/>
      <c r="D73" s="3"/>
      <c r="E73" s="3"/>
      <c r="F73" s="4"/>
    </row>
    <row r="74" spans="2:6" x14ac:dyDescent="0.25">
      <c r="B74" s="9"/>
      <c r="C74" s="2"/>
      <c r="D74" s="3"/>
      <c r="E74" s="3"/>
      <c r="F74" s="4"/>
    </row>
    <row r="75" spans="2:6" x14ac:dyDescent="0.25">
      <c r="B75" s="16" t="s">
        <v>70</v>
      </c>
      <c r="C75" s="2">
        <v>168327.75899999999</v>
      </c>
      <c r="D75" s="3"/>
      <c r="E75" s="12"/>
      <c r="F75" s="4"/>
    </row>
    <row r="76" spans="2:6" x14ac:dyDescent="0.25">
      <c r="B76" s="9" t="s">
        <v>39</v>
      </c>
      <c r="C76" s="2">
        <v>174748.86</v>
      </c>
      <c r="D76" s="3"/>
      <c r="E76" s="3"/>
      <c r="F76" s="4"/>
    </row>
    <row r="77" spans="2:6" x14ac:dyDescent="0.25">
      <c r="B77" s="9" t="s">
        <v>71</v>
      </c>
      <c r="C77" s="2">
        <v>172929.59</v>
      </c>
      <c r="D77" s="3"/>
      <c r="E77" s="3"/>
      <c r="F77" s="4"/>
    </row>
    <row r="78" spans="2:6" x14ac:dyDescent="0.25">
      <c r="B78" s="9"/>
      <c r="C78" s="2"/>
      <c r="D78" s="3"/>
      <c r="E78" s="3"/>
      <c r="F78" s="4"/>
    </row>
    <row r="79" spans="2:6" x14ac:dyDescent="0.25">
      <c r="B79" s="13" t="s">
        <v>41</v>
      </c>
      <c r="C79" s="2">
        <v>104700</v>
      </c>
      <c r="D79" s="3"/>
      <c r="E79" s="3"/>
      <c r="F79" s="4"/>
    </row>
    <row r="80" spans="2:6" x14ac:dyDescent="0.25">
      <c r="B80" s="3"/>
      <c r="C80" s="4"/>
      <c r="D80" s="3"/>
      <c r="E80" s="3"/>
      <c r="F80" s="4"/>
    </row>
    <row r="81" spans="2:6" x14ac:dyDescent="0.25">
      <c r="B81" s="3" t="s">
        <v>42</v>
      </c>
      <c r="C81" s="4">
        <f>SUM(C46:C80)</f>
        <v>2029568.0090000003</v>
      </c>
      <c r="D81" s="3"/>
      <c r="E81" s="3"/>
      <c r="F81" s="4"/>
    </row>
    <row r="82" spans="2:6" x14ac:dyDescent="0.25">
      <c r="B82" s="3"/>
      <c r="C82" s="4"/>
      <c r="D82" s="3"/>
      <c r="E82" s="3"/>
      <c r="F82" s="4"/>
    </row>
    <row r="83" spans="2:6" x14ac:dyDescent="0.25">
      <c r="B83" s="3"/>
      <c r="C83" s="4"/>
      <c r="D83" s="3"/>
      <c r="E83" s="3"/>
      <c r="F83" s="4"/>
    </row>
    <row r="84" spans="2:6" x14ac:dyDescent="0.25">
      <c r="B84" s="3"/>
      <c r="C84" s="8" t="s">
        <v>43</v>
      </c>
      <c r="D84" s="8">
        <f>C81-F70</f>
        <v>110843.00900000031</v>
      </c>
      <c r="E84" s="3"/>
      <c r="F84" s="4"/>
    </row>
    <row r="85" spans="2:6" x14ac:dyDescent="0.25">
      <c r="C85" s="14"/>
    </row>
    <row r="86" spans="2:6" x14ac:dyDescent="0.25">
      <c r="C86" s="14"/>
    </row>
    <row r="87" spans="2:6" x14ac:dyDescent="0.25">
      <c r="C87" s="14"/>
    </row>
    <row r="88" spans="2:6" x14ac:dyDescent="0.25">
      <c r="C88" s="14"/>
    </row>
    <row r="89" spans="2:6" x14ac:dyDescent="0.25">
      <c r="C89" s="14"/>
    </row>
    <row r="90" spans="2:6" x14ac:dyDescent="0.25">
      <c r="C90" s="14"/>
    </row>
    <row r="91" spans="2:6" x14ac:dyDescent="0.25">
      <c r="C91" s="14"/>
    </row>
    <row r="92" spans="2:6" x14ac:dyDescent="0.25">
      <c r="B92" s="1" t="s">
        <v>0</v>
      </c>
      <c r="C92" s="14">
        <v>898202</v>
      </c>
      <c r="D92" s="3"/>
      <c r="E92" s="3" t="s">
        <v>72</v>
      </c>
      <c r="F92" s="4"/>
    </row>
    <row r="93" spans="2:6" x14ac:dyDescent="0.25">
      <c r="B93" s="3"/>
      <c r="C93" s="4"/>
      <c r="D93" s="3"/>
      <c r="E93" s="3"/>
      <c r="F93" s="4"/>
    </row>
    <row r="94" spans="2:6" x14ac:dyDescent="0.25">
      <c r="B94" s="5" t="s">
        <v>2</v>
      </c>
      <c r="C94" s="4"/>
      <c r="D94" s="3"/>
      <c r="E94" s="60" t="s">
        <v>3</v>
      </c>
      <c r="F94" s="60"/>
    </row>
    <row r="95" spans="2:6" x14ac:dyDescent="0.25">
      <c r="B95" s="6" t="s">
        <v>4</v>
      </c>
      <c r="C95" s="7"/>
      <c r="D95" s="3"/>
      <c r="E95" s="6" t="s">
        <v>4</v>
      </c>
      <c r="F95" s="8"/>
    </row>
    <row r="96" spans="2:6" x14ac:dyDescent="0.25">
      <c r="B96" s="9"/>
      <c r="C96" s="2"/>
      <c r="D96" s="3"/>
      <c r="E96" s="3" t="s">
        <v>73</v>
      </c>
      <c r="F96" s="2">
        <v>94553</v>
      </c>
    </row>
    <row r="97" spans="2:6" x14ac:dyDescent="0.25">
      <c r="B97" s="10" t="s">
        <v>47</v>
      </c>
      <c r="C97" s="2">
        <v>331.64</v>
      </c>
      <c r="D97" s="3"/>
      <c r="E97" s="10" t="s">
        <v>74</v>
      </c>
      <c r="F97" s="2">
        <v>696</v>
      </c>
    </row>
    <row r="98" spans="2:6" x14ac:dyDescent="0.25">
      <c r="B98" s="10" t="s">
        <v>75</v>
      </c>
      <c r="C98" s="2">
        <v>7472.88</v>
      </c>
      <c r="D98" s="3"/>
      <c r="F98" s="2"/>
    </row>
    <row r="99" spans="2:6" x14ac:dyDescent="0.25">
      <c r="B99" t="s">
        <v>76</v>
      </c>
      <c r="C99" s="2">
        <v>650</v>
      </c>
      <c r="D99" s="3"/>
      <c r="E99" s="9" t="s">
        <v>77</v>
      </c>
      <c r="F99" s="2">
        <v>22720</v>
      </c>
    </row>
    <row r="100" spans="2:6" x14ac:dyDescent="0.25">
      <c r="B100" t="s">
        <v>9</v>
      </c>
      <c r="C100" s="2">
        <v>1450</v>
      </c>
      <c r="D100" s="3"/>
      <c r="E100" s="9" t="s">
        <v>10</v>
      </c>
      <c r="F100" s="2">
        <v>200</v>
      </c>
    </row>
    <row r="101" spans="2:6" x14ac:dyDescent="0.25">
      <c r="B101" t="s">
        <v>13</v>
      </c>
      <c r="C101" s="2">
        <v>19071</v>
      </c>
      <c r="D101" s="3"/>
      <c r="F101" s="2"/>
    </row>
    <row r="102" spans="2:6" x14ac:dyDescent="0.25">
      <c r="B102" t="s">
        <v>14</v>
      </c>
      <c r="C102" s="2">
        <v>3452</v>
      </c>
      <c r="D102" s="3"/>
      <c r="E102" s="10"/>
      <c r="F102" s="4"/>
    </row>
    <row r="103" spans="2:6" x14ac:dyDescent="0.25">
      <c r="B103" t="s">
        <v>78</v>
      </c>
      <c r="C103" s="2">
        <v>2450</v>
      </c>
      <c r="D103" s="3"/>
      <c r="E103" s="9" t="s">
        <v>15</v>
      </c>
      <c r="F103" s="2">
        <v>251288</v>
      </c>
    </row>
    <row r="104" spans="2:6" x14ac:dyDescent="0.25">
      <c r="B104" s="10" t="s">
        <v>79</v>
      </c>
      <c r="C104" s="2">
        <v>13750</v>
      </c>
      <c r="D104" s="3"/>
      <c r="E104" s="9"/>
      <c r="F104" s="4"/>
    </row>
    <row r="105" spans="2:6" x14ac:dyDescent="0.25">
      <c r="B105" s="10" t="s">
        <v>68</v>
      </c>
      <c r="C105" s="2">
        <v>4640</v>
      </c>
      <c r="D105" s="3"/>
      <c r="E105" s="3"/>
      <c r="F105" s="4"/>
    </row>
    <row r="106" spans="2:6" x14ac:dyDescent="0.25">
      <c r="B106" s="10" t="s">
        <v>80</v>
      </c>
      <c r="C106" s="2">
        <v>475</v>
      </c>
      <c r="D106" s="3"/>
      <c r="E106" s="9" t="s">
        <v>18</v>
      </c>
      <c r="F106" s="2">
        <v>626683</v>
      </c>
    </row>
    <row r="107" spans="2:6" x14ac:dyDescent="0.25">
      <c r="B107" s="3" t="s">
        <v>81</v>
      </c>
      <c r="C107" s="2">
        <v>1815</v>
      </c>
      <c r="D107" s="3"/>
      <c r="E107" s="3"/>
      <c r="F107" s="4"/>
    </row>
    <row r="108" spans="2:6" x14ac:dyDescent="0.25">
      <c r="B108" s="3" t="s">
        <v>82</v>
      </c>
      <c r="C108" s="2">
        <v>11204</v>
      </c>
      <c r="D108" s="3"/>
      <c r="E108" s="3"/>
      <c r="F108" s="4"/>
    </row>
    <row r="109" spans="2:6" x14ac:dyDescent="0.25">
      <c r="B109" s="10" t="s">
        <v>83</v>
      </c>
      <c r="C109" s="2">
        <v>81340</v>
      </c>
      <c r="D109" s="3"/>
      <c r="E109" s="9"/>
      <c r="F109" s="2"/>
    </row>
    <row r="110" spans="2:6" x14ac:dyDescent="0.25">
      <c r="B110" s="3" t="s">
        <v>84</v>
      </c>
      <c r="C110" s="2">
        <v>30116</v>
      </c>
      <c r="D110" s="3"/>
      <c r="E110" s="9" t="s">
        <v>24</v>
      </c>
      <c r="F110" s="2">
        <v>514713</v>
      </c>
    </row>
    <row r="111" spans="2:6" x14ac:dyDescent="0.25">
      <c r="B111" s="10" t="s">
        <v>69</v>
      </c>
      <c r="C111" s="2">
        <v>3670</v>
      </c>
      <c r="D111" s="3"/>
      <c r="E111" s="9" t="s">
        <v>26</v>
      </c>
      <c r="F111" s="2">
        <v>125553</v>
      </c>
    </row>
    <row r="112" spans="2:6" x14ac:dyDescent="0.25">
      <c r="B112" s="10" t="s">
        <v>85</v>
      </c>
      <c r="C112" s="2">
        <v>3649</v>
      </c>
      <c r="D112" s="3"/>
      <c r="E112" s="3"/>
      <c r="F112" s="4"/>
    </row>
    <row r="113" spans="2:6" x14ac:dyDescent="0.25">
      <c r="B113" t="s">
        <v>28</v>
      </c>
      <c r="C113" s="2">
        <v>426716</v>
      </c>
      <c r="D113" s="3"/>
      <c r="E113" s="9" t="s">
        <v>86</v>
      </c>
      <c r="F113" s="2">
        <v>38155.81</v>
      </c>
    </row>
    <row r="114" spans="2:6" x14ac:dyDescent="0.25">
      <c r="B114" s="10" t="s">
        <v>87</v>
      </c>
      <c r="C114" s="2">
        <v>18982</v>
      </c>
      <c r="D114" s="3"/>
      <c r="E114" s="3" t="s">
        <v>88</v>
      </c>
      <c r="F114" s="4">
        <v>45391</v>
      </c>
    </row>
    <row r="115" spans="2:6" x14ac:dyDescent="0.25">
      <c r="B115" s="10" t="s">
        <v>89</v>
      </c>
      <c r="C115" s="2">
        <v>692</v>
      </c>
      <c r="D115" s="3"/>
      <c r="E115" s="11"/>
      <c r="F115" s="4"/>
    </row>
    <row r="116" spans="2:6" x14ac:dyDescent="0.25">
      <c r="B116" s="9" t="s">
        <v>90</v>
      </c>
      <c r="C116" s="2">
        <v>6101</v>
      </c>
      <c r="D116" s="3"/>
      <c r="E116" t="s">
        <v>34</v>
      </c>
      <c r="F116" s="4">
        <f>SUM(F96:F115)</f>
        <v>1719952.81</v>
      </c>
    </row>
    <row r="117" spans="2:6" x14ac:dyDescent="0.25">
      <c r="B117" s="15" t="s">
        <v>91</v>
      </c>
      <c r="C117" s="2">
        <v>272</v>
      </c>
      <c r="D117" s="3"/>
      <c r="E117" s="3"/>
      <c r="F117" s="4"/>
    </row>
    <row r="118" spans="2:6" x14ac:dyDescent="0.25">
      <c r="B118" s="9" t="s">
        <v>12</v>
      </c>
      <c r="C118" s="2">
        <v>1813</v>
      </c>
      <c r="D118" s="3"/>
      <c r="E118" s="3"/>
      <c r="F118" s="4"/>
    </row>
    <row r="119" spans="2:6" x14ac:dyDescent="0.25">
      <c r="C119" s="14"/>
      <c r="D119" s="3"/>
      <c r="E119" s="3"/>
      <c r="F119" s="4"/>
    </row>
    <row r="120" spans="2:6" x14ac:dyDescent="0.25">
      <c r="B120" s="9"/>
      <c r="C120" s="2"/>
      <c r="D120" s="3"/>
      <c r="E120" s="3"/>
      <c r="F120" s="4"/>
    </row>
    <row r="121" spans="2:6" x14ac:dyDescent="0.25">
      <c r="B121" s="16" t="s">
        <v>92</v>
      </c>
      <c r="C121" s="2">
        <v>115342.29</v>
      </c>
      <c r="D121" s="3"/>
      <c r="E121" s="12"/>
      <c r="F121" s="4"/>
    </row>
    <row r="122" spans="2:6" x14ac:dyDescent="0.25">
      <c r="B122" s="9" t="s">
        <v>39</v>
      </c>
      <c r="C122" s="2">
        <v>174748.86</v>
      </c>
      <c r="D122" s="3"/>
      <c r="E122" s="3"/>
      <c r="F122" s="4"/>
    </row>
    <row r="123" spans="2:6" x14ac:dyDescent="0.25">
      <c r="B123" s="9" t="s">
        <v>93</v>
      </c>
      <c r="C123" s="2">
        <v>21822.29</v>
      </c>
      <c r="D123" s="3"/>
      <c r="E123" s="3"/>
      <c r="F123" s="4"/>
    </row>
    <row r="124" spans="2:6" x14ac:dyDescent="0.25">
      <c r="B124" s="9"/>
      <c r="C124" s="2"/>
      <c r="D124" s="3"/>
      <c r="E124" s="3"/>
      <c r="F124" s="4"/>
    </row>
    <row r="125" spans="2:6" x14ac:dyDescent="0.25">
      <c r="B125" s="13" t="s">
        <v>41</v>
      </c>
      <c r="C125" s="2">
        <v>22994</v>
      </c>
      <c r="D125" s="3"/>
      <c r="E125" s="3"/>
      <c r="F125" s="4"/>
    </row>
    <row r="126" spans="2:6" x14ac:dyDescent="0.25">
      <c r="B126" s="3"/>
      <c r="C126" s="4"/>
      <c r="D126" s="3"/>
      <c r="E126" s="3"/>
      <c r="F126" s="4"/>
    </row>
    <row r="127" spans="2:6" x14ac:dyDescent="0.25">
      <c r="B127" s="3" t="s">
        <v>42</v>
      </c>
      <c r="C127" s="4">
        <f>SUM(C92:C126)</f>
        <v>1873221.96</v>
      </c>
      <c r="D127" s="3"/>
      <c r="E127" s="3"/>
      <c r="F127" s="4"/>
    </row>
    <row r="128" spans="2:6" x14ac:dyDescent="0.25">
      <c r="B128" s="3"/>
      <c r="C128" s="4"/>
      <c r="D128" s="3"/>
      <c r="E128" s="3"/>
      <c r="F128" s="4"/>
    </row>
    <row r="129" spans="2:6" x14ac:dyDescent="0.25">
      <c r="B129" s="3"/>
      <c r="C129" s="4"/>
      <c r="D129" s="3"/>
      <c r="E129" s="3"/>
      <c r="F129" s="4"/>
    </row>
    <row r="130" spans="2:6" x14ac:dyDescent="0.25">
      <c r="B130" s="3"/>
      <c r="C130" s="8" t="s">
        <v>43</v>
      </c>
      <c r="D130" s="8">
        <f>C127-F116</f>
        <v>153269.14999999991</v>
      </c>
      <c r="E130" s="3"/>
      <c r="F130" s="4"/>
    </row>
    <row r="131" spans="2:6" x14ac:dyDescent="0.25">
      <c r="C131" s="14"/>
    </row>
    <row r="132" spans="2:6" x14ac:dyDescent="0.25">
      <c r="C132" s="14"/>
    </row>
    <row r="133" spans="2:6" x14ac:dyDescent="0.25">
      <c r="C133" s="14"/>
    </row>
    <row r="134" spans="2:6" x14ac:dyDescent="0.25">
      <c r="C134" s="14"/>
    </row>
    <row r="135" spans="2:6" x14ac:dyDescent="0.25">
      <c r="C135" s="14"/>
    </row>
    <row r="136" spans="2:6" x14ac:dyDescent="0.25">
      <c r="C136" s="14"/>
    </row>
    <row r="137" spans="2:6" x14ac:dyDescent="0.25">
      <c r="C137" s="14"/>
    </row>
    <row r="138" spans="2:6" x14ac:dyDescent="0.25">
      <c r="B138" s="1" t="s">
        <v>0</v>
      </c>
      <c r="C138" s="14">
        <v>886129</v>
      </c>
      <c r="D138" s="3"/>
      <c r="E138" s="3" t="s">
        <v>94</v>
      </c>
      <c r="F138" s="4"/>
    </row>
    <row r="139" spans="2:6" x14ac:dyDescent="0.25">
      <c r="B139" s="3"/>
      <c r="C139" s="4"/>
      <c r="D139" s="3"/>
      <c r="E139" s="3"/>
      <c r="F139" s="4"/>
    </row>
    <row r="140" spans="2:6" x14ac:dyDescent="0.25">
      <c r="B140" s="5" t="s">
        <v>2</v>
      </c>
      <c r="C140" s="4"/>
      <c r="D140" s="3"/>
      <c r="E140" s="60" t="s">
        <v>3</v>
      </c>
      <c r="F140" s="60"/>
    </row>
    <row r="141" spans="2:6" x14ac:dyDescent="0.25">
      <c r="B141" s="6" t="s">
        <v>4</v>
      </c>
      <c r="C141" s="7"/>
      <c r="D141" s="3"/>
      <c r="E141" s="6" t="s">
        <v>4</v>
      </c>
      <c r="F141" s="8"/>
    </row>
    <row r="142" spans="2:6" x14ac:dyDescent="0.25">
      <c r="B142" s="9" t="s">
        <v>95</v>
      </c>
      <c r="C142" s="2">
        <v>306</v>
      </c>
      <c r="D142" s="3"/>
      <c r="E142" s="3" t="s">
        <v>74</v>
      </c>
      <c r="F142" s="2">
        <v>6662</v>
      </c>
    </row>
    <row r="143" spans="2:6" x14ac:dyDescent="0.25">
      <c r="B143" s="10" t="s">
        <v>47</v>
      </c>
      <c r="C143" s="2">
        <v>5387</v>
      </c>
      <c r="D143" s="3"/>
      <c r="E143" s="10"/>
      <c r="F143" s="2"/>
    </row>
    <row r="144" spans="2:6" x14ac:dyDescent="0.25">
      <c r="B144" s="10" t="s">
        <v>96</v>
      </c>
      <c r="C144" s="2">
        <v>8800</v>
      </c>
      <c r="D144" s="3"/>
      <c r="E144" s="3"/>
      <c r="F144" s="2"/>
    </row>
    <row r="145" spans="2:6" x14ac:dyDescent="0.25">
      <c r="B145" s="10" t="s">
        <v>75</v>
      </c>
      <c r="C145" s="2">
        <v>88</v>
      </c>
      <c r="D145" s="3"/>
      <c r="F145" s="2"/>
    </row>
    <row r="146" spans="2:6" x14ac:dyDescent="0.25">
      <c r="B146" s="3" t="s">
        <v>97</v>
      </c>
      <c r="C146" s="2">
        <v>100409</v>
      </c>
      <c r="D146" s="3"/>
      <c r="F146" s="2"/>
    </row>
    <row r="147" spans="2:6" x14ac:dyDescent="0.25">
      <c r="B147" t="s">
        <v>76</v>
      </c>
      <c r="C147" s="2">
        <v>650</v>
      </c>
      <c r="D147" s="3"/>
      <c r="E147" t="s">
        <v>20</v>
      </c>
      <c r="F147" s="2">
        <v>83500</v>
      </c>
    </row>
    <row r="148" spans="2:6" x14ac:dyDescent="0.25">
      <c r="B148" t="s">
        <v>9</v>
      </c>
      <c r="C148" s="2">
        <v>1450</v>
      </c>
      <c r="D148" s="3"/>
      <c r="E148" s="9" t="s">
        <v>10</v>
      </c>
      <c r="F148" s="2">
        <v>200</v>
      </c>
    </row>
    <row r="149" spans="2:6" x14ac:dyDescent="0.25">
      <c r="B149" t="s">
        <v>13</v>
      </c>
      <c r="C149" s="2">
        <v>19071</v>
      </c>
      <c r="D149" s="3"/>
      <c r="E149" t="s">
        <v>98</v>
      </c>
      <c r="F149" s="2">
        <v>597</v>
      </c>
    </row>
    <row r="150" spans="2:6" x14ac:dyDescent="0.25">
      <c r="B150" t="s">
        <v>14</v>
      </c>
      <c r="C150" s="2">
        <v>3452</v>
      </c>
      <c r="D150" s="3"/>
      <c r="E150" s="10"/>
      <c r="F150" s="4"/>
    </row>
    <row r="151" spans="2:6" x14ac:dyDescent="0.25">
      <c r="B151" t="s">
        <v>16</v>
      </c>
      <c r="C151" s="2">
        <v>600</v>
      </c>
      <c r="D151" s="3"/>
      <c r="E151" s="9" t="s">
        <v>15</v>
      </c>
      <c r="F151" s="2">
        <v>231934</v>
      </c>
    </row>
    <row r="152" spans="2:6" x14ac:dyDescent="0.25">
      <c r="B152" t="s">
        <v>36</v>
      </c>
      <c r="C152" s="2">
        <v>118</v>
      </c>
      <c r="D152" s="3"/>
      <c r="E152" s="9"/>
      <c r="F152" s="4"/>
    </row>
    <row r="153" spans="2:6" x14ac:dyDescent="0.25">
      <c r="B153" s="10" t="s">
        <v>68</v>
      </c>
      <c r="C153" s="2">
        <v>4640</v>
      </c>
      <c r="D153" s="3"/>
      <c r="E153" s="3"/>
      <c r="F153" s="4"/>
    </row>
    <row r="154" spans="2:6" x14ac:dyDescent="0.25">
      <c r="B154" s="10" t="s">
        <v>99</v>
      </c>
      <c r="C154" s="2">
        <v>2330</v>
      </c>
      <c r="D154" s="3"/>
      <c r="E154" s="9" t="s">
        <v>18</v>
      </c>
      <c r="F154" s="2">
        <v>722068</v>
      </c>
    </row>
    <row r="155" spans="2:6" x14ac:dyDescent="0.25">
      <c r="B155" s="3" t="s">
        <v>100</v>
      </c>
      <c r="C155" s="2">
        <v>475</v>
      </c>
      <c r="D155" s="3"/>
      <c r="E155" s="3"/>
      <c r="F155" s="4"/>
    </row>
    <row r="156" spans="2:6" x14ac:dyDescent="0.25">
      <c r="B156" s="3" t="s">
        <v>82</v>
      </c>
      <c r="C156" s="2">
        <v>8331</v>
      </c>
      <c r="D156" s="3"/>
      <c r="E156" s="3"/>
      <c r="F156" s="4"/>
    </row>
    <row r="157" spans="2:6" x14ac:dyDescent="0.25">
      <c r="B157" t="s">
        <v>101</v>
      </c>
      <c r="C157" s="2">
        <v>6350</v>
      </c>
      <c r="D157" s="3"/>
      <c r="E157" s="9"/>
      <c r="F157" s="2"/>
    </row>
    <row r="158" spans="2:6" x14ac:dyDescent="0.25">
      <c r="B158" s="3" t="s">
        <v>102</v>
      </c>
      <c r="C158" s="2">
        <v>2925</v>
      </c>
      <c r="D158" s="3"/>
      <c r="E158" s="9" t="s">
        <v>24</v>
      </c>
      <c r="F158" s="2">
        <v>548179.56000000006</v>
      </c>
    </row>
    <row r="159" spans="2:6" x14ac:dyDescent="0.25">
      <c r="B159" s="10" t="s">
        <v>69</v>
      </c>
      <c r="C159" s="2">
        <v>3670</v>
      </c>
      <c r="D159" s="3"/>
      <c r="E159" s="9" t="s">
        <v>26</v>
      </c>
      <c r="F159" s="2">
        <v>113341</v>
      </c>
    </row>
    <row r="160" spans="2:6" x14ac:dyDescent="0.25">
      <c r="B160" s="10" t="s">
        <v>103</v>
      </c>
      <c r="C160" s="2">
        <v>1180</v>
      </c>
      <c r="D160" s="3"/>
      <c r="E160" s="3"/>
      <c r="F160" s="4"/>
    </row>
    <row r="161" spans="2:6" x14ac:dyDescent="0.25">
      <c r="B161" t="s">
        <v>28</v>
      </c>
      <c r="C161" s="2">
        <v>162240</v>
      </c>
      <c r="D161" s="3"/>
      <c r="E161" s="9" t="s">
        <v>104</v>
      </c>
      <c r="F161" s="2">
        <v>47450</v>
      </c>
    </row>
    <row r="162" spans="2:6" x14ac:dyDescent="0.25">
      <c r="B162" s="10" t="s">
        <v>87</v>
      </c>
      <c r="C162" s="2">
        <v>18982</v>
      </c>
      <c r="D162" s="3"/>
      <c r="E162" s="3" t="s">
        <v>105</v>
      </c>
      <c r="F162" s="4">
        <v>42200</v>
      </c>
    </row>
    <row r="163" spans="2:6" x14ac:dyDescent="0.25">
      <c r="B163" s="10" t="s">
        <v>89</v>
      </c>
      <c r="C163" s="2">
        <v>692</v>
      </c>
      <c r="D163" s="3"/>
      <c r="E163" s="11"/>
      <c r="F163" s="4"/>
    </row>
    <row r="164" spans="2:6" x14ac:dyDescent="0.25">
      <c r="B164" s="9"/>
      <c r="C164" s="2"/>
      <c r="D164" s="3"/>
      <c r="E164" t="s">
        <v>34</v>
      </c>
      <c r="F164" s="4">
        <f>SUM(F142:F163)</f>
        <v>1796131.56</v>
      </c>
    </row>
    <row r="165" spans="2:6" x14ac:dyDescent="0.25">
      <c r="B165" s="15" t="s">
        <v>91</v>
      </c>
      <c r="C165" s="2">
        <v>272</v>
      </c>
      <c r="D165" s="3"/>
      <c r="E165" s="3"/>
      <c r="F165" s="4"/>
    </row>
    <row r="166" spans="2:6" x14ac:dyDescent="0.25">
      <c r="B166" s="9"/>
      <c r="C166" s="2"/>
      <c r="D166" s="3"/>
      <c r="E166" s="3"/>
      <c r="F166" s="4"/>
    </row>
    <row r="167" spans="2:6" x14ac:dyDescent="0.25">
      <c r="C167" s="14"/>
      <c r="D167" s="3"/>
      <c r="E167" s="3"/>
      <c r="F167" s="4"/>
    </row>
    <row r="168" spans="2:6" x14ac:dyDescent="0.25">
      <c r="B168" s="9"/>
      <c r="C168" s="2"/>
      <c r="D168" s="3"/>
      <c r="E168" s="3"/>
      <c r="F168" s="4"/>
    </row>
    <row r="169" spans="2:6" x14ac:dyDescent="0.25">
      <c r="B169" s="16" t="s">
        <v>106</v>
      </c>
      <c r="C169" s="2">
        <v>170126</v>
      </c>
      <c r="D169" s="3"/>
      <c r="E169" s="12"/>
      <c r="F169" s="4"/>
    </row>
    <row r="170" spans="2:6" x14ac:dyDescent="0.25">
      <c r="B170" s="9" t="s">
        <v>39</v>
      </c>
      <c r="C170" s="2">
        <v>174748.86</v>
      </c>
      <c r="D170" s="3"/>
      <c r="E170" s="3"/>
      <c r="F170" s="4"/>
    </row>
    <row r="171" spans="2:6" x14ac:dyDescent="0.25">
      <c r="B171" s="9" t="s">
        <v>107</v>
      </c>
      <c r="C171" s="2">
        <v>173803</v>
      </c>
      <c r="D171" s="3"/>
      <c r="E171" s="3"/>
      <c r="F171" s="4"/>
    </row>
    <row r="172" spans="2:6" x14ac:dyDescent="0.25">
      <c r="B172" s="9"/>
      <c r="C172" s="2"/>
      <c r="D172" s="3"/>
      <c r="E172" s="3"/>
      <c r="F172" s="4"/>
    </row>
    <row r="173" spans="2:6" x14ac:dyDescent="0.25">
      <c r="B173" s="13" t="s">
        <v>41</v>
      </c>
      <c r="C173" s="2">
        <v>44116</v>
      </c>
      <c r="D173" s="3"/>
      <c r="E173" s="3"/>
      <c r="F173" s="4"/>
    </row>
    <row r="174" spans="2:6" x14ac:dyDescent="0.25">
      <c r="B174" s="3"/>
      <c r="C174" s="4"/>
      <c r="D174" s="3"/>
      <c r="E174" s="3"/>
      <c r="F174" s="4"/>
    </row>
    <row r="175" spans="2:6" x14ac:dyDescent="0.25">
      <c r="B175" s="3" t="s">
        <v>42</v>
      </c>
      <c r="C175" s="4">
        <f>SUM(C138:C174)</f>
        <v>1801340.8599999999</v>
      </c>
      <c r="D175" s="3"/>
      <c r="E175" s="3"/>
      <c r="F175" s="4"/>
    </row>
    <row r="176" spans="2:6" x14ac:dyDescent="0.25">
      <c r="B176" s="3"/>
      <c r="C176" s="4"/>
      <c r="D176" s="3"/>
      <c r="E176" s="3"/>
      <c r="F176" s="4"/>
    </row>
    <row r="177" spans="2:6" x14ac:dyDescent="0.25">
      <c r="B177" s="3"/>
      <c r="C177" s="4"/>
      <c r="D177" s="3"/>
      <c r="E177" s="3"/>
      <c r="F177" s="4"/>
    </row>
    <row r="178" spans="2:6" x14ac:dyDescent="0.25">
      <c r="B178" s="3"/>
      <c r="C178" s="8" t="s">
        <v>43</v>
      </c>
      <c r="D178" s="8">
        <f>C175-F164</f>
        <v>5209.2999999998137</v>
      </c>
      <c r="E178" s="3"/>
      <c r="F178" s="4"/>
    </row>
    <row r="179" spans="2:6" x14ac:dyDescent="0.25">
      <c r="C179" s="14"/>
    </row>
    <row r="180" spans="2:6" x14ac:dyDescent="0.25">
      <c r="C180" s="14"/>
    </row>
    <row r="181" spans="2:6" x14ac:dyDescent="0.25">
      <c r="C181" s="14"/>
    </row>
    <row r="182" spans="2:6" x14ac:dyDescent="0.25">
      <c r="C182" s="14"/>
    </row>
    <row r="183" spans="2:6" x14ac:dyDescent="0.25">
      <c r="C183" s="14"/>
    </row>
    <row r="184" spans="2:6" x14ac:dyDescent="0.25">
      <c r="C184" s="14"/>
    </row>
    <row r="185" spans="2:6" x14ac:dyDescent="0.25">
      <c r="C185" s="14"/>
    </row>
    <row r="186" spans="2:6" x14ac:dyDescent="0.25">
      <c r="B186" s="1" t="s">
        <v>0</v>
      </c>
      <c r="C186" s="14">
        <v>769467</v>
      </c>
      <c r="D186" s="3"/>
      <c r="E186" s="12" t="s">
        <v>108</v>
      </c>
      <c r="F186" s="4"/>
    </row>
    <row r="187" spans="2:6" x14ac:dyDescent="0.25">
      <c r="B187" s="3"/>
      <c r="C187" s="4"/>
      <c r="D187" s="3"/>
      <c r="E187" s="3"/>
      <c r="F187" s="4"/>
    </row>
    <row r="188" spans="2:6" x14ac:dyDescent="0.25">
      <c r="B188" s="5" t="s">
        <v>2</v>
      </c>
      <c r="C188" s="4"/>
      <c r="D188" s="3"/>
      <c r="E188" s="60" t="s">
        <v>3</v>
      </c>
      <c r="F188" s="60"/>
    </row>
    <row r="189" spans="2:6" x14ac:dyDescent="0.25">
      <c r="B189" s="6" t="s">
        <v>4</v>
      </c>
      <c r="C189" s="7"/>
      <c r="D189" s="3"/>
      <c r="E189" s="6" t="s">
        <v>4</v>
      </c>
      <c r="F189" s="8"/>
    </row>
    <row r="190" spans="2:6" x14ac:dyDescent="0.25">
      <c r="B190" s="9"/>
      <c r="C190" s="2"/>
      <c r="D190" s="3"/>
      <c r="E190" s="3" t="s">
        <v>73</v>
      </c>
      <c r="F190" s="2">
        <v>94776</v>
      </c>
    </row>
    <row r="191" spans="2:6" x14ac:dyDescent="0.25">
      <c r="B191" s="10" t="s">
        <v>47</v>
      </c>
      <c r="C191" s="2">
        <v>2492</v>
      </c>
      <c r="D191" s="3"/>
      <c r="E191" s="10" t="s">
        <v>109</v>
      </c>
      <c r="F191" s="2">
        <v>20880</v>
      </c>
    </row>
    <row r="192" spans="2:6" x14ac:dyDescent="0.25">
      <c r="B192" s="10" t="s">
        <v>110</v>
      </c>
      <c r="C192" s="2">
        <v>13950</v>
      </c>
      <c r="D192" s="3"/>
      <c r="E192" s="10" t="s">
        <v>75</v>
      </c>
      <c r="F192" s="2">
        <v>3102</v>
      </c>
    </row>
    <row r="193" spans="2:6" x14ac:dyDescent="0.25">
      <c r="B193" s="3" t="s">
        <v>111</v>
      </c>
      <c r="C193" s="2">
        <v>18400</v>
      </c>
      <c r="D193" s="3"/>
      <c r="E193" s="3" t="s">
        <v>112</v>
      </c>
      <c r="F193" s="2">
        <v>7519</v>
      </c>
    </row>
    <row r="194" spans="2:6" x14ac:dyDescent="0.25">
      <c r="B194" s="3" t="s">
        <v>113</v>
      </c>
      <c r="C194" s="2">
        <v>18553</v>
      </c>
      <c r="D194" s="3"/>
      <c r="E194" s="3"/>
      <c r="F194" s="2"/>
    </row>
    <row r="195" spans="2:6" x14ac:dyDescent="0.25">
      <c r="B195" t="s">
        <v>76</v>
      </c>
      <c r="C195" s="2">
        <v>650</v>
      </c>
      <c r="D195" s="3"/>
      <c r="E195" s="9" t="s">
        <v>74</v>
      </c>
      <c r="F195" s="2">
        <v>696</v>
      </c>
    </row>
    <row r="196" spans="2:6" x14ac:dyDescent="0.25">
      <c r="C196" s="2"/>
      <c r="D196" s="3"/>
      <c r="E196" s="9"/>
      <c r="F196" s="2"/>
    </row>
    <row r="197" spans="2:6" x14ac:dyDescent="0.25">
      <c r="B197" t="s">
        <v>13</v>
      </c>
      <c r="C197" s="2">
        <v>19071</v>
      </c>
      <c r="D197" s="3"/>
      <c r="E197" s="15" t="s">
        <v>114</v>
      </c>
      <c r="F197" s="2">
        <v>2481</v>
      </c>
    </row>
    <row r="198" spans="2:6" x14ac:dyDescent="0.25">
      <c r="B198" t="s">
        <v>14</v>
      </c>
      <c r="C198" s="2">
        <v>3452</v>
      </c>
      <c r="D198" s="3"/>
      <c r="E198" s="10"/>
      <c r="F198" s="4"/>
    </row>
    <row r="199" spans="2:6" x14ac:dyDescent="0.25">
      <c r="B199" t="s">
        <v>78</v>
      </c>
      <c r="C199" s="2">
        <v>2450</v>
      </c>
      <c r="D199" s="3"/>
      <c r="E199" s="9" t="s">
        <v>15</v>
      </c>
      <c r="F199" s="2">
        <v>228939</v>
      </c>
    </row>
    <row r="200" spans="2:6" x14ac:dyDescent="0.25">
      <c r="B200" s="10" t="s">
        <v>79</v>
      </c>
      <c r="C200" s="2">
        <v>13750</v>
      </c>
      <c r="D200" s="3"/>
      <c r="E200" s="9"/>
      <c r="F200" s="4"/>
    </row>
    <row r="201" spans="2:6" x14ac:dyDescent="0.25">
      <c r="B201" s="10" t="s">
        <v>68</v>
      </c>
      <c r="C201" s="2">
        <v>4640</v>
      </c>
      <c r="D201" s="3"/>
      <c r="E201" s="3"/>
      <c r="F201" s="4"/>
    </row>
    <row r="202" spans="2:6" x14ac:dyDescent="0.25">
      <c r="B202" s="10" t="s">
        <v>80</v>
      </c>
      <c r="C202" s="2">
        <v>475</v>
      </c>
      <c r="D202" s="3"/>
      <c r="E202" s="9" t="s">
        <v>18</v>
      </c>
      <c r="F202" s="2">
        <v>435129</v>
      </c>
    </row>
    <row r="203" spans="2:6" x14ac:dyDescent="0.25">
      <c r="B203" s="3" t="s">
        <v>81</v>
      </c>
      <c r="C203" s="2">
        <v>1202</v>
      </c>
      <c r="D203" s="3"/>
      <c r="E203" s="3"/>
      <c r="F203" s="4"/>
    </row>
    <row r="204" spans="2:6" x14ac:dyDescent="0.25">
      <c r="B204" s="3" t="s">
        <v>82</v>
      </c>
      <c r="C204" s="2">
        <v>4415</v>
      </c>
      <c r="D204" s="3"/>
      <c r="E204" s="3"/>
      <c r="F204" s="4"/>
    </row>
    <row r="205" spans="2:6" x14ac:dyDescent="0.25">
      <c r="B205" s="3" t="s">
        <v>115</v>
      </c>
      <c r="C205" s="2">
        <v>870</v>
      </c>
      <c r="D205" s="3"/>
      <c r="E205" s="3"/>
      <c r="F205" s="4"/>
    </row>
    <row r="206" spans="2:6" x14ac:dyDescent="0.25">
      <c r="B206" s="10" t="s">
        <v>116</v>
      </c>
      <c r="C206" s="2">
        <v>8500</v>
      </c>
      <c r="D206" s="3"/>
      <c r="E206" s="9"/>
      <c r="F206" s="2"/>
    </row>
    <row r="207" spans="2:6" x14ac:dyDescent="0.25">
      <c r="B207" t="s">
        <v>117</v>
      </c>
      <c r="C207" s="2">
        <v>1610</v>
      </c>
      <c r="D207" s="3"/>
      <c r="E207" s="9" t="s">
        <v>24</v>
      </c>
      <c r="F207" s="2">
        <v>493891</v>
      </c>
    </row>
    <row r="208" spans="2:6" x14ac:dyDescent="0.25">
      <c r="B208" s="10" t="s">
        <v>69</v>
      </c>
      <c r="C208" s="2">
        <v>3670</v>
      </c>
      <c r="D208" s="3"/>
      <c r="E208" s="9" t="s">
        <v>26</v>
      </c>
      <c r="F208" s="2">
        <v>117252</v>
      </c>
    </row>
    <row r="209" spans="2:6" x14ac:dyDescent="0.25">
      <c r="B209" s="10" t="s">
        <v>118</v>
      </c>
      <c r="C209" s="2">
        <v>24864</v>
      </c>
      <c r="D209" s="3"/>
      <c r="E209" s="3"/>
      <c r="F209" s="4"/>
    </row>
    <row r="210" spans="2:6" x14ac:dyDescent="0.25">
      <c r="B210" t="s">
        <v>28</v>
      </c>
      <c r="C210" s="2">
        <v>337575</v>
      </c>
      <c r="D210" s="3"/>
      <c r="E210" s="9" t="s">
        <v>119</v>
      </c>
      <c r="F210" s="2">
        <v>35837</v>
      </c>
    </row>
    <row r="211" spans="2:6" x14ac:dyDescent="0.25">
      <c r="B211" s="10" t="s">
        <v>87</v>
      </c>
      <c r="C211" s="2">
        <v>18982</v>
      </c>
      <c r="D211" s="3"/>
      <c r="E211" s="3" t="s">
        <v>120</v>
      </c>
      <c r="F211" s="4">
        <v>25609</v>
      </c>
    </row>
    <row r="212" spans="2:6" x14ac:dyDescent="0.25">
      <c r="B212" s="10" t="s">
        <v>89</v>
      </c>
      <c r="C212" s="2">
        <v>692</v>
      </c>
      <c r="D212" s="3"/>
      <c r="E212" s="11"/>
      <c r="F212" s="4"/>
    </row>
    <row r="213" spans="2:6" x14ac:dyDescent="0.25">
      <c r="B213" t="s">
        <v>121</v>
      </c>
      <c r="C213" s="2">
        <v>78373</v>
      </c>
      <c r="D213" s="3"/>
      <c r="E213" t="s">
        <v>34</v>
      </c>
      <c r="F213" s="4">
        <f>SUM(F190:F212)</f>
        <v>1466111</v>
      </c>
    </row>
    <row r="214" spans="2:6" x14ac:dyDescent="0.25">
      <c r="B214" s="15" t="s">
        <v>91</v>
      </c>
      <c r="C214" s="2">
        <v>272</v>
      </c>
      <c r="D214" s="3"/>
      <c r="E214" s="3"/>
      <c r="F214" s="4"/>
    </row>
    <row r="215" spans="2:6" x14ac:dyDescent="0.25">
      <c r="B215" s="15" t="s">
        <v>122</v>
      </c>
      <c r="C215" s="2">
        <v>20</v>
      </c>
      <c r="D215" s="3"/>
      <c r="E215" s="3"/>
      <c r="F215" s="4"/>
    </row>
    <row r="216" spans="2:6" x14ac:dyDescent="0.25">
      <c r="B216" s="9" t="s">
        <v>12</v>
      </c>
      <c r="C216" s="2">
        <v>1813</v>
      </c>
      <c r="D216" s="3"/>
      <c r="E216" s="3"/>
      <c r="F216" s="4"/>
    </row>
    <row r="217" spans="2:6" x14ac:dyDescent="0.25">
      <c r="B217" t="s">
        <v>123</v>
      </c>
      <c r="C217" s="14">
        <v>1000</v>
      </c>
      <c r="D217" s="3"/>
      <c r="E217" s="3"/>
      <c r="F217" s="4"/>
    </row>
    <row r="218" spans="2:6" x14ac:dyDescent="0.25">
      <c r="B218" t="s">
        <v>124</v>
      </c>
      <c r="C218" s="2">
        <v>1242</v>
      </c>
      <c r="D218" s="3"/>
      <c r="E218" s="3"/>
      <c r="F218" s="4"/>
    </row>
    <row r="219" spans="2:6" x14ac:dyDescent="0.25">
      <c r="B219" s="16" t="s">
        <v>125</v>
      </c>
      <c r="C219" s="2">
        <v>187008</v>
      </c>
      <c r="D219" s="3"/>
      <c r="E219" s="12"/>
      <c r="F219" s="4"/>
    </row>
    <row r="220" spans="2:6" x14ac:dyDescent="0.25">
      <c r="B220" s="9" t="s">
        <v>39</v>
      </c>
      <c r="C220" s="2">
        <v>174748.86</v>
      </c>
      <c r="D220" s="3"/>
      <c r="E220" s="3"/>
      <c r="F220" s="4"/>
    </row>
    <row r="221" spans="2:6" x14ac:dyDescent="0.25">
      <c r="B221" s="9" t="s">
        <v>126</v>
      </c>
      <c r="C221" s="2">
        <v>82506.986000000004</v>
      </c>
      <c r="D221" s="3"/>
      <c r="E221" s="3"/>
      <c r="F221" s="4"/>
    </row>
    <row r="222" spans="2:6" x14ac:dyDescent="0.25">
      <c r="B222" s="9"/>
      <c r="C222" s="2"/>
      <c r="D222" s="3"/>
      <c r="E222" s="3"/>
      <c r="F222" s="4"/>
    </row>
    <row r="223" spans="2:6" x14ac:dyDescent="0.25">
      <c r="B223" s="13" t="s">
        <v>41</v>
      </c>
      <c r="C223" s="2">
        <v>77578</v>
      </c>
      <c r="D223" s="3"/>
      <c r="E223" s="3"/>
      <c r="F223" s="4"/>
    </row>
    <row r="224" spans="2:6" x14ac:dyDescent="0.25">
      <c r="B224" s="3"/>
      <c r="C224" s="4"/>
      <c r="D224" s="3"/>
      <c r="E224" s="3"/>
      <c r="F224" s="4"/>
    </row>
    <row r="225" spans="2:6" x14ac:dyDescent="0.25">
      <c r="B225" s="3" t="s">
        <v>42</v>
      </c>
      <c r="C225" s="4">
        <f>SUM(C186:C224)</f>
        <v>1874291.8459999999</v>
      </c>
      <c r="D225" s="3"/>
      <c r="E225" s="3"/>
      <c r="F225" s="4"/>
    </row>
    <row r="226" spans="2:6" x14ac:dyDescent="0.25">
      <c r="B226" s="3"/>
      <c r="C226" s="4"/>
      <c r="D226" s="3"/>
      <c r="E226" s="3"/>
      <c r="F226" s="4"/>
    </row>
    <row r="227" spans="2:6" x14ac:dyDescent="0.25">
      <c r="B227" s="3"/>
      <c r="C227" s="4"/>
      <c r="D227" s="3"/>
      <c r="E227" s="3"/>
      <c r="F227" s="4"/>
    </row>
    <row r="228" spans="2:6" x14ac:dyDescent="0.25">
      <c r="B228" s="3"/>
      <c r="C228" s="8" t="s">
        <v>43</v>
      </c>
      <c r="D228" s="8">
        <f>C225-F213</f>
        <v>408180.8459999999</v>
      </c>
      <c r="E228" s="3"/>
      <c r="F228" s="4"/>
    </row>
    <row r="229" spans="2:6" x14ac:dyDescent="0.25">
      <c r="C229" s="14"/>
    </row>
    <row r="230" spans="2:6" x14ac:dyDescent="0.25">
      <c r="C230" s="14"/>
    </row>
    <row r="231" spans="2:6" x14ac:dyDescent="0.25">
      <c r="C231" s="14"/>
    </row>
    <row r="232" spans="2:6" x14ac:dyDescent="0.25">
      <c r="B232" s="1" t="s">
        <v>0</v>
      </c>
      <c r="C232" s="14">
        <v>1137448</v>
      </c>
      <c r="D232" s="3"/>
      <c r="E232" s="12" t="s">
        <v>127</v>
      </c>
      <c r="F232" s="4"/>
    </row>
    <row r="233" spans="2:6" x14ac:dyDescent="0.25">
      <c r="B233" s="3"/>
      <c r="C233" s="4"/>
      <c r="D233" s="3"/>
      <c r="E233" s="3"/>
      <c r="F233" s="4"/>
    </row>
    <row r="234" spans="2:6" x14ac:dyDescent="0.25">
      <c r="B234" s="5" t="s">
        <v>2</v>
      </c>
      <c r="C234" s="4"/>
      <c r="D234" s="3"/>
      <c r="E234" s="60" t="s">
        <v>3</v>
      </c>
      <c r="F234" s="60"/>
    </row>
    <row r="235" spans="2:6" x14ac:dyDescent="0.25">
      <c r="B235" s="6" t="s">
        <v>4</v>
      </c>
      <c r="C235" s="7"/>
      <c r="D235" s="3"/>
      <c r="E235" s="6" t="s">
        <v>4</v>
      </c>
      <c r="F235" s="8"/>
    </row>
    <row r="236" spans="2:6" x14ac:dyDescent="0.25">
      <c r="B236" s="9" t="s">
        <v>128</v>
      </c>
      <c r="C236" s="2">
        <v>8341</v>
      </c>
      <c r="D236" s="3"/>
      <c r="E236" s="3"/>
      <c r="F236" s="2"/>
    </row>
    <row r="237" spans="2:6" x14ac:dyDescent="0.25">
      <c r="B237" s="10" t="s">
        <v>129</v>
      </c>
      <c r="C237" s="2">
        <v>1733</v>
      </c>
      <c r="D237" s="3"/>
      <c r="E237" s="10" t="s">
        <v>109</v>
      </c>
      <c r="F237" s="2"/>
    </row>
    <row r="238" spans="2:6" x14ac:dyDescent="0.25">
      <c r="B238" s="10" t="s">
        <v>97</v>
      </c>
      <c r="C238" s="2">
        <v>59361</v>
      </c>
      <c r="D238" s="3"/>
      <c r="E238" s="10" t="s">
        <v>75</v>
      </c>
      <c r="F238" s="2">
        <v>10833</v>
      </c>
    </row>
    <row r="239" spans="2:6" x14ac:dyDescent="0.25">
      <c r="B239" s="3" t="s">
        <v>130</v>
      </c>
      <c r="C239" s="2">
        <v>500</v>
      </c>
      <c r="D239" s="3"/>
      <c r="E239" s="3" t="s">
        <v>112</v>
      </c>
      <c r="F239" s="2">
        <v>37772</v>
      </c>
    </row>
    <row r="240" spans="2:6" x14ac:dyDescent="0.25">
      <c r="B240" s="3" t="s">
        <v>113</v>
      </c>
      <c r="C240" s="2">
        <v>18553</v>
      </c>
      <c r="D240" s="3"/>
      <c r="E240" s="10" t="s">
        <v>68</v>
      </c>
      <c r="F240" s="2">
        <v>7683</v>
      </c>
    </row>
    <row r="241" spans="2:6" x14ac:dyDescent="0.25">
      <c r="B241" t="s">
        <v>76</v>
      </c>
      <c r="C241" s="2">
        <v>650</v>
      </c>
      <c r="D241" s="3"/>
      <c r="E241" s="9" t="s">
        <v>74</v>
      </c>
      <c r="F241" s="2">
        <v>696</v>
      </c>
    </row>
    <row r="242" spans="2:6" x14ac:dyDescent="0.25">
      <c r="C242" s="2"/>
      <c r="D242" s="3"/>
      <c r="E242" s="9" t="s">
        <v>131</v>
      </c>
      <c r="F242" s="2">
        <v>200</v>
      </c>
    </row>
    <row r="243" spans="2:6" x14ac:dyDescent="0.25">
      <c r="B243" t="s">
        <v>13</v>
      </c>
      <c r="C243" s="2">
        <v>32869</v>
      </c>
      <c r="D243" s="3"/>
      <c r="E243" s="15" t="s">
        <v>114</v>
      </c>
      <c r="F243" s="2">
        <v>2481</v>
      </c>
    </row>
    <row r="244" spans="2:6" x14ac:dyDescent="0.25">
      <c r="B244" t="s">
        <v>14</v>
      </c>
      <c r="C244" s="2">
        <v>3452</v>
      </c>
      <c r="D244" s="3"/>
      <c r="E244" s="10"/>
      <c r="F244" s="4"/>
    </row>
    <row r="245" spans="2:6" x14ac:dyDescent="0.25">
      <c r="B245" t="s">
        <v>78</v>
      </c>
      <c r="C245" s="2">
        <v>7340</v>
      </c>
      <c r="D245" s="3"/>
      <c r="E245" s="9" t="s">
        <v>15</v>
      </c>
      <c r="F245" s="2">
        <v>346236</v>
      </c>
    </row>
    <row r="246" spans="2:6" x14ac:dyDescent="0.25">
      <c r="B246" s="10" t="s">
        <v>132</v>
      </c>
      <c r="C246" s="2">
        <v>94973</v>
      </c>
      <c r="D246" s="3"/>
      <c r="E246" s="9"/>
      <c r="F246" s="4"/>
    </row>
    <row r="247" spans="2:6" x14ac:dyDescent="0.25">
      <c r="B247" t="s">
        <v>133</v>
      </c>
      <c r="C247" s="14">
        <v>2330</v>
      </c>
      <c r="D247" s="3"/>
      <c r="E247" s="3"/>
      <c r="F247" s="4"/>
    </row>
    <row r="248" spans="2:6" x14ac:dyDescent="0.25">
      <c r="B248" s="10" t="s">
        <v>80</v>
      </c>
      <c r="C248" s="2">
        <v>475</v>
      </c>
      <c r="D248" s="3"/>
      <c r="E248" s="9" t="s">
        <v>18</v>
      </c>
      <c r="F248" s="2">
        <v>828075</v>
      </c>
    </row>
    <row r="249" spans="2:6" x14ac:dyDescent="0.25">
      <c r="B249" s="3" t="s">
        <v>81</v>
      </c>
      <c r="C249" s="2">
        <v>1202</v>
      </c>
      <c r="D249" s="3"/>
      <c r="E249" s="3"/>
      <c r="F249" s="4"/>
    </row>
    <row r="250" spans="2:6" x14ac:dyDescent="0.25">
      <c r="B250" s="3" t="s">
        <v>82</v>
      </c>
      <c r="C250" s="2">
        <v>4415</v>
      </c>
      <c r="D250" s="3"/>
      <c r="E250" s="3"/>
      <c r="F250" s="4"/>
    </row>
    <row r="251" spans="2:6" x14ac:dyDescent="0.25">
      <c r="B251" s="3" t="s">
        <v>115</v>
      </c>
      <c r="C251" s="2">
        <v>870</v>
      </c>
      <c r="D251" s="3"/>
      <c r="E251" s="3"/>
      <c r="F251" s="4"/>
    </row>
    <row r="252" spans="2:6" x14ac:dyDescent="0.25">
      <c r="B252" s="10" t="s">
        <v>116</v>
      </c>
      <c r="C252" s="2">
        <v>14800</v>
      </c>
      <c r="D252" s="3"/>
      <c r="E252" s="9"/>
      <c r="F252" s="2"/>
    </row>
    <row r="253" spans="2:6" x14ac:dyDescent="0.25">
      <c r="B253" s="3" t="s">
        <v>134</v>
      </c>
      <c r="C253" s="2">
        <v>2899</v>
      </c>
      <c r="D253" s="3"/>
      <c r="E253" s="9" t="s">
        <v>24</v>
      </c>
      <c r="F253" s="2">
        <v>664945</v>
      </c>
    </row>
    <row r="254" spans="2:6" x14ac:dyDescent="0.25">
      <c r="B254" s="10" t="s">
        <v>69</v>
      </c>
      <c r="C254" s="2">
        <v>3670</v>
      </c>
      <c r="D254" s="3"/>
      <c r="E254" s="9" t="s">
        <v>26</v>
      </c>
      <c r="F254" s="2">
        <v>100385</v>
      </c>
    </row>
    <row r="255" spans="2:6" x14ac:dyDescent="0.25">
      <c r="B255" s="10" t="s">
        <v>118</v>
      </c>
      <c r="C255" s="2">
        <v>234</v>
      </c>
      <c r="D255" s="3"/>
      <c r="E255" s="3"/>
      <c r="F255" s="2"/>
    </row>
    <row r="256" spans="2:6" x14ac:dyDescent="0.25">
      <c r="B256" t="s">
        <v>28</v>
      </c>
      <c r="C256" s="2">
        <v>496769</v>
      </c>
      <c r="D256" s="3"/>
      <c r="E256" s="9" t="s">
        <v>135</v>
      </c>
      <c r="F256" s="2">
        <v>92834</v>
      </c>
    </row>
    <row r="257" spans="2:6" x14ac:dyDescent="0.25">
      <c r="B257" s="10" t="s">
        <v>87</v>
      </c>
      <c r="C257" s="2">
        <v>18982</v>
      </c>
      <c r="D257" s="3"/>
      <c r="E257" s="3" t="s">
        <v>136</v>
      </c>
      <c r="F257" s="2">
        <v>25035</v>
      </c>
    </row>
    <row r="258" spans="2:6" x14ac:dyDescent="0.25">
      <c r="B258" s="10" t="s">
        <v>89</v>
      </c>
      <c r="C258" s="2">
        <v>692</v>
      </c>
      <c r="D258" s="3"/>
      <c r="E258" s="11"/>
      <c r="F258" s="4"/>
    </row>
    <row r="259" spans="2:6" x14ac:dyDescent="0.25">
      <c r="B259" t="s">
        <v>121</v>
      </c>
      <c r="C259" s="2">
        <v>3793</v>
      </c>
      <c r="D259" s="3"/>
      <c r="E259" t="s">
        <v>34</v>
      </c>
      <c r="F259" s="4">
        <f>SUM(F236:F258)</f>
        <v>2117175</v>
      </c>
    </row>
    <row r="260" spans="2:6" x14ac:dyDescent="0.25">
      <c r="B260" t="s">
        <v>137</v>
      </c>
      <c r="C260" s="2">
        <v>1898</v>
      </c>
      <c r="D260" s="3"/>
      <c r="F260" s="4"/>
    </row>
    <row r="261" spans="2:6" x14ac:dyDescent="0.25">
      <c r="B261" s="15" t="s">
        <v>91</v>
      </c>
      <c r="C261" s="2">
        <v>272</v>
      </c>
      <c r="D261" s="3"/>
      <c r="E261" s="3"/>
      <c r="F261" s="4"/>
    </row>
    <row r="262" spans="2:6" x14ac:dyDescent="0.25">
      <c r="B262" s="15" t="s">
        <v>122</v>
      </c>
      <c r="C262" s="2">
        <v>20</v>
      </c>
      <c r="D262" s="3"/>
      <c r="E262" s="3"/>
      <c r="F262" s="4"/>
    </row>
    <row r="263" spans="2:6" x14ac:dyDescent="0.25">
      <c r="B263" s="9" t="s">
        <v>12</v>
      </c>
      <c r="C263" s="2">
        <v>1813</v>
      </c>
      <c r="D263" s="3"/>
      <c r="E263" s="3"/>
      <c r="F263" s="4"/>
    </row>
    <row r="264" spans="2:6" x14ac:dyDescent="0.25">
      <c r="B264" t="s">
        <v>123</v>
      </c>
      <c r="C264" s="14">
        <v>1000</v>
      </c>
      <c r="D264" s="3"/>
      <c r="E264" s="3"/>
      <c r="F264" s="4"/>
    </row>
    <row r="265" spans="2:6" x14ac:dyDescent="0.25">
      <c r="B265" t="s">
        <v>124</v>
      </c>
      <c r="C265" s="2">
        <v>1242</v>
      </c>
      <c r="D265" s="3"/>
      <c r="E265" s="3"/>
      <c r="F265" s="4"/>
    </row>
    <row r="266" spans="2:6" x14ac:dyDescent="0.25">
      <c r="B266" s="3" t="s">
        <v>138</v>
      </c>
      <c r="C266" s="2">
        <v>279</v>
      </c>
      <c r="D266" s="3"/>
      <c r="E266" s="3"/>
      <c r="F266" s="4"/>
    </row>
    <row r="267" spans="2:6" x14ac:dyDescent="0.25">
      <c r="B267" s="16" t="s">
        <v>139</v>
      </c>
      <c r="C267" s="2">
        <v>72284</v>
      </c>
      <c r="D267" s="3"/>
      <c r="E267" s="12"/>
      <c r="F267" s="4"/>
    </row>
    <row r="268" spans="2:6" x14ac:dyDescent="0.25">
      <c r="B268" s="9" t="s">
        <v>39</v>
      </c>
      <c r="C268" s="2">
        <v>174748.86</v>
      </c>
      <c r="D268" s="3"/>
      <c r="E268" s="3"/>
      <c r="F268" s="4"/>
    </row>
    <row r="269" spans="2:6" x14ac:dyDescent="0.25">
      <c r="B269" s="9" t="s">
        <v>140</v>
      </c>
      <c r="C269" s="2">
        <v>166259</v>
      </c>
      <c r="D269" s="3"/>
      <c r="E269" s="3"/>
      <c r="F269" s="4"/>
    </row>
    <row r="270" spans="2:6" x14ac:dyDescent="0.25">
      <c r="B270" s="9"/>
      <c r="C270" s="2"/>
      <c r="D270" s="3"/>
      <c r="E270" s="3"/>
      <c r="F270" s="4"/>
    </row>
    <row r="271" spans="2:6" x14ac:dyDescent="0.25">
      <c r="B271" s="13" t="s">
        <v>41</v>
      </c>
      <c r="C271" s="2">
        <v>48058</v>
      </c>
      <c r="D271" s="3"/>
      <c r="E271" s="3"/>
      <c r="F271" s="4"/>
    </row>
    <row r="272" spans="2:6" x14ac:dyDescent="0.25">
      <c r="B272" s="3"/>
      <c r="C272" s="4"/>
      <c r="D272" s="3"/>
      <c r="E272" s="3"/>
      <c r="F272" s="4"/>
    </row>
    <row r="273" spans="2:6" x14ac:dyDescent="0.25">
      <c r="B273" s="3" t="s">
        <v>42</v>
      </c>
      <c r="C273" s="4">
        <f>SUM(C232:C272)</f>
        <v>2384224.86</v>
      </c>
      <c r="D273" s="3"/>
      <c r="E273" s="3"/>
      <c r="F273" s="4"/>
    </row>
    <row r="274" spans="2:6" x14ac:dyDescent="0.25">
      <c r="B274" s="3"/>
      <c r="C274" s="4"/>
      <c r="D274" s="3"/>
      <c r="E274" s="3"/>
      <c r="F274" s="4"/>
    </row>
    <row r="275" spans="2:6" x14ac:dyDescent="0.25">
      <c r="B275" s="3"/>
      <c r="C275" s="4"/>
      <c r="D275" s="3"/>
      <c r="E275" s="3"/>
      <c r="F275" s="4"/>
    </row>
    <row r="276" spans="2:6" x14ac:dyDescent="0.25">
      <c r="B276" s="3"/>
      <c r="C276" s="8" t="s">
        <v>43</v>
      </c>
      <c r="D276" s="8">
        <f>C273-F259</f>
        <v>267049.85999999987</v>
      </c>
      <c r="E276" s="3"/>
      <c r="F276" s="4"/>
    </row>
    <row r="277" spans="2:6" x14ac:dyDescent="0.25">
      <c r="C277" s="14"/>
    </row>
    <row r="278" spans="2:6" x14ac:dyDescent="0.25">
      <c r="C278" s="14"/>
    </row>
    <row r="279" spans="2:6" x14ac:dyDescent="0.25">
      <c r="C279" s="14"/>
    </row>
    <row r="280" spans="2:6" x14ac:dyDescent="0.25">
      <c r="C280" s="14"/>
    </row>
    <row r="281" spans="2:6" x14ac:dyDescent="0.25">
      <c r="B281" s="1" t="s">
        <v>0</v>
      </c>
      <c r="C281" s="17">
        <v>1168576</v>
      </c>
      <c r="D281" s="3"/>
      <c r="E281" s="12" t="s">
        <v>141</v>
      </c>
      <c r="F281" s="4"/>
    </row>
    <row r="282" spans="2:6" x14ac:dyDescent="0.25">
      <c r="B282" s="3"/>
      <c r="C282" s="4"/>
      <c r="D282" s="3"/>
      <c r="E282" s="3"/>
      <c r="F282" s="4"/>
    </row>
    <row r="283" spans="2:6" x14ac:dyDescent="0.25">
      <c r="B283" s="5" t="s">
        <v>2</v>
      </c>
      <c r="C283" s="4"/>
      <c r="D283" s="3"/>
      <c r="E283" s="60" t="s">
        <v>3</v>
      </c>
      <c r="F283" s="60"/>
    </row>
    <row r="284" spans="2:6" x14ac:dyDescent="0.25">
      <c r="B284" s="6" t="s">
        <v>4</v>
      </c>
      <c r="C284" s="7"/>
      <c r="D284" s="3"/>
      <c r="E284" s="6" t="s">
        <v>4</v>
      </c>
      <c r="F284" s="8"/>
    </row>
    <row r="285" spans="2:6" x14ac:dyDescent="0.25">
      <c r="B285" s="9" t="s">
        <v>142</v>
      </c>
      <c r="C285" s="2">
        <v>10</v>
      </c>
      <c r="D285" s="3"/>
      <c r="E285" s="10" t="s">
        <v>143</v>
      </c>
      <c r="F285" s="2">
        <v>1000</v>
      </c>
    </row>
    <row r="286" spans="2:6" x14ac:dyDescent="0.25">
      <c r="B286" s="10" t="s">
        <v>128</v>
      </c>
      <c r="C286" s="2">
        <v>8341</v>
      </c>
      <c r="D286" s="3"/>
      <c r="E286" s="10" t="s">
        <v>144</v>
      </c>
      <c r="F286" s="2">
        <v>2381</v>
      </c>
    </row>
    <row r="287" spans="2:6" x14ac:dyDescent="0.25">
      <c r="B287" s="10" t="s">
        <v>145</v>
      </c>
      <c r="C287" s="2">
        <v>1949.64</v>
      </c>
      <c r="D287" s="3"/>
      <c r="F287" s="2"/>
    </row>
    <row r="288" spans="2:6" x14ac:dyDescent="0.25">
      <c r="B288" s="3" t="s">
        <v>97</v>
      </c>
      <c r="C288" s="2">
        <v>65565</v>
      </c>
      <c r="D288" s="3"/>
      <c r="E288" s="10" t="s">
        <v>146</v>
      </c>
      <c r="F288" s="2">
        <v>1000</v>
      </c>
    </row>
    <row r="289" spans="2:6" x14ac:dyDescent="0.25">
      <c r="B289" s="3" t="s">
        <v>130</v>
      </c>
      <c r="C289" s="2">
        <v>500</v>
      </c>
      <c r="D289" s="3"/>
      <c r="E289" s="9" t="s">
        <v>147</v>
      </c>
      <c r="F289" s="2">
        <v>6000</v>
      </c>
    </row>
    <row r="290" spans="2:6" x14ac:dyDescent="0.25">
      <c r="B290" s="3" t="s">
        <v>148</v>
      </c>
      <c r="C290" s="2">
        <v>650</v>
      </c>
      <c r="D290" s="3"/>
      <c r="E290" s="9" t="s">
        <v>149</v>
      </c>
      <c r="F290" s="2">
        <v>16810</v>
      </c>
    </row>
    <row r="291" spans="2:6" x14ac:dyDescent="0.25">
      <c r="B291" s="3" t="s">
        <v>150</v>
      </c>
      <c r="C291" s="2">
        <v>32869</v>
      </c>
      <c r="D291" s="3"/>
      <c r="E291" s="15" t="s">
        <v>151</v>
      </c>
      <c r="F291" s="2">
        <v>2180</v>
      </c>
    </row>
    <row r="292" spans="2:6" x14ac:dyDescent="0.25">
      <c r="B292" s="3" t="s">
        <v>152</v>
      </c>
      <c r="C292" s="2">
        <v>3452</v>
      </c>
      <c r="D292" s="3"/>
      <c r="E292" s="10" t="s">
        <v>153</v>
      </c>
      <c r="F292" s="4">
        <v>3317</v>
      </c>
    </row>
    <row r="293" spans="2:6" x14ac:dyDescent="0.25">
      <c r="B293" s="3" t="s">
        <v>154</v>
      </c>
      <c r="C293" s="2">
        <v>550</v>
      </c>
      <c r="D293" s="3"/>
      <c r="E293" s="9" t="s">
        <v>112</v>
      </c>
      <c r="F293" s="2">
        <v>89969</v>
      </c>
    </row>
    <row r="294" spans="2:6" x14ac:dyDescent="0.25">
      <c r="B294" s="3" t="s">
        <v>155</v>
      </c>
      <c r="C294" s="2">
        <v>5060</v>
      </c>
      <c r="D294" s="3"/>
      <c r="E294" s="9" t="s">
        <v>156</v>
      </c>
      <c r="F294" s="4">
        <v>1286</v>
      </c>
    </row>
    <row r="295" spans="2:6" x14ac:dyDescent="0.25">
      <c r="B295" s="10" t="s">
        <v>157</v>
      </c>
      <c r="C295" s="2">
        <v>1545</v>
      </c>
      <c r="D295" s="3"/>
      <c r="E295" s="3" t="s">
        <v>74</v>
      </c>
      <c r="F295" s="4">
        <v>696</v>
      </c>
    </row>
    <row r="296" spans="2:6" x14ac:dyDescent="0.25">
      <c r="B296" s="3" t="s">
        <v>133</v>
      </c>
      <c r="C296" s="14">
        <v>2330</v>
      </c>
      <c r="D296" s="3"/>
      <c r="E296" s="9" t="s">
        <v>158</v>
      </c>
      <c r="F296" s="2">
        <v>5662</v>
      </c>
    </row>
    <row r="297" spans="2:6" x14ac:dyDescent="0.25">
      <c r="B297" s="3" t="s">
        <v>159</v>
      </c>
      <c r="C297" s="2">
        <v>29800</v>
      </c>
      <c r="D297" s="3"/>
      <c r="E297" s="3" t="s">
        <v>114</v>
      </c>
      <c r="F297" s="4">
        <v>2481</v>
      </c>
    </row>
    <row r="298" spans="2:6" x14ac:dyDescent="0.25">
      <c r="B298" s="3" t="s">
        <v>160</v>
      </c>
      <c r="C298" s="2">
        <v>46220</v>
      </c>
      <c r="D298" s="3"/>
      <c r="E298" s="3" t="s">
        <v>161</v>
      </c>
      <c r="F298" s="4">
        <v>20</v>
      </c>
    </row>
    <row r="299" spans="2:6" x14ac:dyDescent="0.25">
      <c r="B299" s="3" t="s">
        <v>162</v>
      </c>
      <c r="C299" s="2">
        <v>10</v>
      </c>
      <c r="D299" s="3"/>
      <c r="E299" s="3" t="s">
        <v>131</v>
      </c>
      <c r="F299" s="4">
        <v>200</v>
      </c>
    </row>
    <row r="300" spans="2:6" x14ac:dyDescent="0.25">
      <c r="B300" s="3" t="s">
        <v>163</v>
      </c>
      <c r="C300" s="2">
        <v>3670</v>
      </c>
      <c r="D300" s="3"/>
      <c r="E300" s="9" t="s">
        <v>164</v>
      </c>
      <c r="F300" s="2">
        <v>728047</v>
      </c>
    </row>
    <row r="301" spans="2:6" x14ac:dyDescent="0.25">
      <c r="B301" s="10" t="s">
        <v>118</v>
      </c>
      <c r="C301" s="2">
        <v>50473</v>
      </c>
      <c r="D301" s="3"/>
      <c r="E301" s="9" t="s">
        <v>165</v>
      </c>
      <c r="F301" s="2">
        <v>979648</v>
      </c>
    </row>
    <row r="302" spans="2:6" x14ac:dyDescent="0.25">
      <c r="B302" s="3" t="s">
        <v>166</v>
      </c>
      <c r="C302" s="2">
        <v>349845</v>
      </c>
      <c r="D302" s="3"/>
      <c r="E302" s="9" t="s">
        <v>167</v>
      </c>
      <c r="F302" s="2">
        <v>304392</v>
      </c>
    </row>
    <row r="303" spans="2:6" x14ac:dyDescent="0.25">
      <c r="B303" s="10" t="s">
        <v>168</v>
      </c>
      <c r="C303" s="2">
        <v>15299</v>
      </c>
      <c r="D303" s="3"/>
      <c r="E303" s="3" t="s">
        <v>169</v>
      </c>
      <c r="F303" s="2">
        <v>107767</v>
      </c>
    </row>
    <row r="304" spans="2:6" x14ac:dyDescent="0.25">
      <c r="B304" s="10" t="s">
        <v>170</v>
      </c>
      <c r="C304" s="2">
        <v>780</v>
      </c>
      <c r="D304" s="3"/>
    </row>
    <row r="305" spans="2:6" x14ac:dyDescent="0.25">
      <c r="B305" s="3" t="s">
        <v>171</v>
      </c>
      <c r="C305" s="2">
        <v>2994</v>
      </c>
      <c r="D305" s="3"/>
      <c r="E305" s="9" t="s">
        <v>172</v>
      </c>
      <c r="F305" s="2">
        <v>51083</v>
      </c>
    </row>
    <row r="306" spans="2:6" x14ac:dyDescent="0.25">
      <c r="B306" s="10" t="s">
        <v>173</v>
      </c>
      <c r="C306" s="2">
        <v>1000</v>
      </c>
      <c r="D306" s="3"/>
      <c r="E306" s="3"/>
      <c r="F306" s="2"/>
    </row>
    <row r="307" spans="2:6" x14ac:dyDescent="0.25">
      <c r="B307" s="10" t="s">
        <v>174</v>
      </c>
      <c r="C307" s="2">
        <v>18982</v>
      </c>
      <c r="D307" s="3"/>
      <c r="E307" s="11"/>
      <c r="F307" s="4"/>
    </row>
    <row r="308" spans="2:6" x14ac:dyDescent="0.25">
      <c r="B308" s="3" t="s">
        <v>175</v>
      </c>
      <c r="C308" s="2">
        <v>6525</v>
      </c>
      <c r="D308" s="3"/>
      <c r="E308" t="s">
        <v>34</v>
      </c>
      <c r="F308" s="4">
        <f>SUM(F285:F307)</f>
        <v>2303939</v>
      </c>
    </row>
    <row r="309" spans="2:6" x14ac:dyDescent="0.25">
      <c r="B309" s="3" t="s">
        <v>176</v>
      </c>
      <c r="C309" s="2">
        <v>692</v>
      </c>
      <c r="D309" s="3"/>
      <c r="F309" s="4"/>
    </row>
    <row r="310" spans="2:6" x14ac:dyDescent="0.25">
      <c r="B310" s="15" t="s">
        <v>90</v>
      </c>
      <c r="C310" s="2">
        <v>25853</v>
      </c>
      <c r="D310" s="3"/>
      <c r="E310" s="3"/>
      <c r="F310" s="4"/>
    </row>
    <row r="311" spans="2:6" x14ac:dyDescent="0.25">
      <c r="B311" s="15" t="s">
        <v>177</v>
      </c>
      <c r="C311" s="2">
        <v>59222</v>
      </c>
      <c r="D311" s="3"/>
      <c r="E311" s="3"/>
      <c r="F311" s="4"/>
    </row>
    <row r="312" spans="2:6" x14ac:dyDescent="0.25">
      <c r="B312" s="15" t="s">
        <v>178</v>
      </c>
      <c r="C312" s="2">
        <v>272</v>
      </c>
      <c r="D312" s="3"/>
      <c r="E312" s="3"/>
      <c r="F312" s="4"/>
    </row>
    <row r="313" spans="2:6" x14ac:dyDescent="0.25">
      <c r="B313" s="9" t="s">
        <v>179</v>
      </c>
      <c r="C313" s="2">
        <v>20</v>
      </c>
      <c r="D313" s="3"/>
      <c r="E313" s="3"/>
      <c r="F313" s="4"/>
    </row>
    <row r="314" spans="2:6" x14ac:dyDescent="0.25">
      <c r="B314" s="15" t="s">
        <v>180</v>
      </c>
      <c r="C314" s="14">
        <v>1242</v>
      </c>
      <c r="D314" s="3"/>
      <c r="E314" s="3"/>
      <c r="F314" s="4"/>
    </row>
    <row r="315" spans="2:6" x14ac:dyDescent="0.25">
      <c r="B315" s="15" t="s">
        <v>181</v>
      </c>
      <c r="C315" s="2">
        <v>1813</v>
      </c>
      <c r="D315" s="3"/>
      <c r="E315" s="3"/>
      <c r="F315" s="4"/>
    </row>
    <row r="316" spans="2:6" x14ac:dyDescent="0.25">
      <c r="C316" s="2"/>
      <c r="D316" s="3"/>
      <c r="E316" s="3"/>
      <c r="F316" s="4"/>
    </row>
    <row r="317" spans="2:6" x14ac:dyDescent="0.25">
      <c r="B317" s="16" t="s">
        <v>182</v>
      </c>
      <c r="C317" s="2">
        <v>79728</v>
      </c>
      <c r="D317" s="3"/>
      <c r="E317" s="12"/>
      <c r="F317" s="4"/>
    </row>
    <row r="318" spans="2:6" x14ac:dyDescent="0.25">
      <c r="B318" s="9" t="s">
        <v>39</v>
      </c>
      <c r="C318" s="2">
        <v>174748.86</v>
      </c>
      <c r="D318" s="3"/>
      <c r="E318" s="3"/>
      <c r="F318" s="4"/>
    </row>
    <row r="319" spans="2:6" x14ac:dyDescent="0.25">
      <c r="B319" s="9" t="s">
        <v>183</v>
      </c>
      <c r="C319" s="2">
        <v>194839</v>
      </c>
      <c r="D319" s="3"/>
      <c r="E319" s="3"/>
      <c r="F319" s="4"/>
    </row>
    <row r="320" spans="2:6" x14ac:dyDescent="0.25">
      <c r="B320" s="9"/>
      <c r="C320" s="2"/>
      <c r="D320" s="3"/>
      <c r="E320" s="3"/>
      <c r="F320" s="4"/>
    </row>
    <row r="321" spans="2:6" x14ac:dyDescent="0.25">
      <c r="B321" s="13" t="s">
        <v>41</v>
      </c>
      <c r="C321" s="2">
        <v>68994</v>
      </c>
      <c r="D321" s="3"/>
      <c r="E321" s="3"/>
      <c r="F321" s="4"/>
    </row>
    <row r="322" spans="2:6" x14ac:dyDescent="0.25">
      <c r="B322" s="3"/>
      <c r="C322" s="4">
        <v>10618</v>
      </c>
      <c r="D322" s="3"/>
      <c r="E322" s="3"/>
      <c r="F322" s="4"/>
    </row>
    <row r="323" spans="2:6" x14ac:dyDescent="0.25">
      <c r="B323" s="3" t="s">
        <v>42</v>
      </c>
      <c r="C323" s="4">
        <f>SUM(C281:C322)</f>
        <v>2435037.5</v>
      </c>
      <c r="D323" s="3"/>
      <c r="E323" s="3"/>
      <c r="F323" s="4"/>
    </row>
    <row r="324" spans="2:6" x14ac:dyDescent="0.25">
      <c r="B324" s="3"/>
      <c r="C324" s="4"/>
      <c r="D324" s="3"/>
      <c r="E324" s="3"/>
      <c r="F324" s="4"/>
    </row>
    <row r="325" spans="2:6" x14ac:dyDescent="0.25">
      <c r="B325" s="3"/>
      <c r="C325" s="4"/>
      <c r="D325" s="3"/>
      <c r="E325" s="3"/>
      <c r="F325" s="4"/>
    </row>
    <row r="326" spans="2:6" x14ac:dyDescent="0.25">
      <c r="B326" s="3"/>
      <c r="C326" s="8" t="s">
        <v>43</v>
      </c>
      <c r="D326" s="8">
        <f>C323-F308</f>
        <v>131098.5</v>
      </c>
      <c r="E326" s="3"/>
      <c r="F326" s="4"/>
    </row>
    <row r="327" spans="2:6" x14ac:dyDescent="0.25">
      <c r="C327" s="14"/>
    </row>
    <row r="328" spans="2:6" x14ac:dyDescent="0.25">
      <c r="C328" s="14"/>
    </row>
    <row r="329" spans="2:6" x14ac:dyDescent="0.25">
      <c r="C329" s="14"/>
    </row>
    <row r="330" spans="2:6" x14ac:dyDescent="0.25">
      <c r="C330" s="14"/>
    </row>
    <row r="331" spans="2:6" x14ac:dyDescent="0.25">
      <c r="C331" s="14"/>
    </row>
    <row r="332" spans="2:6" x14ac:dyDescent="0.25">
      <c r="C332" s="14"/>
    </row>
    <row r="333" spans="2:6" x14ac:dyDescent="0.25">
      <c r="B333" s="1" t="s">
        <v>0</v>
      </c>
      <c r="C333" s="17">
        <v>1208633</v>
      </c>
      <c r="D333" s="3"/>
      <c r="E333" s="12" t="s">
        <v>184</v>
      </c>
      <c r="F333" s="4"/>
    </row>
    <row r="334" spans="2:6" x14ac:dyDescent="0.25">
      <c r="B334" s="3"/>
      <c r="C334" s="4"/>
      <c r="D334" s="3"/>
      <c r="E334" s="3"/>
      <c r="F334" s="4"/>
    </row>
    <row r="335" spans="2:6" x14ac:dyDescent="0.25">
      <c r="B335" s="5" t="s">
        <v>2</v>
      </c>
      <c r="C335" s="4"/>
      <c r="D335" s="3"/>
      <c r="E335" s="60" t="s">
        <v>3</v>
      </c>
      <c r="F335" s="60"/>
    </row>
    <row r="336" spans="2:6" x14ac:dyDescent="0.25">
      <c r="B336" s="6" t="s">
        <v>4</v>
      </c>
      <c r="C336" s="7"/>
      <c r="D336" s="3"/>
      <c r="E336" s="6" t="s">
        <v>4</v>
      </c>
      <c r="F336" s="8"/>
    </row>
    <row r="337" spans="2:6" x14ac:dyDescent="0.25">
      <c r="B337" s="9" t="s">
        <v>142</v>
      </c>
      <c r="C337" s="2">
        <v>10</v>
      </c>
      <c r="D337" s="3"/>
      <c r="E337" s="10" t="s">
        <v>143</v>
      </c>
      <c r="F337" s="2">
        <v>1000</v>
      </c>
    </row>
    <row r="338" spans="2:6" x14ac:dyDescent="0.25">
      <c r="B338" s="10" t="s">
        <v>128</v>
      </c>
      <c r="C338" s="2">
        <v>8341</v>
      </c>
      <c r="D338" s="3"/>
      <c r="E338" s="10" t="s">
        <v>144</v>
      </c>
      <c r="F338" s="2">
        <v>9381.08</v>
      </c>
    </row>
    <row r="339" spans="2:6" x14ac:dyDescent="0.25">
      <c r="B339" s="10" t="s">
        <v>145</v>
      </c>
      <c r="C339" s="2">
        <v>1949.64</v>
      </c>
      <c r="D339" s="3"/>
      <c r="E339" s="3" t="s">
        <v>97</v>
      </c>
      <c r="F339" s="2">
        <v>202594.54</v>
      </c>
    </row>
    <row r="340" spans="2:6" x14ac:dyDescent="0.25">
      <c r="B340" s="3" t="s">
        <v>185</v>
      </c>
      <c r="C340" s="2">
        <v>1250</v>
      </c>
      <c r="D340" s="3"/>
      <c r="E340" s="10"/>
      <c r="F340" s="2"/>
    </row>
    <row r="341" spans="2:6" x14ac:dyDescent="0.25">
      <c r="B341" s="3" t="s">
        <v>130</v>
      </c>
      <c r="C341" s="2">
        <v>630</v>
      </c>
      <c r="D341" s="3"/>
      <c r="E341" s="9"/>
      <c r="F341" s="2"/>
    </row>
    <row r="342" spans="2:6" x14ac:dyDescent="0.25">
      <c r="B342" s="3" t="s">
        <v>146</v>
      </c>
      <c r="C342" s="2">
        <v>3570</v>
      </c>
      <c r="D342" s="3"/>
      <c r="E342" s="9"/>
      <c r="F342" s="2"/>
    </row>
    <row r="343" spans="2:6" x14ac:dyDescent="0.25">
      <c r="B343" s="3" t="s">
        <v>148</v>
      </c>
      <c r="C343" s="2">
        <v>650</v>
      </c>
      <c r="D343" s="3"/>
      <c r="E343" s="9" t="s">
        <v>149</v>
      </c>
      <c r="F343" s="2">
        <v>23612</v>
      </c>
    </row>
    <row r="344" spans="2:6" x14ac:dyDescent="0.25">
      <c r="B344" s="3" t="s">
        <v>150</v>
      </c>
      <c r="C344" s="2">
        <v>32869</v>
      </c>
      <c r="D344" s="3"/>
      <c r="E344" s="15"/>
      <c r="F344" s="2"/>
    </row>
    <row r="345" spans="2:6" x14ac:dyDescent="0.25">
      <c r="B345" s="3" t="s">
        <v>186</v>
      </c>
      <c r="C345" s="2">
        <v>3470</v>
      </c>
      <c r="D345" s="3"/>
      <c r="E345" s="10" t="s">
        <v>153</v>
      </c>
      <c r="F345" s="4">
        <v>3312</v>
      </c>
    </row>
    <row r="346" spans="2:6" x14ac:dyDescent="0.25">
      <c r="B346" s="3" t="s">
        <v>154</v>
      </c>
      <c r="C346" s="2">
        <v>550</v>
      </c>
      <c r="D346" s="3"/>
      <c r="E346" s="9" t="s">
        <v>112</v>
      </c>
      <c r="F346" s="2">
        <v>23248</v>
      </c>
    </row>
    <row r="347" spans="2:6" x14ac:dyDescent="0.25">
      <c r="B347" s="3" t="s">
        <v>79</v>
      </c>
      <c r="C347" s="2">
        <v>12658</v>
      </c>
      <c r="D347" s="3"/>
      <c r="E347" s="9" t="s">
        <v>156</v>
      </c>
      <c r="F347" s="4">
        <v>2216</v>
      </c>
    </row>
    <row r="348" spans="2:6" x14ac:dyDescent="0.25">
      <c r="B348" s="10" t="s">
        <v>157</v>
      </c>
      <c r="C348" s="2">
        <v>1546</v>
      </c>
      <c r="D348" s="3"/>
      <c r="E348" s="3"/>
      <c r="F348" s="4"/>
    </row>
    <row r="349" spans="2:6" x14ac:dyDescent="0.25">
      <c r="B349" s="3" t="s">
        <v>133</v>
      </c>
      <c r="C349" s="14">
        <v>2330</v>
      </c>
      <c r="D349" s="3"/>
      <c r="E349" s="9"/>
      <c r="F349" s="2"/>
    </row>
    <row r="350" spans="2:6" x14ac:dyDescent="0.25">
      <c r="B350" s="3" t="s">
        <v>159</v>
      </c>
      <c r="C350" s="2">
        <v>16576.8</v>
      </c>
      <c r="D350" s="3"/>
      <c r="E350" s="3" t="s">
        <v>114</v>
      </c>
      <c r="F350" s="4">
        <v>2481</v>
      </c>
    </row>
    <row r="351" spans="2:6" x14ac:dyDescent="0.25">
      <c r="B351" s="3" t="s">
        <v>187</v>
      </c>
      <c r="C351" s="2">
        <v>25</v>
      </c>
      <c r="D351" s="3"/>
      <c r="E351" s="3"/>
      <c r="F351" s="4"/>
    </row>
    <row r="352" spans="2:6" x14ac:dyDescent="0.25">
      <c r="B352" s="3" t="s">
        <v>160</v>
      </c>
      <c r="C352" s="2">
        <v>46220</v>
      </c>
      <c r="D352" s="3"/>
      <c r="E352" s="3" t="s">
        <v>161</v>
      </c>
      <c r="F352" s="4">
        <v>20</v>
      </c>
    </row>
    <row r="353" spans="2:6" x14ac:dyDescent="0.25">
      <c r="B353" s="3" t="s">
        <v>162</v>
      </c>
      <c r="C353" s="2">
        <v>23</v>
      </c>
      <c r="D353" s="3"/>
      <c r="E353" s="3" t="s">
        <v>131</v>
      </c>
      <c r="F353" s="4">
        <v>194</v>
      </c>
    </row>
    <row r="354" spans="2:6" x14ac:dyDescent="0.25">
      <c r="B354" s="3" t="s">
        <v>188</v>
      </c>
      <c r="C354" s="2">
        <v>25</v>
      </c>
      <c r="D354" s="3"/>
      <c r="E354" s="3" t="s">
        <v>189</v>
      </c>
      <c r="F354" s="4">
        <v>8052</v>
      </c>
    </row>
    <row r="355" spans="2:6" x14ac:dyDescent="0.25">
      <c r="B355" s="3" t="s">
        <v>163</v>
      </c>
      <c r="C355" s="2">
        <v>1835</v>
      </c>
      <c r="D355" s="3"/>
      <c r="E355" s="9" t="s">
        <v>164</v>
      </c>
      <c r="F355" s="2">
        <v>715505</v>
      </c>
    </row>
    <row r="356" spans="2:6" x14ac:dyDescent="0.25">
      <c r="B356" s="10" t="s">
        <v>118</v>
      </c>
      <c r="C356" s="2">
        <v>883</v>
      </c>
      <c r="D356" s="3"/>
      <c r="E356" s="9" t="s">
        <v>165</v>
      </c>
      <c r="F356" s="2">
        <v>1347701</v>
      </c>
    </row>
    <row r="357" spans="2:6" x14ac:dyDescent="0.25">
      <c r="B357" s="3" t="s">
        <v>166</v>
      </c>
      <c r="C357" s="2">
        <v>1087588</v>
      </c>
      <c r="D357" s="3"/>
      <c r="E357" s="9" t="s">
        <v>167</v>
      </c>
      <c r="F357" s="2">
        <v>287832</v>
      </c>
    </row>
    <row r="358" spans="2:6" x14ac:dyDescent="0.25">
      <c r="B358" s="10" t="s">
        <v>168</v>
      </c>
      <c r="C358" s="2">
        <v>14309</v>
      </c>
      <c r="D358" s="3"/>
      <c r="E358" s="3" t="s">
        <v>169</v>
      </c>
      <c r="F358" s="2">
        <v>138535</v>
      </c>
    </row>
    <row r="359" spans="2:6" x14ac:dyDescent="0.25">
      <c r="B359" s="10" t="s">
        <v>170</v>
      </c>
      <c r="C359" s="2">
        <v>2760</v>
      </c>
      <c r="D359" s="3"/>
    </row>
    <row r="360" spans="2:6" x14ac:dyDescent="0.25">
      <c r="B360" s="3" t="s">
        <v>190</v>
      </c>
      <c r="C360" s="2">
        <v>1265</v>
      </c>
      <c r="D360" s="3"/>
      <c r="E360" s="9" t="s">
        <v>191</v>
      </c>
      <c r="F360" s="2">
        <v>27084</v>
      </c>
    </row>
    <row r="361" spans="2:6" x14ac:dyDescent="0.25">
      <c r="B361" s="10"/>
      <c r="C361" s="2"/>
      <c r="D361" s="3"/>
      <c r="E361" s="9" t="s">
        <v>192</v>
      </c>
      <c r="F361" s="2">
        <v>1937.15</v>
      </c>
    </row>
    <row r="362" spans="2:6" x14ac:dyDescent="0.25">
      <c r="B362" s="10" t="s">
        <v>174</v>
      </c>
      <c r="C362" s="2">
        <v>18982</v>
      </c>
      <c r="D362" s="3"/>
      <c r="E362" s="11"/>
      <c r="F362" s="4"/>
    </row>
    <row r="363" spans="2:6" x14ac:dyDescent="0.25">
      <c r="B363" s="3" t="s">
        <v>175</v>
      </c>
      <c r="C363" s="2">
        <v>6525</v>
      </c>
      <c r="D363" s="3"/>
      <c r="E363" t="s">
        <v>34</v>
      </c>
      <c r="F363" s="4">
        <f>SUM(F337:F362)</f>
        <v>2794704.77</v>
      </c>
    </row>
    <row r="364" spans="2:6" x14ac:dyDescent="0.25">
      <c r="B364" s="3"/>
      <c r="C364" s="2"/>
      <c r="D364" s="3"/>
      <c r="F364" s="4"/>
    </row>
    <row r="365" spans="2:6" x14ac:dyDescent="0.25">
      <c r="B365" s="15"/>
      <c r="C365" s="2"/>
      <c r="D365" s="3"/>
      <c r="E365" s="3"/>
      <c r="F365" s="4"/>
    </row>
    <row r="366" spans="2:6" x14ac:dyDescent="0.25">
      <c r="B366" s="15"/>
      <c r="C366" s="2"/>
      <c r="D366" s="3"/>
      <c r="E366" s="3"/>
      <c r="F366" s="4"/>
    </row>
    <row r="367" spans="2:6" x14ac:dyDescent="0.25">
      <c r="B367" s="15" t="s">
        <v>178</v>
      </c>
      <c r="C367" s="2">
        <v>272</v>
      </c>
      <c r="D367" s="3"/>
      <c r="E367" s="3"/>
      <c r="F367" s="4"/>
    </row>
    <row r="368" spans="2:6" x14ac:dyDescent="0.25">
      <c r="B368" s="9" t="s">
        <v>179</v>
      </c>
      <c r="C368" s="2">
        <v>20</v>
      </c>
      <c r="D368" s="3"/>
      <c r="E368" s="3"/>
      <c r="F368" s="4"/>
    </row>
    <row r="369" spans="2:6" x14ac:dyDescent="0.25">
      <c r="B369" s="15" t="s">
        <v>180</v>
      </c>
      <c r="C369" s="14">
        <v>1242</v>
      </c>
      <c r="D369" s="3"/>
      <c r="E369" s="3"/>
      <c r="F369" s="4"/>
    </row>
    <row r="370" spans="2:6" x14ac:dyDescent="0.25">
      <c r="B370" s="15" t="s">
        <v>181</v>
      </c>
      <c r="C370" s="2"/>
      <c r="D370" s="3"/>
      <c r="E370" s="3"/>
      <c r="F370" s="4"/>
    </row>
    <row r="371" spans="2:6" x14ac:dyDescent="0.25">
      <c r="C371" s="2"/>
      <c r="D371" s="3"/>
      <c r="E371" s="3"/>
      <c r="F371" s="4"/>
    </row>
    <row r="372" spans="2:6" x14ac:dyDescent="0.25">
      <c r="B372" s="16" t="s">
        <v>193</v>
      </c>
      <c r="C372" s="2">
        <v>23323.200000000001</v>
      </c>
      <c r="D372" s="3"/>
      <c r="E372" s="12"/>
      <c r="F372" s="4"/>
    </row>
    <row r="373" spans="2:6" x14ac:dyDescent="0.25">
      <c r="B373" s="9" t="s">
        <v>39</v>
      </c>
      <c r="C373" s="2">
        <v>174748.86</v>
      </c>
      <c r="D373" s="3"/>
      <c r="E373" s="3"/>
      <c r="F373" s="4"/>
    </row>
    <row r="374" spans="2:6" x14ac:dyDescent="0.25">
      <c r="B374" s="9" t="s">
        <v>194</v>
      </c>
      <c r="C374" s="2">
        <v>141976.962</v>
      </c>
      <c r="D374" s="3"/>
      <c r="E374" s="3"/>
      <c r="F374" s="4"/>
    </row>
    <row r="375" spans="2:6" x14ac:dyDescent="0.25">
      <c r="B375" s="9" t="s">
        <v>195</v>
      </c>
      <c r="C375" s="2">
        <v>23450</v>
      </c>
      <c r="D375" s="3"/>
      <c r="E375" s="3"/>
      <c r="F375" s="4"/>
    </row>
    <row r="376" spans="2:6" x14ac:dyDescent="0.25">
      <c r="B376" s="13" t="s">
        <v>41</v>
      </c>
      <c r="C376" s="2">
        <v>61952</v>
      </c>
      <c r="D376" s="3"/>
      <c r="E376" s="3"/>
      <c r="F376" s="4"/>
    </row>
    <row r="377" spans="2:6" x14ac:dyDescent="0.25">
      <c r="B377" s="3"/>
      <c r="C377" s="4"/>
      <c r="D377" s="3"/>
      <c r="E377" s="3"/>
      <c r="F377" s="4"/>
    </row>
    <row r="378" spans="2:6" x14ac:dyDescent="0.25">
      <c r="B378" s="3" t="s">
        <v>42</v>
      </c>
      <c r="C378" s="4">
        <f>SUM(C333:C377)</f>
        <v>2902458.4619999998</v>
      </c>
      <c r="D378" s="3"/>
      <c r="E378" s="3"/>
      <c r="F378" s="4"/>
    </row>
    <row r="379" spans="2:6" x14ac:dyDescent="0.25">
      <c r="B379" s="3"/>
      <c r="C379" s="4"/>
      <c r="D379" s="3"/>
      <c r="E379" s="3"/>
      <c r="F379" s="4"/>
    </row>
    <row r="380" spans="2:6" x14ac:dyDescent="0.25">
      <c r="B380" s="3"/>
      <c r="C380" s="4"/>
      <c r="D380" s="3"/>
      <c r="E380" s="3"/>
      <c r="F380" s="4"/>
    </row>
    <row r="381" spans="2:6" x14ac:dyDescent="0.25">
      <c r="B381" s="3"/>
      <c r="C381" s="8" t="s">
        <v>43</v>
      </c>
      <c r="D381" s="8">
        <f>C378-F363</f>
        <v>107753.69199999981</v>
      </c>
      <c r="E381" s="3"/>
      <c r="F381" s="4"/>
    </row>
    <row r="382" spans="2:6" x14ac:dyDescent="0.25">
      <c r="C382" s="14"/>
    </row>
    <row r="383" spans="2:6" x14ac:dyDescent="0.25">
      <c r="C383" s="14"/>
    </row>
    <row r="384" spans="2:6" x14ac:dyDescent="0.25">
      <c r="C384" s="14"/>
    </row>
    <row r="385" spans="2:6" x14ac:dyDescent="0.25">
      <c r="C385" s="14"/>
    </row>
    <row r="389" spans="2:6" x14ac:dyDescent="0.25">
      <c r="B389" s="1" t="s">
        <v>0</v>
      </c>
      <c r="C389" s="17">
        <v>1208633</v>
      </c>
      <c r="D389" s="3"/>
      <c r="E389" s="12" t="s">
        <v>184</v>
      </c>
      <c r="F389" s="4"/>
    </row>
    <row r="390" spans="2:6" x14ac:dyDescent="0.25">
      <c r="B390" s="3"/>
      <c r="C390" s="4"/>
      <c r="D390" s="3"/>
      <c r="E390" s="3"/>
      <c r="F390" s="4"/>
    </row>
    <row r="391" spans="2:6" x14ac:dyDescent="0.25">
      <c r="B391" s="26" t="s">
        <v>2</v>
      </c>
      <c r="C391" s="4"/>
      <c r="D391" s="3"/>
      <c r="E391" s="60" t="s">
        <v>3</v>
      </c>
      <c r="F391" s="60"/>
    </row>
    <row r="392" spans="2:6" x14ac:dyDescent="0.25">
      <c r="B392" s="6" t="s">
        <v>4</v>
      </c>
      <c r="C392" s="7"/>
      <c r="D392" s="3"/>
      <c r="E392" s="6" t="s">
        <v>4</v>
      </c>
      <c r="F392" s="8"/>
    </row>
    <row r="393" spans="2:6" x14ac:dyDescent="0.25">
      <c r="B393" s="9" t="s">
        <v>142</v>
      </c>
      <c r="C393" s="2">
        <v>10</v>
      </c>
      <c r="D393" s="3"/>
      <c r="E393" s="10" t="s">
        <v>143</v>
      </c>
      <c r="F393" s="2">
        <v>1000</v>
      </c>
    </row>
    <row r="394" spans="2:6" x14ac:dyDescent="0.25">
      <c r="B394" s="10" t="s">
        <v>128</v>
      </c>
      <c r="C394" s="2">
        <v>8341</v>
      </c>
      <c r="D394" s="3"/>
      <c r="E394" s="10" t="s">
        <v>144</v>
      </c>
      <c r="F394" s="2">
        <v>9381.08</v>
      </c>
    </row>
    <row r="395" spans="2:6" x14ac:dyDescent="0.25">
      <c r="B395" s="10" t="s">
        <v>145</v>
      </c>
      <c r="C395" s="2">
        <v>1949.64</v>
      </c>
      <c r="D395" s="3"/>
      <c r="E395" s="3" t="s">
        <v>97</v>
      </c>
      <c r="F395" s="2">
        <v>202594.54</v>
      </c>
    </row>
    <row r="396" spans="2:6" x14ac:dyDescent="0.25">
      <c r="B396" s="3" t="s">
        <v>185</v>
      </c>
      <c r="C396" s="2">
        <v>1250</v>
      </c>
      <c r="D396" s="3"/>
      <c r="E396" s="10"/>
      <c r="F396" s="2"/>
    </row>
    <row r="397" spans="2:6" x14ac:dyDescent="0.25">
      <c r="B397" s="3" t="s">
        <v>130</v>
      </c>
      <c r="C397" s="2">
        <v>630</v>
      </c>
      <c r="D397" s="3"/>
      <c r="E397" s="9"/>
      <c r="F397" s="2"/>
    </row>
    <row r="398" spans="2:6" x14ac:dyDescent="0.25">
      <c r="B398" s="3" t="s">
        <v>146</v>
      </c>
      <c r="C398" s="2">
        <v>3570</v>
      </c>
      <c r="D398" s="3"/>
      <c r="E398" s="9"/>
      <c r="F398" s="2"/>
    </row>
    <row r="399" spans="2:6" x14ac:dyDescent="0.25">
      <c r="B399" s="3" t="s">
        <v>148</v>
      </c>
      <c r="C399" s="2">
        <v>650</v>
      </c>
      <c r="D399" s="3"/>
      <c r="E399" s="9" t="s">
        <v>149</v>
      </c>
      <c r="F399" s="2">
        <v>23612</v>
      </c>
    </row>
    <row r="400" spans="2:6" x14ac:dyDescent="0.25">
      <c r="B400" s="3" t="s">
        <v>150</v>
      </c>
      <c r="C400" s="2">
        <v>32869</v>
      </c>
      <c r="D400" s="3"/>
      <c r="E400" s="15"/>
      <c r="F400" s="2"/>
    </row>
    <row r="401" spans="2:6" x14ac:dyDescent="0.25">
      <c r="B401" s="3" t="s">
        <v>186</v>
      </c>
      <c r="C401" s="2">
        <v>3470</v>
      </c>
      <c r="D401" s="3"/>
      <c r="E401" s="10" t="s">
        <v>153</v>
      </c>
      <c r="F401" s="4">
        <v>3312</v>
      </c>
    </row>
    <row r="402" spans="2:6" x14ac:dyDescent="0.25">
      <c r="B402" s="3" t="s">
        <v>154</v>
      </c>
      <c r="C402" s="2">
        <v>550</v>
      </c>
      <c r="D402" s="3"/>
      <c r="E402" s="9" t="s">
        <v>112</v>
      </c>
      <c r="F402" s="2">
        <v>23248</v>
      </c>
    </row>
    <row r="403" spans="2:6" x14ac:dyDescent="0.25">
      <c r="B403" s="3" t="s">
        <v>79</v>
      </c>
      <c r="C403" s="2">
        <v>12658</v>
      </c>
      <c r="D403" s="3"/>
      <c r="E403" s="9" t="s">
        <v>156</v>
      </c>
      <c r="F403" s="4">
        <v>2216</v>
      </c>
    </row>
    <row r="404" spans="2:6" x14ac:dyDescent="0.25">
      <c r="B404" s="10" t="s">
        <v>157</v>
      </c>
      <c r="C404" s="2">
        <v>1546</v>
      </c>
      <c r="D404" s="3"/>
      <c r="E404" s="3"/>
      <c r="F404" s="4"/>
    </row>
    <row r="405" spans="2:6" x14ac:dyDescent="0.25">
      <c r="B405" s="3" t="s">
        <v>133</v>
      </c>
      <c r="C405" s="14">
        <v>2330</v>
      </c>
      <c r="D405" s="3"/>
      <c r="E405" s="9"/>
      <c r="F405" s="2"/>
    </row>
    <row r="406" spans="2:6" x14ac:dyDescent="0.25">
      <c r="B406" s="3" t="s">
        <v>159</v>
      </c>
      <c r="C406" s="2">
        <v>16576.8</v>
      </c>
      <c r="D406" s="3"/>
      <c r="E406" s="3" t="s">
        <v>114</v>
      </c>
      <c r="F406" s="4">
        <v>2481</v>
      </c>
    </row>
    <row r="407" spans="2:6" x14ac:dyDescent="0.25">
      <c r="B407" s="3" t="s">
        <v>187</v>
      </c>
      <c r="C407" s="2">
        <v>25</v>
      </c>
      <c r="D407" s="3"/>
      <c r="E407" s="3"/>
      <c r="F407" s="4"/>
    </row>
    <row r="408" spans="2:6" x14ac:dyDescent="0.25">
      <c r="B408" s="3" t="s">
        <v>160</v>
      </c>
      <c r="C408" s="2">
        <v>46220</v>
      </c>
      <c r="D408" s="3"/>
      <c r="E408" s="3" t="s">
        <v>161</v>
      </c>
      <c r="F408" s="4">
        <v>20</v>
      </c>
    </row>
    <row r="409" spans="2:6" x14ac:dyDescent="0.25">
      <c r="B409" s="3" t="s">
        <v>162</v>
      </c>
      <c r="C409" s="2">
        <v>23</v>
      </c>
      <c r="D409" s="3"/>
      <c r="E409" s="3" t="s">
        <v>131</v>
      </c>
      <c r="F409" s="4">
        <v>194</v>
      </c>
    </row>
    <row r="410" spans="2:6" x14ac:dyDescent="0.25">
      <c r="B410" s="3" t="s">
        <v>188</v>
      </c>
      <c r="C410" s="2">
        <v>25</v>
      </c>
      <c r="D410" s="3"/>
      <c r="E410" s="3" t="s">
        <v>189</v>
      </c>
      <c r="F410" s="4">
        <v>8052</v>
      </c>
    </row>
    <row r="411" spans="2:6" x14ac:dyDescent="0.25">
      <c r="B411" s="3" t="s">
        <v>163</v>
      </c>
      <c r="C411" s="2">
        <v>1835</v>
      </c>
      <c r="D411" s="3"/>
      <c r="E411" s="9" t="s">
        <v>164</v>
      </c>
      <c r="F411" s="2">
        <v>715505</v>
      </c>
    </row>
    <row r="412" spans="2:6" x14ac:dyDescent="0.25">
      <c r="B412" s="10" t="s">
        <v>118</v>
      </c>
      <c r="C412" s="2">
        <v>883</v>
      </c>
      <c r="D412" s="3"/>
      <c r="E412" s="9" t="s">
        <v>165</v>
      </c>
      <c r="F412" s="2">
        <v>1347701</v>
      </c>
    </row>
    <row r="413" spans="2:6" x14ac:dyDescent="0.25">
      <c r="B413" s="3" t="s">
        <v>166</v>
      </c>
      <c r="C413" s="2">
        <v>1087588</v>
      </c>
      <c r="D413" s="3"/>
      <c r="E413" s="9" t="s">
        <v>167</v>
      </c>
      <c r="F413" s="2">
        <v>287832</v>
      </c>
    </row>
    <row r="414" spans="2:6" x14ac:dyDescent="0.25">
      <c r="B414" s="10" t="s">
        <v>168</v>
      </c>
      <c r="C414" s="2">
        <v>14309</v>
      </c>
      <c r="D414" s="3"/>
      <c r="E414" s="3" t="s">
        <v>169</v>
      </c>
      <c r="F414" s="2">
        <v>138535</v>
      </c>
    </row>
    <row r="415" spans="2:6" x14ac:dyDescent="0.25">
      <c r="B415" s="10" t="s">
        <v>170</v>
      </c>
      <c r="C415" s="2">
        <v>2760</v>
      </c>
      <c r="D415" s="3"/>
    </row>
    <row r="416" spans="2:6" x14ac:dyDescent="0.25">
      <c r="B416" s="3" t="s">
        <v>190</v>
      </c>
      <c r="C416" s="2">
        <v>1265</v>
      </c>
      <c r="D416" s="3"/>
      <c r="E416" s="9" t="s">
        <v>191</v>
      </c>
      <c r="F416" s="2">
        <v>27084</v>
      </c>
    </row>
    <row r="417" spans="2:6" x14ac:dyDescent="0.25">
      <c r="B417" s="10"/>
      <c r="C417" s="2"/>
      <c r="D417" s="3"/>
      <c r="E417" s="9" t="s">
        <v>192</v>
      </c>
      <c r="F417" s="2">
        <v>1937.15</v>
      </c>
    </row>
    <row r="418" spans="2:6" x14ac:dyDescent="0.25">
      <c r="B418" s="10" t="s">
        <v>174</v>
      </c>
      <c r="C418" s="2">
        <v>18982</v>
      </c>
      <c r="D418" s="3"/>
      <c r="E418" s="11"/>
      <c r="F418" s="4"/>
    </row>
    <row r="419" spans="2:6" x14ac:dyDescent="0.25">
      <c r="B419" s="3" t="s">
        <v>175</v>
      </c>
      <c r="C419" s="2">
        <v>6525</v>
      </c>
      <c r="D419" s="3"/>
      <c r="E419" t="s">
        <v>34</v>
      </c>
      <c r="F419" s="4">
        <f>SUM(F393:F418)</f>
        <v>2794704.77</v>
      </c>
    </row>
    <row r="420" spans="2:6" x14ac:dyDescent="0.25">
      <c r="B420" s="3"/>
      <c r="C420" s="2"/>
      <c r="D420" s="3"/>
      <c r="F420" s="4"/>
    </row>
    <row r="421" spans="2:6" x14ac:dyDescent="0.25">
      <c r="B421" s="15"/>
      <c r="C421" s="2"/>
      <c r="D421" s="3"/>
      <c r="E421" s="3"/>
      <c r="F421" s="4"/>
    </row>
    <row r="422" spans="2:6" x14ac:dyDescent="0.25">
      <c r="B422" s="15"/>
      <c r="C422" s="2"/>
      <c r="D422" s="3"/>
      <c r="E422" s="3"/>
      <c r="F422" s="4"/>
    </row>
    <row r="423" spans="2:6" x14ac:dyDescent="0.25">
      <c r="B423" s="15" t="s">
        <v>178</v>
      </c>
      <c r="C423" s="2">
        <v>272</v>
      </c>
      <c r="D423" s="3"/>
      <c r="E423" s="3"/>
      <c r="F423" s="4"/>
    </row>
    <row r="424" spans="2:6" x14ac:dyDescent="0.25">
      <c r="B424" s="9" t="s">
        <v>179</v>
      </c>
      <c r="C424" s="2">
        <v>20</v>
      </c>
      <c r="D424" s="3"/>
      <c r="E424" s="3"/>
      <c r="F424" s="4"/>
    </row>
    <row r="425" spans="2:6" x14ac:dyDescent="0.25">
      <c r="B425" s="15" t="s">
        <v>180</v>
      </c>
      <c r="C425" s="14">
        <v>1242</v>
      </c>
      <c r="D425" s="3"/>
      <c r="E425" s="3"/>
      <c r="F425" s="4"/>
    </row>
    <row r="426" spans="2:6" x14ac:dyDescent="0.25">
      <c r="B426" s="15" t="s">
        <v>181</v>
      </c>
      <c r="C426" s="2"/>
      <c r="D426" s="3"/>
      <c r="E426" s="3"/>
      <c r="F426" s="4"/>
    </row>
    <row r="427" spans="2:6" x14ac:dyDescent="0.25">
      <c r="C427" s="2"/>
      <c r="D427" s="3"/>
      <c r="E427" s="3"/>
      <c r="F427" s="4"/>
    </row>
    <row r="428" spans="2:6" x14ac:dyDescent="0.25">
      <c r="B428" s="16" t="s">
        <v>193</v>
      </c>
      <c r="C428" s="2">
        <v>23323.200000000001</v>
      </c>
      <c r="D428" s="3"/>
      <c r="E428" s="12"/>
      <c r="F428" s="4"/>
    </row>
    <row r="429" spans="2:6" x14ac:dyDescent="0.25">
      <c r="B429" s="9" t="s">
        <v>39</v>
      </c>
      <c r="C429" s="2">
        <v>174748.86</v>
      </c>
      <c r="D429" s="3"/>
      <c r="E429" s="3"/>
      <c r="F429" s="4"/>
    </row>
    <row r="430" spans="2:6" x14ac:dyDescent="0.25">
      <c r="B430" s="9" t="s">
        <v>194</v>
      </c>
      <c r="C430" s="2">
        <v>141976.962</v>
      </c>
      <c r="D430" s="3"/>
      <c r="E430" s="3"/>
      <c r="F430" s="4"/>
    </row>
    <row r="431" spans="2:6" x14ac:dyDescent="0.25">
      <c r="B431" s="9" t="s">
        <v>195</v>
      </c>
      <c r="C431" s="2">
        <v>23450</v>
      </c>
      <c r="D431" s="3"/>
      <c r="E431" s="3"/>
      <c r="F431" s="4"/>
    </row>
    <row r="432" spans="2:6" x14ac:dyDescent="0.25">
      <c r="B432" s="13" t="s">
        <v>41</v>
      </c>
      <c r="C432" s="2">
        <v>61952</v>
      </c>
      <c r="D432" s="3"/>
      <c r="E432" s="3"/>
      <c r="F432" s="4"/>
    </row>
    <row r="433" spans="2:6" x14ac:dyDescent="0.25">
      <c r="B433" s="3"/>
      <c r="C433" s="4"/>
      <c r="D433" s="3"/>
      <c r="E433" s="3"/>
      <c r="F433" s="4"/>
    </row>
    <row r="434" spans="2:6" x14ac:dyDescent="0.25">
      <c r="B434" s="3" t="s">
        <v>42</v>
      </c>
      <c r="C434" s="4">
        <f>SUM(C389:C433)</f>
        <v>2902458.4619999998</v>
      </c>
      <c r="D434" s="3"/>
      <c r="E434" s="3"/>
      <c r="F434" s="4"/>
    </row>
    <row r="435" spans="2:6" x14ac:dyDescent="0.25">
      <c r="B435" s="3"/>
      <c r="C435" s="4"/>
      <c r="D435" s="3"/>
      <c r="E435" s="3"/>
      <c r="F435" s="4"/>
    </row>
    <row r="436" spans="2:6" x14ac:dyDescent="0.25">
      <c r="B436" s="3"/>
      <c r="C436" s="4"/>
      <c r="D436" s="3"/>
      <c r="E436" s="3"/>
      <c r="F436" s="4"/>
    </row>
    <row r="437" spans="2:6" x14ac:dyDescent="0.25">
      <c r="B437" s="3"/>
      <c r="C437" s="8" t="s">
        <v>43</v>
      </c>
      <c r="D437" s="8">
        <f>C434-F419</f>
        <v>107753.69199999981</v>
      </c>
      <c r="E437" s="3"/>
      <c r="F437" s="4"/>
    </row>
    <row r="446" spans="2:6" x14ac:dyDescent="0.25">
      <c r="B446" s="1" t="s">
        <v>0</v>
      </c>
      <c r="C446" s="17">
        <v>2521129</v>
      </c>
      <c r="D446" s="3"/>
      <c r="E446" s="12" t="s">
        <v>234</v>
      </c>
      <c r="F446" s="4"/>
    </row>
    <row r="447" spans="2:6" x14ac:dyDescent="0.25">
      <c r="B447" s="3"/>
      <c r="C447" s="4"/>
      <c r="D447" s="3"/>
      <c r="E447" s="3"/>
      <c r="F447" s="4"/>
    </row>
    <row r="448" spans="2:6" x14ac:dyDescent="0.25">
      <c r="B448" s="27" t="s">
        <v>2</v>
      </c>
      <c r="C448" s="4"/>
      <c r="D448" s="3"/>
      <c r="E448" s="60" t="s">
        <v>3</v>
      </c>
      <c r="F448" s="60"/>
    </row>
    <row r="449" spans="2:6" x14ac:dyDescent="0.25">
      <c r="B449" s="6" t="s">
        <v>4</v>
      </c>
      <c r="C449" s="7"/>
      <c r="D449" s="3"/>
      <c r="E449" s="6" t="s">
        <v>4</v>
      </c>
      <c r="F449" s="8"/>
    </row>
    <row r="450" spans="2:6" x14ac:dyDescent="0.25">
      <c r="B450" s="9" t="s">
        <v>142</v>
      </c>
      <c r="C450" s="2">
        <v>10</v>
      </c>
      <c r="D450" s="3"/>
      <c r="E450" s="10" t="s">
        <v>143</v>
      </c>
      <c r="F450" s="2"/>
    </row>
    <row r="451" spans="2:6" x14ac:dyDescent="0.25">
      <c r="B451" s="10" t="s">
        <v>128</v>
      </c>
      <c r="C451" s="2">
        <v>8341</v>
      </c>
      <c r="D451" s="3"/>
      <c r="E451" s="10" t="s">
        <v>144</v>
      </c>
      <c r="F451" s="2">
        <v>227184</v>
      </c>
    </row>
    <row r="452" spans="2:6" x14ac:dyDescent="0.25">
      <c r="B452" s="29" t="s">
        <v>235</v>
      </c>
      <c r="C452" s="2">
        <v>500</v>
      </c>
      <c r="D452" s="3"/>
      <c r="E452" s="29" t="s">
        <v>236</v>
      </c>
      <c r="F452" s="2">
        <v>17267</v>
      </c>
    </row>
    <row r="453" spans="2:6" x14ac:dyDescent="0.25">
      <c r="B453" s="3" t="s">
        <v>97</v>
      </c>
      <c r="C453" s="2">
        <v>22174</v>
      </c>
      <c r="D453" s="3"/>
      <c r="E453" s="10" t="s">
        <v>145</v>
      </c>
      <c r="F453" s="2">
        <v>1142.71</v>
      </c>
    </row>
    <row r="454" spans="2:6" x14ac:dyDescent="0.25">
      <c r="B454" s="3" t="s">
        <v>130</v>
      </c>
      <c r="C454" s="2">
        <v>630</v>
      </c>
      <c r="D454" s="3"/>
      <c r="E454" s="9" t="s">
        <v>237</v>
      </c>
      <c r="F454" s="2">
        <v>20880</v>
      </c>
    </row>
    <row r="455" spans="2:6" x14ac:dyDescent="0.25">
      <c r="B455" s="3" t="s">
        <v>185</v>
      </c>
      <c r="C455" s="2">
        <v>1250</v>
      </c>
      <c r="D455" s="3"/>
      <c r="E455" s="9" t="s">
        <v>238</v>
      </c>
      <c r="F455" s="2">
        <v>19379</v>
      </c>
    </row>
    <row r="456" spans="2:6" x14ac:dyDescent="0.25">
      <c r="B456" s="3" t="s">
        <v>148</v>
      </c>
      <c r="C456" s="2">
        <v>650</v>
      </c>
      <c r="D456" s="3"/>
      <c r="E456" s="30" t="s">
        <v>239</v>
      </c>
      <c r="F456" s="2">
        <v>7134</v>
      </c>
    </row>
    <row r="457" spans="2:6" x14ac:dyDescent="0.25">
      <c r="B457" s="3" t="s">
        <v>150</v>
      </c>
      <c r="C457" s="2">
        <v>32869</v>
      </c>
      <c r="D457" s="3"/>
      <c r="E457" s="15" t="s">
        <v>241</v>
      </c>
      <c r="F457" s="2">
        <v>440</v>
      </c>
    </row>
    <row r="458" spans="2:6" x14ac:dyDescent="0.25">
      <c r="B458" s="15" t="s">
        <v>246</v>
      </c>
      <c r="C458" s="2">
        <v>1431</v>
      </c>
      <c r="D458" s="3"/>
      <c r="E458" s="10" t="s">
        <v>153</v>
      </c>
      <c r="F458" s="4">
        <v>3312</v>
      </c>
    </row>
    <row r="459" spans="2:6" x14ac:dyDescent="0.25">
      <c r="B459" s="3" t="s">
        <v>154</v>
      </c>
      <c r="C459" s="2">
        <v>550</v>
      </c>
      <c r="D459" s="3"/>
      <c r="E459" s="9" t="s">
        <v>112</v>
      </c>
      <c r="F459" s="2">
        <v>266201</v>
      </c>
    </row>
    <row r="460" spans="2:6" x14ac:dyDescent="0.25">
      <c r="B460" s="3" t="s">
        <v>79</v>
      </c>
      <c r="C460" s="2">
        <v>12658</v>
      </c>
      <c r="D460" s="3"/>
      <c r="E460" s="9" t="s">
        <v>156</v>
      </c>
      <c r="F460" s="4"/>
    </row>
    <row r="461" spans="2:6" x14ac:dyDescent="0.25">
      <c r="B461" s="10" t="s">
        <v>157</v>
      </c>
      <c r="C461" s="2">
        <v>1546</v>
      </c>
      <c r="D461" s="3"/>
      <c r="E461" s="9" t="s">
        <v>149</v>
      </c>
      <c r="F461" s="4">
        <v>29000</v>
      </c>
    </row>
    <row r="462" spans="2:6" x14ac:dyDescent="0.25">
      <c r="B462" s="3" t="s">
        <v>133</v>
      </c>
      <c r="C462" s="14">
        <v>2330</v>
      </c>
      <c r="D462" s="3"/>
      <c r="E462" s="9" t="s">
        <v>247</v>
      </c>
      <c r="F462" s="2">
        <v>89609</v>
      </c>
    </row>
    <row r="463" spans="2:6" x14ac:dyDescent="0.25">
      <c r="B463" s="3" t="s">
        <v>159</v>
      </c>
      <c r="C463" s="2">
        <v>55054</v>
      </c>
      <c r="D463" s="3"/>
      <c r="E463" s="3" t="s">
        <v>114</v>
      </c>
      <c r="F463" s="4">
        <v>2481</v>
      </c>
    </row>
    <row r="464" spans="2:6" x14ac:dyDescent="0.25">
      <c r="B464" s="3" t="s">
        <v>240</v>
      </c>
      <c r="C464" s="2">
        <v>12500</v>
      </c>
      <c r="D464" s="3"/>
      <c r="E464" s="10" t="s">
        <v>118</v>
      </c>
      <c r="F464" s="4">
        <v>1317</v>
      </c>
    </row>
    <row r="465" spans="2:6" x14ac:dyDescent="0.25">
      <c r="B465" s="3" t="s">
        <v>160</v>
      </c>
      <c r="C465" s="2">
        <v>46220</v>
      </c>
      <c r="D465" s="3"/>
      <c r="E465" s="3" t="s">
        <v>161</v>
      </c>
      <c r="F465" s="4"/>
    </row>
    <row r="466" spans="2:6" x14ac:dyDescent="0.25">
      <c r="B466" s="3" t="s">
        <v>243</v>
      </c>
      <c r="C466" s="2">
        <v>19836</v>
      </c>
      <c r="D466" s="3"/>
      <c r="E466" s="3" t="s">
        <v>131</v>
      </c>
      <c r="F466" s="4">
        <v>200</v>
      </c>
    </row>
    <row r="467" spans="2:6" x14ac:dyDescent="0.25">
      <c r="B467" s="3" t="s">
        <v>244</v>
      </c>
      <c r="C467" s="2">
        <v>580</v>
      </c>
      <c r="D467" s="3"/>
      <c r="E467" s="3" t="s">
        <v>189</v>
      </c>
      <c r="F467" s="4">
        <v>10770</v>
      </c>
    </row>
    <row r="468" spans="2:6" x14ac:dyDescent="0.25">
      <c r="B468" s="3" t="s">
        <v>163</v>
      </c>
      <c r="C468" s="2">
        <v>1835</v>
      </c>
      <c r="D468" s="3"/>
      <c r="E468" s="9" t="s">
        <v>164</v>
      </c>
      <c r="F468" s="2">
        <v>768329</v>
      </c>
    </row>
    <row r="469" spans="2:6" x14ac:dyDescent="0.25">
      <c r="C469" s="2"/>
      <c r="D469" s="3"/>
      <c r="E469" s="9" t="s">
        <v>165</v>
      </c>
      <c r="F469" s="2">
        <v>1304156</v>
      </c>
    </row>
    <row r="470" spans="2:6" x14ac:dyDescent="0.25">
      <c r="B470" s="3" t="s">
        <v>166</v>
      </c>
      <c r="C470" s="2">
        <v>142878</v>
      </c>
      <c r="D470" s="3"/>
      <c r="E470" s="9" t="s">
        <v>167</v>
      </c>
      <c r="F470" s="2">
        <v>302832</v>
      </c>
    </row>
    <row r="471" spans="2:6" x14ac:dyDescent="0.25">
      <c r="B471" s="10" t="s">
        <v>168</v>
      </c>
      <c r="C471" s="2">
        <v>53347</v>
      </c>
      <c r="D471" s="3"/>
      <c r="E471" s="3" t="s">
        <v>169</v>
      </c>
      <c r="F471" s="2">
        <v>117875</v>
      </c>
    </row>
    <row r="472" spans="2:6" x14ac:dyDescent="0.25">
      <c r="B472" s="10" t="s">
        <v>170</v>
      </c>
      <c r="C472" s="2">
        <v>830</v>
      </c>
      <c r="D472" s="3"/>
      <c r="E472" s="29" t="s">
        <v>248</v>
      </c>
      <c r="F472" s="31">
        <v>270</v>
      </c>
    </row>
    <row r="473" spans="2:6" x14ac:dyDescent="0.25">
      <c r="B473" s="3" t="s">
        <v>190</v>
      </c>
      <c r="C473" s="2">
        <v>21138</v>
      </c>
      <c r="D473" s="3"/>
      <c r="E473" s="9" t="s">
        <v>191</v>
      </c>
      <c r="F473" s="2"/>
    </row>
    <row r="474" spans="2:6" x14ac:dyDescent="0.25">
      <c r="B474" s="10" t="s">
        <v>242</v>
      </c>
      <c r="C474" s="2">
        <v>470</v>
      </c>
      <c r="D474" s="3"/>
      <c r="E474" s="9" t="s">
        <v>192</v>
      </c>
      <c r="F474" s="2"/>
    </row>
    <row r="475" spans="2:6" x14ac:dyDescent="0.25">
      <c r="B475" s="10"/>
      <c r="C475" s="2"/>
      <c r="D475" s="3"/>
      <c r="E475" s="33" t="s">
        <v>250</v>
      </c>
      <c r="F475" s="34">
        <v>95820</v>
      </c>
    </row>
    <row r="476" spans="2:6" x14ac:dyDescent="0.25">
      <c r="B476" s="10" t="s">
        <v>174</v>
      </c>
      <c r="C476" s="2">
        <v>18982</v>
      </c>
      <c r="D476" s="3"/>
      <c r="E476" s="15" t="s">
        <v>181</v>
      </c>
      <c r="F476" s="4">
        <v>3487</v>
      </c>
    </row>
    <row r="477" spans="2:6" x14ac:dyDescent="0.25">
      <c r="B477" s="33"/>
      <c r="C477" s="2"/>
      <c r="D477" s="3"/>
      <c r="E477" s="33"/>
      <c r="F477" s="4"/>
    </row>
    <row r="478" spans="2:6" x14ac:dyDescent="0.25">
      <c r="B478" s="3" t="s">
        <v>249</v>
      </c>
      <c r="C478" s="2">
        <v>2802</v>
      </c>
      <c r="D478" s="3"/>
      <c r="E478" t="s">
        <v>34</v>
      </c>
      <c r="F478" s="4">
        <f>SUM(F450:F476)</f>
        <v>3289085.71</v>
      </c>
    </row>
    <row r="479" spans="2:6" x14ac:dyDescent="0.25">
      <c r="B479" s="3" t="s">
        <v>245</v>
      </c>
      <c r="C479" s="2">
        <v>2925</v>
      </c>
      <c r="D479" s="3"/>
      <c r="F479" s="4"/>
    </row>
    <row r="480" spans="2:6" x14ac:dyDescent="0.25">
      <c r="B480" s="29" t="s">
        <v>90</v>
      </c>
      <c r="C480" s="32">
        <v>2413</v>
      </c>
      <c r="D480" s="3"/>
      <c r="E480" s="3"/>
      <c r="F480" s="4"/>
    </row>
    <row r="481" spans="2:6" x14ac:dyDescent="0.25">
      <c r="B481" s="15" t="s">
        <v>251</v>
      </c>
      <c r="C481" s="2">
        <v>1601</v>
      </c>
      <c r="D481" s="3"/>
      <c r="E481" s="3"/>
      <c r="F481" s="4"/>
    </row>
    <row r="482" spans="2:6" x14ac:dyDescent="0.25">
      <c r="B482" s="15" t="s">
        <v>178</v>
      </c>
      <c r="C482" s="2">
        <v>272</v>
      </c>
      <c r="D482" s="3"/>
      <c r="E482" s="3"/>
      <c r="F482" s="4"/>
    </row>
    <row r="483" spans="2:6" x14ac:dyDescent="0.25">
      <c r="B483" s="9" t="s">
        <v>179</v>
      </c>
      <c r="C483" s="2">
        <v>20</v>
      </c>
      <c r="D483" s="3"/>
      <c r="E483" s="3"/>
      <c r="F483" s="4"/>
    </row>
    <row r="484" spans="2:6" x14ac:dyDescent="0.25">
      <c r="B484" s="15" t="s">
        <v>180</v>
      </c>
      <c r="C484" s="14">
        <v>1242</v>
      </c>
      <c r="D484" s="3"/>
      <c r="E484" s="3"/>
      <c r="F484" s="4"/>
    </row>
    <row r="485" spans="2:6" x14ac:dyDescent="0.25">
      <c r="B485" s="15" t="s">
        <v>252</v>
      </c>
      <c r="C485" s="2">
        <v>5770</v>
      </c>
      <c r="D485" s="3"/>
      <c r="E485" s="3"/>
      <c r="F485" s="4"/>
    </row>
    <row r="486" spans="2:6" x14ac:dyDescent="0.25">
      <c r="C486" s="2"/>
      <c r="D486" s="3"/>
      <c r="E486" s="3"/>
      <c r="F486" s="4"/>
    </row>
    <row r="487" spans="2:6" x14ac:dyDescent="0.25">
      <c r="B487" s="16" t="s">
        <v>253</v>
      </c>
      <c r="C487" s="2">
        <v>53392</v>
      </c>
      <c r="D487" s="3"/>
      <c r="E487" s="12"/>
      <c r="F487" s="4"/>
    </row>
    <row r="488" spans="2:6" x14ac:dyDescent="0.25">
      <c r="B488" s="9"/>
      <c r="C488" s="2"/>
      <c r="D488" s="3"/>
      <c r="E488" s="3"/>
      <c r="F488" s="4"/>
    </row>
    <row r="489" spans="2:6" x14ac:dyDescent="0.25">
      <c r="B489" s="9" t="s">
        <v>254</v>
      </c>
      <c r="C489" s="2">
        <v>328323</v>
      </c>
      <c r="D489" s="3"/>
      <c r="E489" s="3"/>
      <c r="F489" s="4"/>
    </row>
    <row r="490" spans="2:6" x14ac:dyDescent="0.25">
      <c r="B490" s="9" t="s">
        <v>195</v>
      </c>
      <c r="C490" s="2"/>
      <c r="D490" s="3"/>
      <c r="E490" s="3"/>
      <c r="F490" s="4"/>
    </row>
    <row r="491" spans="2:6" x14ac:dyDescent="0.25">
      <c r="B491" s="13" t="s">
        <v>41</v>
      </c>
      <c r="C491" s="2">
        <v>113484</v>
      </c>
      <c r="D491" s="3"/>
      <c r="E491" s="3"/>
      <c r="F491" s="4"/>
    </row>
    <row r="492" spans="2:6" x14ac:dyDescent="0.25">
      <c r="B492" s="3"/>
      <c r="C492" s="4"/>
      <c r="D492" s="3"/>
      <c r="E492" s="3"/>
      <c r="F492" s="4"/>
    </row>
    <row r="493" spans="2:6" x14ac:dyDescent="0.25">
      <c r="B493" s="3" t="s">
        <v>42</v>
      </c>
      <c r="C493" s="4">
        <f>SUM(C446:C492)</f>
        <v>3491982</v>
      </c>
      <c r="D493" s="3"/>
      <c r="E493" s="3"/>
      <c r="F493" s="4"/>
    </row>
    <row r="494" spans="2:6" x14ac:dyDescent="0.25">
      <c r="B494" s="3"/>
      <c r="C494" s="4"/>
      <c r="D494" s="3"/>
      <c r="E494" s="3"/>
      <c r="F494" s="4"/>
    </row>
    <row r="495" spans="2:6" x14ac:dyDescent="0.25">
      <c r="B495" s="3"/>
      <c r="C495" s="4"/>
      <c r="D495" s="3"/>
      <c r="E495" s="3"/>
      <c r="F495" s="4"/>
    </row>
    <row r="496" spans="2:6" x14ac:dyDescent="0.25">
      <c r="B496" s="3"/>
      <c r="C496" s="8" t="s">
        <v>43</v>
      </c>
      <c r="D496" s="8">
        <f>C493-F478</f>
        <v>202896.29000000004</v>
      </c>
      <c r="E496" s="3"/>
      <c r="F496" s="4"/>
    </row>
    <row r="506" spans="2:9" ht="21" customHeight="1" x14ac:dyDescent="0.25">
      <c r="B506" s="1" t="s">
        <v>0</v>
      </c>
      <c r="C506" s="17">
        <v>1965548</v>
      </c>
      <c r="D506" s="3"/>
      <c r="E506" s="12" t="s">
        <v>261</v>
      </c>
      <c r="F506" s="4"/>
    </row>
    <row r="507" spans="2:9" ht="21" customHeight="1" x14ac:dyDescent="0.25">
      <c r="B507" s="3"/>
      <c r="C507" s="4"/>
      <c r="D507" s="3"/>
      <c r="E507" s="3"/>
      <c r="F507" s="4"/>
    </row>
    <row r="508" spans="2:9" x14ac:dyDescent="0.25">
      <c r="B508" s="28" t="s">
        <v>2</v>
      </c>
      <c r="C508" s="4"/>
      <c r="D508" s="3"/>
      <c r="E508" s="60" t="s">
        <v>3</v>
      </c>
      <c r="F508" s="60"/>
    </row>
    <row r="509" spans="2:9" x14ac:dyDescent="0.25">
      <c r="B509" s="6" t="s">
        <v>4</v>
      </c>
      <c r="C509" s="7"/>
      <c r="D509" s="3"/>
      <c r="E509" s="6" t="s">
        <v>4</v>
      </c>
      <c r="F509" s="8"/>
    </row>
    <row r="510" spans="2:9" ht="21" x14ac:dyDescent="0.25">
      <c r="B510" s="9" t="s">
        <v>142</v>
      </c>
      <c r="C510" s="2">
        <v>10</v>
      </c>
      <c r="D510" s="3"/>
      <c r="E510" s="10" t="s">
        <v>143</v>
      </c>
      <c r="F510" s="2">
        <v>0</v>
      </c>
      <c r="H510" s="61" t="s">
        <v>255</v>
      </c>
      <c r="I510" s="61"/>
    </row>
    <row r="511" spans="2:9" ht="21" x14ac:dyDescent="0.25">
      <c r="B511" s="10" t="s">
        <v>128</v>
      </c>
      <c r="C511" s="2">
        <v>8341</v>
      </c>
      <c r="D511" s="3"/>
      <c r="E511" s="10" t="s">
        <v>144</v>
      </c>
      <c r="F511" s="2">
        <v>10653</v>
      </c>
      <c r="H511" s="35"/>
      <c r="I511" s="35"/>
    </row>
    <row r="512" spans="2:9" x14ac:dyDescent="0.25">
      <c r="B512" s="10" t="s">
        <v>145</v>
      </c>
      <c r="C512" s="2">
        <v>307</v>
      </c>
      <c r="D512" s="3"/>
      <c r="E512" s="29" t="s">
        <v>236</v>
      </c>
      <c r="F512" s="2">
        <v>0</v>
      </c>
      <c r="H512" s="36"/>
      <c r="I512" s="36"/>
    </row>
    <row r="513" spans="2:9" x14ac:dyDescent="0.25">
      <c r="B513" s="3" t="s">
        <v>97</v>
      </c>
      <c r="C513" s="2">
        <v>33831</v>
      </c>
      <c r="D513" s="3"/>
      <c r="F513" s="2"/>
      <c r="H513" s="37" t="s">
        <v>256</v>
      </c>
      <c r="I513" s="40">
        <v>3491982</v>
      </c>
    </row>
    <row r="514" spans="2:9" x14ac:dyDescent="0.25">
      <c r="B514" s="3" t="s">
        <v>130</v>
      </c>
      <c r="C514" s="2">
        <v>630</v>
      </c>
      <c r="D514" s="3"/>
      <c r="E514" s="9" t="s">
        <v>237</v>
      </c>
      <c r="F514" s="2">
        <v>20880</v>
      </c>
      <c r="H514" s="36"/>
      <c r="I514" s="41"/>
    </row>
    <row r="515" spans="2:9" x14ac:dyDescent="0.25">
      <c r="B515" s="3" t="s">
        <v>159</v>
      </c>
      <c r="C515" s="2">
        <v>46851</v>
      </c>
      <c r="D515" s="3"/>
      <c r="E515" s="9" t="s">
        <v>238</v>
      </c>
      <c r="F515" s="2">
        <v>0</v>
      </c>
      <c r="H515" s="36"/>
      <c r="I515" s="41"/>
    </row>
    <row r="516" spans="2:9" x14ac:dyDescent="0.25">
      <c r="B516" s="3" t="s">
        <v>150</v>
      </c>
      <c r="C516" s="2">
        <v>32869</v>
      </c>
      <c r="D516" s="3"/>
      <c r="E516" s="30" t="s">
        <v>239</v>
      </c>
      <c r="F516" s="2">
        <v>0</v>
      </c>
      <c r="H516" s="36"/>
      <c r="I516" s="41"/>
    </row>
    <row r="517" spans="2:9" x14ac:dyDescent="0.25">
      <c r="B517" s="3" t="s">
        <v>190</v>
      </c>
      <c r="C517" s="2">
        <v>21138</v>
      </c>
      <c r="D517" s="3"/>
      <c r="E517" s="15" t="s">
        <v>241</v>
      </c>
      <c r="F517" s="2">
        <v>1640</v>
      </c>
      <c r="H517" s="38" t="s">
        <v>257</v>
      </c>
      <c r="I517" s="42">
        <v>3289085</v>
      </c>
    </row>
    <row r="518" spans="2:9" x14ac:dyDescent="0.25">
      <c r="B518" s="3" t="s">
        <v>154</v>
      </c>
      <c r="C518" s="2">
        <v>550</v>
      </c>
      <c r="D518" s="3"/>
      <c r="E518" s="10" t="s">
        <v>153</v>
      </c>
      <c r="F518" s="4">
        <v>4732</v>
      </c>
      <c r="H518" s="36"/>
      <c r="I518" s="41"/>
    </row>
    <row r="519" spans="2:9" x14ac:dyDescent="0.25">
      <c r="B519" s="3" t="s">
        <v>262</v>
      </c>
      <c r="C519" s="2">
        <v>90</v>
      </c>
      <c r="D519" s="3"/>
      <c r="E519" s="9" t="s">
        <v>112</v>
      </c>
      <c r="F519" s="2">
        <v>19222</v>
      </c>
      <c r="H519" s="36"/>
      <c r="I519" s="41"/>
    </row>
    <row r="520" spans="2:9" x14ac:dyDescent="0.25">
      <c r="B520" s="3" t="s">
        <v>79</v>
      </c>
      <c r="C520" s="2">
        <v>12658</v>
      </c>
      <c r="D520" s="3"/>
      <c r="E520" s="9"/>
      <c r="F520" s="4"/>
      <c r="H520" s="36"/>
      <c r="I520" s="41"/>
    </row>
    <row r="521" spans="2:9" x14ac:dyDescent="0.25">
      <c r="B521" s="10" t="s">
        <v>157</v>
      </c>
      <c r="C521" s="2">
        <v>1546</v>
      </c>
      <c r="D521" s="3"/>
      <c r="E521" s="9" t="s">
        <v>149</v>
      </c>
      <c r="F521" s="4">
        <v>40006</v>
      </c>
      <c r="H521" s="39" t="s">
        <v>258</v>
      </c>
      <c r="I521" s="43">
        <f>I513-I517</f>
        <v>202897</v>
      </c>
    </row>
    <row r="522" spans="2:9" x14ac:dyDescent="0.25">
      <c r="B522" s="10" t="s">
        <v>242</v>
      </c>
      <c r="C522" s="14">
        <v>470</v>
      </c>
      <c r="D522" s="3"/>
      <c r="E522" s="9" t="s">
        <v>247</v>
      </c>
      <c r="F522" s="2">
        <v>99210</v>
      </c>
    </row>
    <row r="523" spans="2:9" x14ac:dyDescent="0.25">
      <c r="B523" s="3" t="s">
        <v>263</v>
      </c>
      <c r="C523" s="2">
        <v>7949</v>
      </c>
      <c r="D523" s="3"/>
      <c r="E523" s="3" t="s">
        <v>114</v>
      </c>
      <c r="F523" s="4">
        <v>2481</v>
      </c>
    </row>
    <row r="524" spans="2:9" x14ac:dyDescent="0.25">
      <c r="B524" s="3" t="s">
        <v>133</v>
      </c>
      <c r="C524" s="2">
        <v>2330</v>
      </c>
      <c r="D524" s="3"/>
      <c r="E524" s="10" t="s">
        <v>118</v>
      </c>
      <c r="F524" s="4">
        <v>1317</v>
      </c>
    </row>
    <row r="525" spans="2:9" x14ac:dyDescent="0.25">
      <c r="B525" s="3" t="s">
        <v>160</v>
      </c>
      <c r="C525" s="2">
        <v>16220</v>
      </c>
      <c r="D525" s="3"/>
      <c r="E525" s="3" t="s">
        <v>161</v>
      </c>
      <c r="F525" s="4">
        <v>20</v>
      </c>
    </row>
    <row r="526" spans="2:9" x14ac:dyDescent="0.25">
      <c r="B526" s="3" t="s">
        <v>264</v>
      </c>
      <c r="C526" s="2">
        <v>3772</v>
      </c>
      <c r="D526" s="3"/>
      <c r="E526" s="3" t="s">
        <v>131</v>
      </c>
      <c r="F526" s="4">
        <v>200</v>
      </c>
    </row>
    <row r="527" spans="2:9" x14ac:dyDescent="0.25">
      <c r="B527" s="3" t="s">
        <v>244</v>
      </c>
      <c r="C527" s="2">
        <v>340</v>
      </c>
      <c r="D527" s="3"/>
      <c r="E527" s="3" t="s">
        <v>189</v>
      </c>
      <c r="F527" s="4">
        <v>15326</v>
      </c>
    </row>
    <row r="528" spans="2:9" x14ac:dyDescent="0.25">
      <c r="B528" s="3" t="s">
        <v>265</v>
      </c>
      <c r="C528" s="2">
        <v>354</v>
      </c>
      <c r="D528" s="3"/>
      <c r="E528" s="9" t="s">
        <v>164</v>
      </c>
      <c r="F528" s="2">
        <v>788006</v>
      </c>
    </row>
    <row r="529" spans="2:6" x14ac:dyDescent="0.25">
      <c r="B529" s="3" t="s">
        <v>245</v>
      </c>
      <c r="C529" s="2">
        <v>2925</v>
      </c>
      <c r="D529" s="3"/>
      <c r="E529" s="9" t="s">
        <v>165</v>
      </c>
      <c r="F529" s="2">
        <v>1653949</v>
      </c>
    </row>
    <row r="530" spans="2:6" x14ac:dyDescent="0.25">
      <c r="B530" s="3" t="s">
        <v>266</v>
      </c>
      <c r="C530" s="2">
        <v>3101</v>
      </c>
      <c r="D530" s="3"/>
      <c r="E530" s="9" t="s">
        <v>167</v>
      </c>
      <c r="F530" s="2">
        <v>317832</v>
      </c>
    </row>
    <row r="531" spans="2:6" x14ac:dyDescent="0.25">
      <c r="B531" s="3" t="s">
        <v>267</v>
      </c>
      <c r="C531" s="2">
        <v>6700</v>
      </c>
      <c r="D531" s="3"/>
      <c r="E531" s="3" t="s">
        <v>169</v>
      </c>
      <c r="F531" s="2">
        <v>152271</v>
      </c>
    </row>
    <row r="532" spans="2:6" x14ac:dyDescent="0.25">
      <c r="B532" s="3" t="s">
        <v>163</v>
      </c>
      <c r="C532" s="2">
        <v>1835</v>
      </c>
      <c r="D532" s="3"/>
      <c r="E532" s="29" t="s">
        <v>248</v>
      </c>
      <c r="F532" s="31"/>
    </row>
    <row r="533" spans="2:6" x14ac:dyDescent="0.25">
      <c r="B533" s="10" t="s">
        <v>168</v>
      </c>
      <c r="C533" s="2">
        <v>28307</v>
      </c>
      <c r="D533" s="3"/>
      <c r="E533" s="33" t="s">
        <v>250</v>
      </c>
      <c r="F533" s="34">
        <v>95820</v>
      </c>
    </row>
    <row r="534" spans="2:6" x14ac:dyDescent="0.25">
      <c r="B534" s="29" t="s">
        <v>268</v>
      </c>
      <c r="C534" s="2">
        <v>11600</v>
      </c>
      <c r="D534" s="3"/>
      <c r="E534" s="15" t="s">
        <v>181</v>
      </c>
      <c r="F534" s="4">
        <v>3487</v>
      </c>
    </row>
    <row r="535" spans="2:6" x14ac:dyDescent="0.25">
      <c r="B535" s="10" t="s">
        <v>170</v>
      </c>
      <c r="C535" s="2">
        <v>830</v>
      </c>
      <c r="D535" s="3"/>
    </row>
    <row r="536" spans="2:6" x14ac:dyDescent="0.25">
      <c r="B536" s="29" t="s">
        <v>248</v>
      </c>
      <c r="C536" s="2">
        <v>1410</v>
      </c>
      <c r="D536" s="3"/>
    </row>
    <row r="537" spans="2:6" x14ac:dyDescent="0.25">
      <c r="B537" s="3" t="s">
        <v>166</v>
      </c>
      <c r="C537" s="2">
        <v>707311</v>
      </c>
      <c r="D537" s="3"/>
      <c r="E537" s="33"/>
      <c r="F537" s="4"/>
    </row>
    <row r="538" spans="2:6" x14ac:dyDescent="0.25">
      <c r="B538" s="3" t="s">
        <v>269</v>
      </c>
      <c r="C538" s="2">
        <v>3165</v>
      </c>
      <c r="D538" s="3"/>
      <c r="E538" t="s">
        <v>34</v>
      </c>
      <c r="F538" s="4">
        <f>SUM(F510:F534)</f>
        <v>3227052</v>
      </c>
    </row>
    <row r="539" spans="2:6" x14ac:dyDescent="0.25">
      <c r="B539" s="10" t="s">
        <v>174</v>
      </c>
      <c r="C539" s="2">
        <v>6956</v>
      </c>
      <c r="D539" s="3"/>
      <c r="F539" s="4"/>
    </row>
    <row r="540" spans="2:6" x14ac:dyDescent="0.25">
      <c r="B540" s="29" t="s">
        <v>90</v>
      </c>
      <c r="C540" s="32">
        <v>2715</v>
      </c>
      <c r="D540" s="3"/>
      <c r="E540" s="3"/>
      <c r="F540" s="4"/>
    </row>
    <row r="541" spans="2:6" x14ac:dyDescent="0.25">
      <c r="B541" s="29" t="s">
        <v>137</v>
      </c>
      <c r="C541" s="2">
        <v>4113</v>
      </c>
      <c r="D541" s="3"/>
      <c r="E541" s="3"/>
      <c r="F541" s="4"/>
    </row>
    <row r="542" spans="2:6" x14ac:dyDescent="0.25">
      <c r="B542" s="15" t="s">
        <v>178</v>
      </c>
      <c r="C542" s="2">
        <v>272</v>
      </c>
      <c r="D542" s="3"/>
      <c r="E542" s="3"/>
      <c r="F542" s="4"/>
    </row>
    <row r="543" spans="2:6" x14ac:dyDescent="0.25">
      <c r="B543" s="9" t="s">
        <v>179</v>
      </c>
      <c r="C543" s="2">
        <v>20</v>
      </c>
      <c r="D543" s="3"/>
      <c r="E543" s="3"/>
      <c r="F543" s="4"/>
    </row>
    <row r="544" spans="2:6" x14ac:dyDescent="0.25">
      <c r="B544" s="15" t="s">
        <v>180</v>
      </c>
      <c r="C544" s="14">
        <v>1242</v>
      </c>
      <c r="D544" s="3"/>
      <c r="E544" s="3"/>
      <c r="F544" s="4"/>
    </row>
    <row r="545" spans="2:6" x14ac:dyDescent="0.25">
      <c r="B545" s="15" t="s">
        <v>270</v>
      </c>
      <c r="C545" s="2">
        <v>6329</v>
      </c>
      <c r="D545" s="3"/>
      <c r="E545" s="3"/>
      <c r="F545" s="4"/>
    </row>
    <row r="546" spans="2:6" x14ac:dyDescent="0.25">
      <c r="B546" s="15" t="s">
        <v>251</v>
      </c>
      <c r="C546" s="2">
        <v>2600</v>
      </c>
      <c r="D546" s="3"/>
      <c r="E546" s="3"/>
      <c r="F546" s="4"/>
    </row>
    <row r="547" spans="2:6" x14ac:dyDescent="0.25">
      <c r="B547" s="30" t="s">
        <v>271</v>
      </c>
      <c r="C547" s="2">
        <v>2151</v>
      </c>
      <c r="D547" s="3"/>
      <c r="E547" s="12"/>
      <c r="F547" s="4"/>
    </row>
    <row r="548" spans="2:6" x14ac:dyDescent="0.25">
      <c r="B548" s="16" t="s">
        <v>253</v>
      </c>
      <c r="C548" s="2">
        <v>66048</v>
      </c>
      <c r="D548" s="3"/>
      <c r="E548" s="3"/>
      <c r="F548" s="4"/>
    </row>
    <row r="549" spans="2:6" x14ac:dyDescent="0.25">
      <c r="B549" s="9" t="s">
        <v>272</v>
      </c>
      <c r="C549" s="2">
        <v>450812</v>
      </c>
      <c r="D549" s="3"/>
      <c r="E549" s="3"/>
      <c r="F549" s="4"/>
    </row>
    <row r="550" spans="2:6" x14ac:dyDescent="0.25">
      <c r="B550" s="9" t="s">
        <v>195</v>
      </c>
      <c r="C550" s="2"/>
      <c r="D550" s="3"/>
      <c r="E550" s="3"/>
      <c r="F550" s="4"/>
    </row>
    <row r="551" spans="2:6" x14ac:dyDescent="0.25">
      <c r="B551" s="13" t="s">
        <v>41</v>
      </c>
      <c r="C551" s="2">
        <v>142033</v>
      </c>
      <c r="D551" s="3"/>
      <c r="E551" s="3"/>
      <c r="F551" s="4"/>
    </row>
    <row r="552" spans="2:6" x14ac:dyDescent="0.25">
      <c r="B552" s="3"/>
      <c r="C552" s="4"/>
      <c r="D552" s="3"/>
      <c r="E552" s="3"/>
      <c r="F552" s="4"/>
    </row>
    <row r="553" spans="2:6" x14ac:dyDescent="0.25">
      <c r="B553" s="3" t="s">
        <v>42</v>
      </c>
      <c r="C553" s="4">
        <f>SUM(C506:C552)</f>
        <v>3608279</v>
      </c>
      <c r="D553" s="3"/>
      <c r="E553" s="3"/>
      <c r="F553" s="4"/>
    </row>
    <row r="554" spans="2:6" x14ac:dyDescent="0.25">
      <c r="B554" s="3"/>
      <c r="C554" s="4"/>
      <c r="D554" s="3"/>
      <c r="E554" s="3"/>
      <c r="F554" s="4"/>
    </row>
    <row r="555" spans="2:6" x14ac:dyDescent="0.25">
      <c r="B555" s="3"/>
      <c r="C555" s="4"/>
      <c r="D555" s="3"/>
      <c r="E555" s="3"/>
      <c r="F555" s="4"/>
    </row>
    <row r="556" spans="2:6" x14ac:dyDescent="0.25">
      <c r="B556" s="3"/>
      <c r="C556" s="8" t="s">
        <v>43</v>
      </c>
      <c r="D556" s="8">
        <f>C553-F538</f>
        <v>381227</v>
      </c>
      <c r="E556" s="3"/>
      <c r="F556" s="4"/>
    </row>
    <row r="567" spans="2:6" x14ac:dyDescent="0.25">
      <c r="B567" s="1" t="s">
        <v>0</v>
      </c>
      <c r="C567" s="58">
        <v>1042494.52</v>
      </c>
      <c r="D567" s="3"/>
      <c r="E567" s="12" t="s">
        <v>329</v>
      </c>
      <c r="F567" s="4"/>
    </row>
    <row r="568" spans="2:6" x14ac:dyDescent="0.25">
      <c r="B568" s="3"/>
      <c r="C568" s="4"/>
      <c r="D568" s="3"/>
      <c r="E568" s="3"/>
      <c r="F568" s="4"/>
    </row>
    <row r="569" spans="2:6" x14ac:dyDescent="0.25">
      <c r="B569" s="57" t="s">
        <v>2</v>
      </c>
      <c r="C569" s="4"/>
      <c r="D569" s="3"/>
      <c r="E569" s="60" t="s">
        <v>3</v>
      </c>
      <c r="F569" s="60"/>
    </row>
    <row r="570" spans="2:6" x14ac:dyDescent="0.25">
      <c r="B570" s="6" t="s">
        <v>4</v>
      </c>
      <c r="C570" s="7"/>
      <c r="D570" s="3"/>
      <c r="E570" s="6" t="s">
        <v>4</v>
      </c>
      <c r="F570" s="8"/>
    </row>
    <row r="571" spans="2:6" x14ac:dyDescent="0.25">
      <c r="B571" s="59" t="s">
        <v>330</v>
      </c>
      <c r="C571" s="2">
        <v>260</v>
      </c>
      <c r="D571" s="3"/>
      <c r="E571" s="10" t="s">
        <v>343</v>
      </c>
      <c r="F571" s="2">
        <v>5762.31</v>
      </c>
    </row>
    <row r="572" spans="2:6" x14ac:dyDescent="0.25">
      <c r="B572" s="10" t="s">
        <v>128</v>
      </c>
      <c r="C572" s="2">
        <v>8341</v>
      </c>
      <c r="D572" s="3"/>
      <c r="E572" s="10" t="s">
        <v>344</v>
      </c>
      <c r="F572" s="2">
        <v>10</v>
      </c>
    </row>
    <row r="573" spans="2:6" x14ac:dyDescent="0.25">
      <c r="B573" s="10" t="s">
        <v>7</v>
      </c>
      <c r="C573" s="2">
        <v>32203.29</v>
      </c>
      <c r="D573" s="3"/>
      <c r="E573" s="29" t="s">
        <v>8</v>
      </c>
      <c r="F573" s="2">
        <v>22876.22</v>
      </c>
    </row>
    <row r="574" spans="2:6" x14ac:dyDescent="0.25">
      <c r="B574" s="59" t="s">
        <v>331</v>
      </c>
      <c r="C574" s="2">
        <v>180</v>
      </c>
      <c r="D574" s="3"/>
      <c r="F574" s="2"/>
    </row>
    <row r="575" spans="2:6" x14ac:dyDescent="0.25">
      <c r="B575" s="3" t="s">
        <v>130</v>
      </c>
      <c r="C575" s="2">
        <v>630</v>
      </c>
      <c r="D575" s="3"/>
      <c r="E575" s="9" t="s">
        <v>237</v>
      </c>
      <c r="F575" s="2">
        <v>880</v>
      </c>
    </row>
    <row r="576" spans="2:6" x14ac:dyDescent="0.25">
      <c r="B576" s="3" t="s">
        <v>159</v>
      </c>
      <c r="C576" s="2">
        <v>382773.12</v>
      </c>
      <c r="D576" s="3"/>
      <c r="E576" s="9" t="s">
        <v>238</v>
      </c>
      <c r="F576" s="2"/>
    </row>
    <row r="577" spans="2:6" x14ac:dyDescent="0.25">
      <c r="B577" s="3" t="s">
        <v>150</v>
      </c>
      <c r="C577" s="2">
        <v>5020.8999999999996</v>
      </c>
      <c r="D577" s="3"/>
      <c r="E577" s="30" t="s">
        <v>239</v>
      </c>
      <c r="F577" s="2">
        <v>11760.05</v>
      </c>
    </row>
    <row r="578" spans="2:6" x14ac:dyDescent="0.25">
      <c r="B578" s="3" t="s">
        <v>332</v>
      </c>
      <c r="C578" s="2">
        <v>21812</v>
      </c>
      <c r="D578" s="3"/>
      <c r="E578" s="15" t="s">
        <v>241</v>
      </c>
      <c r="F578" s="2">
        <v>1740</v>
      </c>
    </row>
    <row r="579" spans="2:6" x14ac:dyDescent="0.25">
      <c r="B579" s="59" t="s">
        <v>333</v>
      </c>
      <c r="C579" s="2">
        <v>215000</v>
      </c>
      <c r="D579" s="3"/>
      <c r="E579" s="33" t="s">
        <v>345</v>
      </c>
      <c r="F579" s="34">
        <v>6500</v>
      </c>
    </row>
    <row r="580" spans="2:6" x14ac:dyDescent="0.25">
      <c r="B580" s="3" t="s">
        <v>154</v>
      </c>
      <c r="C580" s="2">
        <v>551</v>
      </c>
      <c r="D580" s="3"/>
      <c r="E580" s="10" t="s">
        <v>346</v>
      </c>
      <c r="F580" s="4">
        <v>3370</v>
      </c>
    </row>
    <row r="581" spans="2:6" x14ac:dyDescent="0.25">
      <c r="B581" s="59" t="s">
        <v>334</v>
      </c>
      <c r="C581" s="2">
        <v>2566.6999999999998</v>
      </c>
      <c r="D581" s="3"/>
      <c r="E581" s="9" t="s">
        <v>112</v>
      </c>
      <c r="F581" s="2"/>
    </row>
    <row r="582" spans="2:6" x14ac:dyDescent="0.25">
      <c r="B582" s="3" t="s">
        <v>79</v>
      </c>
      <c r="C582" s="2">
        <v>12658</v>
      </c>
      <c r="D582" s="3"/>
      <c r="E582" s="59" t="s">
        <v>347</v>
      </c>
      <c r="F582" s="4">
        <v>1782</v>
      </c>
    </row>
    <row r="583" spans="2:6" x14ac:dyDescent="0.25">
      <c r="B583" s="10" t="s">
        <v>157</v>
      </c>
      <c r="C583" s="2"/>
      <c r="D583" s="3"/>
      <c r="E583" s="9" t="s">
        <v>149</v>
      </c>
      <c r="F583" s="4">
        <v>95509.24</v>
      </c>
    </row>
    <row r="584" spans="2:6" x14ac:dyDescent="0.25">
      <c r="B584" s="10" t="s">
        <v>242</v>
      </c>
      <c r="C584" s="14">
        <v>470</v>
      </c>
      <c r="D584" s="3"/>
      <c r="E584" s="9" t="s">
        <v>247</v>
      </c>
      <c r="F584" s="2">
        <v>4996.29</v>
      </c>
    </row>
    <row r="585" spans="2:6" x14ac:dyDescent="0.25">
      <c r="B585" s="3" t="s">
        <v>263</v>
      </c>
      <c r="C585" s="2">
        <v>11896.87</v>
      </c>
      <c r="D585" s="3"/>
      <c r="E585" s="3" t="s">
        <v>348</v>
      </c>
      <c r="F585" s="4">
        <v>60</v>
      </c>
    </row>
    <row r="586" spans="2:6" x14ac:dyDescent="0.25">
      <c r="B586" s="59" t="s">
        <v>335</v>
      </c>
      <c r="C586" s="2">
        <v>14710</v>
      </c>
      <c r="D586" s="3"/>
      <c r="E586" s="10" t="s">
        <v>349</v>
      </c>
      <c r="F586" s="4">
        <v>2960</v>
      </c>
    </row>
    <row r="587" spans="2:6" x14ac:dyDescent="0.25">
      <c r="B587" s="59" t="s">
        <v>162</v>
      </c>
      <c r="C587" s="2">
        <v>99760</v>
      </c>
      <c r="D587" s="3"/>
      <c r="E587" s="3" t="s">
        <v>350</v>
      </c>
      <c r="F587" s="4">
        <v>2880</v>
      </c>
    </row>
    <row r="588" spans="2:6" x14ac:dyDescent="0.25">
      <c r="B588" s="3" t="s">
        <v>264</v>
      </c>
      <c r="C588" s="2"/>
      <c r="D588" s="3"/>
      <c r="E588" s="3" t="s">
        <v>351</v>
      </c>
      <c r="F588" s="4">
        <v>1317</v>
      </c>
    </row>
    <row r="589" spans="2:6" x14ac:dyDescent="0.25">
      <c r="B589" s="3" t="s">
        <v>244</v>
      </c>
      <c r="C589" s="2">
        <v>131.72</v>
      </c>
      <c r="D589" s="3"/>
      <c r="E589" s="3" t="s">
        <v>189</v>
      </c>
      <c r="F589" s="4">
        <v>6731</v>
      </c>
    </row>
    <row r="590" spans="2:6" x14ac:dyDescent="0.25">
      <c r="B590" s="3"/>
      <c r="C590" s="2"/>
      <c r="D590" s="3"/>
      <c r="E590" s="59" t="s">
        <v>352</v>
      </c>
      <c r="F590" s="4">
        <v>3727.97</v>
      </c>
    </row>
    <row r="591" spans="2:6" x14ac:dyDescent="0.25">
      <c r="B591" s="3"/>
      <c r="C591" s="2"/>
      <c r="D591" s="3"/>
      <c r="E591" s="59" t="s">
        <v>353</v>
      </c>
      <c r="F591" s="4">
        <v>80</v>
      </c>
    </row>
    <row r="592" spans="2:6" x14ac:dyDescent="0.25">
      <c r="B592" s="59" t="s">
        <v>336</v>
      </c>
      <c r="C592" s="2">
        <v>679.34</v>
      </c>
      <c r="D592" s="3"/>
      <c r="E592" s="9" t="s">
        <v>164</v>
      </c>
      <c r="F592" s="2">
        <v>1113997</v>
      </c>
    </row>
    <row r="593" spans="2:6" x14ac:dyDescent="0.25">
      <c r="B593" s="59" t="s">
        <v>25</v>
      </c>
      <c r="C593" s="2">
        <v>44191.93</v>
      </c>
      <c r="D593" s="3"/>
      <c r="E593" s="9" t="s">
        <v>165</v>
      </c>
      <c r="F593" s="2">
        <v>1295280</v>
      </c>
    </row>
    <row r="594" spans="2:6" x14ac:dyDescent="0.25">
      <c r="B594" s="59" t="s">
        <v>337</v>
      </c>
      <c r="C594" s="2">
        <v>387357.53</v>
      </c>
      <c r="D594" s="3"/>
      <c r="E594" s="9" t="s">
        <v>167</v>
      </c>
      <c r="F594" s="2">
        <v>295039</v>
      </c>
    </row>
    <row r="595" spans="2:6" x14ac:dyDescent="0.25">
      <c r="B595" s="3" t="s">
        <v>267</v>
      </c>
      <c r="C595" s="2"/>
      <c r="D595" s="3"/>
      <c r="E595" s="3" t="s">
        <v>169</v>
      </c>
      <c r="F595" s="2">
        <v>281134</v>
      </c>
    </row>
    <row r="596" spans="2:6" x14ac:dyDescent="0.25">
      <c r="B596" s="3" t="s">
        <v>163</v>
      </c>
      <c r="C596" s="2">
        <v>1835</v>
      </c>
      <c r="D596" s="3"/>
      <c r="E596" s="59" t="s">
        <v>20</v>
      </c>
      <c r="F596" s="31">
        <v>1981</v>
      </c>
    </row>
    <row r="597" spans="2:6" x14ac:dyDescent="0.25">
      <c r="B597" s="10" t="s">
        <v>168</v>
      </c>
      <c r="C597" s="2">
        <v>99283.99</v>
      </c>
      <c r="D597" s="3"/>
      <c r="E597" s="33" t="s">
        <v>250</v>
      </c>
      <c r="F597" s="34">
        <v>127925</v>
      </c>
    </row>
    <row r="598" spans="2:6" x14ac:dyDescent="0.25">
      <c r="B598" s="29" t="s">
        <v>268</v>
      </c>
      <c r="C598" s="2"/>
      <c r="D598" s="3"/>
      <c r="E598" s="59" t="s">
        <v>354</v>
      </c>
      <c r="F598" s="4">
        <v>370</v>
      </c>
    </row>
    <row r="599" spans="2:6" x14ac:dyDescent="0.25">
      <c r="B599" s="10" t="s">
        <v>170</v>
      </c>
      <c r="C599" s="2"/>
      <c r="D599" s="3"/>
    </row>
    <row r="600" spans="2:6" x14ac:dyDescent="0.25">
      <c r="B600" s="29" t="s">
        <v>248</v>
      </c>
      <c r="C600" s="2"/>
      <c r="D600" s="3"/>
    </row>
    <row r="601" spans="2:6" x14ac:dyDescent="0.25">
      <c r="B601" s="3" t="s">
        <v>166</v>
      </c>
      <c r="C601" s="2">
        <v>630593.57999999996</v>
      </c>
      <c r="D601" s="3"/>
      <c r="E601" s="33"/>
      <c r="F601" s="4"/>
    </row>
    <row r="602" spans="2:6" x14ac:dyDescent="0.25">
      <c r="B602" s="59" t="s">
        <v>338</v>
      </c>
      <c r="C602" s="2">
        <v>3800</v>
      </c>
      <c r="D602" s="3"/>
      <c r="E602" t="s">
        <v>34</v>
      </c>
      <c r="F602" s="4">
        <f>SUM(F571:F598)</f>
        <v>3288668.08</v>
      </c>
    </row>
    <row r="603" spans="2:6" x14ac:dyDescent="0.25">
      <c r="B603" s="10" t="s">
        <v>174</v>
      </c>
      <c r="C603" s="2">
        <v>6956</v>
      </c>
      <c r="D603" s="3"/>
      <c r="F603" s="4"/>
    </row>
    <row r="604" spans="2:6" x14ac:dyDescent="0.25">
      <c r="B604" s="29" t="s">
        <v>90</v>
      </c>
      <c r="C604" s="32">
        <v>4867</v>
      </c>
      <c r="D604" s="3"/>
      <c r="E604" s="3"/>
      <c r="F604" s="4"/>
    </row>
    <row r="605" spans="2:6" x14ac:dyDescent="0.25">
      <c r="B605" s="59" t="s">
        <v>339</v>
      </c>
      <c r="C605" s="2">
        <v>1057.95</v>
      </c>
      <c r="D605" s="3"/>
      <c r="E605" s="3"/>
      <c r="F605" s="4"/>
    </row>
    <row r="606" spans="2:6" x14ac:dyDescent="0.25">
      <c r="B606" s="59" t="s">
        <v>12</v>
      </c>
      <c r="C606" s="2">
        <v>2043</v>
      </c>
      <c r="D606" s="3"/>
      <c r="E606" s="3"/>
      <c r="F606" s="4"/>
    </row>
    <row r="607" spans="2:6" x14ac:dyDescent="0.25">
      <c r="B607" s="59" t="s">
        <v>340</v>
      </c>
      <c r="C607" s="2">
        <v>85</v>
      </c>
      <c r="D607" s="3"/>
      <c r="E607" s="3"/>
      <c r="F607" s="4"/>
    </row>
    <row r="608" spans="2:6" x14ac:dyDescent="0.25">
      <c r="B608" s="15" t="s">
        <v>180</v>
      </c>
      <c r="C608" s="14">
        <v>1242</v>
      </c>
      <c r="D608" s="3"/>
      <c r="E608" s="3"/>
      <c r="F608" s="4"/>
    </row>
    <row r="609" spans="2:6" x14ac:dyDescent="0.25">
      <c r="B609" s="15" t="s">
        <v>270</v>
      </c>
      <c r="C609" s="2">
        <v>12997</v>
      </c>
      <c r="D609" s="3"/>
      <c r="E609" s="3"/>
      <c r="F609" s="4"/>
    </row>
    <row r="610" spans="2:6" x14ac:dyDescent="0.25">
      <c r="B610" s="59" t="s">
        <v>342</v>
      </c>
      <c r="C610" s="2">
        <v>125046.9</v>
      </c>
      <c r="D610" s="3"/>
      <c r="E610" s="3"/>
      <c r="F610" s="4"/>
    </row>
    <row r="611" spans="2:6" x14ac:dyDescent="0.25">
      <c r="B611" s="59" t="s">
        <v>341</v>
      </c>
      <c r="C611" s="2">
        <v>860</v>
      </c>
      <c r="D611" s="3"/>
      <c r="E611" s="12"/>
      <c r="F611" s="4"/>
    </row>
    <row r="612" spans="2:6" x14ac:dyDescent="0.25">
      <c r="B612" s="16" t="s">
        <v>356</v>
      </c>
      <c r="C612" s="2">
        <v>75018.289999999994</v>
      </c>
      <c r="D612" s="3"/>
      <c r="E612" s="3"/>
      <c r="F612" s="4"/>
    </row>
    <row r="613" spans="2:6" x14ac:dyDescent="0.25">
      <c r="B613" s="9" t="s">
        <v>355</v>
      </c>
      <c r="C613" s="2">
        <v>185847.53</v>
      </c>
      <c r="D613" s="3"/>
      <c r="E613" s="3"/>
      <c r="F613" s="4"/>
    </row>
    <row r="614" spans="2:6" x14ac:dyDescent="0.25">
      <c r="B614" s="9" t="s">
        <v>195</v>
      </c>
      <c r="C614" s="2"/>
      <c r="D614" s="3"/>
      <c r="E614" s="3"/>
      <c r="F614" s="4"/>
    </row>
    <row r="615" spans="2:6" x14ac:dyDescent="0.25">
      <c r="B615" s="13" t="s">
        <v>41</v>
      </c>
      <c r="C615" s="2">
        <v>210982.28</v>
      </c>
      <c r="D615" s="3"/>
      <c r="E615" s="3"/>
      <c r="F615" s="4"/>
    </row>
    <row r="616" spans="2:6" x14ac:dyDescent="0.25">
      <c r="B616" s="3"/>
      <c r="C616" s="4"/>
      <c r="D616" s="3"/>
      <c r="E616" s="3"/>
      <c r="F616" s="4"/>
    </row>
    <row r="617" spans="2:6" x14ac:dyDescent="0.25">
      <c r="B617" s="3" t="s">
        <v>42</v>
      </c>
      <c r="C617" s="4">
        <f>SUM(C567:C616)</f>
        <v>3646203.44</v>
      </c>
      <c r="D617" s="3"/>
      <c r="E617" s="3"/>
      <c r="F617" s="4"/>
    </row>
    <row r="618" spans="2:6" x14ac:dyDescent="0.25">
      <c r="B618" s="3"/>
      <c r="C618" s="4"/>
      <c r="D618" s="3"/>
      <c r="E618" s="3"/>
      <c r="F618" s="4"/>
    </row>
    <row r="619" spans="2:6" x14ac:dyDescent="0.25">
      <c r="B619" s="3"/>
      <c r="C619" s="4"/>
      <c r="D619" s="3"/>
      <c r="E619" s="3"/>
      <c r="F619" s="4"/>
    </row>
    <row r="620" spans="2:6" x14ac:dyDescent="0.25">
      <c r="B620" s="3"/>
      <c r="C620" s="8" t="s">
        <v>43</v>
      </c>
      <c r="D620" s="8">
        <f>C617-F602</f>
        <v>357535.35999999987</v>
      </c>
      <c r="E620" s="3"/>
      <c r="F620" s="4"/>
    </row>
  </sheetData>
  <mergeCells count="13">
    <mergeCell ref="E234:F234"/>
    <mergeCell ref="E508:F508"/>
    <mergeCell ref="E448:F448"/>
    <mergeCell ref="E3:F3"/>
    <mergeCell ref="E48:F48"/>
    <mergeCell ref="E94:F94"/>
    <mergeCell ref="E140:F140"/>
    <mergeCell ref="E188:F188"/>
    <mergeCell ref="E569:F569"/>
    <mergeCell ref="H510:I510"/>
    <mergeCell ref="E391:F391"/>
    <mergeCell ref="E283:F283"/>
    <mergeCell ref="E335:F3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874F-7CF8-4B81-A570-F17A1D413ED0}">
  <sheetPr codeName="Sheet2"/>
  <dimension ref="B2:I580"/>
  <sheetViews>
    <sheetView tabSelected="1" topLeftCell="A545" workbookViewId="0">
      <selection activeCell="A551" sqref="A551:D581"/>
    </sheetView>
  </sheetViews>
  <sheetFormatPr defaultRowHeight="15" x14ac:dyDescent="0.25"/>
  <cols>
    <col min="1" max="1" width="11" customWidth="1"/>
    <col min="2" max="2" width="42.140625" customWidth="1"/>
    <col min="3" max="3" width="31.85546875" customWidth="1"/>
    <col min="4" max="4" width="12.28515625" customWidth="1"/>
    <col min="7" max="7" width="11.28515625" customWidth="1"/>
    <col min="8" max="8" width="33.85546875" customWidth="1"/>
    <col min="9" max="9" width="30.85546875" customWidth="1"/>
  </cols>
  <sheetData>
    <row r="2" spans="2:9" ht="26.25" x14ac:dyDescent="0.4">
      <c r="B2" s="63" t="s">
        <v>196</v>
      </c>
      <c r="C2" s="63"/>
      <c r="H2" s="63" t="s">
        <v>197</v>
      </c>
      <c r="I2" s="63"/>
    </row>
    <row r="4" spans="2:9" ht="18.75" x14ac:dyDescent="0.3">
      <c r="B4" s="62" t="s">
        <v>198</v>
      </c>
      <c r="C4" s="62"/>
      <c r="H4" s="62" t="s">
        <v>198</v>
      </c>
      <c r="I4" s="62"/>
    </row>
    <row r="5" spans="2:9" ht="18.75" x14ac:dyDescent="0.3">
      <c r="B5" s="18" t="s">
        <v>199</v>
      </c>
      <c r="C5" s="19">
        <v>1296929.5</v>
      </c>
      <c r="H5" s="18" t="s">
        <v>199</v>
      </c>
      <c r="I5" s="19">
        <v>387335</v>
      </c>
    </row>
    <row r="6" spans="2:9" ht="18.75" x14ac:dyDescent="0.3">
      <c r="B6" s="18" t="s">
        <v>200</v>
      </c>
      <c r="C6" s="19">
        <v>200</v>
      </c>
      <c r="H6" s="18" t="s">
        <v>200</v>
      </c>
      <c r="I6" s="19">
        <v>0</v>
      </c>
    </row>
    <row r="7" spans="2:9" ht="18.75" x14ac:dyDescent="0.3">
      <c r="B7" s="18" t="s">
        <v>201</v>
      </c>
      <c r="C7" s="19">
        <f>C5-C6</f>
        <v>1296729.5</v>
      </c>
      <c r="H7" s="18" t="s">
        <v>201</v>
      </c>
      <c r="I7" s="19">
        <f>I5-I6</f>
        <v>387335</v>
      </c>
    </row>
    <row r="8" spans="2:9" ht="18.75" x14ac:dyDescent="0.3">
      <c r="B8" s="20"/>
      <c r="C8" s="20"/>
      <c r="H8" s="20"/>
      <c r="I8" s="20"/>
    </row>
    <row r="9" spans="2:9" ht="18.75" x14ac:dyDescent="0.3">
      <c r="B9" s="62" t="s">
        <v>202</v>
      </c>
      <c r="C9" s="62"/>
      <c r="H9" s="62" t="s">
        <v>202</v>
      </c>
      <c r="I9" s="62"/>
    </row>
    <row r="10" spans="2:9" ht="18.75" x14ac:dyDescent="0.3">
      <c r="B10" s="18" t="s">
        <v>203</v>
      </c>
      <c r="C10" s="19">
        <v>1204941.68</v>
      </c>
      <c r="H10" s="18" t="s">
        <v>203</v>
      </c>
      <c r="I10" s="19">
        <v>342114</v>
      </c>
    </row>
    <row r="11" spans="2:9" ht="18.75" x14ac:dyDescent="0.3">
      <c r="B11" s="21"/>
      <c r="C11" s="20"/>
      <c r="H11" s="21"/>
      <c r="I11" s="20"/>
    </row>
    <row r="12" spans="2:9" ht="18.75" x14ac:dyDescent="0.3">
      <c r="B12" s="18" t="s">
        <v>204</v>
      </c>
      <c r="C12" s="19">
        <f>C7-C10</f>
        <v>91787.820000000065</v>
      </c>
      <c r="H12" s="18" t="s">
        <v>204</v>
      </c>
      <c r="I12" s="19">
        <f>I7-I10</f>
        <v>45221</v>
      </c>
    </row>
    <row r="13" spans="2:9" ht="18.75" x14ac:dyDescent="0.3">
      <c r="B13" s="20"/>
      <c r="C13" s="20"/>
      <c r="H13" s="20"/>
      <c r="I13" s="20"/>
    </row>
    <row r="14" spans="2:9" ht="18.75" x14ac:dyDescent="0.3">
      <c r="B14" s="62" t="s">
        <v>205</v>
      </c>
      <c r="C14" s="62"/>
      <c r="H14" s="62" t="s">
        <v>205</v>
      </c>
      <c r="I14" s="62"/>
    </row>
    <row r="15" spans="2:9" ht="18.75" x14ac:dyDescent="0.3">
      <c r="B15" s="18" t="s">
        <v>206</v>
      </c>
      <c r="C15" s="19">
        <v>9320</v>
      </c>
      <c r="H15" s="18" t="s">
        <v>206</v>
      </c>
      <c r="I15" s="19">
        <v>0</v>
      </c>
    </row>
    <row r="16" spans="2:9" ht="18.75" x14ac:dyDescent="0.3">
      <c r="B16" s="18" t="s">
        <v>207</v>
      </c>
      <c r="C16" s="19">
        <v>749</v>
      </c>
      <c r="H16" s="18" t="s">
        <v>207</v>
      </c>
      <c r="I16" s="19">
        <v>0</v>
      </c>
    </row>
    <row r="17" spans="2:9" ht="18.75" x14ac:dyDescent="0.3">
      <c r="B17" s="18" t="s">
        <v>208</v>
      </c>
      <c r="C17" s="19">
        <v>8121</v>
      </c>
      <c r="H17" s="18" t="s">
        <v>208</v>
      </c>
      <c r="I17" s="19">
        <v>206</v>
      </c>
    </row>
    <row r="18" spans="2:9" ht="18.75" x14ac:dyDescent="0.3">
      <c r="B18" s="18" t="s">
        <v>209</v>
      </c>
      <c r="C18" s="19">
        <v>15877</v>
      </c>
      <c r="H18" s="18" t="s">
        <v>209</v>
      </c>
      <c r="I18" s="19"/>
    </row>
    <row r="19" spans="2:9" ht="18.75" x14ac:dyDescent="0.3">
      <c r="B19" s="18" t="s">
        <v>210</v>
      </c>
      <c r="C19" s="19">
        <v>32912</v>
      </c>
      <c r="H19" s="18" t="s">
        <v>210</v>
      </c>
      <c r="I19" s="19">
        <v>12860</v>
      </c>
    </row>
    <row r="20" spans="2:9" ht="18.75" x14ac:dyDescent="0.3">
      <c r="B20" s="20"/>
      <c r="C20" s="20"/>
      <c r="H20" s="20"/>
      <c r="I20" s="20"/>
    </row>
    <row r="21" spans="2:9" ht="18.75" x14ac:dyDescent="0.3">
      <c r="B21" s="18" t="s">
        <v>211</v>
      </c>
      <c r="C21" s="19">
        <f>SUM(C15:C20)</f>
        <v>66979</v>
      </c>
      <c r="H21" s="18" t="s">
        <v>211</v>
      </c>
      <c r="I21" s="19">
        <f>SUM(I15:I20)</f>
        <v>13066</v>
      </c>
    </row>
    <row r="22" spans="2:9" ht="18.75" x14ac:dyDescent="0.3">
      <c r="B22" s="20"/>
      <c r="C22" s="20"/>
      <c r="H22" s="20"/>
      <c r="I22" s="20"/>
    </row>
    <row r="23" spans="2:9" ht="18.75" x14ac:dyDescent="0.3">
      <c r="B23" s="20"/>
      <c r="C23" s="20"/>
      <c r="H23" s="20"/>
      <c r="I23" s="20"/>
    </row>
    <row r="24" spans="2:9" ht="26.25" x14ac:dyDescent="0.4">
      <c r="B24" s="22" t="s">
        <v>212</v>
      </c>
      <c r="C24" s="23">
        <f>C12-C21</f>
        <v>24808.820000000065</v>
      </c>
      <c r="H24" s="22" t="s">
        <v>212</v>
      </c>
      <c r="I24" s="23">
        <f>I12-I21</f>
        <v>32155</v>
      </c>
    </row>
    <row r="29" spans="2:9" ht="26.25" x14ac:dyDescent="0.4">
      <c r="B29" s="63" t="s">
        <v>213</v>
      </c>
      <c r="C29" s="63"/>
    </row>
    <row r="30" spans="2:9" x14ac:dyDescent="0.25">
      <c r="H30" t="s">
        <v>214</v>
      </c>
    </row>
    <row r="32" spans="2:9" ht="18.75" x14ac:dyDescent="0.3">
      <c r="B32" s="62" t="s">
        <v>198</v>
      </c>
      <c r="C32" s="62"/>
    </row>
    <row r="33" spans="2:8" ht="18.75" x14ac:dyDescent="0.3">
      <c r="B33" s="18" t="s">
        <v>199</v>
      </c>
      <c r="C33" s="19">
        <f>C5+I5</f>
        <v>1684264.5</v>
      </c>
    </row>
    <row r="34" spans="2:8" ht="18.75" x14ac:dyDescent="0.3">
      <c r="B34" s="18" t="s">
        <v>200</v>
      </c>
      <c r="C34" s="19">
        <f>C6+I6</f>
        <v>200</v>
      </c>
      <c r="H34">
        <v>292318</v>
      </c>
    </row>
    <row r="35" spans="2:8" ht="18.75" x14ac:dyDescent="0.3">
      <c r="B35" s="18" t="s">
        <v>201</v>
      </c>
      <c r="C35" s="19">
        <f>C33-C34</f>
        <v>1684064.5</v>
      </c>
    </row>
    <row r="36" spans="2:8" ht="18.75" x14ac:dyDescent="0.3">
      <c r="B36" s="20"/>
      <c r="C36" s="20"/>
    </row>
    <row r="37" spans="2:8" ht="18.75" x14ac:dyDescent="0.3">
      <c r="B37" s="62" t="s">
        <v>202</v>
      </c>
      <c r="C37" s="62"/>
    </row>
    <row r="38" spans="2:8" ht="18.75" x14ac:dyDescent="0.3">
      <c r="B38" s="18" t="s">
        <v>203</v>
      </c>
      <c r="C38" s="19">
        <f>C10+I10</f>
        <v>1547055.68</v>
      </c>
    </row>
    <row r="39" spans="2:8" ht="18.75" x14ac:dyDescent="0.3">
      <c r="B39" s="21"/>
      <c r="C39" s="20"/>
    </row>
    <row r="40" spans="2:8" ht="18.75" x14ac:dyDescent="0.3">
      <c r="B40" s="18" t="s">
        <v>204</v>
      </c>
      <c r="C40" s="19">
        <f>C35-C38</f>
        <v>137008.82000000007</v>
      </c>
    </row>
    <row r="41" spans="2:8" ht="18.75" x14ac:dyDescent="0.3">
      <c r="B41" s="20"/>
      <c r="C41" s="20"/>
    </row>
    <row r="42" spans="2:8" ht="18.75" x14ac:dyDescent="0.3">
      <c r="B42" s="62" t="s">
        <v>205</v>
      </c>
      <c r="C42" s="62"/>
    </row>
    <row r="43" spans="2:8" ht="18.75" x14ac:dyDescent="0.3">
      <c r="B43" s="18" t="s">
        <v>206</v>
      </c>
      <c r="C43" s="19">
        <v>9320</v>
      </c>
    </row>
    <row r="44" spans="2:8" ht="18.75" x14ac:dyDescent="0.3">
      <c r="B44" s="18" t="s">
        <v>207</v>
      </c>
      <c r="C44" s="19">
        <v>749</v>
      </c>
    </row>
    <row r="45" spans="2:8" ht="18.75" x14ac:dyDescent="0.3">
      <c r="B45" s="18" t="s">
        <v>208</v>
      </c>
      <c r="C45" s="19">
        <f>C17+I17</f>
        <v>8327</v>
      </c>
    </row>
    <row r="46" spans="2:8" ht="18.75" x14ac:dyDescent="0.3">
      <c r="B46" s="18" t="s">
        <v>209</v>
      </c>
      <c r="C46" s="19">
        <v>15833</v>
      </c>
    </row>
    <row r="47" spans="2:8" ht="18.75" x14ac:dyDescent="0.3">
      <c r="B47" s="18" t="s">
        <v>210</v>
      </c>
      <c r="C47" s="19">
        <f>C19+I19</f>
        <v>45772</v>
      </c>
    </row>
    <row r="48" spans="2:8" ht="18.75" x14ac:dyDescent="0.3">
      <c r="B48" s="20"/>
      <c r="C48" s="20"/>
    </row>
    <row r="49" spans="2:3" ht="18.75" x14ac:dyDescent="0.3">
      <c r="B49" s="18" t="s">
        <v>211</v>
      </c>
      <c r="C49" s="19">
        <f>SUM(C43:C48)</f>
        <v>80001</v>
      </c>
    </row>
    <row r="50" spans="2:3" ht="18.75" x14ac:dyDescent="0.3">
      <c r="B50" s="20"/>
      <c r="C50" s="20"/>
    </row>
    <row r="51" spans="2:3" ht="18.75" x14ac:dyDescent="0.3">
      <c r="B51" s="20"/>
      <c r="C51" s="20"/>
    </row>
    <row r="52" spans="2:3" ht="26.25" x14ac:dyDescent="0.4">
      <c r="B52" s="22" t="s">
        <v>212</v>
      </c>
      <c r="C52" s="23">
        <f>C40-C49</f>
        <v>57007.820000000065</v>
      </c>
    </row>
    <row r="58" spans="2:3" ht="26.25" x14ac:dyDescent="0.4">
      <c r="B58" s="63" t="s">
        <v>215</v>
      </c>
      <c r="C58" s="63"/>
    </row>
    <row r="61" spans="2:3" ht="18.75" x14ac:dyDescent="0.3">
      <c r="B61" s="62" t="s">
        <v>198</v>
      </c>
      <c r="C61" s="62"/>
    </row>
    <row r="62" spans="2:3" ht="18.75" x14ac:dyDescent="0.3">
      <c r="B62" s="18" t="s">
        <v>199</v>
      </c>
      <c r="C62" s="19">
        <v>1469551</v>
      </c>
    </row>
    <row r="63" spans="2:3" ht="18.75" x14ac:dyDescent="0.3">
      <c r="B63" s="18" t="s">
        <v>200</v>
      </c>
      <c r="C63" s="19">
        <v>400</v>
      </c>
    </row>
    <row r="64" spans="2:3" ht="18.75" x14ac:dyDescent="0.3">
      <c r="B64" s="18" t="s">
        <v>201</v>
      </c>
      <c r="C64" s="19">
        <f>C62-C63</f>
        <v>1469151</v>
      </c>
    </row>
    <row r="65" spans="2:3" ht="18.75" x14ac:dyDescent="0.3">
      <c r="B65" s="20"/>
      <c r="C65" s="20"/>
    </row>
    <row r="66" spans="2:3" ht="18.75" x14ac:dyDescent="0.3">
      <c r="B66" s="62" t="s">
        <v>202</v>
      </c>
      <c r="C66" s="62"/>
    </row>
    <row r="67" spans="2:3" ht="18.75" x14ac:dyDescent="0.3">
      <c r="B67" s="18" t="s">
        <v>203</v>
      </c>
      <c r="C67" s="19">
        <v>1300649</v>
      </c>
    </row>
    <row r="68" spans="2:3" ht="18.75" x14ac:dyDescent="0.3">
      <c r="B68" s="21"/>
      <c r="C68" s="20"/>
    </row>
    <row r="69" spans="2:3" ht="18.75" x14ac:dyDescent="0.3">
      <c r="B69" s="18" t="s">
        <v>204</v>
      </c>
      <c r="C69" s="19">
        <f>C64-C67</f>
        <v>168502</v>
      </c>
    </row>
    <row r="70" spans="2:3" ht="18.75" x14ac:dyDescent="0.3">
      <c r="B70" s="20"/>
      <c r="C70" s="20"/>
    </row>
    <row r="71" spans="2:3" ht="18.75" x14ac:dyDescent="0.3">
      <c r="B71" s="62" t="s">
        <v>205</v>
      </c>
      <c r="C71" s="62"/>
    </row>
    <row r="72" spans="2:3" ht="18.75" x14ac:dyDescent="0.3">
      <c r="B72" s="18" t="s">
        <v>206</v>
      </c>
      <c r="C72" s="19">
        <v>10711</v>
      </c>
    </row>
    <row r="73" spans="2:3" ht="18.75" x14ac:dyDescent="0.3">
      <c r="B73" s="18" t="s">
        <v>207</v>
      </c>
      <c r="C73" s="19">
        <v>0</v>
      </c>
    </row>
    <row r="74" spans="2:3" ht="18.75" x14ac:dyDescent="0.3">
      <c r="B74" s="18" t="s">
        <v>208</v>
      </c>
      <c r="C74" s="19">
        <v>3331</v>
      </c>
    </row>
    <row r="75" spans="2:3" ht="18.75" x14ac:dyDescent="0.3">
      <c r="B75" s="18" t="s">
        <v>209</v>
      </c>
      <c r="C75" s="19">
        <v>16147</v>
      </c>
    </row>
    <row r="76" spans="2:3" ht="18.75" x14ac:dyDescent="0.3">
      <c r="B76" s="18" t="s">
        <v>210</v>
      </c>
      <c r="C76" s="19">
        <v>50235</v>
      </c>
    </row>
    <row r="77" spans="2:3" ht="18.75" x14ac:dyDescent="0.3">
      <c r="B77" s="18" t="s">
        <v>216</v>
      </c>
      <c r="C77" s="19">
        <v>127</v>
      </c>
    </row>
    <row r="78" spans="2:3" ht="18.75" x14ac:dyDescent="0.3">
      <c r="B78" s="18" t="s">
        <v>217</v>
      </c>
      <c r="C78" s="19">
        <v>2636.96</v>
      </c>
    </row>
    <row r="79" spans="2:3" ht="18.75" x14ac:dyDescent="0.3">
      <c r="B79" s="20"/>
      <c r="C79" s="20"/>
    </row>
    <row r="80" spans="2:3" ht="18.75" x14ac:dyDescent="0.3">
      <c r="B80" s="18" t="s">
        <v>211</v>
      </c>
      <c r="C80" s="19">
        <f>SUM(C72:C79)</f>
        <v>83187.960000000006</v>
      </c>
    </row>
    <row r="81" spans="2:3" ht="18.75" x14ac:dyDescent="0.3">
      <c r="B81" s="21"/>
      <c r="C81" s="24"/>
    </row>
    <row r="82" spans="2:3" ht="26.25" x14ac:dyDescent="0.4">
      <c r="B82" s="22" t="s">
        <v>212</v>
      </c>
      <c r="C82" s="23">
        <f>C69-C80</f>
        <v>85314.04</v>
      </c>
    </row>
    <row r="89" spans="2:3" ht="26.25" x14ac:dyDescent="0.4">
      <c r="B89" s="63" t="s">
        <v>218</v>
      </c>
      <c r="C89" s="63"/>
    </row>
    <row r="92" spans="2:3" ht="18.75" x14ac:dyDescent="0.3">
      <c r="B92" s="62" t="s">
        <v>198</v>
      </c>
      <c r="C92" s="62"/>
    </row>
    <row r="93" spans="2:3" ht="18.75" x14ac:dyDescent="0.3">
      <c r="B93" s="18" t="s">
        <v>199</v>
      </c>
      <c r="C93" s="19">
        <v>1284466</v>
      </c>
    </row>
    <row r="94" spans="2:3" ht="18.75" x14ac:dyDescent="0.3">
      <c r="B94" s="18" t="s">
        <v>200</v>
      </c>
      <c r="C94" s="19">
        <v>20</v>
      </c>
    </row>
    <row r="95" spans="2:3" ht="18.75" x14ac:dyDescent="0.3">
      <c r="B95" s="18" t="s">
        <v>201</v>
      </c>
      <c r="C95" s="19">
        <f>C93-C94</f>
        <v>1284446</v>
      </c>
    </row>
    <row r="96" spans="2:3" ht="18.75" x14ac:dyDescent="0.3">
      <c r="B96" s="20"/>
      <c r="C96" s="20"/>
    </row>
    <row r="97" spans="2:3" ht="18.75" x14ac:dyDescent="0.3">
      <c r="B97" s="62" t="s">
        <v>202</v>
      </c>
      <c r="C97" s="62"/>
    </row>
    <row r="98" spans="2:3" ht="18.75" x14ac:dyDescent="0.3">
      <c r="B98" s="18" t="s">
        <v>203</v>
      </c>
      <c r="C98" s="19">
        <v>1102012</v>
      </c>
    </row>
    <row r="99" spans="2:3" ht="18.75" x14ac:dyDescent="0.3">
      <c r="B99" s="21"/>
      <c r="C99" s="20"/>
    </row>
    <row r="100" spans="2:3" ht="18.75" x14ac:dyDescent="0.3">
      <c r="B100" s="18" t="s">
        <v>204</v>
      </c>
      <c r="C100" s="19">
        <f>C95-C98</f>
        <v>182434</v>
      </c>
    </row>
    <row r="101" spans="2:3" ht="18.75" x14ac:dyDescent="0.3">
      <c r="B101" s="20"/>
      <c r="C101" s="20"/>
    </row>
    <row r="102" spans="2:3" ht="18.75" x14ac:dyDescent="0.3">
      <c r="B102" s="62" t="s">
        <v>205</v>
      </c>
      <c r="C102" s="62"/>
    </row>
    <row r="103" spans="2:3" ht="18.75" x14ac:dyDescent="0.3">
      <c r="B103" s="18" t="s">
        <v>206</v>
      </c>
      <c r="C103" s="19">
        <v>9386.7999999999993</v>
      </c>
    </row>
    <row r="104" spans="2:3" ht="18.75" x14ac:dyDescent="0.3">
      <c r="B104" s="18" t="s">
        <v>207</v>
      </c>
      <c r="C104" s="19"/>
    </row>
    <row r="105" spans="2:3" ht="18.75" x14ac:dyDescent="0.3">
      <c r="B105" s="18" t="s">
        <v>208</v>
      </c>
      <c r="C105" s="19">
        <v>9951.7800000000007</v>
      </c>
    </row>
    <row r="106" spans="2:3" ht="18.75" x14ac:dyDescent="0.3">
      <c r="B106" s="18" t="s">
        <v>209</v>
      </c>
      <c r="C106" s="19">
        <v>16906</v>
      </c>
    </row>
    <row r="107" spans="2:3" ht="18.75" x14ac:dyDescent="0.3">
      <c r="B107" s="18" t="s">
        <v>210</v>
      </c>
      <c r="C107" s="19">
        <v>43000</v>
      </c>
    </row>
    <row r="108" spans="2:3" ht="18.75" x14ac:dyDescent="0.3">
      <c r="B108" s="18" t="s">
        <v>216</v>
      </c>
      <c r="C108" s="19"/>
    </row>
    <row r="109" spans="2:3" ht="18.75" x14ac:dyDescent="0.3">
      <c r="B109" s="18" t="s">
        <v>217</v>
      </c>
      <c r="C109" s="19">
        <v>4350.26</v>
      </c>
    </row>
    <row r="110" spans="2:3" ht="18.75" x14ac:dyDescent="0.3">
      <c r="B110" s="20"/>
      <c r="C110" s="20"/>
    </row>
    <row r="111" spans="2:3" ht="18.75" x14ac:dyDescent="0.3">
      <c r="B111" s="18" t="s">
        <v>211</v>
      </c>
      <c r="C111" s="19">
        <f>SUM(C103:C110)</f>
        <v>83594.84</v>
      </c>
    </row>
    <row r="112" spans="2:3" ht="18.75" x14ac:dyDescent="0.3">
      <c r="B112" s="21"/>
      <c r="C112" s="24"/>
    </row>
    <row r="113" spans="2:3" ht="26.25" x14ac:dyDescent="0.4">
      <c r="B113" s="22" t="s">
        <v>212</v>
      </c>
      <c r="C113" s="23">
        <f>C100-C111</f>
        <v>98839.16</v>
      </c>
    </row>
    <row r="118" spans="2:3" ht="26.25" x14ac:dyDescent="0.4">
      <c r="B118" s="63" t="s">
        <v>219</v>
      </c>
      <c r="C118" s="63"/>
    </row>
    <row r="121" spans="2:3" ht="18.75" x14ac:dyDescent="0.3">
      <c r="B121" s="62" t="s">
        <v>198</v>
      </c>
      <c r="C121" s="62"/>
    </row>
    <row r="122" spans="2:3" ht="18.75" x14ac:dyDescent="0.3">
      <c r="B122" s="18" t="s">
        <v>199</v>
      </c>
      <c r="C122" s="19">
        <v>1434081.06</v>
      </c>
    </row>
    <row r="123" spans="2:3" ht="18.75" x14ac:dyDescent="0.3">
      <c r="B123" s="18" t="s">
        <v>200</v>
      </c>
      <c r="C123" s="19">
        <v>10147</v>
      </c>
    </row>
    <row r="124" spans="2:3" ht="18.75" x14ac:dyDescent="0.3">
      <c r="B124" s="18" t="s">
        <v>201</v>
      </c>
      <c r="C124" s="19">
        <f>C122-C123</f>
        <v>1423934.06</v>
      </c>
    </row>
    <row r="125" spans="2:3" ht="18.75" x14ac:dyDescent="0.3">
      <c r="B125" s="20"/>
      <c r="C125" s="20"/>
    </row>
    <row r="126" spans="2:3" ht="18.75" x14ac:dyDescent="0.3">
      <c r="B126" s="62" t="s">
        <v>202</v>
      </c>
      <c r="C126" s="62"/>
    </row>
    <row r="127" spans="2:3" ht="18.75" x14ac:dyDescent="0.3">
      <c r="B127" s="18" t="s">
        <v>203</v>
      </c>
      <c r="C127" s="19">
        <v>1263187.74</v>
      </c>
    </row>
    <row r="128" spans="2:3" ht="18.75" x14ac:dyDescent="0.3">
      <c r="B128" s="21"/>
      <c r="C128" s="20"/>
    </row>
    <row r="129" spans="2:3" ht="18.75" x14ac:dyDescent="0.3">
      <c r="B129" s="18" t="s">
        <v>204</v>
      </c>
      <c r="C129" s="19">
        <f>C124-C127</f>
        <v>160746.32000000007</v>
      </c>
    </row>
    <row r="130" spans="2:3" ht="18.75" x14ac:dyDescent="0.3">
      <c r="B130" s="20"/>
      <c r="C130" s="20"/>
    </row>
    <row r="131" spans="2:3" ht="18.75" x14ac:dyDescent="0.3">
      <c r="B131" s="62" t="s">
        <v>205</v>
      </c>
      <c r="C131" s="62"/>
    </row>
    <row r="132" spans="2:3" ht="18.75" x14ac:dyDescent="0.3">
      <c r="B132" s="18" t="s">
        <v>206</v>
      </c>
      <c r="C132" s="19">
        <v>9612.7999999999993</v>
      </c>
    </row>
    <row r="133" spans="2:3" ht="18.75" x14ac:dyDescent="0.3">
      <c r="B133" s="18" t="s">
        <v>207</v>
      </c>
      <c r="C133" s="19">
        <v>13468</v>
      </c>
    </row>
    <row r="134" spans="2:3" ht="18.75" x14ac:dyDescent="0.3">
      <c r="B134" s="18" t="s">
        <v>208</v>
      </c>
      <c r="C134" s="19">
        <v>21692</v>
      </c>
    </row>
    <row r="135" spans="2:3" ht="18.75" x14ac:dyDescent="0.3">
      <c r="B135" s="18" t="s">
        <v>209</v>
      </c>
      <c r="C135" s="19">
        <v>16514</v>
      </c>
    </row>
    <row r="136" spans="2:3" ht="18.75" x14ac:dyDescent="0.3">
      <c r="B136" s="18" t="s">
        <v>210</v>
      </c>
      <c r="C136" s="19">
        <v>36632</v>
      </c>
    </row>
    <row r="137" spans="2:3" ht="18.75" x14ac:dyDescent="0.3">
      <c r="B137" s="18" t="s">
        <v>216</v>
      </c>
      <c r="C137" s="19">
        <v>10656</v>
      </c>
    </row>
    <row r="138" spans="2:3" ht="18.75" x14ac:dyDescent="0.3">
      <c r="B138" s="18" t="s">
        <v>217</v>
      </c>
      <c r="C138" s="19">
        <v>4352</v>
      </c>
    </row>
    <row r="139" spans="2:3" ht="18.75" x14ac:dyDescent="0.3">
      <c r="B139" s="20"/>
      <c r="C139" s="20"/>
    </row>
    <row r="140" spans="2:3" ht="18.75" x14ac:dyDescent="0.3">
      <c r="B140" s="18" t="s">
        <v>211</v>
      </c>
      <c r="C140" s="19">
        <f>SUM(C132:C139)</f>
        <v>112926.8</v>
      </c>
    </row>
    <row r="141" spans="2:3" ht="18.75" x14ac:dyDescent="0.3">
      <c r="B141" s="21"/>
      <c r="C141" s="24"/>
    </row>
    <row r="142" spans="2:3" ht="26.25" x14ac:dyDescent="0.4">
      <c r="B142" s="22" t="s">
        <v>212</v>
      </c>
      <c r="C142" s="23">
        <f>C129-C140</f>
        <v>47819.520000000062</v>
      </c>
    </row>
    <row r="151" spans="2:3" ht="26.25" x14ac:dyDescent="0.4">
      <c r="B151" s="63" t="s">
        <v>220</v>
      </c>
      <c r="C151" s="63"/>
    </row>
    <row r="154" spans="2:3" ht="18.75" x14ac:dyDescent="0.3">
      <c r="B154" s="62" t="s">
        <v>198</v>
      </c>
      <c r="C154" s="62"/>
    </row>
    <row r="155" spans="2:3" ht="18.75" x14ac:dyDescent="0.3">
      <c r="B155" s="18" t="s">
        <v>199</v>
      </c>
      <c r="C155" s="19">
        <v>3133155.73</v>
      </c>
    </row>
    <row r="156" spans="2:3" ht="18.75" x14ac:dyDescent="0.3">
      <c r="B156" s="18" t="s">
        <v>200</v>
      </c>
      <c r="C156" s="19">
        <v>1501</v>
      </c>
    </row>
    <row r="157" spans="2:3" ht="18.75" x14ac:dyDescent="0.3">
      <c r="B157" s="18" t="s">
        <v>201</v>
      </c>
      <c r="C157" s="19">
        <f>C155-C156</f>
        <v>3131654.73</v>
      </c>
    </row>
    <row r="158" spans="2:3" ht="18.75" x14ac:dyDescent="0.3">
      <c r="B158" s="20"/>
      <c r="C158" s="20"/>
    </row>
    <row r="159" spans="2:3" ht="18.75" x14ac:dyDescent="0.3">
      <c r="B159" s="62" t="s">
        <v>202</v>
      </c>
      <c r="C159" s="62"/>
    </row>
    <row r="160" spans="2:3" ht="18.75" x14ac:dyDescent="0.3">
      <c r="B160" s="18" t="s">
        <v>203</v>
      </c>
      <c r="C160" s="19">
        <v>2825955.11</v>
      </c>
    </row>
    <row r="161" spans="2:3" ht="18.75" x14ac:dyDescent="0.3">
      <c r="B161" s="21"/>
      <c r="C161" s="20"/>
    </row>
    <row r="162" spans="2:3" ht="18.75" x14ac:dyDescent="0.3">
      <c r="B162" s="18" t="s">
        <v>204</v>
      </c>
      <c r="C162" s="19">
        <f>C157-C160</f>
        <v>305699.62000000011</v>
      </c>
    </row>
    <row r="163" spans="2:3" ht="18.75" x14ac:dyDescent="0.3">
      <c r="B163" s="20"/>
      <c r="C163" s="20"/>
    </row>
    <row r="164" spans="2:3" ht="18.75" x14ac:dyDescent="0.3">
      <c r="B164" s="62" t="s">
        <v>205</v>
      </c>
      <c r="C164" s="62"/>
    </row>
    <row r="165" spans="2:3" ht="18.75" x14ac:dyDescent="0.3">
      <c r="B165" s="18" t="s">
        <v>206</v>
      </c>
      <c r="C165" s="19">
        <v>45414</v>
      </c>
    </row>
    <row r="166" spans="2:3" ht="18.75" x14ac:dyDescent="0.3">
      <c r="B166" s="18" t="s">
        <v>207</v>
      </c>
      <c r="C166" s="19">
        <v>0</v>
      </c>
    </row>
    <row r="167" spans="2:3" ht="18.75" x14ac:dyDescent="0.3">
      <c r="B167" s="18" t="s">
        <v>208</v>
      </c>
      <c r="C167" s="19">
        <v>3571.95</v>
      </c>
    </row>
    <row r="168" spans="2:3" ht="18.75" x14ac:dyDescent="0.3">
      <c r="B168" s="18" t="s">
        <v>209</v>
      </c>
      <c r="C168" s="19">
        <v>30000</v>
      </c>
    </row>
    <row r="169" spans="2:3" ht="18.75" x14ac:dyDescent="0.3">
      <c r="B169" s="18" t="s">
        <v>210</v>
      </c>
      <c r="C169" s="19">
        <v>13858</v>
      </c>
    </row>
    <row r="170" spans="2:3" ht="18.75" x14ac:dyDescent="0.3">
      <c r="B170" s="18" t="s">
        <v>216</v>
      </c>
      <c r="C170" s="19">
        <v>163</v>
      </c>
    </row>
    <row r="171" spans="2:3" ht="18.75" x14ac:dyDescent="0.3">
      <c r="B171" s="18"/>
      <c r="C171" s="19"/>
    </row>
    <row r="172" spans="2:3" ht="18.75" x14ac:dyDescent="0.3">
      <c r="B172" s="18" t="s">
        <v>221</v>
      </c>
      <c r="C172" s="24">
        <v>46911</v>
      </c>
    </row>
    <row r="173" spans="2:3" ht="18.75" x14ac:dyDescent="0.3">
      <c r="B173" s="21" t="s">
        <v>222</v>
      </c>
      <c r="C173" s="24">
        <v>38813</v>
      </c>
    </row>
    <row r="174" spans="2:3" ht="18.75" x14ac:dyDescent="0.3">
      <c r="B174" s="21" t="s">
        <v>223</v>
      </c>
      <c r="C174" s="24">
        <v>6074</v>
      </c>
    </row>
    <row r="175" spans="2:3" ht="18.75" x14ac:dyDescent="0.3">
      <c r="B175" s="20"/>
      <c r="C175" s="20"/>
    </row>
    <row r="176" spans="2:3" ht="18.75" x14ac:dyDescent="0.3">
      <c r="B176" s="18" t="s">
        <v>211</v>
      </c>
      <c r="C176" s="19">
        <f>SUM(C165:C175)</f>
        <v>184804.95</v>
      </c>
    </row>
    <row r="177" spans="2:3" ht="18.75" x14ac:dyDescent="0.3">
      <c r="B177" s="21"/>
      <c r="C177" s="24"/>
    </row>
    <row r="178" spans="2:3" ht="26.25" x14ac:dyDescent="0.4">
      <c r="B178" s="22" t="s">
        <v>212</v>
      </c>
      <c r="C178" s="23">
        <f>C162-C176</f>
        <v>120894.6700000001</v>
      </c>
    </row>
    <row r="185" spans="2:3" ht="26.25" x14ac:dyDescent="0.4">
      <c r="B185" s="63" t="s">
        <v>224</v>
      </c>
      <c r="C185" s="63"/>
    </row>
    <row r="188" spans="2:3" ht="18.75" x14ac:dyDescent="0.3">
      <c r="B188" s="62" t="s">
        <v>198</v>
      </c>
      <c r="C188" s="62"/>
    </row>
    <row r="189" spans="2:3" ht="18.75" x14ac:dyDescent="0.3">
      <c r="B189" s="18" t="s">
        <v>199</v>
      </c>
      <c r="C189" s="19">
        <v>2619439.5499999998</v>
      </c>
    </row>
    <row r="190" spans="2:3" ht="18.75" x14ac:dyDescent="0.3">
      <c r="B190" s="18" t="s">
        <v>200</v>
      </c>
      <c r="C190" s="19">
        <v>165</v>
      </c>
    </row>
    <row r="191" spans="2:3" ht="18.75" x14ac:dyDescent="0.3">
      <c r="B191" s="18" t="s">
        <v>201</v>
      </c>
      <c r="C191" s="19">
        <f>C189-C190</f>
        <v>2619274.5499999998</v>
      </c>
    </row>
    <row r="192" spans="2:3" ht="18.75" x14ac:dyDescent="0.3">
      <c r="B192" s="20"/>
      <c r="C192" s="20"/>
    </row>
    <row r="193" spans="2:3" ht="18.75" x14ac:dyDescent="0.3">
      <c r="B193" s="62" t="s">
        <v>202</v>
      </c>
      <c r="C193" s="62"/>
    </row>
    <row r="194" spans="2:3" ht="18.75" x14ac:dyDescent="0.3">
      <c r="B194" s="18" t="s">
        <v>203</v>
      </c>
      <c r="C194" s="19">
        <v>2258212.6800000002</v>
      </c>
    </row>
    <row r="195" spans="2:3" ht="18.75" x14ac:dyDescent="0.3">
      <c r="B195" s="21"/>
      <c r="C195" s="20"/>
    </row>
    <row r="196" spans="2:3" ht="18.75" x14ac:dyDescent="0.3">
      <c r="B196" s="18" t="s">
        <v>204</v>
      </c>
      <c r="C196" s="19">
        <f>C191-C194</f>
        <v>361061.86999999965</v>
      </c>
    </row>
    <row r="197" spans="2:3" ht="18.75" x14ac:dyDescent="0.3">
      <c r="B197" s="20"/>
      <c r="C197" s="20"/>
    </row>
    <row r="198" spans="2:3" ht="18.75" x14ac:dyDescent="0.3">
      <c r="B198" s="62" t="s">
        <v>205</v>
      </c>
      <c r="C198" s="62"/>
    </row>
    <row r="199" spans="2:3" ht="18.75" x14ac:dyDescent="0.3">
      <c r="B199" s="18" t="s">
        <v>206</v>
      </c>
      <c r="C199" s="19">
        <v>23713</v>
      </c>
    </row>
    <row r="200" spans="2:3" ht="18.75" x14ac:dyDescent="0.3">
      <c r="B200" s="18" t="s">
        <v>207</v>
      </c>
      <c r="C200" s="19">
        <v>15121.08</v>
      </c>
    </row>
    <row r="201" spans="2:3" ht="18.75" x14ac:dyDescent="0.3">
      <c r="B201" s="18" t="s">
        <v>208</v>
      </c>
      <c r="C201" s="19">
        <v>4377</v>
      </c>
    </row>
    <row r="202" spans="2:3" ht="18.75" x14ac:dyDescent="0.3">
      <c r="B202" s="18" t="s">
        <v>209</v>
      </c>
      <c r="C202" s="19">
        <v>15000</v>
      </c>
    </row>
    <row r="203" spans="2:3" ht="18.75" x14ac:dyDescent="0.3">
      <c r="B203" s="18"/>
      <c r="C203" s="19"/>
    </row>
    <row r="204" spans="2:3" ht="18.75" x14ac:dyDescent="0.3">
      <c r="B204" s="18" t="s">
        <v>216</v>
      </c>
      <c r="C204" s="19">
        <v>1575</v>
      </c>
    </row>
    <row r="205" spans="2:3" ht="18.75" x14ac:dyDescent="0.3">
      <c r="B205" s="18"/>
      <c r="C205" s="19"/>
    </row>
    <row r="206" spans="2:3" ht="18.75" x14ac:dyDescent="0.3">
      <c r="B206" s="18" t="s">
        <v>221</v>
      </c>
      <c r="C206" s="24">
        <v>36585</v>
      </c>
    </row>
    <row r="207" spans="2:3" ht="18.75" x14ac:dyDescent="0.3">
      <c r="B207" s="21" t="s">
        <v>222</v>
      </c>
      <c r="C207" s="24">
        <v>10787</v>
      </c>
    </row>
    <row r="208" spans="2:3" ht="18.75" x14ac:dyDescent="0.3">
      <c r="B208" s="21" t="s">
        <v>223</v>
      </c>
      <c r="C208" s="24">
        <v>7413.67</v>
      </c>
    </row>
    <row r="209" spans="2:3" ht="18.75" x14ac:dyDescent="0.3">
      <c r="B209" s="20"/>
      <c r="C209" s="20"/>
    </row>
    <row r="210" spans="2:3" ht="18.75" x14ac:dyDescent="0.3">
      <c r="B210" s="18" t="s">
        <v>211</v>
      </c>
      <c r="C210" s="19">
        <f>SUM(C199:C209)</f>
        <v>114571.75</v>
      </c>
    </row>
    <row r="211" spans="2:3" ht="18.75" x14ac:dyDescent="0.3">
      <c r="B211" s="21"/>
      <c r="C211" s="24"/>
    </row>
    <row r="212" spans="2:3" ht="26.25" x14ac:dyDescent="0.4">
      <c r="B212" s="22" t="s">
        <v>212</v>
      </c>
      <c r="C212" s="23">
        <f>C196-C210</f>
        <v>246490.11999999965</v>
      </c>
    </row>
    <row r="215" spans="2:3" ht="26.25" x14ac:dyDescent="0.4">
      <c r="B215" s="63" t="s">
        <v>225</v>
      </c>
      <c r="C215" s="63"/>
    </row>
    <row r="218" spans="2:3" ht="18.75" x14ac:dyDescent="0.3">
      <c r="B218" s="62" t="s">
        <v>198</v>
      </c>
      <c r="C218" s="62"/>
    </row>
    <row r="219" spans="2:3" ht="18.75" x14ac:dyDescent="0.3">
      <c r="B219" s="18" t="s">
        <v>199</v>
      </c>
      <c r="C219" s="19">
        <v>2071614</v>
      </c>
    </row>
    <row r="220" spans="2:3" ht="18.75" x14ac:dyDescent="0.3">
      <c r="B220" s="18" t="s">
        <v>200</v>
      </c>
      <c r="C220" s="19">
        <v>0</v>
      </c>
    </row>
    <row r="221" spans="2:3" ht="18.75" x14ac:dyDescent="0.3">
      <c r="B221" s="18" t="s">
        <v>201</v>
      </c>
      <c r="C221" s="19">
        <f>C219-C220</f>
        <v>2071614</v>
      </c>
    </row>
    <row r="222" spans="2:3" ht="18.75" x14ac:dyDescent="0.3">
      <c r="B222" s="20"/>
      <c r="C222" s="20"/>
    </row>
    <row r="223" spans="2:3" ht="18.75" x14ac:dyDescent="0.3">
      <c r="B223" s="62" t="s">
        <v>202</v>
      </c>
      <c r="C223" s="62"/>
    </row>
    <row r="224" spans="2:3" ht="18.75" x14ac:dyDescent="0.3">
      <c r="B224" s="18" t="s">
        <v>203</v>
      </c>
      <c r="C224" s="19">
        <v>1729349</v>
      </c>
    </row>
    <row r="225" spans="2:3" ht="18.75" x14ac:dyDescent="0.3">
      <c r="B225" s="21"/>
      <c r="C225" s="20"/>
    </row>
    <row r="226" spans="2:3" ht="18.75" x14ac:dyDescent="0.3">
      <c r="B226" s="18" t="s">
        <v>204</v>
      </c>
      <c r="C226" s="19">
        <f>C221-C224</f>
        <v>342265</v>
      </c>
    </row>
    <row r="227" spans="2:3" ht="18.75" x14ac:dyDescent="0.3">
      <c r="B227" s="20"/>
      <c r="C227" s="20"/>
    </row>
    <row r="228" spans="2:3" ht="18.75" x14ac:dyDescent="0.3">
      <c r="B228" s="62" t="s">
        <v>205</v>
      </c>
      <c r="C228" s="62"/>
    </row>
    <row r="229" spans="2:3" ht="18.75" x14ac:dyDescent="0.3">
      <c r="B229" s="18" t="s">
        <v>206</v>
      </c>
      <c r="C229" s="19">
        <v>33538</v>
      </c>
    </row>
    <row r="230" spans="2:3" ht="18.75" x14ac:dyDescent="0.3">
      <c r="B230" s="18" t="s">
        <v>207</v>
      </c>
      <c r="C230" s="19"/>
    </row>
    <row r="231" spans="2:3" ht="18.75" x14ac:dyDescent="0.3">
      <c r="B231" s="18" t="s">
        <v>208</v>
      </c>
      <c r="C231" s="19">
        <v>2659</v>
      </c>
    </row>
    <row r="232" spans="2:3" ht="18.75" x14ac:dyDescent="0.3">
      <c r="B232" s="18" t="s">
        <v>209</v>
      </c>
      <c r="C232" s="19">
        <v>15000</v>
      </c>
    </row>
    <row r="233" spans="2:3" ht="18.75" x14ac:dyDescent="0.3">
      <c r="B233" s="18" t="s">
        <v>226</v>
      </c>
      <c r="C233" s="19">
        <v>100</v>
      </c>
    </row>
    <row r="234" spans="2:3" ht="18.75" x14ac:dyDescent="0.3">
      <c r="B234" s="18" t="s">
        <v>216</v>
      </c>
      <c r="C234" s="19">
        <v>1370</v>
      </c>
    </row>
    <row r="235" spans="2:3" ht="18.75" x14ac:dyDescent="0.3">
      <c r="B235" s="18" t="s">
        <v>227</v>
      </c>
      <c r="C235" s="19">
        <v>4509</v>
      </c>
    </row>
    <row r="236" spans="2:3" ht="18.75" x14ac:dyDescent="0.3">
      <c r="B236" s="18" t="s">
        <v>221</v>
      </c>
      <c r="C236" s="24">
        <v>54644</v>
      </c>
    </row>
    <row r="237" spans="2:3" ht="18.75" x14ac:dyDescent="0.3">
      <c r="B237" s="21" t="s">
        <v>222</v>
      </c>
      <c r="C237" s="24">
        <v>43257</v>
      </c>
    </row>
    <row r="238" spans="2:3" ht="18.75" x14ac:dyDescent="0.3">
      <c r="B238" s="21" t="s">
        <v>223</v>
      </c>
      <c r="C238" s="24">
        <v>4659</v>
      </c>
    </row>
    <row r="239" spans="2:3" ht="18.75" x14ac:dyDescent="0.3">
      <c r="B239" s="20"/>
      <c r="C239" s="20"/>
    </row>
    <row r="240" spans="2:3" ht="18.75" x14ac:dyDescent="0.3">
      <c r="B240" s="18" t="s">
        <v>211</v>
      </c>
      <c r="C240" s="19">
        <f>SUM(C229:C239)</f>
        <v>159736</v>
      </c>
    </row>
    <row r="241" spans="2:3" ht="18.75" x14ac:dyDescent="0.3">
      <c r="B241" s="21"/>
      <c r="C241" s="24"/>
    </row>
    <row r="242" spans="2:3" ht="26.25" x14ac:dyDescent="0.4">
      <c r="B242" s="22" t="s">
        <v>212</v>
      </c>
      <c r="C242" s="23">
        <f>C226-C240</f>
        <v>182529</v>
      </c>
    </row>
    <row r="246" spans="2:3" ht="26.25" x14ac:dyDescent="0.4">
      <c r="B246" s="63" t="s">
        <v>228</v>
      </c>
      <c r="C246" s="63"/>
    </row>
    <row r="249" spans="2:3" ht="18.75" x14ac:dyDescent="0.3">
      <c r="B249" s="62" t="s">
        <v>198</v>
      </c>
      <c r="C249" s="62"/>
    </row>
    <row r="250" spans="2:3" ht="18.75" x14ac:dyDescent="0.3">
      <c r="B250" s="18" t="s">
        <v>199</v>
      </c>
      <c r="C250" s="19">
        <v>2649430.9300000002</v>
      </c>
    </row>
    <row r="251" spans="2:3" ht="18.75" x14ac:dyDescent="0.3">
      <c r="B251" s="18" t="s">
        <v>200</v>
      </c>
      <c r="C251" s="19">
        <v>0</v>
      </c>
    </row>
    <row r="252" spans="2:3" ht="18.75" x14ac:dyDescent="0.3">
      <c r="B252" s="18" t="s">
        <v>201</v>
      </c>
      <c r="C252" s="19">
        <f>C250-C251</f>
        <v>2649430.9300000002</v>
      </c>
    </row>
    <row r="253" spans="2:3" ht="18.75" x14ac:dyDescent="0.3">
      <c r="B253" s="20"/>
      <c r="C253" s="20"/>
    </row>
    <row r="254" spans="2:3" ht="18.75" x14ac:dyDescent="0.3">
      <c r="B254" s="62" t="s">
        <v>202</v>
      </c>
      <c r="C254" s="62"/>
    </row>
    <row r="255" spans="2:3" ht="18.75" x14ac:dyDescent="0.3">
      <c r="B255" s="18" t="s">
        <v>203</v>
      </c>
      <c r="C255" s="19">
        <v>2404419.8899999997</v>
      </c>
    </row>
    <row r="256" spans="2:3" ht="18.75" x14ac:dyDescent="0.3">
      <c r="B256" s="21"/>
      <c r="C256" s="20"/>
    </row>
    <row r="257" spans="2:3" ht="18.75" x14ac:dyDescent="0.3">
      <c r="B257" s="18" t="s">
        <v>204</v>
      </c>
      <c r="C257" s="19">
        <f>C252-C255</f>
        <v>245011.0400000005</v>
      </c>
    </row>
    <row r="258" spans="2:3" ht="18.75" x14ac:dyDescent="0.3">
      <c r="B258" s="20"/>
      <c r="C258" s="20"/>
    </row>
    <row r="259" spans="2:3" ht="18.75" x14ac:dyDescent="0.3">
      <c r="B259" s="62" t="s">
        <v>205</v>
      </c>
      <c r="C259" s="62"/>
    </row>
    <row r="260" spans="2:3" ht="18.75" x14ac:dyDescent="0.3">
      <c r="B260" s="18" t="s">
        <v>206</v>
      </c>
      <c r="C260" s="25">
        <v>31523.55</v>
      </c>
    </row>
    <row r="261" spans="2:3" ht="18.75" x14ac:dyDescent="0.3">
      <c r="B261" s="18" t="s">
        <v>207</v>
      </c>
      <c r="C261" s="19"/>
    </row>
    <row r="262" spans="2:3" ht="18.75" x14ac:dyDescent="0.3">
      <c r="B262" s="18" t="s">
        <v>208</v>
      </c>
      <c r="C262" s="19">
        <v>1381</v>
      </c>
    </row>
    <row r="263" spans="2:3" ht="18.75" x14ac:dyDescent="0.3">
      <c r="B263" s="18" t="s">
        <v>209</v>
      </c>
      <c r="C263" s="19">
        <v>17741</v>
      </c>
    </row>
    <row r="264" spans="2:3" ht="18.75" x14ac:dyDescent="0.3">
      <c r="B264" s="18" t="s">
        <v>226</v>
      </c>
      <c r="C264" s="19">
        <v>70</v>
      </c>
    </row>
    <row r="265" spans="2:3" ht="18.75" x14ac:dyDescent="0.3">
      <c r="B265" s="18" t="s">
        <v>216</v>
      </c>
      <c r="C265" s="19">
        <v>630</v>
      </c>
    </row>
    <row r="266" spans="2:3" ht="18.75" x14ac:dyDescent="0.3">
      <c r="B266" s="18" t="s">
        <v>227</v>
      </c>
      <c r="C266" s="19">
        <v>18682</v>
      </c>
    </row>
    <row r="267" spans="2:3" ht="18.75" x14ac:dyDescent="0.3">
      <c r="B267" s="18" t="s">
        <v>221</v>
      </c>
      <c r="C267" s="24">
        <v>19.350000000000001</v>
      </c>
    </row>
    <row r="268" spans="2:3" ht="18.75" x14ac:dyDescent="0.3">
      <c r="B268" s="21" t="s">
        <v>222</v>
      </c>
      <c r="C268" s="24">
        <v>11289</v>
      </c>
    </row>
    <row r="269" spans="2:3" ht="18.75" x14ac:dyDescent="0.3">
      <c r="B269" s="21" t="s">
        <v>223</v>
      </c>
      <c r="C269" s="24">
        <v>11688</v>
      </c>
    </row>
    <row r="270" spans="2:3" ht="18.75" x14ac:dyDescent="0.3">
      <c r="B270" s="21" t="s">
        <v>229</v>
      </c>
      <c r="C270" s="24">
        <v>15000</v>
      </c>
    </row>
    <row r="271" spans="2:3" ht="18.75" x14ac:dyDescent="0.3">
      <c r="B271" s="21" t="s">
        <v>230</v>
      </c>
      <c r="C271" s="24">
        <v>936.7</v>
      </c>
    </row>
    <row r="272" spans="2:3" ht="18.75" x14ac:dyDescent="0.3">
      <c r="B272" s="20"/>
      <c r="C272" s="20"/>
    </row>
    <row r="273" spans="2:3" ht="18.75" x14ac:dyDescent="0.3">
      <c r="B273" s="18" t="s">
        <v>211</v>
      </c>
      <c r="C273" s="19">
        <f>SUM(C260:C272)</f>
        <v>108960.6</v>
      </c>
    </row>
    <row r="274" spans="2:3" ht="18.75" x14ac:dyDescent="0.3">
      <c r="B274" s="21"/>
      <c r="C274" s="24"/>
    </row>
    <row r="275" spans="2:3" ht="26.25" x14ac:dyDescent="0.4">
      <c r="B275" s="22" t="s">
        <v>212</v>
      </c>
      <c r="C275" s="23">
        <f>C257-C273</f>
        <v>136050.4400000005</v>
      </c>
    </row>
    <row r="283" spans="2:3" ht="26.25" x14ac:dyDescent="0.4">
      <c r="B283" s="63" t="s">
        <v>231</v>
      </c>
      <c r="C283" s="63"/>
    </row>
    <row r="286" spans="2:3" ht="18.75" x14ac:dyDescent="0.3">
      <c r="B286" s="62" t="s">
        <v>198</v>
      </c>
      <c r="C286" s="62"/>
    </row>
    <row r="287" spans="2:3" ht="18.75" x14ac:dyDescent="0.3">
      <c r="B287" s="18" t="s">
        <v>199</v>
      </c>
      <c r="C287" s="19">
        <v>2365248.61</v>
      </c>
    </row>
    <row r="288" spans="2:3" ht="18.75" x14ac:dyDescent="0.3">
      <c r="B288" s="18" t="s">
        <v>200</v>
      </c>
      <c r="C288" s="19">
        <v>0</v>
      </c>
    </row>
    <row r="289" spans="2:3" ht="18.75" x14ac:dyDescent="0.3">
      <c r="B289" s="18" t="s">
        <v>201</v>
      </c>
      <c r="C289" s="19">
        <f>C287-C288</f>
        <v>2365248.61</v>
      </c>
    </row>
    <row r="290" spans="2:3" ht="18.75" x14ac:dyDescent="0.3">
      <c r="B290" s="20"/>
      <c r="C290" s="20"/>
    </row>
    <row r="291" spans="2:3" ht="18.75" x14ac:dyDescent="0.3">
      <c r="B291" s="62" t="s">
        <v>202</v>
      </c>
      <c r="C291" s="62"/>
    </row>
    <row r="292" spans="2:3" ht="18.75" x14ac:dyDescent="0.3">
      <c r="B292" s="18" t="s">
        <v>203</v>
      </c>
      <c r="C292" s="19">
        <v>2171235.46</v>
      </c>
    </row>
    <row r="293" spans="2:3" ht="18.75" x14ac:dyDescent="0.3">
      <c r="B293" s="21"/>
      <c r="C293" s="20"/>
    </row>
    <row r="294" spans="2:3" ht="18.75" x14ac:dyDescent="0.3">
      <c r="B294" s="18" t="s">
        <v>204</v>
      </c>
      <c r="C294" s="19">
        <f>C289-C292</f>
        <v>194013.14999999991</v>
      </c>
    </row>
    <row r="295" spans="2:3" ht="18.75" x14ac:dyDescent="0.3">
      <c r="B295" s="20"/>
      <c r="C295" s="20"/>
    </row>
    <row r="296" spans="2:3" ht="18.75" x14ac:dyDescent="0.3">
      <c r="B296" s="62" t="s">
        <v>205</v>
      </c>
      <c r="C296" s="62"/>
    </row>
    <row r="297" spans="2:3" ht="18.75" x14ac:dyDescent="0.3">
      <c r="B297" s="18" t="s">
        <v>206</v>
      </c>
      <c r="C297" s="25">
        <v>47972</v>
      </c>
    </row>
    <row r="298" spans="2:3" ht="18.75" x14ac:dyDescent="0.3">
      <c r="B298" s="18" t="s">
        <v>207</v>
      </c>
      <c r="C298" s="19"/>
    </row>
    <row r="299" spans="2:3" ht="18.75" x14ac:dyDescent="0.3">
      <c r="B299" s="18" t="s">
        <v>208</v>
      </c>
      <c r="C299" s="19">
        <v>791</v>
      </c>
    </row>
    <row r="300" spans="2:3" ht="18.75" x14ac:dyDescent="0.3">
      <c r="B300" s="18" t="s">
        <v>209</v>
      </c>
      <c r="C300" s="19">
        <v>19000</v>
      </c>
    </row>
    <row r="301" spans="2:3" ht="18.75" x14ac:dyDescent="0.3">
      <c r="B301" s="18" t="s">
        <v>226</v>
      </c>
      <c r="C301" s="19">
        <v>144</v>
      </c>
    </row>
    <row r="302" spans="2:3" ht="18.75" x14ac:dyDescent="0.3">
      <c r="B302" s="18" t="s">
        <v>216</v>
      </c>
      <c r="C302" s="19">
        <v>630</v>
      </c>
    </row>
    <row r="303" spans="2:3" ht="18.75" x14ac:dyDescent="0.3">
      <c r="B303" s="18" t="s">
        <v>227</v>
      </c>
      <c r="C303" s="19">
        <v>2409</v>
      </c>
    </row>
    <row r="304" spans="2:3" ht="18.75" x14ac:dyDescent="0.3">
      <c r="B304" s="18" t="s">
        <v>221</v>
      </c>
      <c r="C304" s="19">
        <v>1290</v>
      </c>
    </row>
    <row r="305" spans="2:3" ht="18.75" x14ac:dyDescent="0.3">
      <c r="B305" s="18" t="s">
        <v>222</v>
      </c>
      <c r="C305" s="19">
        <v>10473</v>
      </c>
    </row>
    <row r="306" spans="2:3" ht="18.75" x14ac:dyDescent="0.3">
      <c r="B306" s="18" t="s">
        <v>223</v>
      </c>
      <c r="C306" s="19">
        <v>4734</v>
      </c>
    </row>
    <row r="307" spans="2:3" ht="18.75" x14ac:dyDescent="0.3">
      <c r="B307" s="18" t="s">
        <v>229</v>
      </c>
      <c r="C307" s="19">
        <v>24156</v>
      </c>
    </row>
    <row r="308" spans="2:3" ht="18.75" x14ac:dyDescent="0.3">
      <c r="B308" s="20"/>
      <c r="C308" s="20"/>
    </row>
    <row r="309" spans="2:3" ht="18.75" x14ac:dyDescent="0.3">
      <c r="B309" s="18" t="s">
        <v>211</v>
      </c>
      <c r="C309" s="19">
        <f>SUM(C297:C308)</f>
        <v>111599</v>
      </c>
    </row>
    <row r="310" spans="2:3" ht="18.75" x14ac:dyDescent="0.3">
      <c r="B310" s="21"/>
      <c r="C310" s="24"/>
    </row>
    <row r="311" spans="2:3" ht="26.25" x14ac:dyDescent="0.4">
      <c r="B311" s="22" t="s">
        <v>212</v>
      </c>
      <c r="C311" s="23">
        <f>C294-C309</f>
        <v>82414.149999999907</v>
      </c>
    </row>
    <row r="323" spans="2:8" ht="26.25" x14ac:dyDescent="0.4">
      <c r="B323" s="63" t="s">
        <v>232</v>
      </c>
      <c r="C323" s="63"/>
    </row>
    <row r="326" spans="2:8" ht="18.75" x14ac:dyDescent="0.3">
      <c r="B326" s="62" t="s">
        <v>198</v>
      </c>
      <c r="C326" s="62"/>
    </row>
    <row r="327" spans="2:8" ht="18.75" x14ac:dyDescent="0.3">
      <c r="B327" s="18" t="s">
        <v>199</v>
      </c>
      <c r="C327" s="19">
        <v>2778499.5900000003</v>
      </c>
      <c r="H327">
        <v>423765.20999999932</v>
      </c>
    </row>
    <row r="328" spans="2:8" ht="18.75" x14ac:dyDescent="0.3">
      <c r="B328" s="18" t="s">
        <v>200</v>
      </c>
      <c r="C328" s="19">
        <v>0</v>
      </c>
    </row>
    <row r="329" spans="2:8" ht="18.75" x14ac:dyDescent="0.3">
      <c r="B329" s="18" t="s">
        <v>201</v>
      </c>
      <c r="C329" s="19">
        <f>C327-C328</f>
        <v>2778499.5900000003</v>
      </c>
    </row>
    <row r="330" spans="2:8" ht="18.75" x14ac:dyDescent="0.3">
      <c r="B330" s="20"/>
      <c r="C330" s="20"/>
    </row>
    <row r="331" spans="2:8" ht="18.75" x14ac:dyDescent="0.3">
      <c r="B331" s="62" t="s">
        <v>202</v>
      </c>
      <c r="C331" s="62"/>
    </row>
    <row r="332" spans="2:8" ht="18.75" x14ac:dyDescent="0.3">
      <c r="B332" s="18" t="s">
        <v>203</v>
      </c>
      <c r="C332" s="19">
        <v>2354734.3799999994</v>
      </c>
    </row>
    <row r="333" spans="2:8" ht="18.75" x14ac:dyDescent="0.3">
      <c r="B333" s="21"/>
      <c r="C333" s="20"/>
    </row>
    <row r="334" spans="2:8" ht="18.75" x14ac:dyDescent="0.3">
      <c r="B334" s="18" t="s">
        <v>204</v>
      </c>
      <c r="C334" s="19">
        <f>C329-C332</f>
        <v>423765.21000000089</v>
      </c>
    </row>
    <row r="335" spans="2:8" ht="18.75" x14ac:dyDescent="0.3">
      <c r="B335" s="20"/>
      <c r="C335" s="20"/>
    </row>
    <row r="336" spans="2:8" ht="18.75" x14ac:dyDescent="0.3">
      <c r="B336" s="62" t="s">
        <v>205</v>
      </c>
      <c r="C336" s="62"/>
    </row>
    <row r="337" spans="2:3" ht="18.75" x14ac:dyDescent="0.3">
      <c r="B337" s="18" t="s">
        <v>206</v>
      </c>
      <c r="C337" s="25">
        <v>100055.85</v>
      </c>
    </row>
    <row r="338" spans="2:3" ht="18.75" x14ac:dyDescent="0.3">
      <c r="B338" s="18"/>
      <c r="C338" s="19"/>
    </row>
    <row r="339" spans="2:3" ht="18.75" x14ac:dyDescent="0.3">
      <c r="B339" s="18"/>
      <c r="C339" s="19"/>
    </row>
    <row r="340" spans="2:3" ht="18.75" x14ac:dyDescent="0.3">
      <c r="B340" s="18"/>
      <c r="C340" s="19"/>
    </row>
    <row r="341" spans="2:3" ht="18.75" x14ac:dyDescent="0.3">
      <c r="B341" s="18"/>
      <c r="C341" s="19"/>
    </row>
    <row r="342" spans="2:3" ht="18.75" x14ac:dyDescent="0.3">
      <c r="B342" s="18"/>
      <c r="C342" s="19"/>
    </row>
    <row r="343" spans="2:3" ht="18.75" x14ac:dyDescent="0.3">
      <c r="B343" s="18" t="s">
        <v>233</v>
      </c>
      <c r="C343" s="19">
        <v>77364.399999999994</v>
      </c>
    </row>
    <row r="344" spans="2:3" ht="18.75" x14ac:dyDescent="0.3">
      <c r="B344" s="18" t="s">
        <v>221</v>
      </c>
      <c r="C344" s="19">
        <v>5211.25</v>
      </c>
    </row>
    <row r="345" spans="2:3" ht="18.75" x14ac:dyDescent="0.3">
      <c r="B345" s="18" t="s">
        <v>222</v>
      </c>
      <c r="C345" s="19">
        <v>21004.83</v>
      </c>
    </row>
    <row r="346" spans="2:3" ht="18.75" x14ac:dyDescent="0.3">
      <c r="B346" s="18" t="s">
        <v>223</v>
      </c>
      <c r="C346" s="19">
        <v>0</v>
      </c>
    </row>
    <row r="347" spans="2:3" ht="18.75" x14ac:dyDescent="0.3">
      <c r="B347" s="18"/>
      <c r="C347" s="19"/>
    </row>
    <row r="348" spans="2:3" ht="18.75" x14ac:dyDescent="0.3">
      <c r="B348" s="20"/>
      <c r="C348" s="20"/>
    </row>
    <row r="349" spans="2:3" ht="18.75" x14ac:dyDescent="0.3">
      <c r="B349" s="18" t="s">
        <v>211</v>
      </c>
      <c r="C349" s="19">
        <f>SUM(C337:C348)</f>
        <v>203636.33000000002</v>
      </c>
    </row>
    <row r="350" spans="2:3" ht="18.75" x14ac:dyDescent="0.3">
      <c r="B350" s="21"/>
      <c r="C350" s="24"/>
    </row>
    <row r="351" spans="2:3" ht="26.25" x14ac:dyDescent="0.4">
      <c r="B351" s="22" t="s">
        <v>212</v>
      </c>
      <c r="C351" s="23">
        <f>C334-C349</f>
        <v>220128.88000000088</v>
      </c>
    </row>
    <row r="359" spans="2:3" ht="26.25" x14ac:dyDescent="0.4">
      <c r="B359" s="63" t="s">
        <v>259</v>
      </c>
      <c r="C359" s="63"/>
    </row>
    <row r="362" spans="2:3" ht="18.75" x14ac:dyDescent="0.3">
      <c r="B362" s="62" t="s">
        <v>198</v>
      </c>
      <c r="C362" s="62"/>
    </row>
    <row r="363" spans="2:3" ht="18.75" x14ac:dyDescent="0.3">
      <c r="B363" s="18" t="s">
        <v>199</v>
      </c>
      <c r="C363" s="19">
        <v>3425273</v>
      </c>
    </row>
    <row r="364" spans="2:3" ht="18.75" x14ac:dyDescent="0.3">
      <c r="B364" s="18" t="s">
        <v>200</v>
      </c>
      <c r="C364" s="19">
        <v>0</v>
      </c>
    </row>
    <row r="365" spans="2:3" ht="18.75" x14ac:dyDescent="0.3">
      <c r="B365" s="18" t="s">
        <v>201</v>
      </c>
      <c r="C365" s="19">
        <f>C363-C364</f>
        <v>3425273</v>
      </c>
    </row>
    <row r="366" spans="2:3" ht="18.75" x14ac:dyDescent="0.3">
      <c r="B366" s="20"/>
      <c r="C366" s="20"/>
    </row>
    <row r="367" spans="2:3" ht="18.75" x14ac:dyDescent="0.3">
      <c r="B367" s="62" t="s">
        <v>202</v>
      </c>
      <c r="C367" s="62"/>
    </row>
    <row r="368" spans="2:3" ht="18.75" x14ac:dyDescent="0.3">
      <c r="B368" s="18" t="s">
        <v>203</v>
      </c>
      <c r="C368" s="19">
        <v>2885724.42</v>
      </c>
    </row>
    <row r="369" spans="2:3" ht="18.75" x14ac:dyDescent="0.3">
      <c r="B369" s="21"/>
      <c r="C369" s="20"/>
    </row>
    <row r="370" spans="2:3" ht="18.75" x14ac:dyDescent="0.3">
      <c r="B370" s="18" t="s">
        <v>204</v>
      </c>
      <c r="C370" s="19">
        <f>C365-C368</f>
        <v>539548.58000000007</v>
      </c>
    </row>
    <row r="371" spans="2:3" ht="18.75" x14ac:dyDescent="0.3">
      <c r="B371" s="20"/>
      <c r="C371" s="20"/>
    </row>
    <row r="372" spans="2:3" ht="18.75" x14ac:dyDescent="0.3">
      <c r="B372" s="62" t="s">
        <v>205</v>
      </c>
      <c r="C372" s="62"/>
    </row>
    <row r="373" spans="2:3" ht="18.75" x14ac:dyDescent="0.3">
      <c r="B373" s="18" t="s">
        <v>206</v>
      </c>
      <c r="C373" s="25">
        <v>85113</v>
      </c>
    </row>
    <row r="374" spans="2:3" ht="18.75" x14ac:dyDescent="0.3">
      <c r="B374" s="18"/>
      <c r="C374" s="19"/>
    </row>
    <row r="375" spans="2:3" ht="18.75" x14ac:dyDescent="0.3">
      <c r="B375" s="18"/>
      <c r="C375" s="19"/>
    </row>
    <row r="376" spans="2:3" ht="18.75" x14ac:dyDescent="0.3">
      <c r="B376" s="18"/>
      <c r="C376" s="19"/>
    </row>
    <row r="377" spans="2:3" ht="18.75" x14ac:dyDescent="0.3">
      <c r="B377" s="18"/>
      <c r="C377" s="19"/>
    </row>
    <row r="378" spans="2:3" ht="18.75" x14ac:dyDescent="0.3">
      <c r="B378" s="18"/>
      <c r="C378" s="19"/>
    </row>
    <row r="379" spans="2:3" ht="18.75" x14ac:dyDescent="0.3">
      <c r="B379" s="18" t="s">
        <v>260</v>
      </c>
      <c r="C379" s="19">
        <v>15000</v>
      </c>
    </row>
    <row r="380" spans="2:3" ht="18.75" x14ac:dyDescent="0.3">
      <c r="B380" s="18" t="s">
        <v>221</v>
      </c>
      <c r="C380" s="19">
        <v>10600</v>
      </c>
    </row>
    <row r="381" spans="2:3" ht="18.75" x14ac:dyDescent="0.3">
      <c r="B381" s="18" t="s">
        <v>222</v>
      </c>
      <c r="C381" s="19">
        <v>-15132</v>
      </c>
    </row>
    <row r="382" spans="2:3" ht="18.75" x14ac:dyDescent="0.3">
      <c r="B382" s="18" t="s">
        <v>273</v>
      </c>
      <c r="C382" s="19">
        <v>45580</v>
      </c>
    </row>
    <row r="383" spans="2:3" ht="18.75" x14ac:dyDescent="0.3">
      <c r="B383" s="18" t="s">
        <v>274</v>
      </c>
      <c r="C383" s="19">
        <v>13107</v>
      </c>
    </row>
    <row r="384" spans="2:3" ht="18.75" x14ac:dyDescent="0.3">
      <c r="B384" s="20"/>
      <c r="C384" s="20"/>
    </row>
    <row r="385" spans="2:3" ht="18.75" x14ac:dyDescent="0.3">
      <c r="B385" s="18" t="s">
        <v>211</v>
      </c>
      <c r="C385" s="19">
        <f>SUM(C373:C384)</f>
        <v>154268</v>
      </c>
    </row>
    <row r="386" spans="2:3" ht="18.75" x14ac:dyDescent="0.3">
      <c r="B386" s="21"/>
      <c r="C386" s="24"/>
    </row>
    <row r="387" spans="2:3" ht="26.25" x14ac:dyDescent="0.4">
      <c r="B387" s="22" t="s">
        <v>212</v>
      </c>
      <c r="C387" s="23">
        <f>C370-C385</f>
        <v>385280.58000000007</v>
      </c>
    </row>
    <row r="395" spans="2:3" ht="26.25" x14ac:dyDescent="0.4">
      <c r="B395" s="63" t="s">
        <v>302</v>
      </c>
      <c r="C395" s="63"/>
    </row>
    <row r="398" spans="2:3" ht="18.75" x14ac:dyDescent="0.3">
      <c r="B398" s="62" t="s">
        <v>198</v>
      </c>
      <c r="C398" s="62"/>
    </row>
    <row r="399" spans="2:3" ht="18.75" x14ac:dyDescent="0.3">
      <c r="B399" s="18" t="s">
        <v>199</v>
      </c>
      <c r="C399" s="19">
        <v>3417241.6199999996</v>
      </c>
    </row>
    <row r="400" spans="2:3" ht="18.75" x14ac:dyDescent="0.3">
      <c r="B400" s="18" t="s">
        <v>200</v>
      </c>
      <c r="C400" s="19">
        <v>0</v>
      </c>
    </row>
    <row r="401" spans="2:3" ht="18.75" x14ac:dyDescent="0.3">
      <c r="B401" s="18" t="s">
        <v>201</v>
      </c>
      <c r="C401" s="19">
        <f>C399-C400</f>
        <v>3417241.6199999996</v>
      </c>
    </row>
    <row r="402" spans="2:3" ht="18.75" x14ac:dyDescent="0.3">
      <c r="B402" s="20"/>
      <c r="C402" s="20"/>
    </row>
    <row r="403" spans="2:3" ht="18.75" x14ac:dyDescent="0.3">
      <c r="B403" s="62" t="s">
        <v>202</v>
      </c>
      <c r="C403" s="62"/>
    </row>
    <row r="404" spans="2:3" ht="18.75" x14ac:dyDescent="0.3">
      <c r="B404" s="18" t="s">
        <v>203</v>
      </c>
      <c r="C404" s="19">
        <v>2913224.1225796249</v>
      </c>
    </row>
    <row r="405" spans="2:3" ht="18.75" x14ac:dyDescent="0.3">
      <c r="B405" s="21"/>
      <c r="C405" s="20"/>
    </row>
    <row r="406" spans="2:3" ht="18.75" x14ac:dyDescent="0.3">
      <c r="B406" s="18" t="s">
        <v>204</v>
      </c>
      <c r="C406" s="19">
        <f>C401-C404</f>
        <v>504017.49742037477</v>
      </c>
    </row>
    <row r="407" spans="2:3" ht="18.75" x14ac:dyDescent="0.3">
      <c r="B407" s="20"/>
      <c r="C407" s="20"/>
    </row>
    <row r="408" spans="2:3" ht="18.75" x14ac:dyDescent="0.3">
      <c r="B408" s="62" t="s">
        <v>205</v>
      </c>
      <c r="C408" s="62"/>
    </row>
    <row r="409" spans="2:3" ht="18.75" x14ac:dyDescent="0.3">
      <c r="B409" s="18" t="s">
        <v>206</v>
      </c>
      <c r="C409" s="25">
        <v>67196.399999999994</v>
      </c>
    </row>
    <row r="410" spans="2:3" ht="18.75" x14ac:dyDescent="0.3">
      <c r="B410" s="18"/>
      <c r="C410" s="19"/>
    </row>
    <row r="411" spans="2:3" ht="18.75" x14ac:dyDescent="0.3">
      <c r="B411" s="18"/>
      <c r="C411" s="19"/>
    </row>
    <row r="412" spans="2:3" ht="18.75" x14ac:dyDescent="0.3">
      <c r="B412" s="18"/>
      <c r="C412" s="19"/>
    </row>
    <row r="413" spans="2:3" ht="18.75" x14ac:dyDescent="0.3">
      <c r="B413" s="18"/>
      <c r="C413" s="19"/>
    </row>
    <row r="414" spans="2:3" ht="18.75" x14ac:dyDescent="0.3">
      <c r="B414" s="18"/>
      <c r="C414" s="19"/>
    </row>
    <row r="415" spans="2:3" ht="18.75" x14ac:dyDescent="0.3">
      <c r="B415" s="18" t="s">
        <v>260</v>
      </c>
      <c r="C415" s="19">
        <v>15000</v>
      </c>
    </row>
    <row r="416" spans="2:3" ht="18.75" x14ac:dyDescent="0.3">
      <c r="B416" s="18" t="s">
        <v>221</v>
      </c>
      <c r="C416" s="19">
        <v>8176</v>
      </c>
    </row>
    <row r="417" spans="2:3" ht="18.75" x14ac:dyDescent="0.3">
      <c r="B417" s="18" t="s">
        <v>222</v>
      </c>
      <c r="C417" s="19">
        <v>49158.82</v>
      </c>
    </row>
    <row r="418" spans="2:3" ht="18.75" x14ac:dyDescent="0.3">
      <c r="B418" s="18" t="s">
        <v>227</v>
      </c>
      <c r="C418" s="19">
        <v>33329</v>
      </c>
    </row>
    <row r="419" spans="2:3" ht="18.75" x14ac:dyDescent="0.3">
      <c r="B419" s="18" t="s">
        <v>274</v>
      </c>
      <c r="C419" s="19">
        <v>11778</v>
      </c>
    </row>
    <row r="420" spans="2:3" ht="18.75" x14ac:dyDescent="0.3">
      <c r="B420" s="20"/>
      <c r="C420" s="20"/>
    </row>
    <row r="421" spans="2:3" ht="18.75" x14ac:dyDescent="0.3">
      <c r="B421" s="18" t="s">
        <v>211</v>
      </c>
      <c r="C421" s="19">
        <f>SUM(C409:C420)</f>
        <v>184638.22</v>
      </c>
    </row>
    <row r="422" spans="2:3" ht="18.75" x14ac:dyDescent="0.3">
      <c r="B422" s="21"/>
      <c r="C422" s="24"/>
    </row>
    <row r="423" spans="2:3" ht="26.25" x14ac:dyDescent="0.4">
      <c r="B423" s="22" t="s">
        <v>212</v>
      </c>
      <c r="C423" s="23">
        <f>C406-C421</f>
        <v>319379.2774203748</v>
      </c>
    </row>
    <row r="432" spans="2:3" ht="26.25" x14ac:dyDescent="0.4">
      <c r="B432" s="63" t="s">
        <v>314</v>
      </c>
      <c r="C432" s="63"/>
    </row>
    <row r="435" spans="2:3" ht="18.75" x14ac:dyDescent="0.3">
      <c r="B435" s="62" t="s">
        <v>198</v>
      </c>
      <c r="C435" s="62"/>
    </row>
    <row r="436" spans="2:3" ht="18.75" x14ac:dyDescent="0.3">
      <c r="B436" s="18" t="s">
        <v>199</v>
      </c>
      <c r="C436" s="19">
        <v>1935552.04</v>
      </c>
    </row>
    <row r="437" spans="2:3" ht="18.75" x14ac:dyDescent="0.3">
      <c r="B437" s="18" t="s">
        <v>200</v>
      </c>
      <c r="C437" s="19">
        <v>0</v>
      </c>
    </row>
    <row r="438" spans="2:3" ht="18.75" x14ac:dyDescent="0.3">
      <c r="B438" s="18" t="s">
        <v>201</v>
      </c>
      <c r="C438" s="19">
        <f>C436-C437</f>
        <v>1935552.04</v>
      </c>
    </row>
    <row r="439" spans="2:3" ht="18.75" x14ac:dyDescent="0.3">
      <c r="B439" s="20"/>
      <c r="C439" s="20"/>
    </row>
    <row r="440" spans="2:3" ht="18.75" x14ac:dyDescent="0.3">
      <c r="B440" s="62" t="s">
        <v>202</v>
      </c>
      <c r="C440" s="62"/>
    </row>
    <row r="441" spans="2:3" ht="18.75" x14ac:dyDescent="0.3">
      <c r="B441" s="18" t="s">
        <v>203</v>
      </c>
      <c r="C441" s="19">
        <v>1653282.25</v>
      </c>
    </row>
    <row r="442" spans="2:3" ht="18.75" x14ac:dyDescent="0.3">
      <c r="B442" s="21"/>
      <c r="C442" s="20"/>
    </row>
    <row r="443" spans="2:3" ht="18.75" x14ac:dyDescent="0.3">
      <c r="B443" s="18" t="s">
        <v>204</v>
      </c>
      <c r="C443" s="19">
        <f>C438-C441</f>
        <v>282269.79000000004</v>
      </c>
    </row>
    <row r="444" spans="2:3" ht="18.75" x14ac:dyDescent="0.3">
      <c r="B444" s="20"/>
      <c r="C444" s="20"/>
    </row>
    <row r="445" spans="2:3" ht="18.75" x14ac:dyDescent="0.3">
      <c r="B445" s="62" t="s">
        <v>205</v>
      </c>
      <c r="C445" s="62"/>
    </row>
    <row r="446" spans="2:3" ht="18.75" x14ac:dyDescent="0.3">
      <c r="B446" s="18" t="s">
        <v>206</v>
      </c>
      <c r="C446" s="25">
        <v>60843</v>
      </c>
    </row>
    <row r="447" spans="2:3" ht="18.75" x14ac:dyDescent="0.3">
      <c r="B447" s="18"/>
      <c r="C447" s="19"/>
    </row>
    <row r="448" spans="2:3" ht="18.75" x14ac:dyDescent="0.3">
      <c r="B448" s="18"/>
      <c r="C448" s="19"/>
    </row>
    <row r="449" spans="2:3" ht="18.75" x14ac:dyDescent="0.3">
      <c r="B449" s="18"/>
      <c r="C449" s="19"/>
    </row>
    <row r="450" spans="2:3" ht="18.75" x14ac:dyDescent="0.3">
      <c r="B450" s="18"/>
      <c r="C450" s="19"/>
    </row>
    <row r="451" spans="2:3" ht="18.75" x14ac:dyDescent="0.3">
      <c r="B451" s="18"/>
      <c r="C451" s="19"/>
    </row>
    <row r="452" spans="2:3" ht="18.75" x14ac:dyDescent="0.3">
      <c r="B452" s="18" t="s">
        <v>260</v>
      </c>
      <c r="C452" s="19">
        <v>0</v>
      </c>
    </row>
    <row r="453" spans="2:3" ht="18.75" x14ac:dyDescent="0.3">
      <c r="B453" s="18" t="s">
        <v>221</v>
      </c>
      <c r="C453" s="19">
        <v>0</v>
      </c>
    </row>
    <row r="454" spans="2:3" ht="18.75" x14ac:dyDescent="0.3">
      <c r="B454" s="18" t="s">
        <v>222</v>
      </c>
      <c r="C454" s="19">
        <v>16795</v>
      </c>
    </row>
    <row r="455" spans="2:3" ht="18.75" x14ac:dyDescent="0.3">
      <c r="B455" s="18" t="s">
        <v>227</v>
      </c>
      <c r="C455" s="19">
        <v>38602</v>
      </c>
    </row>
    <row r="456" spans="2:3" ht="18.75" x14ac:dyDescent="0.3">
      <c r="B456" s="18" t="s">
        <v>274</v>
      </c>
      <c r="C456" s="19">
        <v>11653</v>
      </c>
    </row>
    <row r="457" spans="2:3" ht="18.75" x14ac:dyDescent="0.3">
      <c r="B457" s="20"/>
      <c r="C457" s="20"/>
    </row>
    <row r="458" spans="2:3" ht="18.75" x14ac:dyDescent="0.3">
      <c r="B458" s="18" t="s">
        <v>211</v>
      </c>
      <c r="C458" s="19">
        <f>SUM(C446:C457)</f>
        <v>127893</v>
      </c>
    </row>
    <row r="459" spans="2:3" ht="18.75" x14ac:dyDescent="0.3">
      <c r="B459" s="21"/>
      <c r="C459" s="24"/>
    </row>
    <row r="460" spans="2:3" ht="26.25" x14ac:dyDescent="0.4">
      <c r="B460" s="22" t="s">
        <v>212</v>
      </c>
      <c r="C460" s="23">
        <f>C443-C458</f>
        <v>154376.79000000004</v>
      </c>
    </row>
    <row r="470" spans="2:3" ht="26.25" x14ac:dyDescent="0.4">
      <c r="B470" s="63" t="s">
        <v>321</v>
      </c>
      <c r="C470" s="63"/>
    </row>
    <row r="473" spans="2:3" ht="18.75" x14ac:dyDescent="0.3">
      <c r="B473" s="62" t="s">
        <v>198</v>
      </c>
      <c r="C473" s="62"/>
    </row>
    <row r="474" spans="2:3" ht="18.75" x14ac:dyDescent="0.3">
      <c r="B474" s="18" t="s">
        <v>199</v>
      </c>
      <c r="C474" s="19">
        <v>2382375</v>
      </c>
    </row>
    <row r="475" spans="2:3" ht="18.75" x14ac:dyDescent="0.3">
      <c r="B475" s="18" t="s">
        <v>200</v>
      </c>
      <c r="C475" s="19">
        <v>0</v>
      </c>
    </row>
    <row r="476" spans="2:3" ht="18.75" x14ac:dyDescent="0.3">
      <c r="B476" s="18" t="s">
        <v>201</v>
      </c>
      <c r="C476" s="19">
        <f>C474-C475</f>
        <v>2382375</v>
      </c>
    </row>
    <row r="477" spans="2:3" ht="18.75" x14ac:dyDescent="0.3">
      <c r="B477" s="20"/>
      <c r="C477" s="20"/>
    </row>
    <row r="478" spans="2:3" ht="18.75" x14ac:dyDescent="0.3">
      <c r="B478" s="62" t="s">
        <v>202</v>
      </c>
      <c r="C478" s="62"/>
    </row>
    <row r="479" spans="2:3" ht="18.75" x14ac:dyDescent="0.3">
      <c r="B479" s="18" t="s">
        <v>203</v>
      </c>
      <c r="C479" s="19">
        <v>1915185.75</v>
      </c>
    </row>
    <row r="480" spans="2:3" ht="18.75" x14ac:dyDescent="0.3">
      <c r="B480" s="21"/>
      <c r="C480" s="20"/>
    </row>
    <row r="481" spans="2:3" ht="18.75" x14ac:dyDescent="0.3">
      <c r="B481" s="18" t="s">
        <v>204</v>
      </c>
      <c r="C481" s="19">
        <f>C476-C479</f>
        <v>467189.25</v>
      </c>
    </row>
    <row r="482" spans="2:3" ht="18.75" x14ac:dyDescent="0.3">
      <c r="B482" s="20"/>
      <c r="C482" s="20"/>
    </row>
    <row r="483" spans="2:3" ht="18.75" x14ac:dyDescent="0.3">
      <c r="B483" s="62" t="s">
        <v>205</v>
      </c>
      <c r="C483" s="62"/>
    </row>
    <row r="484" spans="2:3" ht="18.75" x14ac:dyDescent="0.3">
      <c r="B484" s="18" t="s">
        <v>206</v>
      </c>
      <c r="C484" s="25">
        <v>97746</v>
      </c>
    </row>
    <row r="485" spans="2:3" ht="18.75" x14ac:dyDescent="0.3">
      <c r="B485" s="18"/>
      <c r="C485" s="19"/>
    </row>
    <row r="486" spans="2:3" ht="18.75" x14ac:dyDescent="0.3">
      <c r="B486" s="18"/>
      <c r="C486" s="19"/>
    </row>
    <row r="487" spans="2:3" ht="18.75" x14ac:dyDescent="0.3">
      <c r="B487" s="18"/>
      <c r="C487" s="19"/>
    </row>
    <row r="488" spans="2:3" ht="18.75" x14ac:dyDescent="0.3">
      <c r="B488" s="18"/>
      <c r="C488" s="19"/>
    </row>
    <row r="489" spans="2:3" ht="18.75" x14ac:dyDescent="0.3">
      <c r="B489" s="18"/>
      <c r="C489" s="19"/>
    </row>
    <row r="490" spans="2:3" ht="18.75" x14ac:dyDescent="0.3">
      <c r="B490" s="18" t="s">
        <v>260</v>
      </c>
      <c r="C490" s="19">
        <v>17005.5</v>
      </c>
    </row>
    <row r="491" spans="2:3" ht="18.75" x14ac:dyDescent="0.3">
      <c r="B491" s="18" t="s">
        <v>221</v>
      </c>
      <c r="C491" s="19">
        <v>0</v>
      </c>
    </row>
    <row r="492" spans="2:3" ht="18.75" x14ac:dyDescent="0.3">
      <c r="B492" s="18" t="s">
        <v>222</v>
      </c>
      <c r="C492" s="19">
        <v>55988.52</v>
      </c>
    </row>
    <row r="493" spans="2:3" ht="18.75" x14ac:dyDescent="0.3">
      <c r="B493" s="18" t="s">
        <v>227</v>
      </c>
      <c r="C493" s="19">
        <v>15442</v>
      </c>
    </row>
    <row r="494" spans="2:3" ht="18.75" x14ac:dyDescent="0.3">
      <c r="B494" s="18" t="s">
        <v>274</v>
      </c>
      <c r="C494" s="19">
        <v>29979</v>
      </c>
    </row>
    <row r="495" spans="2:3" ht="18.75" x14ac:dyDescent="0.3">
      <c r="B495" s="20"/>
      <c r="C495" s="20"/>
    </row>
    <row r="496" spans="2:3" ht="18.75" x14ac:dyDescent="0.3">
      <c r="B496" s="18" t="s">
        <v>211</v>
      </c>
      <c r="C496" s="19">
        <f>SUM(C484:C495)</f>
        <v>216161.02</v>
      </c>
    </row>
    <row r="497" spans="2:3" ht="18.75" x14ac:dyDescent="0.3">
      <c r="B497" s="21"/>
      <c r="C497" s="24"/>
    </row>
    <row r="498" spans="2:3" ht="26.25" x14ac:dyDescent="0.4">
      <c r="B498" s="22" t="s">
        <v>212</v>
      </c>
      <c r="C498" s="23">
        <f>C481-C496</f>
        <v>251028.23</v>
      </c>
    </row>
    <row r="510" spans="2:3" ht="26.25" x14ac:dyDescent="0.4">
      <c r="B510" s="63" t="s">
        <v>328</v>
      </c>
      <c r="C510" s="63"/>
    </row>
    <row r="513" spans="2:3" ht="18.75" x14ac:dyDescent="0.3">
      <c r="B513" s="62" t="s">
        <v>198</v>
      </c>
      <c r="C513" s="62"/>
    </row>
    <row r="514" spans="2:3" ht="18.75" x14ac:dyDescent="0.3">
      <c r="B514" s="18" t="s">
        <v>199</v>
      </c>
      <c r="C514" s="19">
        <v>3095550.9600000004</v>
      </c>
    </row>
    <row r="515" spans="2:3" ht="18.75" x14ac:dyDescent="0.3">
      <c r="B515" s="18" t="s">
        <v>200</v>
      </c>
      <c r="C515" s="19">
        <v>0</v>
      </c>
    </row>
    <row r="516" spans="2:3" ht="18.75" x14ac:dyDescent="0.3">
      <c r="B516" s="18" t="s">
        <v>201</v>
      </c>
      <c r="C516" s="19">
        <f>C514-C515</f>
        <v>3095550.9600000004</v>
      </c>
    </row>
    <row r="517" spans="2:3" ht="18.75" x14ac:dyDescent="0.3">
      <c r="B517" s="20"/>
      <c r="C517" s="20"/>
    </row>
    <row r="518" spans="2:3" ht="18.75" x14ac:dyDescent="0.3">
      <c r="B518" s="62" t="s">
        <v>202</v>
      </c>
      <c r="C518" s="62"/>
    </row>
    <row r="519" spans="2:3" ht="18.75" x14ac:dyDescent="0.3">
      <c r="B519" s="18" t="s">
        <v>203</v>
      </c>
      <c r="C519" s="19">
        <v>2582306.9853687249</v>
      </c>
    </row>
    <row r="520" spans="2:3" ht="18.75" x14ac:dyDescent="0.3">
      <c r="B520" s="21"/>
      <c r="C520" s="20"/>
    </row>
    <row r="521" spans="2:3" ht="18.75" x14ac:dyDescent="0.3">
      <c r="B521" s="18" t="s">
        <v>204</v>
      </c>
      <c r="C521" s="19">
        <f>C516-C519</f>
        <v>513243.97463127552</v>
      </c>
    </row>
    <row r="522" spans="2:3" ht="18.75" x14ac:dyDescent="0.3">
      <c r="B522" s="20"/>
      <c r="C522" s="20"/>
    </row>
    <row r="523" spans="2:3" ht="18.75" x14ac:dyDescent="0.3">
      <c r="B523" s="62" t="s">
        <v>205</v>
      </c>
      <c r="C523" s="62"/>
    </row>
    <row r="524" spans="2:3" ht="18.75" x14ac:dyDescent="0.3">
      <c r="B524" s="18" t="s">
        <v>206</v>
      </c>
      <c r="C524" s="25">
        <v>75491.820000000007</v>
      </c>
    </row>
    <row r="525" spans="2:3" ht="18.75" x14ac:dyDescent="0.3">
      <c r="B525" s="18"/>
      <c r="C525" s="19"/>
    </row>
    <row r="526" spans="2:3" ht="18.75" x14ac:dyDescent="0.3">
      <c r="B526" s="18"/>
      <c r="C526" s="19"/>
    </row>
    <row r="527" spans="2:3" ht="18.75" x14ac:dyDescent="0.3">
      <c r="B527" s="18"/>
      <c r="C527" s="19"/>
    </row>
    <row r="528" spans="2:3" ht="18.75" x14ac:dyDescent="0.3">
      <c r="B528" s="18"/>
      <c r="C528" s="19"/>
    </row>
    <row r="529" spans="2:3" ht="18.75" x14ac:dyDescent="0.3">
      <c r="B529" s="18"/>
      <c r="C529" s="19"/>
    </row>
    <row r="530" spans="2:3" ht="18.75" x14ac:dyDescent="0.3">
      <c r="B530" s="18" t="s">
        <v>260</v>
      </c>
      <c r="C530" s="19">
        <v>0</v>
      </c>
    </row>
    <row r="531" spans="2:3" ht="18.75" x14ac:dyDescent="0.3">
      <c r="B531" s="18" t="s">
        <v>221</v>
      </c>
      <c r="C531" s="19">
        <v>15842.45</v>
      </c>
    </row>
    <row r="532" spans="2:3" ht="18.75" x14ac:dyDescent="0.3">
      <c r="B532" s="18" t="s">
        <v>222</v>
      </c>
      <c r="C532" s="19">
        <v>35487.440000000002</v>
      </c>
    </row>
    <row r="533" spans="2:3" ht="18.75" x14ac:dyDescent="0.3">
      <c r="B533" s="18" t="s">
        <v>227</v>
      </c>
      <c r="C533" s="19">
        <v>19959</v>
      </c>
    </row>
    <row r="534" spans="2:3" ht="18.75" x14ac:dyDescent="0.3">
      <c r="B534" s="18" t="s">
        <v>274</v>
      </c>
      <c r="C534" s="19">
        <v>23475.57</v>
      </c>
    </row>
    <row r="535" spans="2:3" ht="18.75" x14ac:dyDescent="0.3">
      <c r="B535" s="20"/>
      <c r="C535" s="20"/>
    </row>
    <row r="536" spans="2:3" ht="18.75" x14ac:dyDescent="0.3">
      <c r="B536" s="18" t="s">
        <v>211</v>
      </c>
      <c r="C536" s="19">
        <f>SUM(C524:C535)</f>
        <v>170256.28000000003</v>
      </c>
    </row>
    <row r="537" spans="2:3" ht="18.75" x14ac:dyDescent="0.3">
      <c r="B537" s="21"/>
      <c r="C537" s="24"/>
    </row>
    <row r="538" spans="2:3" ht="26.25" x14ac:dyDescent="0.4">
      <c r="B538" s="22" t="s">
        <v>212</v>
      </c>
      <c r="C538" s="23">
        <f>C521-C536</f>
        <v>342987.69463127549</v>
      </c>
    </row>
    <row r="552" spans="2:3" ht="26.25" x14ac:dyDescent="0.4">
      <c r="B552" s="63" t="s">
        <v>363</v>
      </c>
      <c r="C552" s="63"/>
    </row>
    <row r="555" spans="2:3" ht="18.75" x14ac:dyDescent="0.3">
      <c r="B555" s="62" t="s">
        <v>198</v>
      </c>
      <c r="C555" s="62"/>
    </row>
    <row r="556" spans="2:3" ht="18.75" x14ac:dyDescent="0.3">
      <c r="B556" s="18" t="s">
        <v>199</v>
      </c>
      <c r="C556" s="19">
        <v>1915429.34</v>
      </c>
    </row>
    <row r="557" spans="2:3" ht="18.75" x14ac:dyDescent="0.3">
      <c r="B557" s="18" t="s">
        <v>200</v>
      </c>
      <c r="C557" s="19">
        <v>0</v>
      </c>
    </row>
    <row r="558" spans="2:3" ht="18.75" x14ac:dyDescent="0.3">
      <c r="B558" s="18" t="s">
        <v>201</v>
      </c>
      <c r="C558" s="19">
        <f>C556-C557</f>
        <v>1915429.34</v>
      </c>
    </row>
    <row r="559" spans="2:3" ht="18.75" x14ac:dyDescent="0.3">
      <c r="B559" s="20"/>
      <c r="C559" s="20"/>
    </row>
    <row r="560" spans="2:3" ht="18.75" x14ac:dyDescent="0.3">
      <c r="B560" s="62" t="s">
        <v>202</v>
      </c>
      <c r="C560" s="62"/>
    </row>
    <row r="561" spans="2:3" ht="18.75" x14ac:dyDescent="0.3">
      <c r="B561" s="18" t="s">
        <v>203</v>
      </c>
      <c r="C561" s="19">
        <v>1545654.22</v>
      </c>
    </row>
    <row r="562" spans="2:3" ht="18.75" x14ac:dyDescent="0.3">
      <c r="B562" s="21"/>
      <c r="C562" s="20"/>
    </row>
    <row r="563" spans="2:3" ht="18.75" x14ac:dyDescent="0.3">
      <c r="B563" s="18" t="s">
        <v>204</v>
      </c>
      <c r="C563" s="19">
        <f>C558-C561</f>
        <v>369775.12000000011</v>
      </c>
    </row>
    <row r="564" spans="2:3" ht="18.75" x14ac:dyDescent="0.3">
      <c r="B564" s="20"/>
      <c r="C564" s="20"/>
    </row>
    <row r="565" spans="2:3" ht="18.75" x14ac:dyDescent="0.3">
      <c r="B565" s="62" t="s">
        <v>205</v>
      </c>
      <c r="C565" s="62"/>
    </row>
    <row r="566" spans="2:3" ht="18.75" x14ac:dyDescent="0.3">
      <c r="B566" s="18" t="s">
        <v>206</v>
      </c>
      <c r="C566" s="19">
        <v>109079.26000000001</v>
      </c>
    </row>
    <row r="567" spans="2:3" ht="18.75" x14ac:dyDescent="0.3">
      <c r="B567" s="18"/>
      <c r="C567" s="19"/>
    </row>
    <row r="568" spans="2:3" ht="18.75" x14ac:dyDescent="0.3">
      <c r="B568" s="18"/>
      <c r="C568" s="19"/>
    </row>
    <row r="569" spans="2:3" ht="18.75" x14ac:dyDescent="0.3">
      <c r="B569" s="18"/>
      <c r="C569" s="19"/>
    </row>
    <row r="570" spans="2:3" ht="18.75" x14ac:dyDescent="0.3">
      <c r="B570" s="18"/>
      <c r="C570" s="19"/>
    </row>
    <row r="571" spans="2:3" ht="18.75" x14ac:dyDescent="0.3">
      <c r="B571" s="18"/>
      <c r="C571" s="19"/>
    </row>
    <row r="572" spans="2:3" ht="18.75" x14ac:dyDescent="0.3">
      <c r="B572" s="18" t="s">
        <v>260</v>
      </c>
      <c r="C572" s="19"/>
    </row>
    <row r="573" spans="2:3" ht="18.75" x14ac:dyDescent="0.3">
      <c r="B573" s="18" t="s">
        <v>221</v>
      </c>
      <c r="C573" s="19">
        <v>29138.079999999998</v>
      </c>
    </row>
    <row r="574" spans="2:3" ht="18.75" x14ac:dyDescent="0.3">
      <c r="B574" s="18" t="s">
        <v>222</v>
      </c>
      <c r="C574" s="19">
        <v>45245.64</v>
      </c>
    </row>
    <row r="575" spans="2:3" ht="18.75" x14ac:dyDescent="0.3">
      <c r="B575" s="18" t="s">
        <v>227</v>
      </c>
      <c r="C575" s="19"/>
    </row>
    <row r="576" spans="2:3" ht="18.75" x14ac:dyDescent="0.3">
      <c r="B576" s="18" t="s">
        <v>364</v>
      </c>
      <c r="C576" s="19">
        <v>9846.7999999999993</v>
      </c>
    </row>
    <row r="577" spans="2:3" ht="18.75" x14ac:dyDescent="0.3">
      <c r="B577" s="20"/>
      <c r="C577" s="20"/>
    </row>
    <row r="578" spans="2:3" ht="18.75" x14ac:dyDescent="0.3">
      <c r="B578" s="18" t="s">
        <v>211</v>
      </c>
      <c r="C578" s="19">
        <f>SUM(C566:C577)</f>
        <v>193309.77999999997</v>
      </c>
    </row>
    <row r="579" spans="2:3" ht="18.75" x14ac:dyDescent="0.3">
      <c r="B579" s="21"/>
      <c r="C579" s="24"/>
    </row>
    <row r="580" spans="2:3" ht="26.25" x14ac:dyDescent="0.4">
      <c r="B580" s="22" t="s">
        <v>212</v>
      </c>
      <c r="C580" s="23">
        <f>C563-C578</f>
        <v>176465.34000000014</v>
      </c>
    </row>
  </sheetData>
  <mergeCells count="72">
    <mergeCell ref="B552:C552"/>
    <mergeCell ref="B555:C555"/>
    <mergeCell ref="B560:C560"/>
    <mergeCell ref="B565:C565"/>
    <mergeCell ref="B510:C510"/>
    <mergeCell ref="B513:C513"/>
    <mergeCell ref="B518:C518"/>
    <mergeCell ref="B523:C523"/>
    <mergeCell ref="B470:C470"/>
    <mergeCell ref="B473:C473"/>
    <mergeCell ref="B478:C478"/>
    <mergeCell ref="B483:C483"/>
    <mergeCell ref="B432:C432"/>
    <mergeCell ref="B435:C435"/>
    <mergeCell ref="B440:C440"/>
    <mergeCell ref="B445:C445"/>
    <mergeCell ref="B395:C395"/>
    <mergeCell ref="B398:C398"/>
    <mergeCell ref="B403:C403"/>
    <mergeCell ref="B408:C408"/>
    <mergeCell ref="B367:C367"/>
    <mergeCell ref="B372:C372"/>
    <mergeCell ref="B336:C336"/>
    <mergeCell ref="B254:C254"/>
    <mergeCell ref="B259:C259"/>
    <mergeCell ref="B283:C283"/>
    <mergeCell ref="B359:C359"/>
    <mergeCell ref="B291:C291"/>
    <mergeCell ref="B296:C296"/>
    <mergeCell ref="B323:C323"/>
    <mergeCell ref="B326:C326"/>
    <mergeCell ref="B331:C331"/>
    <mergeCell ref="B362:C362"/>
    <mergeCell ref="B286:C286"/>
    <mergeCell ref="B126:C126"/>
    <mergeCell ref="B228:C228"/>
    <mergeCell ref="B151:C151"/>
    <mergeCell ref="B154:C154"/>
    <mergeCell ref="B159:C159"/>
    <mergeCell ref="B164:C164"/>
    <mergeCell ref="B185:C185"/>
    <mergeCell ref="B188:C188"/>
    <mergeCell ref="B193:C193"/>
    <mergeCell ref="B198:C198"/>
    <mergeCell ref="B215:C215"/>
    <mergeCell ref="B218:C218"/>
    <mergeCell ref="B223:C223"/>
    <mergeCell ref="B246:C246"/>
    <mergeCell ref="B249:C249"/>
    <mergeCell ref="B14:C14"/>
    <mergeCell ref="H14:I14"/>
    <mergeCell ref="B29:C29"/>
    <mergeCell ref="B32:C32"/>
    <mergeCell ref="B37:C37"/>
    <mergeCell ref="B42:C42"/>
    <mergeCell ref="B131:C131"/>
    <mergeCell ref="B58:C58"/>
    <mergeCell ref="B61:C61"/>
    <mergeCell ref="B66:C66"/>
    <mergeCell ref="B71:C71"/>
    <mergeCell ref="B89:C89"/>
    <mergeCell ref="B92:C92"/>
    <mergeCell ref="B97:C97"/>
    <mergeCell ref="B102:C102"/>
    <mergeCell ref="B118:C118"/>
    <mergeCell ref="B121:C121"/>
    <mergeCell ref="B2:C2"/>
    <mergeCell ref="H2:I2"/>
    <mergeCell ref="B4:C4"/>
    <mergeCell ref="H4:I4"/>
    <mergeCell ref="B9:C9"/>
    <mergeCell ref="H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667E-4F6E-4908-806D-DE0D09279D72}">
  <sheetPr codeName="Sheet3"/>
  <dimension ref="A2:F272"/>
  <sheetViews>
    <sheetView topLeftCell="A254" workbookViewId="0">
      <selection activeCell="D264" sqref="D264"/>
    </sheetView>
  </sheetViews>
  <sheetFormatPr defaultRowHeight="15" x14ac:dyDescent="0.25"/>
  <cols>
    <col min="1" max="1" width="20.42578125" customWidth="1"/>
    <col min="2" max="2" width="32.42578125" customWidth="1"/>
    <col min="3" max="3" width="35.5703125" customWidth="1"/>
    <col min="4" max="4" width="34.28515625" customWidth="1"/>
    <col min="5" max="5" width="33" customWidth="1"/>
    <col min="6" max="6" width="29.7109375" customWidth="1"/>
  </cols>
  <sheetData>
    <row r="2" spans="1:4" ht="26.25" x14ac:dyDescent="0.4">
      <c r="B2" s="22" t="s">
        <v>212</v>
      </c>
      <c r="C2" s="44">
        <v>385280.58</v>
      </c>
    </row>
    <row r="3" spans="1:4" ht="26.25" x14ac:dyDescent="0.4">
      <c r="B3" s="22" t="s">
        <v>275</v>
      </c>
      <c r="C3" s="44">
        <f>C2*0.05</f>
        <v>19264.029000000002</v>
      </c>
    </row>
    <row r="4" spans="1:4" ht="26.25" x14ac:dyDescent="0.4">
      <c r="B4" s="45"/>
      <c r="C4" s="46"/>
    </row>
    <row r="5" spans="1:4" ht="26.25" x14ac:dyDescent="0.4">
      <c r="B5" s="45" t="s">
        <v>276</v>
      </c>
      <c r="C5" s="46">
        <f>C2-C3</f>
        <v>366016.55100000004</v>
      </c>
    </row>
    <row r="6" spans="1:4" x14ac:dyDescent="0.25">
      <c r="A6" t="s">
        <v>277</v>
      </c>
      <c r="B6" t="s">
        <v>278</v>
      </c>
      <c r="C6" s="47">
        <f>C5*0.4</f>
        <v>146406.62040000001</v>
      </c>
    </row>
    <row r="7" spans="1:4" x14ac:dyDescent="0.25">
      <c r="A7" t="s">
        <v>279</v>
      </c>
      <c r="B7" t="s">
        <v>280</v>
      </c>
      <c r="C7" s="47">
        <f>C5-C6</f>
        <v>219609.93060000002</v>
      </c>
    </row>
    <row r="8" spans="1:4" x14ac:dyDescent="0.25">
      <c r="C8" s="47"/>
    </row>
    <row r="9" spans="1:4" x14ac:dyDescent="0.25">
      <c r="B9" t="s">
        <v>290</v>
      </c>
      <c r="C9" s="47">
        <f>C7*40%</f>
        <v>87843.972240000017</v>
      </c>
    </row>
    <row r="10" spans="1:4" x14ac:dyDescent="0.25">
      <c r="B10" t="s">
        <v>291</v>
      </c>
      <c r="C10" s="47">
        <f>C7*30%</f>
        <v>65882.979180000009</v>
      </c>
      <c r="D10" s="47"/>
    </row>
    <row r="11" spans="1:4" x14ac:dyDescent="0.25">
      <c r="B11" t="s">
        <v>292</v>
      </c>
      <c r="C11" s="47">
        <f>C7*30%</f>
        <v>65882.979180000009</v>
      </c>
      <c r="D11" s="47"/>
    </row>
    <row r="12" spans="1:4" x14ac:dyDescent="0.25">
      <c r="C12" s="47"/>
    </row>
    <row r="13" spans="1:4" x14ac:dyDescent="0.25">
      <c r="B13" s="48" t="s">
        <v>281</v>
      </c>
      <c r="C13" s="48"/>
    </row>
    <row r="14" spans="1:4" x14ac:dyDescent="0.25">
      <c r="B14" s="49">
        <v>1441013</v>
      </c>
      <c r="C14" s="50"/>
    </row>
    <row r="15" spans="1:4" x14ac:dyDescent="0.25">
      <c r="B15" s="49">
        <v>840365</v>
      </c>
      <c r="C15" s="50"/>
    </row>
    <row r="16" spans="1:4" x14ac:dyDescent="0.25">
      <c r="B16" s="49">
        <v>163942</v>
      </c>
      <c r="C16" s="50"/>
    </row>
    <row r="17" spans="2:6" x14ac:dyDescent="0.25">
      <c r="B17" s="50">
        <f>SUM(B14:B16)</f>
        <v>2445320</v>
      </c>
      <c r="C17" s="51"/>
    </row>
    <row r="18" spans="2:6" x14ac:dyDescent="0.25">
      <c r="C18" s="47"/>
    </row>
    <row r="19" spans="2:6" x14ac:dyDescent="0.25">
      <c r="C19" s="47"/>
    </row>
    <row r="20" spans="2:6" x14ac:dyDescent="0.25">
      <c r="B20" s="48" t="s">
        <v>282</v>
      </c>
      <c r="C20" s="48" t="s">
        <v>283</v>
      </c>
      <c r="D20" s="48" t="s">
        <v>284</v>
      </c>
      <c r="E20" s="48" t="s">
        <v>285</v>
      </c>
    </row>
    <row r="21" spans="2:6" x14ac:dyDescent="0.25">
      <c r="B21" s="52" t="s">
        <v>165</v>
      </c>
      <c r="C21" s="49">
        <v>1441013</v>
      </c>
      <c r="D21" s="52" t="s">
        <v>293</v>
      </c>
      <c r="E21" s="52" t="s">
        <v>296</v>
      </c>
      <c r="F21" s="48"/>
    </row>
    <row r="22" spans="2:6" x14ac:dyDescent="0.25">
      <c r="B22" s="52" t="s">
        <v>286</v>
      </c>
      <c r="C22" s="49">
        <v>840365</v>
      </c>
      <c r="D22" s="52" t="s">
        <v>294</v>
      </c>
      <c r="E22" s="52" t="s">
        <v>297</v>
      </c>
      <c r="F22" s="48"/>
    </row>
    <row r="23" spans="2:6" x14ac:dyDescent="0.25">
      <c r="B23" s="52" t="s">
        <v>169</v>
      </c>
      <c r="C23" s="49">
        <v>163942</v>
      </c>
      <c r="D23" s="52" t="s">
        <v>295</v>
      </c>
      <c r="E23" s="52" t="s">
        <v>298</v>
      </c>
      <c r="F23" s="48"/>
    </row>
    <row r="24" spans="2:6" x14ac:dyDescent="0.25">
      <c r="C24" s="47"/>
      <c r="E24" s="52"/>
      <c r="F24" s="50"/>
    </row>
    <row r="25" spans="2:6" x14ac:dyDescent="0.25">
      <c r="C25" s="47"/>
      <c r="E25" s="53"/>
      <c r="F25" s="51"/>
    </row>
    <row r="26" spans="2:6" x14ac:dyDescent="0.25">
      <c r="C26" s="47"/>
      <c r="D26" s="53" t="s">
        <v>287</v>
      </c>
      <c r="E26" s="53" t="s">
        <v>299</v>
      </c>
      <c r="F26" s="54">
        <v>174106.75</v>
      </c>
    </row>
    <row r="27" spans="2:6" x14ac:dyDescent="0.25">
      <c r="C27" s="47"/>
      <c r="D27" s="53" t="s">
        <v>286</v>
      </c>
      <c r="E27" s="53" t="s">
        <v>300</v>
      </c>
      <c r="F27" s="54">
        <v>116188.29</v>
      </c>
    </row>
    <row r="28" spans="2:6" x14ac:dyDescent="0.25">
      <c r="C28" s="47"/>
      <c r="D28" s="53" t="s">
        <v>169</v>
      </c>
      <c r="E28" s="53" t="s">
        <v>300</v>
      </c>
      <c r="F28" s="54">
        <v>75692.22</v>
      </c>
    </row>
    <row r="29" spans="2:6" x14ac:dyDescent="0.25">
      <c r="C29" s="47"/>
    </row>
    <row r="30" spans="2:6" x14ac:dyDescent="0.25">
      <c r="B30" s="55" t="s">
        <v>288</v>
      </c>
      <c r="C30" s="47"/>
    </row>
    <row r="31" spans="2:6" x14ac:dyDescent="0.25">
      <c r="C31" s="47"/>
    </row>
    <row r="32" spans="2:6" x14ac:dyDescent="0.25">
      <c r="B32" t="s">
        <v>289</v>
      </c>
      <c r="C32" s="47"/>
    </row>
    <row r="39" spans="1:4" ht="26.25" x14ac:dyDescent="0.4">
      <c r="B39" s="22" t="s">
        <v>212</v>
      </c>
      <c r="C39" s="44">
        <v>385280.58</v>
      </c>
    </row>
    <row r="40" spans="1:4" ht="26.25" x14ac:dyDescent="0.4">
      <c r="B40" s="22" t="s">
        <v>275</v>
      </c>
      <c r="C40" s="44">
        <f>C39*0.05</f>
        <v>19264.029000000002</v>
      </c>
    </row>
    <row r="41" spans="1:4" ht="26.25" x14ac:dyDescent="0.4">
      <c r="B41" s="45"/>
      <c r="C41" s="46"/>
    </row>
    <row r="42" spans="1:4" ht="26.25" x14ac:dyDescent="0.4">
      <c r="B42" s="45" t="s">
        <v>276</v>
      </c>
      <c r="C42" s="46">
        <f>C39-C40</f>
        <v>366016.55100000004</v>
      </c>
    </row>
    <row r="43" spans="1:4" x14ac:dyDescent="0.25">
      <c r="A43" t="s">
        <v>277</v>
      </c>
      <c r="B43" t="s">
        <v>278</v>
      </c>
      <c r="C43" s="47">
        <f>C42*0.4</f>
        <v>146406.62040000001</v>
      </c>
    </row>
    <row r="44" spans="1:4" x14ac:dyDescent="0.25">
      <c r="A44" t="s">
        <v>279</v>
      </c>
      <c r="B44" t="s">
        <v>280</v>
      </c>
      <c r="C44" s="47">
        <f>C42-C43</f>
        <v>219609.93060000002</v>
      </c>
    </row>
    <row r="45" spans="1:4" x14ac:dyDescent="0.25">
      <c r="C45" s="47"/>
    </row>
    <row r="46" spans="1:4" x14ac:dyDescent="0.25">
      <c r="B46" t="s">
        <v>301</v>
      </c>
      <c r="C46" s="47">
        <f>C44/3</f>
        <v>73203.310200000007</v>
      </c>
    </row>
    <row r="47" spans="1:4" x14ac:dyDescent="0.25">
      <c r="C47" s="47"/>
      <c r="D47" s="47"/>
    </row>
    <row r="48" spans="1:4" x14ac:dyDescent="0.25">
      <c r="C48" s="47"/>
      <c r="D48" s="47"/>
    </row>
    <row r="49" spans="2:6" x14ac:dyDescent="0.25">
      <c r="C49" s="47"/>
    </row>
    <row r="50" spans="2:6" x14ac:dyDescent="0.25">
      <c r="B50" s="48" t="s">
        <v>281</v>
      </c>
      <c r="C50" s="48"/>
    </row>
    <row r="51" spans="2:6" x14ac:dyDescent="0.25">
      <c r="B51" s="49">
        <v>1441013</v>
      </c>
      <c r="C51" s="50"/>
    </row>
    <row r="52" spans="2:6" x14ac:dyDescent="0.25">
      <c r="B52" s="49">
        <v>840365</v>
      </c>
      <c r="C52" s="50"/>
    </row>
    <row r="53" spans="2:6" x14ac:dyDescent="0.25">
      <c r="B53" s="49">
        <v>163942</v>
      </c>
      <c r="C53" s="50"/>
    </row>
    <row r="54" spans="2:6" x14ac:dyDescent="0.25">
      <c r="B54" s="50">
        <f>SUM(B51:B53)</f>
        <v>2445320</v>
      </c>
      <c r="C54" s="51"/>
    </row>
    <row r="55" spans="2:6" x14ac:dyDescent="0.25">
      <c r="C55" s="47"/>
    </row>
    <row r="56" spans="2:6" x14ac:dyDescent="0.25">
      <c r="C56" s="47"/>
    </row>
    <row r="57" spans="2:6" x14ac:dyDescent="0.25">
      <c r="B57" s="48" t="s">
        <v>282</v>
      </c>
      <c r="C57" s="48" t="s">
        <v>283</v>
      </c>
      <c r="D57" s="48" t="s">
        <v>284</v>
      </c>
      <c r="E57" s="48" t="s">
        <v>285</v>
      </c>
    </row>
    <row r="58" spans="2:6" x14ac:dyDescent="0.25">
      <c r="B58" s="52" t="s">
        <v>165</v>
      </c>
      <c r="C58" s="49">
        <v>1441013</v>
      </c>
      <c r="D58" s="52" t="s">
        <v>293</v>
      </c>
      <c r="E58" s="52" t="s">
        <v>296</v>
      </c>
      <c r="F58" s="48"/>
    </row>
    <row r="59" spans="2:6" x14ac:dyDescent="0.25">
      <c r="B59" s="52" t="s">
        <v>286</v>
      </c>
      <c r="C59" s="49">
        <v>840365</v>
      </c>
      <c r="D59" s="52" t="s">
        <v>294</v>
      </c>
      <c r="E59" s="52" t="s">
        <v>297</v>
      </c>
      <c r="F59" s="48"/>
    </row>
    <row r="60" spans="2:6" x14ac:dyDescent="0.25">
      <c r="B60" s="52" t="s">
        <v>169</v>
      </c>
      <c r="C60" s="49">
        <v>163942</v>
      </c>
      <c r="D60" s="52" t="s">
        <v>295</v>
      </c>
      <c r="E60" s="52" t="s">
        <v>298</v>
      </c>
      <c r="F60" s="48"/>
    </row>
    <row r="61" spans="2:6" x14ac:dyDescent="0.25">
      <c r="C61" s="47"/>
      <c r="E61" s="52"/>
      <c r="F61" s="50"/>
    </row>
    <row r="62" spans="2:6" x14ac:dyDescent="0.25">
      <c r="C62" s="47"/>
      <c r="E62" s="53"/>
      <c r="F62" s="51"/>
    </row>
    <row r="63" spans="2:6" x14ac:dyDescent="0.25">
      <c r="C63" s="47"/>
      <c r="D63" s="53" t="s">
        <v>287</v>
      </c>
      <c r="E63" s="53" t="s">
        <v>299</v>
      </c>
      <c r="F63" s="54">
        <v>159466.09</v>
      </c>
    </row>
    <row r="64" spans="2:6" x14ac:dyDescent="0.25">
      <c r="C64" s="47"/>
      <c r="D64" s="53" t="s">
        <v>286</v>
      </c>
      <c r="E64" s="53" t="s">
        <v>300</v>
      </c>
      <c r="F64" s="54">
        <v>123508.65</v>
      </c>
    </row>
    <row r="65" spans="2:6" x14ac:dyDescent="0.25">
      <c r="C65" s="47"/>
      <c r="D65" s="53" t="s">
        <v>169</v>
      </c>
      <c r="E65" s="53" t="s">
        <v>300</v>
      </c>
      <c r="F65" s="54">
        <v>83012.55</v>
      </c>
    </row>
    <row r="66" spans="2:6" x14ac:dyDescent="0.25">
      <c r="C66" s="47"/>
    </row>
    <row r="67" spans="2:6" x14ac:dyDescent="0.25">
      <c r="B67" s="55" t="s">
        <v>288</v>
      </c>
      <c r="C67" s="47"/>
    </row>
    <row r="68" spans="2:6" x14ac:dyDescent="0.25">
      <c r="C68" s="47"/>
    </row>
    <row r="69" spans="2:6" x14ac:dyDescent="0.25">
      <c r="B69" t="s">
        <v>289</v>
      </c>
      <c r="C69" s="47"/>
    </row>
    <row r="83" spans="1:4" ht="26.25" x14ac:dyDescent="0.4">
      <c r="B83" s="22" t="s">
        <v>212</v>
      </c>
      <c r="C83" s="44">
        <v>319379.28000000003</v>
      </c>
    </row>
    <row r="84" spans="1:4" ht="26.25" x14ac:dyDescent="0.4">
      <c r="B84" s="22" t="s">
        <v>275</v>
      </c>
      <c r="C84" s="44">
        <f>C83*0.05</f>
        <v>15968.964000000002</v>
      </c>
    </row>
    <row r="85" spans="1:4" ht="26.25" x14ac:dyDescent="0.4">
      <c r="B85" s="45"/>
      <c r="C85" s="46"/>
    </row>
    <row r="86" spans="1:4" ht="26.25" x14ac:dyDescent="0.4">
      <c r="B86" s="45" t="s">
        <v>276</v>
      </c>
      <c r="C86" s="46">
        <f>C83-C84</f>
        <v>303410.31600000005</v>
      </c>
    </row>
    <row r="87" spans="1:4" x14ac:dyDescent="0.25">
      <c r="A87" t="s">
        <v>277</v>
      </c>
      <c r="B87" t="s">
        <v>278</v>
      </c>
      <c r="C87" s="47">
        <f>C86*0.4</f>
        <v>121364.12640000002</v>
      </c>
    </row>
    <row r="88" spans="1:4" x14ac:dyDescent="0.25">
      <c r="A88" t="s">
        <v>279</v>
      </c>
      <c r="B88" t="s">
        <v>280</v>
      </c>
      <c r="C88" s="47">
        <f>C86-C87</f>
        <v>182046.18960000004</v>
      </c>
    </row>
    <row r="89" spans="1:4" x14ac:dyDescent="0.25">
      <c r="C89" s="47"/>
    </row>
    <row r="90" spans="1:4" x14ac:dyDescent="0.25">
      <c r="B90" t="s">
        <v>290</v>
      </c>
      <c r="C90" s="47">
        <f>C88*40%</f>
        <v>72818.475840000014</v>
      </c>
    </row>
    <row r="91" spans="1:4" x14ac:dyDescent="0.25">
      <c r="B91" t="s">
        <v>291</v>
      </c>
      <c r="C91" s="47">
        <f>C88*30%</f>
        <v>54613.856880000014</v>
      </c>
      <c r="D91" s="47"/>
    </row>
    <row r="92" spans="1:4" x14ac:dyDescent="0.25">
      <c r="B92" t="s">
        <v>292</v>
      </c>
      <c r="C92" s="47">
        <f>C88*30%</f>
        <v>54613.856880000014</v>
      </c>
      <c r="D92" s="47"/>
    </row>
    <row r="93" spans="1:4" x14ac:dyDescent="0.25">
      <c r="C93" s="47"/>
    </row>
    <row r="94" spans="1:4" x14ac:dyDescent="0.25">
      <c r="B94" s="48" t="s">
        <v>281</v>
      </c>
      <c r="C94" s="48"/>
    </row>
    <row r="95" spans="1:4" x14ac:dyDescent="0.25">
      <c r="B95" s="49">
        <v>1269227.69</v>
      </c>
      <c r="C95" s="50"/>
    </row>
    <row r="96" spans="1:4" x14ac:dyDescent="0.25">
      <c r="B96" s="49">
        <v>950868</v>
      </c>
      <c r="C96" s="50"/>
    </row>
    <row r="97" spans="2:6" x14ac:dyDescent="0.25">
      <c r="B97" s="49">
        <v>146908</v>
      </c>
      <c r="C97" s="50"/>
    </row>
    <row r="98" spans="2:6" x14ac:dyDescent="0.25">
      <c r="B98" s="50">
        <f>SUM(B95:B97)</f>
        <v>2367003.69</v>
      </c>
      <c r="C98" s="51"/>
    </row>
    <row r="99" spans="2:6" x14ac:dyDescent="0.25">
      <c r="C99" s="47"/>
    </row>
    <row r="100" spans="2:6" x14ac:dyDescent="0.25">
      <c r="C100" s="47"/>
    </row>
    <row r="101" spans="2:6" x14ac:dyDescent="0.25">
      <c r="B101" s="48" t="s">
        <v>282</v>
      </c>
      <c r="C101" s="48" t="s">
        <v>283</v>
      </c>
      <c r="D101" s="48" t="s">
        <v>284</v>
      </c>
      <c r="E101" s="48" t="s">
        <v>285</v>
      </c>
    </row>
    <row r="102" spans="2:6" x14ac:dyDescent="0.25">
      <c r="B102" s="52" t="s">
        <v>165</v>
      </c>
      <c r="C102" s="49">
        <v>1269227.69</v>
      </c>
      <c r="D102" s="52" t="s">
        <v>306</v>
      </c>
      <c r="E102" s="52" t="s">
        <v>309</v>
      </c>
      <c r="F102" s="48"/>
    </row>
    <row r="103" spans="2:6" x14ac:dyDescent="0.25">
      <c r="B103" s="52" t="s">
        <v>286</v>
      </c>
      <c r="C103" s="49">
        <v>950868</v>
      </c>
      <c r="D103" s="52" t="s">
        <v>307</v>
      </c>
      <c r="E103" s="52" t="s">
        <v>310</v>
      </c>
      <c r="F103" s="48"/>
    </row>
    <row r="104" spans="2:6" x14ac:dyDescent="0.25">
      <c r="B104" s="52" t="s">
        <v>169</v>
      </c>
      <c r="C104" s="49">
        <v>146908</v>
      </c>
      <c r="D104" s="52" t="s">
        <v>308</v>
      </c>
      <c r="E104" s="52" t="s">
        <v>311</v>
      </c>
      <c r="F104" s="48"/>
    </row>
    <row r="105" spans="2:6" x14ac:dyDescent="0.25">
      <c r="C105" s="47"/>
      <c r="E105" s="52"/>
      <c r="F105" s="50"/>
    </row>
    <row r="106" spans="2:6" x14ac:dyDescent="0.25">
      <c r="C106" s="47"/>
      <c r="E106" s="53"/>
      <c r="F106" s="51"/>
    </row>
    <row r="107" spans="2:6" x14ac:dyDescent="0.25">
      <c r="C107" s="47"/>
      <c r="D107" s="53" t="s">
        <v>287</v>
      </c>
      <c r="E107" s="53" t="s">
        <v>299</v>
      </c>
      <c r="F107" s="54">
        <v>137895.99</v>
      </c>
    </row>
    <row r="108" spans="2:6" x14ac:dyDescent="0.25">
      <c r="C108" s="47"/>
      <c r="D108" s="53" t="s">
        <v>286</v>
      </c>
      <c r="E108" s="53" t="s">
        <v>300</v>
      </c>
      <c r="F108" s="54">
        <v>103368.02</v>
      </c>
    </row>
    <row r="109" spans="2:6" x14ac:dyDescent="0.25">
      <c r="C109" s="47"/>
      <c r="D109" s="53" t="s">
        <v>169</v>
      </c>
      <c r="E109" s="53" t="s">
        <v>300</v>
      </c>
      <c r="F109" s="54">
        <v>62145.71</v>
      </c>
    </row>
    <row r="110" spans="2:6" x14ac:dyDescent="0.25">
      <c r="C110" s="47"/>
    </row>
    <row r="111" spans="2:6" x14ac:dyDescent="0.25">
      <c r="B111" s="55" t="s">
        <v>288</v>
      </c>
      <c r="C111" s="47"/>
    </row>
    <row r="112" spans="2:6" x14ac:dyDescent="0.25">
      <c r="C112" s="47"/>
    </row>
    <row r="113" spans="1:4" x14ac:dyDescent="0.25">
      <c r="B113" t="s">
        <v>289</v>
      </c>
      <c r="C113" s="47"/>
    </row>
    <row r="120" spans="1:4" ht="26.25" x14ac:dyDescent="0.4">
      <c r="B120" s="22" t="s">
        <v>212</v>
      </c>
      <c r="C120" s="44">
        <v>319379.28000000003</v>
      </c>
    </row>
    <row r="121" spans="1:4" ht="26.25" x14ac:dyDescent="0.4">
      <c r="B121" s="22" t="s">
        <v>275</v>
      </c>
      <c r="C121" s="44">
        <f>C120*0.05</f>
        <v>15968.964000000002</v>
      </c>
    </row>
    <row r="122" spans="1:4" ht="26.25" x14ac:dyDescent="0.4">
      <c r="B122" s="45"/>
      <c r="C122" s="46"/>
    </row>
    <row r="123" spans="1:4" ht="26.25" x14ac:dyDescent="0.4">
      <c r="B123" s="45" t="s">
        <v>276</v>
      </c>
      <c r="C123" s="46">
        <f>C120-C121</f>
        <v>303410.31600000005</v>
      </c>
    </row>
    <row r="124" spans="1:4" x14ac:dyDescent="0.25">
      <c r="A124" t="s">
        <v>277</v>
      </c>
      <c r="B124" t="s">
        <v>278</v>
      </c>
      <c r="C124" s="47">
        <f>C123*0.4</f>
        <v>121364.12640000002</v>
      </c>
    </row>
    <row r="125" spans="1:4" x14ac:dyDescent="0.25">
      <c r="A125" t="s">
        <v>279</v>
      </c>
      <c r="B125" t="s">
        <v>280</v>
      </c>
      <c r="C125" s="47">
        <f>C123-C124</f>
        <v>182046.18960000004</v>
      </c>
    </row>
    <row r="126" spans="1:4" x14ac:dyDescent="0.25">
      <c r="C126" s="47"/>
    </row>
    <row r="127" spans="1:4" x14ac:dyDescent="0.25">
      <c r="B127" t="s">
        <v>303</v>
      </c>
      <c r="C127" s="47">
        <f>C125*45%</f>
        <v>81920.785320000025</v>
      </c>
    </row>
    <row r="128" spans="1:4" x14ac:dyDescent="0.25">
      <c r="B128" t="s">
        <v>304</v>
      </c>
      <c r="C128" s="47">
        <f>C125*27.5%</f>
        <v>50062.702140000016</v>
      </c>
      <c r="D128" s="47"/>
    </row>
    <row r="129" spans="2:6" x14ac:dyDescent="0.25">
      <c r="B129" t="s">
        <v>305</v>
      </c>
      <c r="C129" s="47">
        <f>C125*27.5%</f>
        <v>50062.702140000016</v>
      </c>
      <c r="D129" s="47"/>
    </row>
    <row r="130" spans="2:6" x14ac:dyDescent="0.25">
      <c r="C130" s="47"/>
    </row>
    <row r="131" spans="2:6" x14ac:dyDescent="0.25">
      <c r="B131" s="48" t="s">
        <v>281</v>
      </c>
      <c r="C131" s="48"/>
    </row>
    <row r="132" spans="2:6" x14ac:dyDescent="0.25">
      <c r="B132" s="49">
        <v>1269227.69</v>
      </c>
      <c r="C132" s="50"/>
    </row>
    <row r="133" spans="2:6" x14ac:dyDescent="0.25">
      <c r="B133" s="49">
        <v>950868</v>
      </c>
      <c r="C133" s="50"/>
    </row>
    <row r="134" spans="2:6" x14ac:dyDescent="0.25">
      <c r="B134" s="49">
        <v>146908</v>
      </c>
      <c r="C134" s="50"/>
    </row>
    <row r="135" spans="2:6" x14ac:dyDescent="0.25">
      <c r="B135" s="50">
        <f>SUM(B132:B134)</f>
        <v>2367003.69</v>
      </c>
      <c r="C135" s="51"/>
    </row>
    <row r="136" spans="2:6" x14ac:dyDescent="0.25">
      <c r="C136" s="47"/>
    </row>
    <row r="137" spans="2:6" x14ac:dyDescent="0.25">
      <c r="C137" s="47"/>
    </row>
    <row r="138" spans="2:6" x14ac:dyDescent="0.25">
      <c r="B138" s="48" t="s">
        <v>282</v>
      </c>
      <c r="C138" s="48" t="s">
        <v>283</v>
      </c>
      <c r="D138" s="48" t="s">
        <v>284</v>
      </c>
      <c r="E138" s="48" t="s">
        <v>285</v>
      </c>
    </row>
    <row r="139" spans="2:6" x14ac:dyDescent="0.25">
      <c r="B139" s="52" t="s">
        <v>165</v>
      </c>
      <c r="C139" s="49">
        <v>1269227.69</v>
      </c>
      <c r="D139" s="52" t="s">
        <v>306</v>
      </c>
      <c r="E139" s="52" t="s">
        <v>309</v>
      </c>
      <c r="F139" s="48"/>
    </row>
    <row r="140" spans="2:6" x14ac:dyDescent="0.25">
      <c r="B140" s="52" t="s">
        <v>286</v>
      </c>
      <c r="C140" s="49">
        <v>950868</v>
      </c>
      <c r="D140" s="52" t="s">
        <v>307</v>
      </c>
      <c r="E140" s="52" t="s">
        <v>310</v>
      </c>
      <c r="F140" s="48"/>
    </row>
    <row r="141" spans="2:6" x14ac:dyDescent="0.25">
      <c r="B141" s="52" t="s">
        <v>169</v>
      </c>
      <c r="C141" s="49">
        <v>146908</v>
      </c>
      <c r="D141" s="52" t="s">
        <v>308</v>
      </c>
      <c r="E141" s="52" t="s">
        <v>311</v>
      </c>
      <c r="F141" s="48"/>
    </row>
    <row r="142" spans="2:6" x14ac:dyDescent="0.25">
      <c r="C142" s="47"/>
      <c r="E142" s="52"/>
      <c r="F142" s="50"/>
    </row>
    <row r="143" spans="2:6" ht="12.6" customHeight="1" x14ac:dyDescent="0.25">
      <c r="C143" s="47"/>
      <c r="E143" s="53"/>
      <c r="F143" s="51"/>
    </row>
    <row r="144" spans="2:6" ht="22.15" customHeight="1" x14ac:dyDescent="0.25">
      <c r="C144" s="47"/>
      <c r="D144" s="53" t="s">
        <v>287</v>
      </c>
      <c r="E144" s="53" t="s">
        <v>312</v>
      </c>
      <c r="F144" s="54">
        <v>146998.29999999999</v>
      </c>
    </row>
    <row r="145" spans="2:6" ht="30" x14ac:dyDescent="0.25">
      <c r="C145" s="47"/>
      <c r="D145" s="53" t="s">
        <v>286</v>
      </c>
      <c r="E145" s="53" t="s">
        <v>313</v>
      </c>
      <c r="F145" s="54">
        <v>98816.86</v>
      </c>
    </row>
    <row r="146" spans="2:6" ht="30" x14ac:dyDescent="0.25">
      <c r="C146" s="47"/>
      <c r="D146" s="53" t="s">
        <v>169</v>
      </c>
      <c r="E146" s="53" t="s">
        <v>313</v>
      </c>
      <c r="F146" s="54">
        <v>57594.55</v>
      </c>
    </row>
    <row r="147" spans="2:6" x14ac:dyDescent="0.25">
      <c r="C147" s="47"/>
    </row>
    <row r="148" spans="2:6" x14ac:dyDescent="0.25">
      <c r="B148" s="55" t="s">
        <v>288</v>
      </c>
      <c r="C148" s="47"/>
    </row>
    <row r="149" spans="2:6" x14ac:dyDescent="0.25">
      <c r="C149" s="47"/>
    </row>
    <row r="150" spans="2:6" x14ac:dyDescent="0.25">
      <c r="B150" t="s">
        <v>289</v>
      </c>
      <c r="C150" s="47"/>
    </row>
    <row r="162" spans="1:4" ht="26.25" x14ac:dyDescent="0.4">
      <c r="B162" s="22" t="s">
        <v>212</v>
      </c>
      <c r="C162" s="44">
        <v>154376.79000000004</v>
      </c>
      <c r="D162" s="56">
        <v>46082</v>
      </c>
    </row>
    <row r="163" spans="1:4" ht="26.25" x14ac:dyDescent="0.4">
      <c r="B163" s="22" t="s">
        <v>275</v>
      </c>
      <c r="C163" s="44">
        <f>C162*0.05</f>
        <v>7718.8395000000019</v>
      </c>
    </row>
    <row r="164" spans="1:4" ht="26.25" x14ac:dyDescent="0.4">
      <c r="B164" s="45"/>
      <c r="C164" s="46"/>
    </row>
    <row r="165" spans="1:4" ht="26.25" x14ac:dyDescent="0.4">
      <c r="B165" s="45" t="s">
        <v>276</v>
      </c>
      <c r="C165" s="46">
        <f>C162-C163</f>
        <v>146657.95050000004</v>
      </c>
    </row>
    <row r="166" spans="1:4" x14ac:dyDescent="0.25">
      <c r="A166" t="s">
        <v>277</v>
      </c>
      <c r="B166" t="s">
        <v>278</v>
      </c>
      <c r="C166" s="47">
        <f>C165*0.4</f>
        <v>58663.180200000017</v>
      </c>
    </row>
    <row r="167" spans="1:4" x14ac:dyDescent="0.25">
      <c r="A167" t="s">
        <v>279</v>
      </c>
      <c r="B167" t="s">
        <v>280</v>
      </c>
      <c r="C167" s="47">
        <f>C165-C166</f>
        <v>87994.770300000018</v>
      </c>
    </row>
    <row r="168" spans="1:4" x14ac:dyDescent="0.25">
      <c r="C168" s="47"/>
    </row>
    <row r="169" spans="1:4" x14ac:dyDescent="0.25">
      <c r="B169" t="s">
        <v>290</v>
      </c>
      <c r="C169" s="47">
        <f>C167*40%</f>
        <v>35197.908120000007</v>
      </c>
    </row>
    <row r="170" spans="1:4" x14ac:dyDescent="0.25">
      <c r="B170" t="s">
        <v>291</v>
      </c>
      <c r="C170" s="47">
        <f>C167*30%</f>
        <v>26398.431090000005</v>
      </c>
      <c r="D170" s="47"/>
    </row>
    <row r="171" spans="1:4" x14ac:dyDescent="0.25">
      <c r="B171" t="s">
        <v>292</v>
      </c>
      <c r="C171" s="47">
        <f>C167*30%</f>
        <v>26398.431090000005</v>
      </c>
      <c r="D171" s="47"/>
    </row>
    <row r="172" spans="1:4" x14ac:dyDescent="0.25">
      <c r="C172" s="47"/>
    </row>
    <row r="173" spans="1:4" x14ac:dyDescent="0.25">
      <c r="B173" s="48" t="s">
        <v>281</v>
      </c>
      <c r="C173" s="48"/>
    </row>
    <row r="174" spans="1:4" x14ac:dyDescent="0.25">
      <c r="B174" s="49">
        <v>1470053</v>
      </c>
      <c r="C174" s="50"/>
    </row>
    <row r="175" spans="1:4" x14ac:dyDescent="0.25">
      <c r="B175" s="49">
        <v>941421</v>
      </c>
      <c r="C175" s="50"/>
    </row>
    <row r="176" spans="1:4" x14ac:dyDescent="0.25">
      <c r="B176" s="49">
        <v>197850</v>
      </c>
      <c r="C176" s="50"/>
    </row>
    <row r="177" spans="2:6" x14ac:dyDescent="0.25">
      <c r="B177" s="50">
        <f>SUM(B174:B176)</f>
        <v>2609324</v>
      </c>
      <c r="C177" s="51"/>
    </row>
    <row r="178" spans="2:6" x14ac:dyDescent="0.25">
      <c r="C178" s="47"/>
    </row>
    <row r="179" spans="2:6" x14ac:dyDescent="0.25">
      <c r="C179" s="47"/>
    </row>
    <row r="180" spans="2:6" x14ac:dyDescent="0.25">
      <c r="B180" s="48" t="s">
        <v>282</v>
      </c>
      <c r="C180" s="48" t="s">
        <v>283</v>
      </c>
      <c r="D180" s="48" t="s">
        <v>284</v>
      </c>
      <c r="E180" s="48" t="s">
        <v>285</v>
      </c>
    </row>
    <row r="181" spans="2:6" x14ac:dyDescent="0.25">
      <c r="B181" s="52" t="s">
        <v>165</v>
      </c>
      <c r="C181" s="49">
        <v>1470053</v>
      </c>
      <c r="D181" s="52" t="s">
        <v>315</v>
      </c>
      <c r="E181" s="52" t="s">
        <v>318</v>
      </c>
      <c r="F181" s="48"/>
    </row>
    <row r="182" spans="2:6" x14ac:dyDescent="0.25">
      <c r="B182" s="52" t="s">
        <v>286</v>
      </c>
      <c r="C182" s="49">
        <v>941421</v>
      </c>
      <c r="D182" s="52" t="s">
        <v>316</v>
      </c>
      <c r="E182" s="52" t="s">
        <v>319</v>
      </c>
      <c r="F182" s="48"/>
    </row>
    <row r="183" spans="2:6" x14ac:dyDescent="0.25">
      <c r="B183" s="52" t="s">
        <v>169</v>
      </c>
      <c r="C183" s="49">
        <v>197850</v>
      </c>
      <c r="D183" s="52" t="s">
        <v>317</v>
      </c>
      <c r="E183" s="52" t="s">
        <v>320</v>
      </c>
      <c r="F183" s="48"/>
    </row>
    <row r="184" spans="2:6" x14ac:dyDescent="0.25">
      <c r="C184" s="47"/>
      <c r="E184" s="52"/>
      <c r="F184" s="50"/>
    </row>
    <row r="185" spans="2:6" x14ac:dyDescent="0.25">
      <c r="C185" s="47"/>
      <c r="E185" s="53"/>
      <c r="F185" s="51"/>
    </row>
    <row r="186" spans="2:6" x14ac:dyDescent="0.25">
      <c r="C186" s="47"/>
      <c r="D186" s="53" t="s">
        <v>287</v>
      </c>
      <c r="E186" s="53" t="s">
        <v>299</v>
      </c>
      <c r="F186" s="54">
        <v>68247.570000000007</v>
      </c>
    </row>
    <row r="187" spans="2:6" x14ac:dyDescent="0.25">
      <c r="C187" s="47"/>
      <c r="D187" s="53" t="s">
        <v>286</v>
      </c>
      <c r="E187" s="53" t="s">
        <v>300</v>
      </c>
      <c r="F187" s="54">
        <v>47563.51</v>
      </c>
    </row>
    <row r="188" spans="2:6" x14ac:dyDescent="0.25">
      <c r="C188" s="47"/>
      <c r="D188" s="53" t="s">
        <v>169</v>
      </c>
      <c r="E188" s="53" t="s">
        <v>300</v>
      </c>
      <c r="F188" s="54">
        <v>30846.27</v>
      </c>
    </row>
    <row r="189" spans="2:6" x14ac:dyDescent="0.25">
      <c r="C189" s="47"/>
    </row>
    <row r="190" spans="2:6" x14ac:dyDescent="0.25">
      <c r="B190" s="55" t="s">
        <v>288</v>
      </c>
      <c r="C190" s="47"/>
    </row>
    <row r="191" spans="2:6" x14ac:dyDescent="0.25">
      <c r="C191" s="47"/>
    </row>
    <row r="192" spans="2:6" x14ac:dyDescent="0.25">
      <c r="B192" t="s">
        <v>289</v>
      </c>
      <c r="C192" s="47"/>
    </row>
    <row r="201" spans="1:4" ht="26.25" x14ac:dyDescent="0.4">
      <c r="B201" s="22" t="s">
        <v>212</v>
      </c>
      <c r="C201" s="44">
        <v>251028.23</v>
      </c>
      <c r="D201" s="56">
        <v>46113</v>
      </c>
    </row>
    <row r="202" spans="1:4" ht="26.25" x14ac:dyDescent="0.4">
      <c r="B202" s="22" t="s">
        <v>275</v>
      </c>
      <c r="C202" s="44">
        <f>C201*0.05</f>
        <v>12551.411500000002</v>
      </c>
    </row>
    <row r="203" spans="1:4" ht="26.25" x14ac:dyDescent="0.4">
      <c r="B203" s="45"/>
      <c r="C203" s="46"/>
    </row>
    <row r="204" spans="1:4" ht="26.25" x14ac:dyDescent="0.4">
      <c r="B204" s="45" t="s">
        <v>276</v>
      </c>
      <c r="C204" s="46">
        <f>C201-C202</f>
        <v>238476.81849999999</v>
      </c>
    </row>
    <row r="205" spans="1:4" x14ac:dyDescent="0.25">
      <c r="A205" t="s">
        <v>277</v>
      </c>
      <c r="B205" t="s">
        <v>278</v>
      </c>
      <c r="C205" s="47">
        <f>C204*0.4</f>
        <v>95390.727400000003</v>
      </c>
    </row>
    <row r="206" spans="1:4" x14ac:dyDescent="0.25">
      <c r="A206" t="s">
        <v>279</v>
      </c>
      <c r="B206" t="s">
        <v>280</v>
      </c>
      <c r="C206" s="47">
        <f>C204-C205</f>
        <v>143086.09109999999</v>
      </c>
    </row>
    <row r="207" spans="1:4" x14ac:dyDescent="0.25">
      <c r="C207" s="47"/>
    </row>
    <row r="208" spans="1:4" x14ac:dyDescent="0.25">
      <c r="B208" t="s">
        <v>303</v>
      </c>
      <c r="C208" s="47">
        <f>C206*45%</f>
        <v>64388.740995</v>
      </c>
    </row>
    <row r="209" spans="1:6" x14ac:dyDescent="0.25">
      <c r="B209" t="s">
        <v>304</v>
      </c>
      <c r="C209" s="47">
        <f>C206*27.5%</f>
        <v>39348.675052500002</v>
      </c>
      <c r="D209" s="47"/>
    </row>
    <row r="210" spans="1:6" x14ac:dyDescent="0.25">
      <c r="B210" t="s">
        <v>305</v>
      </c>
      <c r="C210" s="47">
        <f>C206*27.5%</f>
        <v>39348.675052500002</v>
      </c>
      <c r="D210" s="47"/>
    </row>
    <row r="211" spans="1:6" x14ac:dyDescent="0.25">
      <c r="C211" s="47"/>
    </row>
    <row r="212" spans="1:6" x14ac:dyDescent="0.25">
      <c r="B212" s="48" t="s">
        <v>281</v>
      </c>
      <c r="C212" s="48"/>
    </row>
    <row r="213" spans="1:6" x14ac:dyDescent="0.25">
      <c r="A213" t="s">
        <v>165</v>
      </c>
      <c r="B213" s="17">
        <v>1726257</v>
      </c>
      <c r="C213" s="50"/>
    </row>
    <row r="214" spans="1:6" x14ac:dyDescent="0.25">
      <c r="A214" t="s">
        <v>286</v>
      </c>
      <c r="B214" s="17">
        <v>1116677</v>
      </c>
      <c r="C214" s="50"/>
    </row>
    <row r="215" spans="1:6" x14ac:dyDescent="0.25">
      <c r="A215" t="s">
        <v>169</v>
      </c>
      <c r="B215" s="49">
        <v>198501</v>
      </c>
      <c r="C215" s="50"/>
    </row>
    <row r="216" spans="1:6" x14ac:dyDescent="0.25">
      <c r="B216" s="50">
        <f>SUM(B213:B215)</f>
        <v>3041435</v>
      </c>
      <c r="C216" s="51"/>
    </row>
    <row r="217" spans="1:6" x14ac:dyDescent="0.25">
      <c r="C217" s="47"/>
    </row>
    <row r="218" spans="1:6" x14ac:dyDescent="0.25">
      <c r="C218" s="47"/>
    </row>
    <row r="219" spans="1:6" x14ac:dyDescent="0.25">
      <c r="B219" s="48" t="s">
        <v>282</v>
      </c>
      <c r="C219" s="48" t="s">
        <v>283</v>
      </c>
      <c r="D219" s="48" t="s">
        <v>284</v>
      </c>
      <c r="E219" s="48" t="s">
        <v>285</v>
      </c>
    </row>
    <row r="220" spans="1:6" x14ac:dyDescent="0.25">
      <c r="B220" s="52" t="s">
        <v>165</v>
      </c>
      <c r="C220" s="17">
        <v>1726257</v>
      </c>
      <c r="D220" s="52" t="s">
        <v>322</v>
      </c>
      <c r="E220" s="52" t="s">
        <v>325</v>
      </c>
      <c r="F220" s="48"/>
    </row>
    <row r="221" spans="1:6" x14ac:dyDescent="0.25">
      <c r="B221" s="52" t="s">
        <v>286</v>
      </c>
      <c r="C221" s="17">
        <v>1116677</v>
      </c>
      <c r="D221" s="52" t="s">
        <v>323</v>
      </c>
      <c r="E221" s="52" t="s">
        <v>326</v>
      </c>
      <c r="F221" s="48"/>
    </row>
    <row r="222" spans="1:6" x14ac:dyDescent="0.25">
      <c r="B222" s="52" t="s">
        <v>169</v>
      </c>
      <c r="C222" s="49">
        <v>198501</v>
      </c>
      <c r="D222" s="52" t="s">
        <v>324</v>
      </c>
      <c r="E222" s="52" t="s">
        <v>327</v>
      </c>
      <c r="F222" s="48"/>
    </row>
    <row r="223" spans="1:6" x14ac:dyDescent="0.25">
      <c r="C223" s="47"/>
      <c r="E223" s="52"/>
      <c r="F223" s="50"/>
    </row>
    <row r="224" spans="1:6" x14ac:dyDescent="0.25">
      <c r="C224" s="47"/>
      <c r="E224" s="53"/>
      <c r="F224" s="51"/>
    </row>
    <row r="225" spans="2:6" x14ac:dyDescent="0.25">
      <c r="C225" s="47"/>
      <c r="D225" s="53" t="s">
        <v>287</v>
      </c>
      <c r="E225" s="53" t="s">
        <v>312</v>
      </c>
      <c r="F225" s="54">
        <v>118530.51</v>
      </c>
    </row>
    <row r="226" spans="2:6" ht="30" x14ac:dyDescent="0.25">
      <c r="C226" s="47"/>
      <c r="D226" s="53" t="s">
        <v>286</v>
      </c>
      <c r="E226" s="53" t="s">
        <v>313</v>
      </c>
      <c r="F226" s="54">
        <v>74371.759999999995</v>
      </c>
    </row>
    <row r="227" spans="2:6" ht="30" x14ac:dyDescent="0.25">
      <c r="C227" s="47"/>
      <c r="D227" s="53" t="s">
        <v>169</v>
      </c>
      <c r="E227" s="53" t="s">
        <v>313</v>
      </c>
      <c r="F227" s="54">
        <v>45574.35</v>
      </c>
    </row>
    <row r="228" spans="2:6" x14ac:dyDescent="0.25">
      <c r="C228" s="47"/>
    </row>
    <row r="229" spans="2:6" x14ac:dyDescent="0.25">
      <c r="B229" s="55" t="s">
        <v>288</v>
      </c>
      <c r="C229" s="47"/>
    </row>
    <row r="230" spans="2:6" x14ac:dyDescent="0.25">
      <c r="C230" s="47"/>
    </row>
    <row r="231" spans="2:6" x14ac:dyDescent="0.25">
      <c r="B231" t="s">
        <v>289</v>
      </c>
      <c r="C231" s="47"/>
    </row>
    <row r="242" spans="1:4" ht="26.25" x14ac:dyDescent="0.4">
      <c r="B242" s="22" t="s">
        <v>212</v>
      </c>
      <c r="C242" s="44">
        <v>342987.69</v>
      </c>
      <c r="D242" s="56">
        <v>46143</v>
      </c>
    </row>
    <row r="243" spans="1:4" ht="26.25" x14ac:dyDescent="0.4">
      <c r="B243" s="22" t="s">
        <v>275</v>
      </c>
      <c r="C243" s="44">
        <f>C242*0.05</f>
        <v>17149.3845</v>
      </c>
    </row>
    <row r="244" spans="1:4" ht="26.25" x14ac:dyDescent="0.4">
      <c r="B244" s="45"/>
      <c r="C244" s="46"/>
    </row>
    <row r="245" spans="1:4" ht="26.25" x14ac:dyDescent="0.4">
      <c r="B245" s="45" t="s">
        <v>276</v>
      </c>
      <c r="C245" s="46">
        <f>C242-C243</f>
        <v>325838.30550000002</v>
      </c>
    </row>
    <row r="246" spans="1:4" x14ac:dyDescent="0.25">
      <c r="A246" t="s">
        <v>277</v>
      </c>
      <c r="B246" t="s">
        <v>278</v>
      </c>
      <c r="C246" s="47">
        <f>C245*0.4</f>
        <v>130335.32220000001</v>
      </c>
    </row>
    <row r="247" spans="1:4" x14ac:dyDescent="0.25">
      <c r="A247" t="s">
        <v>279</v>
      </c>
      <c r="B247" t="s">
        <v>280</v>
      </c>
      <c r="C247" s="47">
        <f>C245-C246</f>
        <v>195502.98330000002</v>
      </c>
    </row>
    <row r="248" spans="1:4" x14ac:dyDescent="0.25">
      <c r="C248" s="47"/>
    </row>
    <row r="249" spans="1:4" x14ac:dyDescent="0.25">
      <c r="B249" t="s">
        <v>303</v>
      </c>
      <c r="C249" s="47">
        <f>C247*45%</f>
        <v>87976.342485000016</v>
      </c>
    </row>
    <row r="250" spans="1:4" x14ac:dyDescent="0.25">
      <c r="B250" t="s">
        <v>304</v>
      </c>
      <c r="C250" s="47">
        <f>C247*27.5%</f>
        <v>53763.32040750001</v>
      </c>
      <c r="D250" s="47"/>
    </row>
    <row r="251" spans="1:4" x14ac:dyDescent="0.25">
      <c r="B251" t="s">
        <v>305</v>
      </c>
      <c r="C251" s="47">
        <f>C247*27.5%</f>
        <v>53763.32040750001</v>
      </c>
      <c r="D251" s="47"/>
    </row>
    <row r="252" spans="1:4" x14ac:dyDescent="0.25">
      <c r="C252" s="47"/>
    </row>
    <row r="253" spans="1:4" x14ac:dyDescent="0.25">
      <c r="B253" s="48" t="s">
        <v>281</v>
      </c>
      <c r="C253" s="48"/>
    </row>
    <row r="254" spans="1:4" x14ac:dyDescent="0.25">
      <c r="A254" t="s">
        <v>165</v>
      </c>
      <c r="B254" s="17">
        <v>1798132</v>
      </c>
      <c r="C254" s="50"/>
    </row>
    <row r="255" spans="1:4" x14ac:dyDescent="0.25">
      <c r="A255" t="s">
        <v>286</v>
      </c>
      <c r="B255" s="17">
        <v>1161683</v>
      </c>
      <c r="C255" s="50"/>
    </row>
    <row r="256" spans="1:4" x14ac:dyDescent="0.25">
      <c r="A256" t="s">
        <v>169</v>
      </c>
      <c r="B256" s="49">
        <v>289147</v>
      </c>
      <c r="C256" s="50"/>
    </row>
    <row r="257" spans="2:6" x14ac:dyDescent="0.25">
      <c r="B257" s="50">
        <f>SUM(B254:B256)</f>
        <v>3248962</v>
      </c>
      <c r="C257" s="51"/>
    </row>
    <row r="258" spans="2:6" x14ac:dyDescent="0.25">
      <c r="C258" s="47"/>
    </row>
    <row r="259" spans="2:6" x14ac:dyDescent="0.25">
      <c r="C259" s="47"/>
    </row>
    <row r="260" spans="2:6" x14ac:dyDescent="0.25">
      <c r="B260" s="48" t="s">
        <v>282</v>
      </c>
      <c r="C260" s="48" t="s">
        <v>283</v>
      </c>
      <c r="D260" s="48" t="s">
        <v>284</v>
      </c>
      <c r="E260" s="48" t="s">
        <v>285</v>
      </c>
    </row>
    <row r="261" spans="2:6" x14ac:dyDescent="0.25">
      <c r="B261" s="52" t="s">
        <v>165</v>
      </c>
      <c r="C261" s="17">
        <v>1798132</v>
      </c>
      <c r="D261" s="52" t="s">
        <v>357</v>
      </c>
      <c r="E261" s="52" t="s">
        <v>360</v>
      </c>
      <c r="F261" s="48"/>
    </row>
    <row r="262" spans="2:6" x14ac:dyDescent="0.25">
      <c r="B262" s="52" t="s">
        <v>286</v>
      </c>
      <c r="C262" s="17">
        <v>1161683</v>
      </c>
      <c r="D262" s="52" t="s">
        <v>358</v>
      </c>
      <c r="E262" s="52" t="s">
        <v>361</v>
      </c>
      <c r="F262" s="48"/>
    </row>
    <row r="263" spans="2:6" x14ac:dyDescent="0.25">
      <c r="B263" s="52" t="s">
        <v>169</v>
      </c>
      <c r="C263" s="49">
        <v>289147</v>
      </c>
      <c r="D263" s="52" t="s">
        <v>359</v>
      </c>
      <c r="E263" s="52" t="s">
        <v>362</v>
      </c>
      <c r="F263" s="48"/>
    </row>
    <row r="264" spans="2:6" x14ac:dyDescent="0.25">
      <c r="C264" s="47"/>
      <c r="E264" s="52"/>
      <c r="F264" s="50"/>
    </row>
    <row r="265" spans="2:6" x14ac:dyDescent="0.25">
      <c r="C265" s="47"/>
      <c r="E265" s="53"/>
      <c r="F265" s="51"/>
    </row>
    <row r="266" spans="2:6" x14ac:dyDescent="0.25">
      <c r="C266" s="47"/>
      <c r="D266" s="53" t="s">
        <v>287</v>
      </c>
      <c r="E266" s="53" t="s">
        <v>312</v>
      </c>
      <c r="F266" s="54">
        <v>160109.10999999999</v>
      </c>
    </row>
    <row r="267" spans="2:6" ht="30" x14ac:dyDescent="0.25">
      <c r="C267" s="47"/>
      <c r="D267" s="53" t="s">
        <v>286</v>
      </c>
      <c r="E267" s="53" t="s">
        <v>313</v>
      </c>
      <c r="F267" s="54">
        <v>100364.71</v>
      </c>
    </row>
    <row r="268" spans="2:6" ht="30" x14ac:dyDescent="0.25">
      <c r="C268" s="47"/>
      <c r="D268" s="53" t="s">
        <v>169</v>
      </c>
      <c r="E268" s="53" t="s">
        <v>313</v>
      </c>
      <c r="F268" s="54">
        <v>65361.86</v>
      </c>
    </row>
    <row r="269" spans="2:6" x14ac:dyDescent="0.25">
      <c r="C269" s="47"/>
    </row>
    <row r="270" spans="2:6" x14ac:dyDescent="0.25">
      <c r="B270" s="55" t="s">
        <v>288</v>
      </c>
      <c r="C270" s="47"/>
    </row>
    <row r="271" spans="2:6" x14ac:dyDescent="0.25">
      <c r="C271" s="47"/>
    </row>
    <row r="272" spans="2:6" x14ac:dyDescent="0.25">
      <c r="B272" t="s">
        <v>289</v>
      </c>
      <c r="C272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Worth</vt:lpstr>
      <vt:lpstr>monthly profit</vt:lpstr>
      <vt:lpstr>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2025-12-15T12:43:08Z</dcterms:created>
  <dcterms:modified xsi:type="dcterms:W3CDTF">2026-07-02T10:24:25Z</dcterms:modified>
</cp:coreProperties>
</file>