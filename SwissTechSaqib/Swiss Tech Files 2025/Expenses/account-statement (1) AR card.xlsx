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5300\Documents\Swiss Tech Files 2025\Expenses\"/>
    </mc:Choice>
  </mc:AlternateContent>
  <xr:revisionPtr revIDLastSave="0" documentId="13_ncr:1_{AE98A3D5-5CBE-42DF-AB79-ED3FB7F8E982}" xr6:coauthVersionLast="47" xr6:coauthVersionMax="47" xr10:uidLastSave="{00000000-0000-0000-0000-000000000000}"/>
  <bookViews>
    <workbookView xWindow="-108" yWindow="-108" windowWidth="23256" windowHeight="13896" activeTab="3" xr2:uid="{E7C17F49-33B8-433A-BE22-A21B4C93A5FB}"/>
  </bookViews>
  <sheets>
    <sheet name="All " sheetId="5" r:id="rId1"/>
    <sheet name="Faisal Bhai" sheetId="1" r:id="rId2"/>
    <sheet name="Swiss Tech" sheetId="2" r:id="rId3"/>
    <sheet name="Waheed Bhai" sheetId="3" r:id="rId4"/>
    <sheet name="Mudassir" sheetId="4" r:id="rId5"/>
  </sheets>
  <definedNames>
    <definedName name="_xlnm._FilterDatabase" localSheetId="0" hidden="1">'All '!$A$1:$E$160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60" i="5" l="1"/>
  <c r="D11" i="2"/>
  <c r="C169" i="5"/>
  <c r="D7" i="4"/>
  <c r="D8" i="3"/>
  <c r="D140" i="1"/>
</calcChain>
</file>

<file path=xl/sharedStrings.xml><?xml version="1.0" encoding="utf-8"?>
<sst xmlns="http://schemas.openxmlformats.org/spreadsheetml/2006/main" count="874" uniqueCount="153">
  <si>
    <t>TRANS DATE</t>
  </si>
  <si>
    <t>CHQ/REF NO</t>
  </si>
  <si>
    <t>PARTICULARS</t>
  </si>
  <si>
    <t>DEBIT</t>
  </si>
  <si>
    <t>FT26065K7FK4\B10</t>
  </si>
  <si>
    <t>Inward Clearing Debit - CHEQUE 100039</t>
  </si>
  <si>
    <t>DUBAI ELECTRICITY, AE</t>
  </si>
  <si>
    <t>JADEED AL RAYYAN MANDI, AE</t>
  </si>
  <si>
    <t>NOON FOOD, AE</t>
  </si>
  <si>
    <t>1594 PHARMACY FOR LESS 1, AE</t>
  </si>
  <si>
    <t>DUBAI TAXI, AE</t>
  </si>
  <si>
    <t>CARS TAXI SERVICES CO LLC, AE</t>
  </si>
  <si>
    <t>QUSAIS FALCON CAFETERIA L, AE</t>
  </si>
  <si>
    <t>ARABIA TAXI, AE</t>
  </si>
  <si>
    <t>Smart Dubai Government, AE</t>
  </si>
  <si>
    <t>NESTO HYPERMARKET BR, AE</t>
  </si>
  <si>
    <t>JANAN MOBILE PHONES TRADI, AE</t>
  </si>
  <si>
    <t>AL MADINA, AE</t>
  </si>
  <si>
    <t>05305003</t>
  </si>
  <si>
    <t>08785800</t>
  </si>
  <si>
    <t>03508004</t>
  </si>
  <si>
    <t>01597480</t>
  </si>
  <si>
    <t>01096561</t>
  </si>
  <si>
    <t>00285803</t>
  </si>
  <si>
    <t>Total Amount</t>
  </si>
  <si>
    <t>Faisal Bhai</t>
  </si>
  <si>
    <t>Swiss Tech</t>
  </si>
  <si>
    <t>Waheed Bhai</t>
  </si>
  <si>
    <t>Mudassir</t>
  </si>
  <si>
    <t>Name</t>
  </si>
  <si>
    <t>TAJ SABA RESTAURANT LLC, AE</t>
  </si>
  <si>
    <t>ENOC 1302, AE</t>
  </si>
  <si>
    <t>AL AYAM GRILL N RESTAURAN, AE</t>
  </si>
  <si>
    <t>CHOITRAM DUBAI TOWER, AE</t>
  </si>
  <si>
    <t>EXPRESS AL MADINA HYPE, AE</t>
  </si>
  <si>
    <t>PAK LIYARI RESTAURANT, AE</t>
  </si>
  <si>
    <t>RTA MARINE STATIONS, AE</t>
  </si>
  <si>
    <t>CARREFOUR AL GHURAIR, AE</t>
  </si>
  <si>
    <t>Asmak Elsawwah Restaura, AE</t>
  </si>
  <si>
    <t>DELHI QILA RESTAURANT LLC, AE</t>
  </si>
  <si>
    <t>MBME PAY PAYMENT SERVICES, AE</t>
  </si>
  <si>
    <t>T CHOITHRAM AND SONS LL, AE</t>
  </si>
  <si>
    <t>FALAFEL ALSAWAH RESTAUR, AE</t>
  </si>
  <si>
    <t>LAFFAH RESTAURANT LLC B, AE</t>
  </si>
  <si>
    <t>ADNOC MUHAISNAH 519, AE</t>
  </si>
  <si>
    <t>NEW RAHAT SWEETS N REST, AE</t>
  </si>
  <si>
    <t>NESTO HYPERMARKET, AE</t>
  </si>
  <si>
    <t>BRIGHT DAY RENT A CAR LLC, AE</t>
  </si>
  <si>
    <t>H N C restaurant and c, AE</t>
  </si>
  <si>
    <t>EASY MAX MINI MART LLC, AE</t>
  </si>
  <si>
    <r>
      <rPr>
        <b/>
        <sz val="11"/>
        <rFont val="Abadi"/>
        <family val="2"/>
      </rPr>
      <t>DUBAI ELECTRICITY, AE</t>
    </r>
  </si>
  <si>
    <r>
      <rPr>
        <b/>
        <sz val="11"/>
        <rFont val="Abadi"/>
        <family val="2"/>
      </rPr>
      <t>FEDEX EXPRESS INTL, AE</t>
    </r>
  </si>
  <si>
    <r>
      <rPr>
        <b/>
        <sz val="11"/>
        <rFont val="Abadi"/>
        <family val="2"/>
      </rPr>
      <t>DU Apple Pay, AE</t>
    </r>
  </si>
  <si>
    <r>
      <rPr>
        <b/>
        <sz val="11"/>
        <rFont val="Abadi"/>
        <family val="2"/>
      </rPr>
      <t>BUNNINGS 492000(AUD 2000.00 ), AU</t>
    </r>
  </si>
  <si>
    <r>
      <rPr>
        <b/>
        <sz val="11"/>
        <rFont val="Abadi"/>
        <family val="2"/>
      </rPr>
      <t>BUNNINGS 666000(AUD 7088.00 ), AU</t>
    </r>
  </si>
  <si>
    <r>
      <rPr>
        <b/>
        <sz val="11"/>
        <rFont val="Abadi"/>
        <family val="2"/>
      </rPr>
      <t>BUNNINGS 666000(AUD 1194.00 ), AU</t>
    </r>
  </si>
  <si>
    <r>
      <rPr>
        <b/>
        <sz val="11"/>
        <rFont val="Abadi"/>
        <family val="2"/>
      </rPr>
      <t>NOEL LEEMING(NZD 7245.00 ), NZ</t>
    </r>
  </si>
  <si>
    <r>
      <rPr>
        <b/>
        <sz val="11"/>
        <rFont val="Abadi"/>
        <family val="2"/>
      </rPr>
      <t>Annual fee</t>
    </r>
  </si>
  <si>
    <t>DU Apple Pay, AE</t>
  </si>
  <si>
    <t>e&amp; Digital App, AE</t>
  </si>
  <si>
    <t>KFC NASSER SQUARE, AE</t>
  </si>
  <si>
    <t>01131338</t>
  </si>
  <si>
    <t>08346217</t>
  </si>
  <si>
    <t>08022205</t>
  </si>
  <si>
    <t>RIQQA AL RAYYAN MANDI BR, AE</t>
  </si>
  <si>
    <t>06184204</t>
  </si>
  <si>
    <r>
      <rPr>
        <sz val="8"/>
        <rFont val="Tahoma"/>
        <family val="2"/>
      </rPr>
      <t>FALAFEL ALSAWAH RESTAUR, AE</t>
    </r>
  </si>
  <si>
    <r>
      <rPr>
        <sz val="8"/>
        <rFont val="Tahoma"/>
        <family val="2"/>
      </rPr>
      <t>NESTO HYPERMARKET BR, AE</t>
    </r>
  </si>
  <si>
    <r>
      <rPr>
        <sz val="8"/>
        <rFont val="Tahoma"/>
        <family val="2"/>
      </rPr>
      <t>AL MADINA, AE</t>
    </r>
  </si>
  <si>
    <r>
      <rPr>
        <sz val="8"/>
        <rFont val="Tahoma"/>
        <family val="2"/>
      </rPr>
      <t>MBME PAY PAYMENT SERVICES, AE</t>
    </r>
  </si>
  <si>
    <r>
      <rPr>
        <sz val="8"/>
        <rFont val="Tahoma"/>
        <family val="2"/>
      </rPr>
      <t>CHOITRAM DUBAI TOWER, AE</t>
    </r>
  </si>
  <si>
    <r>
      <rPr>
        <sz val="8"/>
        <rFont val="Tahoma"/>
        <family val="2"/>
      </rPr>
      <t>Amazon.ae, AE</t>
    </r>
  </si>
  <si>
    <r>
      <rPr>
        <sz val="8"/>
        <rFont val="Tahoma"/>
        <family val="2"/>
      </rPr>
      <t>FEDEX EXPRESS INTL, AE</t>
    </r>
  </si>
  <si>
    <r>
      <rPr>
        <sz val="8"/>
        <rFont val="Tahoma"/>
        <family val="2"/>
      </rPr>
      <t>T CHOITHRAM AND SONS LL, AE</t>
    </r>
  </si>
  <si>
    <r>
      <rPr>
        <sz val="8"/>
        <rFont val="Tahoma"/>
        <family val="2"/>
      </rPr>
      <t>CARREFOUR AL GHURAIR, AE</t>
    </r>
  </si>
  <si>
    <r>
      <rPr>
        <sz val="11"/>
        <rFont val="Tahoma"/>
        <family val="2"/>
      </rPr>
      <t>RTA-DUBAI METRO-TVM TE, AE</t>
    </r>
  </si>
  <si>
    <r>
      <rPr>
        <sz val="11"/>
        <rFont val="Tahoma"/>
        <family val="2"/>
      </rPr>
      <t>PLANET PHARMACIES LLC, AE</t>
    </r>
  </si>
  <si>
    <r>
      <rPr>
        <sz val="11"/>
        <rFont val="Tahoma"/>
        <family val="2"/>
      </rPr>
      <t>Al Khayam Supermarket, AE</t>
    </r>
  </si>
  <si>
    <r>
      <rPr>
        <sz val="11"/>
        <rFont val="Tahoma"/>
        <family val="2"/>
      </rPr>
      <t>Shj club cafeteria, AE</t>
    </r>
  </si>
  <si>
    <r>
      <rPr>
        <sz val="11"/>
        <rFont val="Tahoma"/>
        <family val="2"/>
      </rPr>
      <t>NOON, AE</t>
    </r>
  </si>
  <si>
    <r>
      <rPr>
        <sz val="11"/>
        <rFont val="Tahoma"/>
        <family val="2"/>
      </rPr>
      <t>ENOC-SITE NO.68, AE</t>
    </r>
  </si>
  <si>
    <r>
      <rPr>
        <sz val="11"/>
        <rFont val="Tahoma"/>
        <family val="2"/>
      </rPr>
      <t>NOON FOOD, AE</t>
    </r>
  </si>
  <si>
    <r>
      <rPr>
        <sz val="11"/>
        <rFont val="Tahoma"/>
        <family val="2"/>
      </rPr>
      <t>FALAFEL ALSAWAH RESTAUR, AE</t>
    </r>
  </si>
  <si>
    <r>
      <rPr>
        <sz val="11"/>
        <rFont val="Tahoma"/>
        <family val="2"/>
      </rPr>
      <t>NESTO HYPERMARKET BR, AE</t>
    </r>
  </si>
  <si>
    <r>
      <rPr>
        <sz val="11"/>
        <rFont val="Tahoma"/>
        <family val="2"/>
      </rPr>
      <t>1121 NOOR AL SHEFAA PHARM, AE</t>
    </r>
  </si>
  <si>
    <r>
      <rPr>
        <sz val="11"/>
        <rFont val="Tahoma"/>
        <family val="2"/>
      </rPr>
      <t>BUHAYRAT ALHADEEKAH  CAFE, AE</t>
    </r>
  </si>
  <si>
    <r>
      <rPr>
        <sz val="11"/>
        <rFont val="Tahoma"/>
        <family val="2"/>
      </rPr>
      <t>GOVT OF SHARJAH, AE</t>
    </r>
  </si>
  <si>
    <r>
      <rPr>
        <sz val="11"/>
        <rFont val="Tahoma"/>
        <family val="2"/>
      </rPr>
      <t>AL MADINA, AE</t>
    </r>
  </si>
  <si>
    <r>
      <rPr>
        <sz val="11"/>
        <rFont val="Tahoma"/>
        <family val="2"/>
      </rPr>
      <t>SAQER AL MADINA SUPERM, AE</t>
    </r>
  </si>
  <si>
    <r>
      <rPr>
        <sz val="11"/>
        <rFont val="Tahoma"/>
        <family val="2"/>
      </rPr>
      <t>RAHAT SWEETS AND PASTRY, AE</t>
    </r>
  </si>
  <si>
    <r>
      <rPr>
        <sz val="11"/>
        <rFont val="Tahoma"/>
        <family val="2"/>
      </rPr>
      <t>ENOC SITE 1061, AE</t>
    </r>
  </si>
  <si>
    <r>
      <rPr>
        <sz val="11"/>
        <rFont val="Tahoma"/>
        <family val="2"/>
      </rPr>
      <t>MUHAMMAD FAISAL RESTURANT, AE</t>
    </r>
  </si>
  <si>
    <r>
      <rPr>
        <sz val="11"/>
        <rFont val="Tahoma"/>
        <family val="2"/>
      </rPr>
      <t>BESTOON SAMAD IRAQI FOOD, AE</t>
    </r>
  </si>
  <si>
    <r>
      <rPr>
        <sz val="11"/>
        <rFont val="Tahoma"/>
        <family val="2"/>
      </rPr>
      <t>MBME PAY PAYMENT SERVICES, AE</t>
    </r>
  </si>
  <si>
    <r>
      <rPr>
        <sz val="11"/>
        <rFont val="Tahoma"/>
        <family val="2"/>
      </rPr>
      <t>AL YAMEN MANDI RESTAURA, AE</t>
    </r>
  </si>
  <si>
    <r>
      <rPr>
        <sz val="11"/>
        <rFont val="Tahoma"/>
        <family val="2"/>
      </rPr>
      <t>CHOITRAM DUBAI TOWER, AE</t>
    </r>
  </si>
  <si>
    <r>
      <rPr>
        <sz val="11"/>
        <rFont val="Tahoma"/>
        <family val="2"/>
      </rPr>
      <t>BRIGHT DAY RENT A CAR LLC, AE</t>
    </r>
  </si>
  <si>
    <r>
      <rPr>
        <sz val="11"/>
        <rFont val="Tahoma"/>
        <family val="2"/>
      </rPr>
      <t>Asmak Elsawwah Restaura, AE</t>
    </r>
  </si>
  <si>
    <r>
      <rPr>
        <sz val="11"/>
        <rFont val="Tahoma"/>
        <family val="2"/>
      </rPr>
      <t>Amazon.ae, AE</t>
    </r>
  </si>
  <si>
    <r>
      <rPr>
        <sz val="11"/>
        <rFont val="Tahoma"/>
        <family val="2"/>
      </rPr>
      <t>LAFFAH RESTAURANT LLC, AE</t>
    </r>
  </si>
  <si>
    <r>
      <rPr>
        <sz val="11"/>
        <rFont val="Tahoma"/>
        <family val="2"/>
      </rPr>
      <t>FEDEX EXPRESS INTL, AE</t>
    </r>
  </si>
  <si>
    <r>
      <rPr>
        <sz val="11"/>
        <rFont val="Tahoma"/>
        <family val="2"/>
      </rPr>
      <t>ENOC SITE - 1007, AE</t>
    </r>
  </si>
  <si>
    <r>
      <rPr>
        <sz val="11"/>
        <rFont val="Tahoma"/>
        <family val="2"/>
      </rPr>
      <t>T CHOITHRAM AND SONS LL, AE</t>
    </r>
  </si>
  <si>
    <r>
      <rPr>
        <sz val="11"/>
        <rFont val="Tahoma"/>
        <family val="2"/>
      </rPr>
      <t>CARREFOUR AL GHURAIR, AE</t>
    </r>
  </si>
  <si>
    <r>
      <rPr>
        <sz val="11"/>
        <rFont val="Tahoma"/>
        <family val="2"/>
      </rPr>
      <t>NEW RAHAT SWEETS N REST, AE</t>
    </r>
  </si>
  <si>
    <r>
      <rPr>
        <sz val="11"/>
        <rFont val="Tahoma"/>
        <family val="2"/>
      </rPr>
      <t>SULAIYA SUPERMARKET, AE</t>
    </r>
  </si>
  <si>
    <t>09850908</t>
  </si>
  <si>
    <t>05130040</t>
  </si>
  <si>
    <t>021439911</t>
  </si>
  <si>
    <t>041566346</t>
  </si>
  <si>
    <t>02189350</t>
  </si>
  <si>
    <t>03860209</t>
  </si>
  <si>
    <r>
      <rPr>
        <sz val="8"/>
        <rFont val="Tahoma"/>
        <family val="2"/>
      </rPr>
      <t>DU Apple Pay, AE</t>
    </r>
  </si>
  <si>
    <r>
      <rPr>
        <sz val="8"/>
        <rFont val="Tahoma"/>
        <family val="2"/>
      </rPr>
      <t>DUBAI ELECTRICITY, AE</t>
    </r>
  </si>
  <si>
    <r>
      <rPr>
        <sz val="8"/>
        <rFont val="Tahoma"/>
        <family val="2"/>
      </rPr>
      <t>EMIRATES.CO 4220124569, AE</t>
    </r>
  </si>
  <si>
    <r>
      <rPr>
        <sz val="8"/>
        <rFont val="Tahoma"/>
        <family val="2"/>
      </rPr>
      <t>EMIRATES   62206099864-2(AUD 9661.33 ), AU</t>
    </r>
  </si>
  <si>
    <r>
      <rPr>
        <sz val="8"/>
        <rFont val="Tahoma"/>
        <family val="2"/>
      </rPr>
      <t>DAY TO DAY  UNION BR, AE</t>
    </r>
  </si>
  <si>
    <r>
      <rPr>
        <sz val="8"/>
        <rFont val="Tahoma"/>
        <family val="2"/>
      </rPr>
      <t>DELHI QILA RESTAURANT LLC, AE</t>
    </r>
  </si>
  <si>
    <r>
      <rPr>
        <sz val="8"/>
        <rFont val="Tahoma"/>
        <family val="2"/>
      </rPr>
      <t>DUBAI TAXI, AE</t>
    </r>
  </si>
  <si>
    <r>
      <rPr>
        <sz val="8"/>
        <rFont val="Tahoma"/>
        <family val="2"/>
      </rPr>
      <t>TALAL SUPERMARKET LLC, AE</t>
    </r>
  </si>
  <si>
    <r>
      <rPr>
        <sz val="8"/>
        <rFont val="Tahoma"/>
        <family val="2"/>
      </rPr>
      <t>Jafar Reza Gen Trading, AE</t>
    </r>
  </si>
  <si>
    <t>01393692</t>
  </si>
  <si>
    <r>
      <rPr>
        <sz val="8"/>
        <rFont val="Tahoma"/>
        <family val="2"/>
      </rPr>
      <t>K M A GROCERY LLC, AE</t>
    </r>
  </si>
  <si>
    <r>
      <rPr>
        <sz val="8"/>
        <rFont val="Tahoma"/>
        <family val="2"/>
      </rPr>
      <t>PAK LIYARI RESTAURANT, AE</t>
    </r>
  </si>
  <si>
    <r>
      <rPr>
        <sz val="8"/>
        <rFont val="Tahoma"/>
        <family val="2"/>
      </rPr>
      <t>AFGHAN KABAB HOUSE LLC, AE</t>
    </r>
  </si>
  <si>
    <r>
      <rPr>
        <sz val="8"/>
        <rFont val="Tahoma"/>
        <family val="2"/>
      </rPr>
      <t>VITA FUEL TRADING LLC, AE</t>
    </r>
  </si>
  <si>
    <r>
      <rPr>
        <sz val="8"/>
        <rFont val="Tahoma"/>
        <family val="2"/>
      </rPr>
      <t>Amazon Grocery, AE</t>
    </r>
  </si>
  <si>
    <r>
      <rPr>
        <sz val="8"/>
        <rFont val="Tahoma"/>
        <family val="2"/>
      </rPr>
      <t>AL NOOR POLYCLINIC LLC, AE</t>
    </r>
  </si>
  <si>
    <r>
      <rPr>
        <sz val="8"/>
        <rFont val="Tahoma"/>
        <family val="2"/>
      </rPr>
      <t>RELIEF PHARMACY LLC BR, AE</t>
    </r>
  </si>
  <si>
    <r>
      <rPr>
        <sz val="8"/>
        <rFont val="Tahoma"/>
        <family val="2"/>
      </rPr>
      <t>GET MORE AND SMILE GENE, AE</t>
    </r>
  </si>
  <si>
    <r>
      <rPr>
        <sz val="8"/>
        <rFont val="Tahoma"/>
        <family val="2"/>
      </rPr>
      <t>AL ZAYTOON AL ASFAR VEG, AE</t>
    </r>
  </si>
  <si>
    <r>
      <rPr>
        <sz val="8"/>
        <rFont val="Tahoma"/>
        <family val="2"/>
      </rPr>
      <t>MOHAMMAD ABDULLA VEG N, AE</t>
    </r>
  </si>
  <si>
    <r>
      <rPr>
        <sz val="8"/>
        <rFont val="Tahoma"/>
        <family val="2"/>
      </rPr>
      <t>KHOR FAKKAN MUNICIPALITY, AE</t>
    </r>
  </si>
  <si>
    <r>
      <rPr>
        <sz val="8"/>
        <rFont val="Tahoma"/>
        <family val="2"/>
      </rPr>
      <t>EPPCO SITE 77, AE</t>
    </r>
  </si>
  <si>
    <r>
      <rPr>
        <sz val="8"/>
        <rFont val="Tahoma"/>
        <family val="2"/>
      </rPr>
      <t>EMARAT 6740 AL MAWRED, AE</t>
    </r>
  </si>
  <si>
    <r>
      <rPr>
        <sz val="8"/>
        <rFont val="Tahoma"/>
        <family val="2"/>
      </rPr>
      <t>TAJ SABA RESTAURANT LLC, AE</t>
    </r>
  </si>
  <si>
    <r>
      <rPr>
        <sz val="8"/>
        <rFont val="Tahoma"/>
        <family val="2"/>
      </rPr>
      <t>WALK  TEA CAFETERIA, AE</t>
    </r>
  </si>
  <si>
    <r>
      <rPr>
        <sz val="8"/>
        <rFont val="Tahoma"/>
        <family val="2"/>
      </rPr>
      <t>ADNOC AL BATAYEH 272, AE</t>
    </r>
  </si>
  <si>
    <r>
      <rPr>
        <sz val="8"/>
        <rFont val="Tahoma"/>
        <family val="2"/>
      </rPr>
      <t>WADI SHEES VEG N FRUIT, AE</t>
    </r>
  </si>
  <si>
    <r>
      <rPr>
        <sz val="8"/>
        <rFont val="Tahoma"/>
        <family val="2"/>
      </rPr>
      <t>35.99 CR</t>
    </r>
  </si>
  <si>
    <t>FT260345QDZR</t>
  </si>
  <si>
    <t>INHOUSE CHEQUE - DEBIT - CHEQUE 100034</t>
  </si>
  <si>
    <t>Row Labels</t>
  </si>
  <si>
    <t>Grand Total</t>
  </si>
  <si>
    <t>Qty</t>
  </si>
  <si>
    <t>Amount</t>
  </si>
  <si>
    <t>BUNNINGS 492000(AUD 2000.00 ), AU</t>
  </si>
  <si>
    <t>BUNNINGS 666000(AUD 7088.00 ), AU</t>
  </si>
  <si>
    <t>BUNNINGS 666000(AUD 1194.00 ), AU</t>
  </si>
  <si>
    <t>NOEL LEEMING(NZD 7245.00 ), NZ</t>
  </si>
  <si>
    <t>EMIRATES   62206099864-2(AUD 9661.33 ), AU</t>
  </si>
  <si>
    <t>EMIRATES.CO 4220124569, AE</t>
  </si>
  <si>
    <t>FEDEX EXPRESS INTL, 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</si>
</sst>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;@"/>
    <numFmt numFmtId="165" formatCode="dd\.mm\.yy;@"/>
    <numFmt numFmtId="166" formatCode="d/mm/yyyy;@"/>
  </numFmts>
  <fonts count="13" x14ac:knownFonts="1">
    <font>
      <sz val="11"/>
      <color theme="1"/>
      <name val="Aptos Narrow"/>
      <family val="2"/>
      <scheme val="minor"/>
    </font>
    <font>
      <b/>
      <sz val="12"/>
      <color theme="1" tint="4.9989318521683403E-2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 tint="4.9989318521683403E-2"/>
      <name val="Abadi"/>
      <family val="2"/>
    </font>
    <font>
      <b/>
      <sz val="11"/>
      <name val="Abadi"/>
      <family val="2"/>
    </font>
    <font>
      <b/>
      <sz val="11"/>
      <color theme="1"/>
      <name val="Abadi"/>
      <family val="2"/>
    </font>
    <font>
      <sz val="8"/>
      <name val="Tahoma"/>
      <family val="2"/>
    </font>
    <font>
      <sz val="11"/>
      <color theme="1" tint="4.9989318521683403E-2"/>
      <name val="Abadi"/>
      <family val="2"/>
    </font>
    <font>
      <sz val="11"/>
      <name val="Tahoma"/>
      <family val="2"/>
    </font>
    <font>
      <b/>
      <sz val="16"/>
      <color theme="1" tint="4.9989318521683403E-2"/>
      <name val="Abadi"/>
      <family val="2"/>
    </font>
    <font>
      <b/>
      <sz val="18"/>
      <color theme="1" tint="4.9989318521683403E-2"/>
      <name val="Abad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14" fontId="0" fillId="0" borderId="0" xfId="0" applyNumberFormat="1"/>
    <xf numFmtId="0" fontId="1" fillId="3" borderId="1" xfId="0" applyFont="1" applyFill="1" applyBorder="1" applyAlignment="1">
      <alignment horizontal="center" vertical="center"/>
    </xf>
    <xf numFmtId="165" fontId="0" fillId="0" borderId="0" xfId="0" applyNumberFormat="1"/>
    <xf numFmtId="164" fontId="0" fillId="0" borderId="0" xfId="0" applyNumberFormat="1"/>
    <xf numFmtId="166" fontId="0" fillId="0" borderId="0" xfId="0" applyNumberFormat="1"/>
    <xf numFmtId="0" fontId="4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5" fontId="5" fillId="2" borderId="1" xfId="0" applyNumberFormat="1" applyFont="1" applyFill="1" applyBorder="1" applyAlignment="1">
      <alignment horizontal="center" vertical="center"/>
    </xf>
    <xf numFmtId="4" fontId="5" fillId="2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5" fillId="2" borderId="1" xfId="0" quotePrefix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4" fontId="2" fillId="4" borderId="1" xfId="0" applyNumberFormat="1" applyFont="1" applyFill="1" applyBorder="1"/>
    <xf numFmtId="0" fontId="11" fillId="4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3" fillId="5" borderId="1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4" fillId="6" borderId="3" xfId="0" applyFont="1" applyFill="1" applyBorder="1"/>
    <xf numFmtId="0" fontId="4" fillId="6" borderId="4" xfId="0" applyNumberFormat="1" applyFont="1" applyFill="1" applyBorder="1"/>
    <xf numFmtId="0" fontId="0" fillId="0" borderId="0" xfId="0" applyNumberFormat="1" applyAlignment="1">
      <alignment wrapText="1"/>
    </xf>
    <xf numFmtId="1" fontId="5" fillId="2" borderId="1" xfId="0" applyNumberFormat="1" applyFont="1" applyFill="1" applyBorder="1" applyAlignment="1">
      <alignment horizontal="center" vertical="center"/>
    </xf>
    <xf numFmtId="1" fontId="1" fillId="3" borderId="1" xfId="0" applyNumberFormat="1" applyFont="1" applyFill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" fontId="12" fillId="5" borderId="1" xfId="0" applyNumberFormat="1" applyFont="1" applyFill="1" applyBorder="1" applyAlignment="1">
      <alignment horizontal="center" vertical="center"/>
    </xf>
    <xf numFmtId="1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5" fontId="1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wiss tech" refreshedDate="46098.602822337962" createdVersion="8" refreshedVersion="8" minRefreshableVersion="3" recordCount="157" xr:uid="{4AE12A85-44B4-4C3E-A674-352B5734ED72}">
  <cacheSource type="worksheet">
    <worksheetSource ref="A1:E159" sheet="All "/>
  </cacheSource>
  <cacheFields count="8">
    <cacheField name="TRANS DATE" numFmtId="15">
      <sharedItems containsSemiMixedTypes="0" containsNonDate="0" containsDate="1" containsString="0" minDate="2025-12-08T00:00:00" maxDate="2026-03-07T00:00:00" count="61">
        <d v="2025-12-08T00:00:00"/>
        <d v="2025-12-10T00:00:00"/>
        <d v="2025-12-11T00:00:00"/>
        <d v="2025-12-14T00:00:00"/>
        <d v="2025-12-16T00:00:00"/>
        <d v="2025-12-17T00:00:00"/>
        <d v="2025-12-19T00:00:00"/>
        <d v="2025-12-20T00:00:00"/>
        <d v="2025-12-21T00:00:00"/>
        <d v="2025-12-22T00:00:00"/>
        <d v="2025-12-23T00:00:00"/>
        <d v="2025-12-25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8T00:00:00"/>
        <d v="2026-01-09T00:00:00"/>
        <d v="2026-01-12T00:00:00"/>
        <d v="2026-01-13T00:00:00"/>
        <d v="2026-01-14T00:00:00"/>
        <d v="2026-01-17T00:00:00"/>
        <d v="2026-01-18T00:00:00"/>
        <d v="2026-01-20T00:00:00"/>
        <d v="2026-01-22T00:00:00"/>
        <d v="2026-01-23T00:00:00"/>
        <d v="2026-01-24T00:00:00"/>
        <d v="2026-01-25T00:00:00"/>
        <d v="2026-01-27T00:00:00"/>
        <d v="2026-01-28T00:00:00"/>
        <d v="2026-01-29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10T00:00:00"/>
        <d v="2026-02-11T00:00:00"/>
        <d v="2026-02-12T00:00:00"/>
        <d v="2026-02-13T00:00:00"/>
        <d v="2026-02-14T00:00:00"/>
        <d v="2026-02-15T00:00:00"/>
        <d v="2026-02-18T00:00:00"/>
        <d v="2026-02-21T00:00:00"/>
        <d v="2026-02-23T00:00:00"/>
        <d v="2026-02-24T00:00:00"/>
        <d v="2026-02-25T00:00:00"/>
        <d v="2026-03-01T00:00:00"/>
        <d v="2026-03-02T00:00:00"/>
        <d v="2026-03-03T00:00:00"/>
        <d v="2026-03-06T00:00:00"/>
      </sharedItems>
      <fieldGroup par="7"/>
    </cacheField>
    <cacheField name="CHQ/REF NO" numFmtId="0">
      <sharedItems containsMixedTypes="1" containsNumber="1" containsInteger="1" minValue="2177059" maxValue="99646233" count="157">
        <n v="99646233"/>
        <n v="95909903"/>
        <n v="3930202"/>
        <n v="3930210"/>
        <n v="52173607"/>
        <n v="44847299"/>
        <n v="60713025"/>
        <n v="11284678"/>
        <n v="64933304"/>
        <n v="50893601"/>
        <n v="86056357"/>
        <n v="86151331"/>
        <n v="47506398"/>
        <n v="58880988"/>
        <n v="43461103"/>
        <n v="53303739"/>
        <n v="80608495"/>
        <n v="63807067"/>
        <n v="63807075"/>
        <n v="14720116"/>
        <s v="03508004"/>
        <n v="11915803"/>
        <n v="21197702"/>
        <s v="01597480"/>
        <n v="52248003"/>
        <n v="80677004"/>
        <n v="61348547"/>
        <n v="62591616"/>
        <n v="67316773"/>
        <n v="67411160"/>
        <n v="68078083"/>
        <n v="43401790"/>
        <n v="43364428"/>
        <s v="00285803"/>
        <s v="01096561"/>
        <n v="83757958"/>
        <n v="32772895"/>
        <n v="94865306"/>
        <n v="24487709"/>
        <n v="24810801"/>
        <n v="42792205"/>
        <n v="73433201"/>
        <n v="93741373"/>
        <n v="30138262"/>
        <n v="32120912"/>
        <n v="12816448"/>
        <n v="35374901"/>
        <n v="20823153"/>
        <n v="19680608"/>
        <n v="21497009"/>
        <n v="91539017"/>
        <s v="08785800"/>
        <s v="05305003"/>
        <n v="20482774"/>
        <n v="59296228"/>
        <n v="59411207"/>
        <n v="59465492"/>
        <n v="55713018"/>
        <n v="20760491"/>
        <n v="23371001"/>
        <n v="11331306"/>
        <s v="08346217"/>
        <s v="01131338"/>
        <n v="93306005"/>
        <n v="32758307"/>
        <n v="38625106"/>
        <s v="05130040"/>
        <n v="17223254"/>
        <n v="70458808"/>
        <s v="021439911"/>
        <n v="67879406"/>
        <n v="78506452"/>
        <n v="44861912"/>
        <n v="52237375"/>
        <s v="041566346"/>
        <n v="79525502"/>
        <n v="97625904"/>
        <n v="63950587"/>
        <n v="73403926"/>
        <n v="84435107"/>
        <n v="85973107"/>
        <n v="94882698"/>
        <n v="71806762"/>
        <n v="51323500"/>
        <n v="58749509"/>
        <n v="98640107"/>
        <s v="02189350"/>
        <n v="13205502"/>
        <n v="30076908"/>
        <n v="21442365"/>
        <n v="85181263"/>
        <n v="50367426"/>
        <n v="59601742"/>
        <n v="55337495"/>
        <n v="42675803"/>
        <n v="64884422"/>
        <n v="65803033"/>
        <n v="12121907"/>
        <n v="65923646"/>
        <s v="03860209"/>
        <n v="78612408"/>
        <n v="35082118"/>
        <n v="68951072"/>
        <n v="98198108"/>
        <s v="FT260345QDZR"/>
        <s v="09850908"/>
        <s v="08022205"/>
        <s v="06184204"/>
        <n v="10352600"/>
        <n v="46883457"/>
        <n v="90525006"/>
        <n v="94811403"/>
        <n v="8954354"/>
        <n v="88388838"/>
        <n v="35807909"/>
        <n v="87350209"/>
        <n v="39001090"/>
        <n v="91462774"/>
        <n v="80336550"/>
        <n v="69507609"/>
        <n v="85410382"/>
        <n v="3560259"/>
        <n v="65845220"/>
        <n v="85610447"/>
        <n v="17123008"/>
        <n v="26507209"/>
        <n v="22297407"/>
        <n v="81106144"/>
        <n v="75688811"/>
        <n v="50560090"/>
        <n v="30610758"/>
        <n v="30610766"/>
        <n v="16451610"/>
        <n v="50097602"/>
        <n v="47279986"/>
        <n v="84026085"/>
        <n v="84026432"/>
        <n v="84201282"/>
        <n v="6785804"/>
        <n v="31983035"/>
        <n v="10156591"/>
        <n v="2177059"/>
        <n v="12531207"/>
        <n v="61881129"/>
        <n v="89087842"/>
        <n v="68247703"/>
        <s v="01393692"/>
        <n v="4677410"/>
        <n v="46617587"/>
        <n v="15443601"/>
        <n v="50614295"/>
        <n v="71709009"/>
        <n v="79739404"/>
        <n v="56465939"/>
        <n v="73527387"/>
        <n v="3320138"/>
        <s v="FT26065K7FK4\B10"/>
      </sharedItems>
    </cacheField>
    <cacheField name="PARTICULARS" numFmtId="0">
      <sharedItems count="83">
        <s v="NESTO HYPERMARKET BR, AE"/>
        <s v="DUBAI ELECTRICITY, AE"/>
        <s v="FEDEX EXPRESS INTL, AE"/>
        <s v="JANAN MOBILE PHONES TRADI, AE"/>
        <s v="AL MADINA, AE"/>
        <s v="TAJ SABA RESTAURANT LLC, AE"/>
        <s v="DU Apple Pay, AE"/>
        <s v="ENOC 1302, AE"/>
        <s v="AL AYAM GRILL N RESTAURAN, AE"/>
        <s v="CHOITRAM DUBAI TOWER, AE"/>
        <s v="BUNNINGS 492000(AUD 2000.00 ), AU"/>
        <s v="EXPRESS AL MADINA HYPE, AE"/>
        <s v="BUNNINGS 666000(AUD 7088.00 ), AU"/>
        <s v="BUNNINGS 666000(AUD 1194.00 ), AU"/>
        <s v="PAK LIYARI RESTAURANT, AE"/>
        <s v="RTA MARINE STATIONS, AE"/>
        <s v="CARREFOUR AL GHURAIR, AE"/>
        <s v="Asmak Elsawwah Restaura, AE"/>
        <s v="DELHI QILA RESTAURANT LLC, AE"/>
        <s v="NOEL LEEMING(NZD 7245.00 ), NZ"/>
        <s v="Annual fee"/>
        <s v="JADEED AL RAYYAN MANDI, AE"/>
        <s v="NOON FOOD, AE"/>
        <s v="1594 PHARMACY FOR LESS 1, AE"/>
        <s v="DUBAI TAXI, AE"/>
        <s v="CARS TAXI SERVICES CO LLC, AE"/>
        <s v="QUSAIS FALCON CAFETERIA L, AE"/>
        <s v="ARABIA TAXI, AE"/>
        <s v="Smart Dubai Government, AE"/>
        <s v="MBME PAY PAYMENT SERVICES, AE"/>
        <s v="T CHOITHRAM AND SONS LL, AE"/>
        <s v="FALAFEL ALSAWAH RESTAUR, AE"/>
        <s v="LAFFAH RESTAURANT LLC B, AE"/>
        <s v="ADNOC MUHAISNAH 519, AE"/>
        <s v="NEW RAHAT SWEETS N REST, AE"/>
        <s v="NESTO HYPERMARKET, AE"/>
        <s v="BRIGHT DAY RENT A CAR LLC, AE"/>
        <s v="H N C restaurant and c, AE"/>
        <s v="EASY MAX MINI MART LLC, AE"/>
        <s v="KFC NASSER SQUARE, AE"/>
        <s v="e&amp; Digital App, AE"/>
        <s v="RTA-DUBAI METRO-TVM TE, AE"/>
        <s v="PLANET PHARMACIES LLC, AE"/>
        <s v="Al Khayam Supermarket, AE"/>
        <s v="Shj club cafeteria, AE"/>
        <s v="NOON, AE"/>
        <s v="ENOC-SITE NO.68, AE"/>
        <s v="1121 NOOR AL SHEFAA PHARM, AE"/>
        <s v="BUHAYRAT ALHADEEKAH  CAFE, AE"/>
        <s v="GOVT OF SHARJAH, AE"/>
        <s v="SAQER AL MADINA SUPERM, AE"/>
        <s v="RAHAT SWEETS AND PASTRY, AE"/>
        <s v="BESTOON SAMAD IRAQI FOOD, AE"/>
        <s v="ENOC SITE 1061, AE"/>
        <s v="MUHAMMAD FAISAL RESTURANT, AE"/>
        <s v="AL YAMEN MANDI RESTAURA, AE"/>
        <s v="Amazon.ae, AE"/>
        <s v="ENOC SITE - 1007, AE"/>
        <s v="LAFFAH RESTAURANT LLC, AE"/>
        <s v="INHOUSE CHEQUE - DEBIT - CHEQUE 100034"/>
        <s v="RIQQA AL RAYYAN MANDI BR, AE"/>
        <s v="SULAIYA SUPERMARKET, AE"/>
        <s v="TALAL SUPERMARKET LLC, AE"/>
        <s v="Jafar Reza Gen Trading, AE"/>
        <s v="DAY TO DAY  UNION BR, AE"/>
        <s v="EMIRATES   62206099864-2(AUD 9661.33 ), AU"/>
        <s v="EMIRATES.CO 4220124569, AE"/>
        <s v="WALK  TEA CAFETERIA, AE"/>
        <s v="WADI SHEES VEG N FRUIT, AE"/>
        <s v="ADNOC AL BATAYEH 272, AE"/>
        <s v="EMARAT 6740 AL MAWRED, AE"/>
        <s v="EPPCO SITE 77, AE"/>
        <s v="KHOR FAKKAN MUNICIPALITY, AE"/>
        <s v="MOHAMMAD ABDULLA VEG N, AE"/>
        <s v="AL ZAYTOON AL ASFAR VEG, AE"/>
        <s v="GET MORE AND SMILE GENE, AE"/>
        <s v="RELIEF PHARMACY LLC BR, AE"/>
        <s v="AL NOOR POLYCLINIC LLC, AE"/>
        <s v="Amazon Grocery, AE"/>
        <s v="VITA FUEL TRADING LLC, AE"/>
        <s v="AFGHAN KABAB HOUSE LLC, AE"/>
        <s v="K M A GROCERY LLC, AE"/>
        <s v="Inward Clearing Debit - CHEQUE 100039"/>
      </sharedItems>
    </cacheField>
    <cacheField name="DEBIT" numFmtId="0">
      <sharedItems containsDate="1" containsMixedTypes="1" minDate="1918-05-05T00:00:00" maxDate="1899-12-30T00:00:00" count="123">
        <n v="310.07"/>
        <n v="258.85000000000002"/>
        <n v="189"/>
        <n v="213"/>
        <n v="35"/>
        <n v="7"/>
        <n v="27"/>
        <n v="208.95"/>
        <n v="30"/>
        <n v="40"/>
        <n v="252.33"/>
        <n v="19.98"/>
        <n v="95"/>
        <n v="2.95"/>
        <n v="33.450000000000003"/>
        <n v="5088.68"/>
        <n v="2.99"/>
        <n v="17991.310000000001"/>
        <n v="3030.71"/>
        <n v="17"/>
        <n v="4"/>
        <n v="19.989999999999998"/>
        <n v="20"/>
        <n v="651.45000000000005"/>
        <n v="34"/>
        <n v="61"/>
        <n v="319.82"/>
        <n v="477.93"/>
        <n v="16.75"/>
        <n v="15968.42"/>
        <n v="1575"/>
        <n v="12.6"/>
        <n v="37.15"/>
        <n v="77.400000000000006"/>
        <n v="129"/>
        <n v="16"/>
        <n v="3"/>
        <n v="16.5"/>
        <n v="320"/>
        <n v="375.04"/>
        <n v="31.45"/>
        <n v="3.25"/>
        <n v="9"/>
        <n v="91"/>
        <n v="149"/>
        <n v="13"/>
        <n v="227.43"/>
        <n v="103"/>
        <n v="6"/>
        <n v="99"/>
        <n v="59"/>
        <n v="60"/>
        <n v="32"/>
        <n v="21.5"/>
        <n v="50"/>
        <n v="313.95999999999998"/>
        <n v="645.44000000000005"/>
        <n v="285.52"/>
        <n v="13.5"/>
        <n v="12.5"/>
        <n v="70"/>
        <n v="88.6"/>
        <n v="79"/>
        <n v="553.34"/>
        <n v="10"/>
        <n v="8.5"/>
        <n v="14.5"/>
        <n v="330"/>
        <n v="315"/>
        <n v="44"/>
        <n v="20.5"/>
        <n v="155"/>
        <n v="68.45"/>
        <n v="25"/>
        <n v="1423.95"/>
        <n v="52.53"/>
        <n v="84.96"/>
        <n v="1399"/>
        <n v="97"/>
        <n v="303"/>
        <n v="503.17"/>
        <n v="29.9"/>
        <n v="5.04"/>
        <d v="1918-05-05T00:00:00"/>
        <n v="48.5"/>
        <n v="49"/>
        <n v="148"/>
        <n v="30.64"/>
        <n v="50.75"/>
        <n v="66"/>
        <n v="12"/>
        <n v="113.89"/>
        <n v="25862.83"/>
        <s v="35.99 CR"/>
        <n v="11"/>
        <n v="111.54"/>
        <n v="190"/>
        <n v="299"/>
        <n v="2.75"/>
        <n v="1.99"/>
        <n v="1.89"/>
        <n v="193.78"/>
        <n v="51.94"/>
        <n v="54"/>
        <n v="15.5"/>
        <n v="6.5"/>
        <n v="20.27"/>
        <n v="15"/>
        <n v="661.47"/>
        <n v="472.4"/>
        <n v="84"/>
        <n v="130.5"/>
        <n v="28.24"/>
        <n v="475.1"/>
        <n v="48.32"/>
        <n v="394.99"/>
        <n v="37"/>
        <n v="38"/>
        <n v="26.78"/>
        <n v="18.75"/>
        <n v="347.42"/>
        <n v="198"/>
        <n v="18249"/>
      </sharedItems>
    </cacheField>
    <cacheField name="Name" numFmtId="0">
      <sharedItems count="4">
        <s v="Faisal Bhai"/>
        <s v="Swiss Tech"/>
        <s v="Mudassir"/>
        <s v="Waheed Bhai"/>
      </sharedItems>
    </cacheField>
    <cacheField name="Months (TRANS DATE)" numFmtId="0" databaseField="0">
      <fieldGroup base="0">
        <rangePr groupBy="months" startDate="2025-12-08T00:00:00" endDate="2026-03-07T00:00:00"/>
        <groupItems count="14">
          <s v="&lt;08/12/2025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07/03/2026"/>
        </groupItems>
      </fieldGroup>
    </cacheField>
    <cacheField name="Quarters (TRANS DATE)" numFmtId="0" databaseField="0">
      <fieldGroup base="0">
        <rangePr groupBy="quarters" startDate="2025-12-08T00:00:00" endDate="2026-03-07T00:00:00"/>
        <groupItems count="6">
          <s v="&lt;08/12/2025"/>
          <s v="Qtr1"/>
          <s v="Qtr2"/>
          <s v="Qtr3"/>
          <s v="Qtr4"/>
          <s v="&gt;07/03/2026"/>
        </groupItems>
      </fieldGroup>
    </cacheField>
    <cacheField name="Years (TRANS DATE)" numFmtId="0" databaseField="0">
      <fieldGroup base="0">
        <rangePr groupBy="years" startDate="2025-12-08T00:00:00" endDate="2026-03-07T00:00:00"/>
        <groupItems count="4">
          <s v="&lt;08/12/2025"/>
          <s v="2025"/>
          <s v="2026"/>
          <s v="&gt;07/03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7">
  <r>
    <x v="0"/>
    <x v="0"/>
    <x v="0"/>
    <x v="0"/>
    <x v="0"/>
  </r>
  <r>
    <x v="0"/>
    <x v="1"/>
    <x v="1"/>
    <x v="1"/>
    <x v="1"/>
  </r>
  <r>
    <x v="0"/>
    <x v="2"/>
    <x v="2"/>
    <x v="2"/>
    <x v="2"/>
  </r>
  <r>
    <x v="0"/>
    <x v="3"/>
    <x v="2"/>
    <x v="3"/>
    <x v="2"/>
  </r>
  <r>
    <x v="1"/>
    <x v="4"/>
    <x v="3"/>
    <x v="4"/>
    <x v="0"/>
  </r>
  <r>
    <x v="1"/>
    <x v="5"/>
    <x v="4"/>
    <x v="5"/>
    <x v="0"/>
  </r>
  <r>
    <x v="1"/>
    <x v="6"/>
    <x v="5"/>
    <x v="6"/>
    <x v="0"/>
  </r>
  <r>
    <x v="1"/>
    <x v="7"/>
    <x v="6"/>
    <x v="7"/>
    <x v="1"/>
  </r>
  <r>
    <x v="2"/>
    <x v="8"/>
    <x v="3"/>
    <x v="8"/>
    <x v="0"/>
  </r>
  <r>
    <x v="3"/>
    <x v="9"/>
    <x v="7"/>
    <x v="9"/>
    <x v="0"/>
  </r>
  <r>
    <x v="3"/>
    <x v="10"/>
    <x v="0"/>
    <x v="10"/>
    <x v="0"/>
  </r>
  <r>
    <x v="3"/>
    <x v="11"/>
    <x v="0"/>
    <x v="11"/>
    <x v="0"/>
  </r>
  <r>
    <x v="3"/>
    <x v="12"/>
    <x v="8"/>
    <x v="12"/>
    <x v="0"/>
  </r>
  <r>
    <x v="4"/>
    <x v="13"/>
    <x v="4"/>
    <x v="13"/>
    <x v="0"/>
  </r>
  <r>
    <x v="4"/>
    <x v="14"/>
    <x v="9"/>
    <x v="14"/>
    <x v="0"/>
  </r>
  <r>
    <x v="4"/>
    <x v="15"/>
    <x v="10"/>
    <x v="15"/>
    <x v="3"/>
  </r>
  <r>
    <x v="5"/>
    <x v="16"/>
    <x v="11"/>
    <x v="16"/>
    <x v="0"/>
  </r>
  <r>
    <x v="5"/>
    <x v="17"/>
    <x v="12"/>
    <x v="17"/>
    <x v="3"/>
  </r>
  <r>
    <x v="5"/>
    <x v="18"/>
    <x v="13"/>
    <x v="18"/>
    <x v="3"/>
  </r>
  <r>
    <x v="6"/>
    <x v="19"/>
    <x v="14"/>
    <x v="19"/>
    <x v="0"/>
  </r>
  <r>
    <x v="6"/>
    <x v="20"/>
    <x v="15"/>
    <x v="20"/>
    <x v="0"/>
  </r>
  <r>
    <x v="6"/>
    <x v="21"/>
    <x v="15"/>
    <x v="20"/>
    <x v="0"/>
  </r>
  <r>
    <x v="6"/>
    <x v="22"/>
    <x v="16"/>
    <x v="21"/>
    <x v="0"/>
  </r>
  <r>
    <x v="7"/>
    <x v="23"/>
    <x v="17"/>
    <x v="22"/>
    <x v="0"/>
  </r>
  <r>
    <x v="8"/>
    <x v="24"/>
    <x v="1"/>
    <x v="23"/>
    <x v="0"/>
  </r>
  <r>
    <x v="8"/>
    <x v="25"/>
    <x v="14"/>
    <x v="24"/>
    <x v="0"/>
  </r>
  <r>
    <x v="8"/>
    <x v="26"/>
    <x v="18"/>
    <x v="25"/>
    <x v="0"/>
  </r>
  <r>
    <x v="8"/>
    <x v="27"/>
    <x v="0"/>
    <x v="20"/>
    <x v="0"/>
  </r>
  <r>
    <x v="8"/>
    <x v="28"/>
    <x v="0"/>
    <x v="26"/>
    <x v="0"/>
  </r>
  <r>
    <x v="8"/>
    <x v="29"/>
    <x v="0"/>
    <x v="27"/>
    <x v="0"/>
  </r>
  <r>
    <x v="8"/>
    <x v="30"/>
    <x v="0"/>
    <x v="28"/>
    <x v="0"/>
  </r>
  <r>
    <x v="9"/>
    <x v="31"/>
    <x v="19"/>
    <x v="29"/>
    <x v="3"/>
  </r>
  <r>
    <x v="10"/>
    <x v="32"/>
    <x v="20"/>
    <x v="30"/>
    <x v="1"/>
  </r>
  <r>
    <x v="11"/>
    <x v="33"/>
    <x v="21"/>
    <x v="31"/>
    <x v="0"/>
  </r>
  <r>
    <x v="11"/>
    <x v="34"/>
    <x v="22"/>
    <x v="32"/>
    <x v="0"/>
  </r>
  <r>
    <x v="12"/>
    <x v="35"/>
    <x v="22"/>
    <x v="33"/>
    <x v="0"/>
  </r>
  <r>
    <x v="13"/>
    <x v="36"/>
    <x v="23"/>
    <x v="34"/>
    <x v="0"/>
  </r>
  <r>
    <x v="13"/>
    <x v="37"/>
    <x v="24"/>
    <x v="19"/>
    <x v="0"/>
  </r>
  <r>
    <x v="13"/>
    <x v="38"/>
    <x v="25"/>
    <x v="35"/>
    <x v="0"/>
  </r>
  <r>
    <x v="13"/>
    <x v="39"/>
    <x v="26"/>
    <x v="36"/>
    <x v="0"/>
  </r>
  <r>
    <x v="13"/>
    <x v="40"/>
    <x v="27"/>
    <x v="37"/>
    <x v="0"/>
  </r>
  <r>
    <x v="13"/>
    <x v="41"/>
    <x v="28"/>
    <x v="38"/>
    <x v="0"/>
  </r>
  <r>
    <x v="14"/>
    <x v="42"/>
    <x v="29"/>
    <x v="39"/>
    <x v="0"/>
  </r>
  <r>
    <x v="15"/>
    <x v="43"/>
    <x v="30"/>
    <x v="40"/>
    <x v="0"/>
  </r>
  <r>
    <x v="15"/>
    <x v="44"/>
    <x v="4"/>
    <x v="41"/>
    <x v="0"/>
  </r>
  <r>
    <x v="16"/>
    <x v="45"/>
    <x v="31"/>
    <x v="42"/>
    <x v="0"/>
  </r>
  <r>
    <x v="17"/>
    <x v="46"/>
    <x v="32"/>
    <x v="43"/>
    <x v="0"/>
  </r>
  <r>
    <x v="17"/>
    <x v="47"/>
    <x v="33"/>
    <x v="8"/>
    <x v="0"/>
  </r>
  <r>
    <x v="17"/>
    <x v="48"/>
    <x v="34"/>
    <x v="44"/>
    <x v="0"/>
  </r>
  <r>
    <x v="17"/>
    <x v="49"/>
    <x v="34"/>
    <x v="45"/>
    <x v="0"/>
  </r>
  <r>
    <x v="17"/>
    <x v="50"/>
    <x v="35"/>
    <x v="46"/>
    <x v="0"/>
  </r>
  <r>
    <x v="18"/>
    <x v="51"/>
    <x v="36"/>
    <x v="47"/>
    <x v="0"/>
  </r>
  <r>
    <x v="19"/>
    <x v="52"/>
    <x v="37"/>
    <x v="42"/>
    <x v="0"/>
  </r>
  <r>
    <x v="20"/>
    <x v="53"/>
    <x v="38"/>
    <x v="48"/>
    <x v="0"/>
  </r>
  <r>
    <x v="20"/>
    <x v="54"/>
    <x v="0"/>
    <x v="49"/>
    <x v="0"/>
  </r>
  <r>
    <x v="20"/>
    <x v="55"/>
    <x v="0"/>
    <x v="50"/>
    <x v="0"/>
  </r>
  <r>
    <x v="20"/>
    <x v="56"/>
    <x v="0"/>
    <x v="51"/>
    <x v="0"/>
  </r>
  <r>
    <x v="20"/>
    <x v="57"/>
    <x v="5"/>
    <x v="52"/>
    <x v="0"/>
  </r>
  <r>
    <x v="21"/>
    <x v="58"/>
    <x v="31"/>
    <x v="42"/>
    <x v="0"/>
  </r>
  <r>
    <x v="22"/>
    <x v="59"/>
    <x v="27"/>
    <x v="53"/>
    <x v="0"/>
  </r>
  <r>
    <x v="23"/>
    <x v="60"/>
    <x v="6"/>
    <x v="7"/>
    <x v="1"/>
  </r>
  <r>
    <x v="24"/>
    <x v="61"/>
    <x v="39"/>
    <x v="54"/>
    <x v="0"/>
  </r>
  <r>
    <x v="25"/>
    <x v="62"/>
    <x v="40"/>
    <x v="55"/>
    <x v="0"/>
  </r>
  <r>
    <x v="25"/>
    <x v="63"/>
    <x v="41"/>
    <x v="48"/>
    <x v="0"/>
  </r>
  <r>
    <x v="26"/>
    <x v="64"/>
    <x v="1"/>
    <x v="56"/>
    <x v="0"/>
  </r>
  <r>
    <x v="27"/>
    <x v="65"/>
    <x v="1"/>
    <x v="57"/>
    <x v="1"/>
  </r>
  <r>
    <x v="27"/>
    <x v="66"/>
    <x v="42"/>
    <x v="58"/>
    <x v="0"/>
  </r>
  <r>
    <x v="27"/>
    <x v="67"/>
    <x v="43"/>
    <x v="53"/>
    <x v="0"/>
  </r>
  <r>
    <x v="27"/>
    <x v="68"/>
    <x v="44"/>
    <x v="59"/>
    <x v="0"/>
  </r>
  <r>
    <x v="27"/>
    <x v="69"/>
    <x v="45"/>
    <x v="60"/>
    <x v="0"/>
  </r>
  <r>
    <x v="28"/>
    <x v="70"/>
    <x v="46"/>
    <x v="61"/>
    <x v="0"/>
  </r>
  <r>
    <x v="28"/>
    <x v="71"/>
    <x v="22"/>
    <x v="62"/>
    <x v="0"/>
  </r>
  <r>
    <x v="29"/>
    <x v="72"/>
    <x v="31"/>
    <x v="42"/>
    <x v="0"/>
  </r>
  <r>
    <x v="29"/>
    <x v="73"/>
    <x v="0"/>
    <x v="63"/>
    <x v="0"/>
  </r>
  <r>
    <x v="30"/>
    <x v="74"/>
    <x v="47"/>
    <x v="37"/>
    <x v="0"/>
  </r>
  <r>
    <x v="30"/>
    <x v="75"/>
    <x v="46"/>
    <x v="8"/>
    <x v="0"/>
  </r>
  <r>
    <x v="30"/>
    <x v="76"/>
    <x v="48"/>
    <x v="24"/>
    <x v="0"/>
  </r>
  <r>
    <x v="30"/>
    <x v="77"/>
    <x v="49"/>
    <x v="64"/>
    <x v="0"/>
  </r>
  <r>
    <x v="31"/>
    <x v="78"/>
    <x v="4"/>
    <x v="36"/>
    <x v="0"/>
  </r>
  <r>
    <x v="31"/>
    <x v="79"/>
    <x v="50"/>
    <x v="65"/>
    <x v="0"/>
  </r>
  <r>
    <x v="31"/>
    <x v="80"/>
    <x v="51"/>
    <x v="66"/>
    <x v="0"/>
  </r>
  <r>
    <x v="31"/>
    <x v="81"/>
    <x v="52"/>
    <x v="67"/>
    <x v="0"/>
  </r>
  <r>
    <x v="31"/>
    <x v="82"/>
    <x v="29"/>
    <x v="68"/>
    <x v="0"/>
  </r>
  <r>
    <x v="32"/>
    <x v="83"/>
    <x v="53"/>
    <x v="4"/>
    <x v="0"/>
  </r>
  <r>
    <x v="32"/>
    <x v="84"/>
    <x v="54"/>
    <x v="69"/>
    <x v="0"/>
  </r>
  <r>
    <x v="33"/>
    <x v="85"/>
    <x v="51"/>
    <x v="70"/>
    <x v="0"/>
  </r>
  <r>
    <x v="33"/>
    <x v="86"/>
    <x v="55"/>
    <x v="25"/>
    <x v="0"/>
  </r>
  <r>
    <x v="33"/>
    <x v="87"/>
    <x v="9"/>
    <x v="6"/>
    <x v="0"/>
  </r>
  <r>
    <x v="33"/>
    <x v="88"/>
    <x v="36"/>
    <x v="71"/>
    <x v="0"/>
  </r>
  <r>
    <x v="33"/>
    <x v="89"/>
    <x v="0"/>
    <x v="72"/>
    <x v="0"/>
  </r>
  <r>
    <x v="34"/>
    <x v="90"/>
    <x v="17"/>
    <x v="73"/>
    <x v="0"/>
  </r>
  <r>
    <x v="35"/>
    <x v="91"/>
    <x v="56"/>
    <x v="74"/>
    <x v="0"/>
  </r>
  <r>
    <x v="35"/>
    <x v="92"/>
    <x v="0"/>
    <x v="75"/>
    <x v="0"/>
  </r>
  <r>
    <x v="36"/>
    <x v="93"/>
    <x v="56"/>
    <x v="76"/>
    <x v="0"/>
  </r>
  <r>
    <x v="37"/>
    <x v="94"/>
    <x v="46"/>
    <x v="54"/>
    <x v="0"/>
  </r>
  <r>
    <x v="38"/>
    <x v="95"/>
    <x v="56"/>
    <x v="76"/>
    <x v="0"/>
  </r>
  <r>
    <x v="38"/>
    <x v="96"/>
    <x v="56"/>
    <x v="77"/>
    <x v="0"/>
  </r>
  <r>
    <x v="38"/>
    <x v="97"/>
    <x v="57"/>
    <x v="8"/>
    <x v="0"/>
  </r>
  <r>
    <x v="39"/>
    <x v="98"/>
    <x v="58"/>
    <x v="78"/>
    <x v="0"/>
  </r>
  <r>
    <x v="39"/>
    <x v="99"/>
    <x v="2"/>
    <x v="79"/>
    <x v="2"/>
  </r>
  <r>
    <x v="39"/>
    <x v="100"/>
    <x v="16"/>
    <x v="49"/>
    <x v="0"/>
  </r>
  <r>
    <x v="39"/>
    <x v="101"/>
    <x v="0"/>
    <x v="80"/>
    <x v="0"/>
  </r>
  <r>
    <x v="40"/>
    <x v="102"/>
    <x v="30"/>
    <x v="81"/>
    <x v="0"/>
  </r>
  <r>
    <x v="40"/>
    <x v="103"/>
    <x v="4"/>
    <x v="82"/>
    <x v="0"/>
  </r>
  <r>
    <x v="40"/>
    <x v="104"/>
    <x v="59"/>
    <x v="83"/>
    <x v="1"/>
  </r>
  <r>
    <x v="41"/>
    <x v="105"/>
    <x v="34"/>
    <x v="84"/>
    <x v="0"/>
  </r>
  <r>
    <x v="42"/>
    <x v="106"/>
    <x v="24"/>
    <x v="85"/>
    <x v="0"/>
  </r>
  <r>
    <x v="42"/>
    <x v="107"/>
    <x v="60"/>
    <x v="86"/>
    <x v="0"/>
  </r>
  <r>
    <x v="43"/>
    <x v="108"/>
    <x v="6"/>
    <x v="7"/>
    <x v="1"/>
  </r>
  <r>
    <x v="43"/>
    <x v="109"/>
    <x v="61"/>
    <x v="87"/>
    <x v="0"/>
  </r>
  <r>
    <x v="43"/>
    <x v="110"/>
    <x v="62"/>
    <x v="66"/>
    <x v="0"/>
  </r>
  <r>
    <x v="43"/>
    <x v="111"/>
    <x v="18"/>
    <x v="8"/>
    <x v="0"/>
  </r>
  <r>
    <x v="44"/>
    <x v="112"/>
    <x v="30"/>
    <x v="88"/>
    <x v="0"/>
  </r>
  <r>
    <x v="44"/>
    <x v="113"/>
    <x v="63"/>
    <x v="89"/>
    <x v="0"/>
  </r>
  <r>
    <x v="44"/>
    <x v="114"/>
    <x v="24"/>
    <x v="90"/>
    <x v="0"/>
  </r>
  <r>
    <x v="44"/>
    <x v="115"/>
    <x v="64"/>
    <x v="91"/>
    <x v="0"/>
  </r>
  <r>
    <x v="45"/>
    <x v="116"/>
    <x v="65"/>
    <x v="92"/>
    <x v="3"/>
  </r>
  <r>
    <x v="45"/>
    <x v="117"/>
    <x v="56"/>
    <x v="93"/>
    <x v="0"/>
  </r>
  <r>
    <x v="46"/>
    <x v="118"/>
    <x v="31"/>
    <x v="94"/>
    <x v="0"/>
  </r>
  <r>
    <x v="46"/>
    <x v="119"/>
    <x v="0"/>
    <x v="95"/>
    <x v="0"/>
  </r>
  <r>
    <x v="47"/>
    <x v="120"/>
    <x v="66"/>
    <x v="96"/>
    <x v="3"/>
  </r>
  <r>
    <x v="48"/>
    <x v="121"/>
    <x v="2"/>
    <x v="97"/>
    <x v="2"/>
  </r>
  <r>
    <x v="48"/>
    <x v="122"/>
    <x v="4"/>
    <x v="98"/>
    <x v="0"/>
  </r>
  <r>
    <x v="49"/>
    <x v="123"/>
    <x v="4"/>
    <x v="99"/>
    <x v="0"/>
  </r>
  <r>
    <x v="50"/>
    <x v="124"/>
    <x v="16"/>
    <x v="100"/>
    <x v="0"/>
  </r>
  <r>
    <x v="50"/>
    <x v="125"/>
    <x v="16"/>
    <x v="101"/>
    <x v="0"/>
  </r>
  <r>
    <x v="50"/>
    <x v="126"/>
    <x v="67"/>
    <x v="22"/>
    <x v="0"/>
  </r>
  <r>
    <x v="50"/>
    <x v="127"/>
    <x v="64"/>
    <x v="102"/>
    <x v="0"/>
  </r>
  <r>
    <x v="50"/>
    <x v="128"/>
    <x v="5"/>
    <x v="103"/>
    <x v="0"/>
  </r>
  <r>
    <x v="51"/>
    <x v="129"/>
    <x v="68"/>
    <x v="90"/>
    <x v="0"/>
  </r>
  <r>
    <x v="51"/>
    <x v="130"/>
    <x v="69"/>
    <x v="104"/>
    <x v="0"/>
  </r>
  <r>
    <x v="51"/>
    <x v="131"/>
    <x v="69"/>
    <x v="105"/>
    <x v="0"/>
  </r>
  <r>
    <x v="51"/>
    <x v="132"/>
    <x v="70"/>
    <x v="22"/>
    <x v="0"/>
  </r>
  <r>
    <x v="51"/>
    <x v="133"/>
    <x v="71"/>
    <x v="8"/>
    <x v="0"/>
  </r>
  <r>
    <x v="51"/>
    <x v="134"/>
    <x v="72"/>
    <x v="106"/>
    <x v="0"/>
  </r>
  <r>
    <x v="51"/>
    <x v="135"/>
    <x v="73"/>
    <x v="90"/>
    <x v="0"/>
  </r>
  <r>
    <x v="51"/>
    <x v="136"/>
    <x v="73"/>
    <x v="107"/>
    <x v="0"/>
  </r>
  <r>
    <x v="51"/>
    <x v="137"/>
    <x v="74"/>
    <x v="107"/>
    <x v="0"/>
  </r>
  <r>
    <x v="52"/>
    <x v="138"/>
    <x v="1"/>
    <x v="108"/>
    <x v="0"/>
  </r>
  <r>
    <x v="52"/>
    <x v="139"/>
    <x v="0"/>
    <x v="109"/>
    <x v="0"/>
  </r>
  <r>
    <x v="53"/>
    <x v="140"/>
    <x v="6"/>
    <x v="7"/>
    <x v="1"/>
  </r>
  <r>
    <x v="53"/>
    <x v="141"/>
    <x v="75"/>
    <x v="110"/>
    <x v="0"/>
  </r>
  <r>
    <x v="54"/>
    <x v="142"/>
    <x v="76"/>
    <x v="12"/>
    <x v="0"/>
  </r>
  <r>
    <x v="54"/>
    <x v="143"/>
    <x v="77"/>
    <x v="111"/>
    <x v="0"/>
  </r>
  <r>
    <x v="55"/>
    <x v="144"/>
    <x v="4"/>
    <x v="112"/>
    <x v="0"/>
  </r>
  <r>
    <x v="55"/>
    <x v="145"/>
    <x v="29"/>
    <x v="113"/>
    <x v="0"/>
  </r>
  <r>
    <x v="56"/>
    <x v="146"/>
    <x v="40"/>
    <x v="55"/>
    <x v="0"/>
  </r>
  <r>
    <x v="56"/>
    <x v="147"/>
    <x v="4"/>
    <x v="114"/>
    <x v="0"/>
  </r>
  <r>
    <x v="56"/>
    <x v="148"/>
    <x v="78"/>
    <x v="115"/>
    <x v="0"/>
  </r>
  <r>
    <x v="56"/>
    <x v="149"/>
    <x v="79"/>
    <x v="51"/>
    <x v="0"/>
  </r>
  <r>
    <x v="57"/>
    <x v="150"/>
    <x v="80"/>
    <x v="116"/>
    <x v="0"/>
  </r>
  <r>
    <x v="57"/>
    <x v="151"/>
    <x v="14"/>
    <x v="117"/>
    <x v="0"/>
  </r>
  <r>
    <x v="57"/>
    <x v="152"/>
    <x v="9"/>
    <x v="118"/>
    <x v="0"/>
  </r>
  <r>
    <x v="57"/>
    <x v="153"/>
    <x v="81"/>
    <x v="119"/>
    <x v="0"/>
  </r>
  <r>
    <x v="58"/>
    <x v="154"/>
    <x v="0"/>
    <x v="120"/>
    <x v="0"/>
  </r>
  <r>
    <x v="59"/>
    <x v="155"/>
    <x v="2"/>
    <x v="121"/>
    <x v="2"/>
  </r>
  <r>
    <x v="60"/>
    <x v="156"/>
    <x v="82"/>
    <x v="12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C4D7E8-0CBD-47E6-AF8A-4A36D37F1B7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64:B169" firstHeaderRow="1" firstDataRow="1" firstDataCol="1"/>
  <pivotFields count="8">
    <pivotField numFmtId="15" showAll="0">
      <items count="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showAll="0">
      <items count="158">
        <item x="141"/>
        <item x="155"/>
        <item x="121"/>
        <item x="2"/>
        <item x="3"/>
        <item x="147"/>
        <item x="138"/>
        <item x="112"/>
        <item x="140"/>
        <item x="108"/>
        <item x="7"/>
        <item x="60"/>
        <item x="21"/>
        <item x="97"/>
        <item x="142"/>
        <item x="45"/>
        <item x="87"/>
        <item x="19"/>
        <item x="149"/>
        <item x="132"/>
        <item x="124"/>
        <item x="67"/>
        <item x="48"/>
        <item x="53"/>
        <item x="58"/>
        <item x="47"/>
        <item x="22"/>
        <item x="89"/>
        <item x="49"/>
        <item x="126"/>
        <item x="59"/>
        <item x="38"/>
        <item x="39"/>
        <item x="125"/>
        <item x="88"/>
        <item x="43"/>
        <item x="130"/>
        <item x="131"/>
        <item x="139"/>
        <item x="44"/>
        <item x="64"/>
        <item x="36"/>
        <item x="101"/>
        <item x="46"/>
        <item x="114"/>
        <item x="65"/>
        <item x="116"/>
        <item x="94"/>
        <item x="40"/>
        <item x="32"/>
        <item x="31"/>
        <item x="14"/>
        <item x="5"/>
        <item x="72"/>
        <item x="148"/>
        <item x="109"/>
        <item x="134"/>
        <item x="12"/>
        <item x="133"/>
        <item x="91"/>
        <item x="129"/>
        <item x="150"/>
        <item x="9"/>
        <item x="83"/>
        <item x="4"/>
        <item x="73"/>
        <item x="24"/>
        <item x="15"/>
        <item x="93"/>
        <item x="57"/>
        <item x="153"/>
        <item x="84"/>
        <item x="13"/>
        <item x="54"/>
        <item x="55"/>
        <item x="56"/>
        <item x="92"/>
        <item x="6"/>
        <item x="26"/>
        <item x="143"/>
        <item x="27"/>
        <item x="17"/>
        <item x="18"/>
        <item x="77"/>
        <item x="95"/>
        <item x="8"/>
        <item x="96"/>
        <item x="122"/>
        <item x="98"/>
        <item x="28"/>
        <item x="29"/>
        <item x="70"/>
        <item x="30"/>
        <item x="145"/>
        <item x="102"/>
        <item x="119"/>
        <item x="68"/>
        <item x="151"/>
        <item x="82"/>
        <item x="78"/>
        <item x="41"/>
        <item x="154"/>
        <item x="128"/>
        <item x="71"/>
        <item x="100"/>
        <item x="75"/>
        <item x="152"/>
        <item x="118"/>
        <item x="16"/>
        <item x="25"/>
        <item x="127"/>
        <item x="35"/>
        <item x="135"/>
        <item x="136"/>
        <item x="137"/>
        <item x="79"/>
        <item x="90"/>
        <item x="120"/>
        <item x="123"/>
        <item x="80"/>
        <item x="10"/>
        <item x="11"/>
        <item x="115"/>
        <item x="113"/>
        <item x="144"/>
        <item x="110"/>
        <item x="117"/>
        <item x="50"/>
        <item x="63"/>
        <item x="42"/>
        <item x="111"/>
        <item x="37"/>
        <item x="81"/>
        <item x="1"/>
        <item x="76"/>
        <item x="103"/>
        <item x="85"/>
        <item x="0"/>
        <item x="33"/>
        <item x="34"/>
        <item x="62"/>
        <item x="146"/>
        <item x="23"/>
        <item x="69"/>
        <item x="86"/>
        <item x="20"/>
        <item x="99"/>
        <item x="74"/>
        <item x="66"/>
        <item x="52"/>
        <item x="107"/>
        <item x="106"/>
        <item x="61"/>
        <item x="51"/>
        <item x="105"/>
        <item x="104"/>
        <item x="156"/>
        <item t="default"/>
      </items>
    </pivotField>
    <pivotField showAll="0">
      <items count="84">
        <item x="47"/>
        <item x="23"/>
        <item x="69"/>
        <item x="33"/>
        <item x="80"/>
        <item x="8"/>
        <item x="43"/>
        <item x="4"/>
        <item x="77"/>
        <item x="55"/>
        <item x="74"/>
        <item x="78"/>
        <item x="56"/>
        <item x="20"/>
        <item x="27"/>
        <item x="17"/>
        <item x="52"/>
        <item x="36"/>
        <item x="48"/>
        <item x="10"/>
        <item x="13"/>
        <item x="12"/>
        <item x="16"/>
        <item x="25"/>
        <item x="9"/>
        <item x="64"/>
        <item x="18"/>
        <item x="6"/>
        <item x="1"/>
        <item x="24"/>
        <item x="40"/>
        <item x="38"/>
        <item x="70"/>
        <item x="65"/>
        <item x="66"/>
        <item x="7"/>
        <item x="57"/>
        <item x="53"/>
        <item x="46"/>
        <item x="71"/>
        <item x="11"/>
        <item x="31"/>
        <item x="2"/>
        <item x="75"/>
        <item x="49"/>
        <item x="37"/>
        <item x="59"/>
        <item x="82"/>
        <item x="21"/>
        <item x="63"/>
        <item x="3"/>
        <item x="81"/>
        <item x="39"/>
        <item x="72"/>
        <item x="32"/>
        <item x="58"/>
        <item x="29"/>
        <item x="73"/>
        <item x="54"/>
        <item x="0"/>
        <item x="35"/>
        <item x="34"/>
        <item x="19"/>
        <item x="22"/>
        <item x="45"/>
        <item x="14"/>
        <item x="42"/>
        <item x="26"/>
        <item x="51"/>
        <item x="76"/>
        <item x="60"/>
        <item x="15"/>
        <item x="41"/>
        <item x="50"/>
        <item x="44"/>
        <item x="28"/>
        <item x="61"/>
        <item x="30"/>
        <item x="5"/>
        <item x="62"/>
        <item x="79"/>
        <item x="68"/>
        <item x="67"/>
        <item t="default"/>
      </items>
    </pivotField>
    <pivotField dataField="1" showAll="0">
      <items count="124">
        <item x="100"/>
        <item x="99"/>
        <item x="98"/>
        <item x="13"/>
        <item x="16"/>
        <item x="36"/>
        <item x="41"/>
        <item x="20"/>
        <item x="82"/>
        <item x="48"/>
        <item x="105"/>
        <item x="5"/>
        <item x="65"/>
        <item x="42"/>
        <item x="64"/>
        <item x="94"/>
        <item x="90"/>
        <item x="59"/>
        <item x="31"/>
        <item x="45"/>
        <item x="58"/>
        <item x="66"/>
        <item x="107"/>
        <item x="104"/>
        <item x="35"/>
        <item x="37"/>
        <item x="28"/>
        <item x="19"/>
        <item x="119"/>
        <item x="11"/>
        <item x="21"/>
        <item x="22"/>
        <item x="106"/>
        <item x="70"/>
        <item x="53"/>
        <item x="73"/>
        <item x="118"/>
        <item x="6"/>
        <item x="112"/>
        <item x="81"/>
        <item x="8"/>
        <item x="87"/>
        <item x="40"/>
        <item x="52"/>
        <item x="14"/>
        <item x="24"/>
        <item x="4"/>
        <item x="116"/>
        <item x="32"/>
        <item x="117"/>
        <item x="9"/>
        <item x="69"/>
        <item x="114"/>
        <item x="84"/>
        <item x="85"/>
        <item x="54"/>
        <item x="88"/>
        <item x="102"/>
        <item x="75"/>
        <item x="103"/>
        <item x="50"/>
        <item x="51"/>
        <item x="25"/>
        <item x="89"/>
        <item x="72"/>
        <item x="60"/>
        <item x="33"/>
        <item x="62"/>
        <item x="110"/>
        <item x="76"/>
        <item x="61"/>
        <item x="43"/>
        <item x="12"/>
        <item x="78"/>
        <item x="49"/>
        <item x="47"/>
        <item x="95"/>
        <item x="91"/>
        <item x="34"/>
        <item x="111"/>
        <item x="86"/>
        <item x="44"/>
        <item x="71"/>
        <item x="2"/>
        <item x="96"/>
        <item x="101"/>
        <item x="121"/>
        <item x="7"/>
        <item x="3"/>
        <item x="46"/>
        <item x="10"/>
        <item x="1"/>
        <item x="57"/>
        <item x="97"/>
        <item x="79"/>
        <item x="0"/>
        <item x="55"/>
        <item x="68"/>
        <item x="26"/>
        <item x="38"/>
        <item x="67"/>
        <item x="120"/>
        <item x="39"/>
        <item x="115"/>
        <item x="109"/>
        <item x="113"/>
        <item x="27"/>
        <item x="80"/>
        <item x="63"/>
        <item x="56"/>
        <item x="23"/>
        <item x="108"/>
        <item x="77"/>
        <item x="74"/>
        <item x="30"/>
        <item x="18"/>
        <item x="15"/>
        <item x="29"/>
        <item x="17"/>
        <item x="122"/>
        <item x="92"/>
        <item x="93"/>
        <item x="83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Qty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78C8A-2D63-41C4-9CB0-C2391C902778}">
  <dimension ref="A1:E169"/>
  <sheetViews>
    <sheetView topLeftCell="A3" workbookViewId="0">
      <selection activeCell="C8" sqref="C8"/>
    </sheetView>
  </sheetViews>
  <sheetFormatPr defaultRowHeight="14.4" x14ac:dyDescent="0.3"/>
  <cols>
    <col min="1" max="1" width="20" customWidth="1"/>
    <col min="2" max="2" width="24.5546875" customWidth="1"/>
    <col min="3" max="3" width="57.6640625" customWidth="1"/>
    <col min="4" max="4" width="15.44140625" bestFit="1" customWidth="1"/>
    <col min="5" max="5" width="17.109375" customWidth="1"/>
  </cols>
  <sheetData>
    <row r="1" spans="1:5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29</v>
      </c>
    </row>
    <row r="2" spans="1:5" ht="15.6" x14ac:dyDescent="0.3">
      <c r="A2" s="32">
        <v>45997</v>
      </c>
      <c r="B2" s="30"/>
      <c r="C2" s="30"/>
      <c r="D2" s="31">
        <v>6700</v>
      </c>
      <c r="E2" s="10" t="s">
        <v>26</v>
      </c>
    </row>
    <row r="3" spans="1:5" ht="15" x14ac:dyDescent="0.3">
      <c r="A3" s="8">
        <v>45999</v>
      </c>
      <c r="B3" s="7">
        <v>99646233</v>
      </c>
      <c r="C3" s="7" t="s">
        <v>15</v>
      </c>
      <c r="D3" s="7">
        <v>310.07</v>
      </c>
      <c r="E3" s="10" t="s">
        <v>25</v>
      </c>
    </row>
    <row r="4" spans="1:5" ht="15" x14ac:dyDescent="0.3">
      <c r="A4" s="8">
        <v>45999</v>
      </c>
      <c r="B4" s="10">
        <v>95909903</v>
      </c>
      <c r="C4" s="7" t="s">
        <v>50</v>
      </c>
      <c r="D4" s="10">
        <v>258.85000000000002</v>
      </c>
      <c r="E4" s="10" t="s">
        <v>26</v>
      </c>
    </row>
    <row r="5" spans="1:5" ht="15" x14ac:dyDescent="0.3">
      <c r="A5" s="8">
        <v>45999</v>
      </c>
      <c r="B5" s="10">
        <v>3930202</v>
      </c>
      <c r="C5" s="7" t="s">
        <v>51</v>
      </c>
      <c r="D5" s="10">
        <v>189</v>
      </c>
      <c r="E5" s="10" t="s">
        <v>28</v>
      </c>
    </row>
    <row r="6" spans="1:5" ht="15" x14ac:dyDescent="0.3">
      <c r="A6" s="8">
        <v>45999</v>
      </c>
      <c r="B6" s="10">
        <v>3930210</v>
      </c>
      <c r="C6" s="7" t="s">
        <v>51</v>
      </c>
      <c r="D6" s="10">
        <v>213</v>
      </c>
      <c r="E6" s="10" t="s">
        <v>28</v>
      </c>
    </row>
    <row r="7" spans="1:5" ht="15" x14ac:dyDescent="0.3">
      <c r="A7" s="8">
        <v>46001</v>
      </c>
      <c r="B7" s="7">
        <v>52173607</v>
      </c>
      <c r="C7" s="7" t="s">
        <v>16</v>
      </c>
      <c r="D7" s="7">
        <v>35</v>
      </c>
      <c r="E7" s="10" t="s">
        <v>25</v>
      </c>
    </row>
    <row r="8" spans="1:5" ht="15" x14ac:dyDescent="0.3">
      <c r="A8" s="8">
        <v>46001</v>
      </c>
      <c r="B8" s="7">
        <v>44847299</v>
      </c>
      <c r="C8" s="7" t="s">
        <v>17</v>
      </c>
      <c r="D8" s="7">
        <v>7</v>
      </c>
      <c r="E8" s="10" t="s">
        <v>25</v>
      </c>
    </row>
    <row r="9" spans="1:5" ht="15" x14ac:dyDescent="0.3">
      <c r="A9" s="8">
        <v>46001</v>
      </c>
      <c r="B9" s="7">
        <v>60713025</v>
      </c>
      <c r="C9" s="7" t="s">
        <v>30</v>
      </c>
      <c r="D9" s="7">
        <v>27</v>
      </c>
      <c r="E9" s="10" t="s">
        <v>25</v>
      </c>
    </row>
    <row r="10" spans="1:5" ht="15" x14ac:dyDescent="0.3">
      <c r="A10" s="8">
        <v>46001</v>
      </c>
      <c r="B10" s="10">
        <v>11284678</v>
      </c>
      <c r="C10" s="7" t="s">
        <v>52</v>
      </c>
      <c r="D10" s="10">
        <v>208.95</v>
      </c>
      <c r="E10" s="10" t="s">
        <v>26</v>
      </c>
    </row>
    <row r="11" spans="1:5" ht="15" x14ac:dyDescent="0.3">
      <c r="A11" s="8">
        <v>46002</v>
      </c>
      <c r="B11" s="7">
        <v>64933304</v>
      </c>
      <c r="C11" s="7" t="s">
        <v>16</v>
      </c>
      <c r="D11" s="7">
        <v>30</v>
      </c>
      <c r="E11" s="10" t="s">
        <v>25</v>
      </c>
    </row>
    <row r="12" spans="1:5" ht="15" x14ac:dyDescent="0.3">
      <c r="A12" s="8">
        <v>46005</v>
      </c>
      <c r="B12" s="7">
        <v>50893601</v>
      </c>
      <c r="C12" s="7" t="s">
        <v>31</v>
      </c>
      <c r="D12" s="7">
        <v>40</v>
      </c>
      <c r="E12" s="10" t="s">
        <v>25</v>
      </c>
    </row>
    <row r="13" spans="1:5" ht="15" x14ac:dyDescent="0.3">
      <c r="A13" s="8">
        <v>46005</v>
      </c>
      <c r="B13" s="7">
        <v>86056357</v>
      </c>
      <c r="C13" s="7" t="s">
        <v>15</v>
      </c>
      <c r="D13" s="7">
        <v>252.33</v>
      </c>
      <c r="E13" s="10" t="s">
        <v>25</v>
      </c>
    </row>
    <row r="14" spans="1:5" ht="15" x14ac:dyDescent="0.3">
      <c r="A14" s="8">
        <v>46005</v>
      </c>
      <c r="B14" s="7">
        <v>86151331</v>
      </c>
      <c r="C14" s="7" t="s">
        <v>15</v>
      </c>
      <c r="D14" s="7">
        <v>19.98</v>
      </c>
      <c r="E14" s="10" t="s">
        <v>25</v>
      </c>
    </row>
    <row r="15" spans="1:5" ht="15" x14ac:dyDescent="0.3">
      <c r="A15" s="8">
        <v>46005</v>
      </c>
      <c r="B15" s="7">
        <v>47506398</v>
      </c>
      <c r="C15" s="7" t="s">
        <v>32</v>
      </c>
      <c r="D15" s="7">
        <v>95</v>
      </c>
      <c r="E15" s="10" t="s">
        <v>25</v>
      </c>
    </row>
    <row r="16" spans="1:5" ht="15" x14ac:dyDescent="0.3">
      <c r="A16" s="8">
        <v>46007</v>
      </c>
      <c r="B16" s="7">
        <v>58880988</v>
      </c>
      <c r="C16" s="7" t="s">
        <v>17</v>
      </c>
      <c r="D16" s="7">
        <v>2.95</v>
      </c>
      <c r="E16" s="10" t="s">
        <v>25</v>
      </c>
    </row>
    <row r="17" spans="1:5" ht="15" x14ac:dyDescent="0.3">
      <c r="A17" s="8">
        <v>46007</v>
      </c>
      <c r="B17" s="7">
        <v>43461103</v>
      </c>
      <c r="C17" s="7" t="s">
        <v>33</v>
      </c>
      <c r="D17" s="7">
        <v>33.450000000000003</v>
      </c>
      <c r="E17" s="10" t="s">
        <v>25</v>
      </c>
    </row>
    <row r="18" spans="1:5" ht="15" x14ac:dyDescent="0.3">
      <c r="A18" s="8">
        <v>46007</v>
      </c>
      <c r="B18" s="10">
        <v>53303739</v>
      </c>
      <c r="C18" s="7" t="s">
        <v>53</v>
      </c>
      <c r="D18" s="10">
        <v>5088.68</v>
      </c>
      <c r="E18" s="10" t="s">
        <v>27</v>
      </c>
    </row>
    <row r="19" spans="1:5" ht="15" x14ac:dyDescent="0.3">
      <c r="A19" s="8">
        <v>46008</v>
      </c>
      <c r="B19" s="7">
        <v>80608495</v>
      </c>
      <c r="C19" s="7" t="s">
        <v>34</v>
      </c>
      <c r="D19" s="7">
        <v>2.99</v>
      </c>
      <c r="E19" s="10" t="s">
        <v>25</v>
      </c>
    </row>
    <row r="20" spans="1:5" ht="15" x14ac:dyDescent="0.3">
      <c r="A20" s="8">
        <v>46008</v>
      </c>
      <c r="B20" s="10">
        <v>63807067</v>
      </c>
      <c r="C20" s="7" t="s">
        <v>54</v>
      </c>
      <c r="D20" s="10">
        <v>17991.310000000001</v>
      </c>
      <c r="E20" s="10" t="s">
        <v>27</v>
      </c>
    </row>
    <row r="21" spans="1:5" ht="15" x14ac:dyDescent="0.3">
      <c r="A21" s="8">
        <v>46008</v>
      </c>
      <c r="B21" s="10">
        <v>63807075</v>
      </c>
      <c r="C21" s="7" t="s">
        <v>55</v>
      </c>
      <c r="D21" s="10">
        <v>3030.71</v>
      </c>
      <c r="E21" s="10" t="s">
        <v>27</v>
      </c>
    </row>
    <row r="22" spans="1:5" ht="15" x14ac:dyDescent="0.3">
      <c r="A22" s="8">
        <v>46010</v>
      </c>
      <c r="B22" s="7">
        <v>14720116</v>
      </c>
      <c r="C22" s="7" t="s">
        <v>35</v>
      </c>
      <c r="D22" s="7">
        <v>17</v>
      </c>
      <c r="E22" s="10" t="s">
        <v>25</v>
      </c>
    </row>
    <row r="23" spans="1:5" ht="15" x14ac:dyDescent="0.3">
      <c r="A23" s="8">
        <v>46010</v>
      </c>
      <c r="B23" s="11" t="s">
        <v>20</v>
      </c>
      <c r="C23" s="7" t="s">
        <v>36</v>
      </c>
      <c r="D23" s="7">
        <v>4</v>
      </c>
      <c r="E23" s="10" t="s">
        <v>25</v>
      </c>
    </row>
    <row r="24" spans="1:5" ht="15" x14ac:dyDescent="0.3">
      <c r="A24" s="8">
        <v>46010</v>
      </c>
      <c r="B24" s="7">
        <v>11915803</v>
      </c>
      <c r="C24" s="7" t="s">
        <v>36</v>
      </c>
      <c r="D24" s="7">
        <v>4</v>
      </c>
      <c r="E24" s="10" t="s">
        <v>25</v>
      </c>
    </row>
    <row r="25" spans="1:5" ht="15" x14ac:dyDescent="0.3">
      <c r="A25" s="8">
        <v>46010</v>
      </c>
      <c r="B25" s="7">
        <v>21197702</v>
      </c>
      <c r="C25" s="7" t="s">
        <v>37</v>
      </c>
      <c r="D25" s="7">
        <v>19.989999999999998</v>
      </c>
      <c r="E25" s="10" t="s">
        <v>25</v>
      </c>
    </row>
    <row r="26" spans="1:5" ht="15" x14ac:dyDescent="0.3">
      <c r="A26" s="8">
        <v>46011</v>
      </c>
      <c r="B26" s="11" t="s">
        <v>21</v>
      </c>
      <c r="C26" s="7" t="s">
        <v>38</v>
      </c>
      <c r="D26" s="7">
        <v>20</v>
      </c>
      <c r="E26" s="10" t="s">
        <v>25</v>
      </c>
    </row>
    <row r="27" spans="1:5" ht="15" x14ac:dyDescent="0.3">
      <c r="A27" s="8">
        <v>46012</v>
      </c>
      <c r="B27" s="7">
        <v>52248003</v>
      </c>
      <c r="C27" s="7" t="s">
        <v>6</v>
      </c>
      <c r="D27" s="7">
        <v>651.45000000000005</v>
      </c>
      <c r="E27" s="10" t="s">
        <v>25</v>
      </c>
    </row>
    <row r="28" spans="1:5" ht="15" x14ac:dyDescent="0.3">
      <c r="A28" s="8">
        <v>46012</v>
      </c>
      <c r="B28" s="7">
        <v>80677004</v>
      </c>
      <c r="C28" s="7" t="s">
        <v>35</v>
      </c>
      <c r="D28" s="7">
        <v>34</v>
      </c>
      <c r="E28" s="10" t="s">
        <v>25</v>
      </c>
    </row>
    <row r="29" spans="1:5" ht="15" x14ac:dyDescent="0.3">
      <c r="A29" s="8">
        <v>46012</v>
      </c>
      <c r="B29" s="7">
        <v>61348547</v>
      </c>
      <c r="C29" s="7" t="s">
        <v>39</v>
      </c>
      <c r="D29" s="7">
        <v>61</v>
      </c>
      <c r="E29" s="10" t="s">
        <v>25</v>
      </c>
    </row>
    <row r="30" spans="1:5" ht="15" x14ac:dyDescent="0.3">
      <c r="A30" s="8">
        <v>46012</v>
      </c>
      <c r="B30" s="7">
        <v>62591616</v>
      </c>
      <c r="C30" s="7" t="s">
        <v>15</v>
      </c>
      <c r="D30" s="7">
        <v>4</v>
      </c>
      <c r="E30" s="10" t="s">
        <v>25</v>
      </c>
    </row>
    <row r="31" spans="1:5" ht="15" x14ac:dyDescent="0.3">
      <c r="A31" s="8">
        <v>46012</v>
      </c>
      <c r="B31" s="7">
        <v>67316773</v>
      </c>
      <c r="C31" s="7" t="s">
        <v>15</v>
      </c>
      <c r="D31" s="7">
        <v>319.82</v>
      </c>
      <c r="E31" s="10" t="s">
        <v>25</v>
      </c>
    </row>
    <row r="32" spans="1:5" ht="15" x14ac:dyDescent="0.3">
      <c r="A32" s="8">
        <v>46012</v>
      </c>
      <c r="B32" s="7">
        <v>67411160</v>
      </c>
      <c r="C32" s="7" t="s">
        <v>15</v>
      </c>
      <c r="D32" s="7">
        <v>477.93</v>
      </c>
      <c r="E32" s="10" t="s">
        <v>25</v>
      </c>
    </row>
    <row r="33" spans="1:5" ht="15" x14ac:dyDescent="0.3">
      <c r="A33" s="8">
        <v>46012</v>
      </c>
      <c r="B33" s="7">
        <v>68078083</v>
      </c>
      <c r="C33" s="7" t="s">
        <v>15</v>
      </c>
      <c r="D33" s="7">
        <v>16.75</v>
      </c>
      <c r="E33" s="10" t="s">
        <v>25</v>
      </c>
    </row>
    <row r="34" spans="1:5" ht="15" x14ac:dyDescent="0.3">
      <c r="A34" s="8">
        <v>46013</v>
      </c>
      <c r="B34" s="10">
        <v>43401790</v>
      </c>
      <c r="C34" s="7" t="s">
        <v>56</v>
      </c>
      <c r="D34" s="10">
        <v>15968.42</v>
      </c>
      <c r="E34" s="10" t="s">
        <v>27</v>
      </c>
    </row>
    <row r="35" spans="1:5" ht="15" x14ac:dyDescent="0.3">
      <c r="A35" s="8">
        <v>46014</v>
      </c>
      <c r="B35" s="10">
        <v>43364428</v>
      </c>
      <c r="C35" s="7" t="s">
        <v>57</v>
      </c>
      <c r="D35" s="10">
        <v>1575</v>
      </c>
      <c r="E35" s="10" t="s">
        <v>26</v>
      </c>
    </row>
    <row r="36" spans="1:5" ht="15" x14ac:dyDescent="0.3">
      <c r="A36" s="8">
        <v>46016</v>
      </c>
      <c r="B36" s="11" t="s">
        <v>23</v>
      </c>
      <c r="C36" s="7" t="s">
        <v>7</v>
      </c>
      <c r="D36" s="7">
        <v>12.6</v>
      </c>
      <c r="E36" s="10" t="s">
        <v>25</v>
      </c>
    </row>
    <row r="37" spans="1:5" ht="15" x14ac:dyDescent="0.3">
      <c r="A37" s="8">
        <v>46016</v>
      </c>
      <c r="B37" s="11" t="s">
        <v>22</v>
      </c>
      <c r="C37" s="7" t="s">
        <v>8</v>
      </c>
      <c r="D37" s="7">
        <v>37.15</v>
      </c>
      <c r="E37" s="10" t="s">
        <v>25</v>
      </c>
    </row>
    <row r="38" spans="1:5" ht="15" x14ac:dyDescent="0.3">
      <c r="A38" s="8">
        <v>46018</v>
      </c>
      <c r="B38" s="7">
        <v>83757958</v>
      </c>
      <c r="C38" s="7" t="s">
        <v>8</v>
      </c>
      <c r="D38" s="7">
        <v>77.400000000000006</v>
      </c>
      <c r="E38" s="10" t="s">
        <v>25</v>
      </c>
    </row>
    <row r="39" spans="1:5" ht="15" x14ac:dyDescent="0.3">
      <c r="A39" s="8">
        <v>46019</v>
      </c>
      <c r="B39" s="7">
        <v>32772895</v>
      </c>
      <c r="C39" s="7" t="s">
        <v>9</v>
      </c>
      <c r="D39" s="7">
        <v>129</v>
      </c>
      <c r="E39" s="10" t="s">
        <v>25</v>
      </c>
    </row>
    <row r="40" spans="1:5" ht="15" x14ac:dyDescent="0.3">
      <c r="A40" s="8">
        <v>46019</v>
      </c>
      <c r="B40" s="7">
        <v>94865306</v>
      </c>
      <c r="C40" s="7" t="s">
        <v>10</v>
      </c>
      <c r="D40" s="7">
        <v>17</v>
      </c>
      <c r="E40" s="10" t="s">
        <v>25</v>
      </c>
    </row>
    <row r="41" spans="1:5" ht="15" x14ac:dyDescent="0.3">
      <c r="A41" s="8">
        <v>46019</v>
      </c>
      <c r="B41" s="7">
        <v>24487709</v>
      </c>
      <c r="C41" s="7" t="s">
        <v>11</v>
      </c>
      <c r="D41" s="7">
        <v>16</v>
      </c>
      <c r="E41" s="10" t="s">
        <v>25</v>
      </c>
    </row>
    <row r="42" spans="1:5" ht="15" x14ac:dyDescent="0.3">
      <c r="A42" s="8">
        <v>46019</v>
      </c>
      <c r="B42" s="7">
        <v>24810801</v>
      </c>
      <c r="C42" s="7" t="s">
        <v>12</v>
      </c>
      <c r="D42" s="7">
        <v>3</v>
      </c>
      <c r="E42" s="10" t="s">
        <v>25</v>
      </c>
    </row>
    <row r="43" spans="1:5" ht="15" x14ac:dyDescent="0.3">
      <c r="A43" s="8">
        <v>46019</v>
      </c>
      <c r="B43" s="7">
        <v>42792205</v>
      </c>
      <c r="C43" s="7" t="s">
        <v>13</v>
      </c>
      <c r="D43" s="7">
        <v>16.5</v>
      </c>
      <c r="E43" s="10" t="s">
        <v>25</v>
      </c>
    </row>
    <row r="44" spans="1:5" ht="15" x14ac:dyDescent="0.3">
      <c r="A44" s="8">
        <v>46019</v>
      </c>
      <c r="B44" s="7">
        <v>73433201</v>
      </c>
      <c r="C44" s="7" t="s">
        <v>14</v>
      </c>
      <c r="D44" s="7">
        <v>320</v>
      </c>
      <c r="E44" s="10" t="s">
        <v>25</v>
      </c>
    </row>
    <row r="45" spans="1:5" ht="15" x14ac:dyDescent="0.3">
      <c r="A45" s="8">
        <v>46020</v>
      </c>
      <c r="B45" s="7">
        <v>93741373</v>
      </c>
      <c r="C45" s="7" t="s">
        <v>40</v>
      </c>
      <c r="D45" s="7">
        <v>375.04</v>
      </c>
      <c r="E45" s="10" t="s">
        <v>25</v>
      </c>
    </row>
    <row r="46" spans="1:5" ht="15" x14ac:dyDescent="0.3">
      <c r="A46" s="8">
        <v>46021</v>
      </c>
      <c r="B46" s="7">
        <v>30138262</v>
      </c>
      <c r="C46" s="7" t="s">
        <v>41</v>
      </c>
      <c r="D46" s="7">
        <v>31.45</v>
      </c>
      <c r="E46" s="10" t="s">
        <v>25</v>
      </c>
    </row>
    <row r="47" spans="1:5" ht="15" x14ac:dyDescent="0.3">
      <c r="A47" s="8">
        <v>46021</v>
      </c>
      <c r="B47" s="7">
        <v>32120912</v>
      </c>
      <c r="C47" s="7" t="s">
        <v>17</v>
      </c>
      <c r="D47" s="7">
        <v>3.25</v>
      </c>
      <c r="E47" s="10" t="s">
        <v>25</v>
      </c>
    </row>
    <row r="48" spans="1:5" ht="15" x14ac:dyDescent="0.3">
      <c r="A48" s="8">
        <v>46022</v>
      </c>
      <c r="B48" s="7">
        <v>12816448</v>
      </c>
      <c r="C48" s="7" t="s">
        <v>42</v>
      </c>
      <c r="D48" s="7">
        <v>9</v>
      </c>
      <c r="E48" s="10" t="s">
        <v>25</v>
      </c>
    </row>
    <row r="49" spans="1:5" ht="15" x14ac:dyDescent="0.3">
      <c r="A49" s="8">
        <v>46023</v>
      </c>
      <c r="B49" s="7">
        <v>35374901</v>
      </c>
      <c r="C49" s="7" t="s">
        <v>43</v>
      </c>
      <c r="D49" s="7">
        <v>91</v>
      </c>
      <c r="E49" s="10" t="s">
        <v>25</v>
      </c>
    </row>
    <row r="50" spans="1:5" ht="15" x14ac:dyDescent="0.3">
      <c r="A50" s="8">
        <v>46023</v>
      </c>
      <c r="B50" s="7">
        <v>20823153</v>
      </c>
      <c r="C50" s="7" t="s">
        <v>44</v>
      </c>
      <c r="D50" s="7">
        <v>30</v>
      </c>
      <c r="E50" s="10" t="s">
        <v>25</v>
      </c>
    </row>
    <row r="51" spans="1:5" ht="15" x14ac:dyDescent="0.3">
      <c r="A51" s="8">
        <v>46023</v>
      </c>
      <c r="B51" s="7">
        <v>19680608</v>
      </c>
      <c r="C51" s="7" t="s">
        <v>45</v>
      </c>
      <c r="D51" s="7">
        <v>149</v>
      </c>
      <c r="E51" s="10" t="s">
        <v>25</v>
      </c>
    </row>
    <row r="52" spans="1:5" ht="15" x14ac:dyDescent="0.3">
      <c r="A52" s="8">
        <v>46023</v>
      </c>
      <c r="B52" s="7">
        <v>21497009</v>
      </c>
      <c r="C52" s="7" t="s">
        <v>45</v>
      </c>
      <c r="D52" s="7">
        <v>13</v>
      </c>
      <c r="E52" s="10" t="s">
        <v>25</v>
      </c>
    </row>
    <row r="53" spans="1:5" ht="15" x14ac:dyDescent="0.3">
      <c r="A53" s="8">
        <v>46023</v>
      </c>
      <c r="B53" s="7">
        <v>91539017</v>
      </c>
      <c r="C53" s="7" t="s">
        <v>46</v>
      </c>
      <c r="D53" s="7">
        <v>227.43</v>
      </c>
      <c r="E53" s="10" t="s">
        <v>25</v>
      </c>
    </row>
    <row r="54" spans="1:5" ht="15" x14ac:dyDescent="0.3">
      <c r="A54" s="8">
        <v>46024</v>
      </c>
      <c r="B54" s="11" t="s">
        <v>19</v>
      </c>
      <c r="C54" s="7" t="s">
        <v>47</v>
      </c>
      <c r="D54" s="7">
        <v>103</v>
      </c>
      <c r="E54" s="10" t="s">
        <v>25</v>
      </c>
    </row>
    <row r="55" spans="1:5" ht="15" x14ac:dyDescent="0.3">
      <c r="A55" s="8">
        <v>46025</v>
      </c>
      <c r="B55" s="11" t="s">
        <v>18</v>
      </c>
      <c r="C55" s="7" t="s">
        <v>48</v>
      </c>
      <c r="D55" s="7">
        <v>9</v>
      </c>
      <c r="E55" s="10" t="s">
        <v>25</v>
      </c>
    </row>
    <row r="56" spans="1:5" ht="15" x14ac:dyDescent="0.3">
      <c r="A56" s="8">
        <v>46026</v>
      </c>
      <c r="B56" s="7">
        <v>20482774</v>
      </c>
      <c r="C56" s="7" t="s">
        <v>49</v>
      </c>
      <c r="D56" s="7">
        <v>6</v>
      </c>
      <c r="E56" s="10" t="s">
        <v>25</v>
      </c>
    </row>
    <row r="57" spans="1:5" ht="15" x14ac:dyDescent="0.3">
      <c r="A57" s="8">
        <v>46026</v>
      </c>
      <c r="B57" s="7">
        <v>59296228</v>
      </c>
      <c r="C57" s="7" t="s">
        <v>15</v>
      </c>
      <c r="D57" s="7">
        <v>99</v>
      </c>
      <c r="E57" s="10" t="s">
        <v>25</v>
      </c>
    </row>
    <row r="58" spans="1:5" ht="15" x14ac:dyDescent="0.3">
      <c r="A58" s="8">
        <v>46026</v>
      </c>
      <c r="B58" s="7">
        <v>59411207</v>
      </c>
      <c r="C58" s="7" t="s">
        <v>15</v>
      </c>
      <c r="D58" s="7">
        <v>59</v>
      </c>
      <c r="E58" s="10" t="s">
        <v>25</v>
      </c>
    </row>
    <row r="59" spans="1:5" ht="15" x14ac:dyDescent="0.3">
      <c r="A59" s="8">
        <v>46026</v>
      </c>
      <c r="B59" s="7">
        <v>59465492</v>
      </c>
      <c r="C59" s="7" t="s">
        <v>15</v>
      </c>
      <c r="D59" s="7">
        <v>60</v>
      </c>
      <c r="E59" s="10" t="s">
        <v>25</v>
      </c>
    </row>
    <row r="60" spans="1:5" ht="15" x14ac:dyDescent="0.3">
      <c r="A60" s="8">
        <v>46026</v>
      </c>
      <c r="B60" s="7">
        <v>55713018</v>
      </c>
      <c r="C60" s="7" t="s">
        <v>30</v>
      </c>
      <c r="D60" s="7">
        <v>32</v>
      </c>
      <c r="E60" s="10" t="s">
        <v>25</v>
      </c>
    </row>
    <row r="61" spans="1:5" ht="15" x14ac:dyDescent="0.3">
      <c r="A61" s="8">
        <v>46027</v>
      </c>
      <c r="B61" s="7">
        <v>20760491</v>
      </c>
      <c r="C61" s="7" t="s">
        <v>42</v>
      </c>
      <c r="D61" s="7">
        <v>9</v>
      </c>
      <c r="E61" s="10" t="s">
        <v>25</v>
      </c>
    </row>
    <row r="62" spans="1:5" ht="15" x14ac:dyDescent="0.3">
      <c r="A62" s="8">
        <v>46030</v>
      </c>
      <c r="B62" s="7">
        <v>23371001</v>
      </c>
      <c r="C62" s="7" t="s">
        <v>13</v>
      </c>
      <c r="D62" s="7">
        <v>21.5</v>
      </c>
      <c r="E62" s="10" t="s">
        <v>25</v>
      </c>
    </row>
    <row r="63" spans="1:5" ht="15" x14ac:dyDescent="0.3">
      <c r="A63" s="8">
        <v>46031</v>
      </c>
      <c r="B63" s="7">
        <v>11331306</v>
      </c>
      <c r="C63" s="6" t="s">
        <v>58</v>
      </c>
      <c r="D63" s="6">
        <v>208.95</v>
      </c>
      <c r="E63" s="10" t="s">
        <v>26</v>
      </c>
    </row>
    <row r="64" spans="1:5" ht="15" x14ac:dyDescent="0.3">
      <c r="A64" s="8">
        <v>46034</v>
      </c>
      <c r="B64" s="7" t="s">
        <v>62</v>
      </c>
      <c r="C64" s="7" t="s">
        <v>60</v>
      </c>
      <c r="D64" s="7">
        <v>50</v>
      </c>
      <c r="E64" s="10" t="s">
        <v>25</v>
      </c>
    </row>
    <row r="65" spans="1:5" ht="15" x14ac:dyDescent="0.3">
      <c r="A65" s="8">
        <v>46035</v>
      </c>
      <c r="B65" s="7" t="s">
        <v>61</v>
      </c>
      <c r="C65" s="7" t="s">
        <v>59</v>
      </c>
      <c r="D65" s="7">
        <v>313.95999999999998</v>
      </c>
      <c r="E65" s="10" t="s">
        <v>25</v>
      </c>
    </row>
    <row r="66" spans="1:5" ht="15" x14ac:dyDescent="0.3">
      <c r="A66" s="8">
        <v>46035</v>
      </c>
      <c r="B66" s="7">
        <v>93306005</v>
      </c>
      <c r="C66" s="12" t="s">
        <v>75</v>
      </c>
      <c r="D66" s="7">
        <v>6</v>
      </c>
      <c r="E66" s="10" t="s">
        <v>25</v>
      </c>
    </row>
    <row r="67" spans="1:5" ht="15" x14ac:dyDescent="0.3">
      <c r="A67" s="8">
        <v>46036</v>
      </c>
      <c r="B67" s="7">
        <v>32758307</v>
      </c>
      <c r="C67" s="7" t="s">
        <v>6</v>
      </c>
      <c r="D67" s="7">
        <v>645.44000000000005</v>
      </c>
      <c r="E67" s="10" t="s">
        <v>25</v>
      </c>
    </row>
    <row r="68" spans="1:5" ht="15" x14ac:dyDescent="0.3">
      <c r="A68" s="8">
        <v>46039</v>
      </c>
      <c r="B68" s="7">
        <v>38625106</v>
      </c>
      <c r="C68" s="7" t="s">
        <v>6</v>
      </c>
      <c r="D68" s="7">
        <v>285.52</v>
      </c>
      <c r="E68" s="10" t="s">
        <v>26</v>
      </c>
    </row>
    <row r="69" spans="1:5" ht="15" x14ac:dyDescent="0.3">
      <c r="A69" s="8">
        <v>46039</v>
      </c>
      <c r="B69" s="11" t="s">
        <v>107</v>
      </c>
      <c r="C69" s="12" t="s">
        <v>76</v>
      </c>
      <c r="D69" s="7">
        <v>13.5</v>
      </c>
      <c r="E69" s="10" t="s">
        <v>25</v>
      </c>
    </row>
    <row r="70" spans="1:5" ht="15" x14ac:dyDescent="0.3">
      <c r="A70" s="8">
        <v>46039</v>
      </c>
      <c r="B70" s="7">
        <v>17223254</v>
      </c>
      <c r="C70" s="12" t="s">
        <v>77</v>
      </c>
      <c r="D70" s="7">
        <v>21.5</v>
      </c>
      <c r="E70" s="10" t="s">
        <v>25</v>
      </c>
    </row>
    <row r="71" spans="1:5" ht="15" x14ac:dyDescent="0.3">
      <c r="A71" s="8">
        <v>46039</v>
      </c>
      <c r="B71" s="7">
        <v>70458808</v>
      </c>
      <c r="C71" s="12" t="s">
        <v>78</v>
      </c>
      <c r="D71" s="7">
        <v>12.5</v>
      </c>
      <c r="E71" s="10" t="s">
        <v>25</v>
      </c>
    </row>
    <row r="72" spans="1:5" ht="15" x14ac:dyDescent="0.3">
      <c r="A72" s="8">
        <v>46039</v>
      </c>
      <c r="B72" s="11" t="s">
        <v>108</v>
      </c>
      <c r="C72" s="12" t="s">
        <v>79</v>
      </c>
      <c r="D72" s="7">
        <v>70</v>
      </c>
      <c r="E72" s="10" t="s">
        <v>25</v>
      </c>
    </row>
    <row r="73" spans="1:5" ht="15" x14ac:dyDescent="0.3">
      <c r="A73" s="8">
        <v>46040</v>
      </c>
      <c r="B73" s="7">
        <v>67879406</v>
      </c>
      <c r="C73" s="12" t="s">
        <v>80</v>
      </c>
      <c r="D73" s="7">
        <v>88.6</v>
      </c>
      <c r="E73" s="10" t="s">
        <v>25</v>
      </c>
    </row>
    <row r="74" spans="1:5" ht="15" x14ac:dyDescent="0.3">
      <c r="A74" s="8">
        <v>46040</v>
      </c>
      <c r="B74" s="7">
        <v>78506452</v>
      </c>
      <c r="C74" s="12" t="s">
        <v>81</v>
      </c>
      <c r="D74" s="7">
        <v>79</v>
      </c>
      <c r="E74" s="10" t="s">
        <v>25</v>
      </c>
    </row>
    <row r="75" spans="1:5" ht="15" x14ac:dyDescent="0.3">
      <c r="A75" s="8">
        <v>46042</v>
      </c>
      <c r="B75" s="11">
        <v>44861912</v>
      </c>
      <c r="C75" s="12" t="s">
        <v>82</v>
      </c>
      <c r="D75" s="7">
        <v>9</v>
      </c>
      <c r="E75" s="10" t="s">
        <v>25</v>
      </c>
    </row>
    <row r="76" spans="1:5" ht="15" x14ac:dyDescent="0.3">
      <c r="A76" s="8">
        <v>46042</v>
      </c>
      <c r="B76" s="7">
        <v>52237375</v>
      </c>
      <c r="C76" s="12" t="s">
        <v>83</v>
      </c>
      <c r="D76" s="7">
        <v>553.34</v>
      </c>
      <c r="E76" s="10" t="s">
        <v>25</v>
      </c>
    </row>
    <row r="77" spans="1:5" ht="15" x14ac:dyDescent="0.3">
      <c r="A77" s="8">
        <v>46044</v>
      </c>
      <c r="B77" s="11" t="s">
        <v>109</v>
      </c>
      <c r="C77" s="12" t="s">
        <v>84</v>
      </c>
      <c r="D77" s="7">
        <v>16.5</v>
      </c>
      <c r="E77" s="10" t="s">
        <v>25</v>
      </c>
    </row>
    <row r="78" spans="1:5" ht="15" x14ac:dyDescent="0.3">
      <c r="A78" s="8">
        <v>46044</v>
      </c>
      <c r="B78" s="7">
        <v>79525502</v>
      </c>
      <c r="C78" s="12" t="s">
        <v>80</v>
      </c>
      <c r="D78" s="7">
        <v>30</v>
      </c>
      <c r="E78" s="10" t="s">
        <v>25</v>
      </c>
    </row>
    <row r="79" spans="1:5" ht="15" x14ac:dyDescent="0.3">
      <c r="A79" s="8">
        <v>46044</v>
      </c>
      <c r="B79" s="7">
        <v>97625904</v>
      </c>
      <c r="C79" s="12" t="s">
        <v>85</v>
      </c>
      <c r="D79" s="7">
        <v>34</v>
      </c>
      <c r="E79" s="10" t="s">
        <v>25</v>
      </c>
    </row>
    <row r="80" spans="1:5" ht="15" x14ac:dyDescent="0.3">
      <c r="A80" s="8">
        <v>46044</v>
      </c>
      <c r="B80" s="7">
        <v>63950587</v>
      </c>
      <c r="C80" s="12" t="s">
        <v>86</v>
      </c>
      <c r="D80" s="7">
        <v>10</v>
      </c>
      <c r="E80" s="10" t="s">
        <v>25</v>
      </c>
    </row>
    <row r="81" spans="1:5" ht="15" x14ac:dyDescent="0.3">
      <c r="A81" s="8">
        <v>46045</v>
      </c>
      <c r="B81" s="7">
        <v>73403926</v>
      </c>
      <c r="C81" s="12" t="s">
        <v>87</v>
      </c>
      <c r="D81" s="7">
        <v>3</v>
      </c>
      <c r="E81" s="10" t="s">
        <v>25</v>
      </c>
    </row>
    <row r="82" spans="1:5" ht="15" x14ac:dyDescent="0.3">
      <c r="A82" s="8">
        <v>46045</v>
      </c>
      <c r="B82" s="7">
        <v>84435107</v>
      </c>
      <c r="C82" s="12" t="s">
        <v>88</v>
      </c>
      <c r="D82" s="7">
        <v>8.5</v>
      </c>
      <c r="E82" s="10" t="s">
        <v>25</v>
      </c>
    </row>
    <row r="83" spans="1:5" ht="15" x14ac:dyDescent="0.3">
      <c r="A83" s="8">
        <v>46045</v>
      </c>
      <c r="B83" s="7">
        <v>85973107</v>
      </c>
      <c r="C83" s="12" t="s">
        <v>89</v>
      </c>
      <c r="D83" s="7">
        <v>14.5</v>
      </c>
      <c r="E83" s="10" t="s">
        <v>25</v>
      </c>
    </row>
    <row r="84" spans="1:5" ht="15" x14ac:dyDescent="0.3">
      <c r="A84" s="8">
        <v>46045</v>
      </c>
      <c r="B84" s="7">
        <v>94882698</v>
      </c>
      <c r="C84" s="12" t="s">
        <v>92</v>
      </c>
      <c r="D84" s="7">
        <v>330</v>
      </c>
      <c r="E84" s="10" t="s">
        <v>25</v>
      </c>
    </row>
    <row r="85" spans="1:5" ht="15" x14ac:dyDescent="0.3">
      <c r="A85" s="8">
        <v>46045</v>
      </c>
      <c r="B85" s="7">
        <v>71806762</v>
      </c>
      <c r="C85" s="12" t="s">
        <v>93</v>
      </c>
      <c r="D85" s="7">
        <v>315</v>
      </c>
      <c r="E85" s="10" t="s">
        <v>25</v>
      </c>
    </row>
    <row r="86" spans="1:5" ht="15" x14ac:dyDescent="0.3">
      <c r="A86" s="8">
        <v>46046</v>
      </c>
      <c r="B86" s="7">
        <v>51323500</v>
      </c>
      <c r="C86" s="12" t="s">
        <v>90</v>
      </c>
      <c r="D86" s="7">
        <v>35</v>
      </c>
      <c r="E86" s="10" t="s">
        <v>25</v>
      </c>
    </row>
    <row r="87" spans="1:5" ht="15" x14ac:dyDescent="0.3">
      <c r="A87" s="8">
        <v>46046</v>
      </c>
      <c r="B87" s="7">
        <v>58749509</v>
      </c>
      <c r="C87" s="12" t="s">
        <v>91</v>
      </c>
      <c r="D87" s="7">
        <v>44</v>
      </c>
      <c r="E87" s="10" t="s">
        <v>25</v>
      </c>
    </row>
    <row r="88" spans="1:5" ht="15" x14ac:dyDescent="0.3">
      <c r="A88" s="8">
        <v>46047</v>
      </c>
      <c r="B88" s="7">
        <v>98640107</v>
      </c>
      <c r="C88" s="12" t="s">
        <v>89</v>
      </c>
      <c r="D88" s="7">
        <v>20.5</v>
      </c>
      <c r="E88" s="10" t="s">
        <v>25</v>
      </c>
    </row>
    <row r="89" spans="1:5" ht="15" x14ac:dyDescent="0.3">
      <c r="A89" s="8">
        <v>46047</v>
      </c>
      <c r="B89" s="11" t="s">
        <v>110</v>
      </c>
      <c r="C89" s="12" t="s">
        <v>94</v>
      </c>
      <c r="D89" s="7">
        <v>61</v>
      </c>
      <c r="E89" s="10" t="s">
        <v>25</v>
      </c>
    </row>
    <row r="90" spans="1:5" ht="15" x14ac:dyDescent="0.3">
      <c r="A90" s="8">
        <v>46047</v>
      </c>
      <c r="B90" s="7">
        <v>13205502</v>
      </c>
      <c r="C90" s="12" t="s">
        <v>95</v>
      </c>
      <c r="D90" s="7">
        <v>27</v>
      </c>
      <c r="E90" s="10" t="s">
        <v>25</v>
      </c>
    </row>
    <row r="91" spans="1:5" ht="15" x14ac:dyDescent="0.3">
      <c r="A91" s="8">
        <v>46047</v>
      </c>
      <c r="B91" s="7">
        <v>30076908</v>
      </c>
      <c r="C91" s="12" t="s">
        <v>96</v>
      </c>
      <c r="D91" s="7">
        <v>155</v>
      </c>
      <c r="E91" s="10" t="s">
        <v>25</v>
      </c>
    </row>
    <row r="92" spans="1:5" ht="15" x14ac:dyDescent="0.3">
      <c r="A92" s="8">
        <v>46047</v>
      </c>
      <c r="B92" s="7">
        <v>21442365</v>
      </c>
      <c r="C92" s="12" t="s">
        <v>83</v>
      </c>
      <c r="D92" s="7">
        <v>68.45</v>
      </c>
      <c r="E92" s="10" t="s">
        <v>25</v>
      </c>
    </row>
    <row r="93" spans="1:5" ht="15" x14ac:dyDescent="0.3">
      <c r="A93" s="8">
        <v>46049</v>
      </c>
      <c r="B93" s="7">
        <v>85181263</v>
      </c>
      <c r="C93" s="12" t="s">
        <v>97</v>
      </c>
      <c r="D93" s="7">
        <v>25</v>
      </c>
      <c r="E93" s="10" t="s">
        <v>25</v>
      </c>
    </row>
    <row r="94" spans="1:5" ht="15" x14ac:dyDescent="0.3">
      <c r="A94" s="8">
        <v>46050</v>
      </c>
      <c r="B94" s="7">
        <v>50367426</v>
      </c>
      <c r="C94" s="12" t="s">
        <v>98</v>
      </c>
      <c r="D94" s="7">
        <v>1423.95</v>
      </c>
      <c r="E94" s="10" t="s">
        <v>25</v>
      </c>
    </row>
    <row r="95" spans="1:5" ht="15" x14ac:dyDescent="0.3">
      <c r="A95" s="8">
        <v>46050</v>
      </c>
      <c r="B95" s="7">
        <v>59601742</v>
      </c>
      <c r="C95" s="12" t="s">
        <v>83</v>
      </c>
      <c r="D95" s="7">
        <v>52.53</v>
      </c>
      <c r="E95" s="10" t="s">
        <v>25</v>
      </c>
    </row>
    <row r="96" spans="1:5" ht="15" x14ac:dyDescent="0.3">
      <c r="A96" s="8">
        <v>46051</v>
      </c>
      <c r="B96" s="7">
        <v>55337495</v>
      </c>
      <c r="C96" s="12" t="s">
        <v>98</v>
      </c>
      <c r="D96" s="7">
        <v>84.96</v>
      </c>
      <c r="E96" s="10" t="s">
        <v>25</v>
      </c>
    </row>
    <row r="97" spans="1:5" ht="15" x14ac:dyDescent="0.3">
      <c r="A97" s="8">
        <v>46053</v>
      </c>
      <c r="B97" s="7">
        <v>42675803</v>
      </c>
      <c r="C97" s="12" t="s">
        <v>80</v>
      </c>
      <c r="D97" s="7">
        <v>50</v>
      </c>
      <c r="E97" s="10" t="s">
        <v>25</v>
      </c>
    </row>
    <row r="98" spans="1:5" ht="15" x14ac:dyDescent="0.3">
      <c r="A98" s="8">
        <v>46054</v>
      </c>
      <c r="B98" s="7">
        <v>64884422</v>
      </c>
      <c r="C98" s="12" t="s">
        <v>98</v>
      </c>
      <c r="D98" s="7">
        <v>84.96</v>
      </c>
      <c r="E98" s="10" t="s">
        <v>25</v>
      </c>
    </row>
    <row r="99" spans="1:5" ht="15" x14ac:dyDescent="0.3">
      <c r="A99" s="8">
        <v>46054</v>
      </c>
      <c r="B99" s="7">
        <v>65803033</v>
      </c>
      <c r="C99" s="12" t="s">
        <v>98</v>
      </c>
      <c r="D99" s="7">
        <v>1399</v>
      </c>
      <c r="E99" s="10" t="s">
        <v>25</v>
      </c>
    </row>
    <row r="100" spans="1:5" ht="15" x14ac:dyDescent="0.3">
      <c r="A100" s="8">
        <v>46054</v>
      </c>
      <c r="B100" s="11">
        <v>12121907</v>
      </c>
      <c r="C100" s="12" t="s">
        <v>101</v>
      </c>
      <c r="D100" s="7">
        <v>30</v>
      </c>
      <c r="E100" s="10" t="s">
        <v>25</v>
      </c>
    </row>
    <row r="101" spans="1:5" ht="15" x14ac:dyDescent="0.3">
      <c r="A101" s="8">
        <v>46055</v>
      </c>
      <c r="B101" s="7">
        <v>65923646</v>
      </c>
      <c r="C101" s="12" t="s">
        <v>99</v>
      </c>
      <c r="D101" s="7">
        <v>97</v>
      </c>
      <c r="E101" s="10" t="s">
        <v>25</v>
      </c>
    </row>
    <row r="102" spans="1:5" ht="15" x14ac:dyDescent="0.3">
      <c r="A102" s="8">
        <v>46055</v>
      </c>
      <c r="B102" s="11" t="s">
        <v>111</v>
      </c>
      <c r="C102" s="12" t="s">
        <v>100</v>
      </c>
      <c r="D102" s="7">
        <v>303</v>
      </c>
      <c r="E102" s="10" t="s">
        <v>28</v>
      </c>
    </row>
    <row r="103" spans="1:5" ht="15" x14ac:dyDescent="0.3">
      <c r="A103" s="8">
        <v>46055</v>
      </c>
      <c r="B103" s="7">
        <v>78612408</v>
      </c>
      <c r="C103" s="12" t="s">
        <v>103</v>
      </c>
      <c r="D103" s="7">
        <v>99</v>
      </c>
      <c r="E103" s="10" t="s">
        <v>25</v>
      </c>
    </row>
    <row r="104" spans="1:5" ht="15" x14ac:dyDescent="0.3">
      <c r="A104" s="8">
        <v>46055</v>
      </c>
      <c r="B104" s="7">
        <v>35082118</v>
      </c>
      <c r="C104" s="12" t="s">
        <v>83</v>
      </c>
      <c r="D104" s="7">
        <v>503.17</v>
      </c>
      <c r="E104" s="10" t="s">
        <v>25</v>
      </c>
    </row>
    <row r="105" spans="1:5" ht="15" x14ac:dyDescent="0.3">
      <c r="A105" s="8">
        <v>46056</v>
      </c>
      <c r="B105" s="7">
        <v>68951072</v>
      </c>
      <c r="C105" s="12" t="s">
        <v>102</v>
      </c>
      <c r="D105" s="7">
        <v>29.9</v>
      </c>
      <c r="E105" s="10" t="s">
        <v>25</v>
      </c>
    </row>
    <row r="106" spans="1:5" ht="15" x14ac:dyDescent="0.3">
      <c r="A106" s="8">
        <v>46056</v>
      </c>
      <c r="B106" s="7">
        <v>98198108</v>
      </c>
      <c r="C106" s="12" t="s">
        <v>87</v>
      </c>
      <c r="D106" s="7">
        <v>5.04</v>
      </c>
      <c r="E106" s="10" t="s">
        <v>25</v>
      </c>
    </row>
    <row r="107" spans="1:5" ht="15" x14ac:dyDescent="0.3">
      <c r="A107" s="8">
        <v>46056</v>
      </c>
      <c r="B107" s="8" t="s">
        <v>140</v>
      </c>
      <c r="C107" s="8" t="s">
        <v>141</v>
      </c>
      <c r="D107" s="24">
        <v>6700</v>
      </c>
      <c r="E107" s="8" t="s">
        <v>26</v>
      </c>
    </row>
    <row r="108" spans="1:5" ht="15" x14ac:dyDescent="0.3">
      <c r="A108" s="8">
        <v>46057</v>
      </c>
      <c r="B108" s="11" t="s">
        <v>106</v>
      </c>
      <c r="C108" s="12" t="s">
        <v>104</v>
      </c>
      <c r="D108" s="7">
        <v>48.5</v>
      </c>
      <c r="E108" s="10" t="s">
        <v>25</v>
      </c>
    </row>
    <row r="109" spans="1:5" ht="15" x14ac:dyDescent="0.3">
      <c r="A109" s="8">
        <v>46058</v>
      </c>
      <c r="B109" s="7" t="s">
        <v>63</v>
      </c>
      <c r="C109" s="7" t="s">
        <v>10</v>
      </c>
      <c r="D109" s="7">
        <v>49</v>
      </c>
      <c r="E109" s="10" t="s">
        <v>25</v>
      </c>
    </row>
    <row r="110" spans="1:5" ht="15" x14ac:dyDescent="0.3">
      <c r="A110" s="8">
        <v>46058</v>
      </c>
      <c r="B110" s="7" t="s">
        <v>65</v>
      </c>
      <c r="C110" s="7" t="s">
        <v>64</v>
      </c>
      <c r="D110" s="7">
        <v>148</v>
      </c>
      <c r="E110" s="10" t="s">
        <v>25</v>
      </c>
    </row>
    <row r="111" spans="1:5" ht="15" x14ac:dyDescent="0.3">
      <c r="A111" s="8">
        <v>46059</v>
      </c>
      <c r="B111" s="7">
        <v>10352600</v>
      </c>
      <c r="C111" s="7" t="s">
        <v>58</v>
      </c>
      <c r="D111" s="7">
        <v>208.95</v>
      </c>
      <c r="E111" s="10" t="s">
        <v>26</v>
      </c>
    </row>
    <row r="112" spans="1:5" ht="15" x14ac:dyDescent="0.3">
      <c r="A112" s="8">
        <v>46059</v>
      </c>
      <c r="B112" s="7">
        <v>46883457</v>
      </c>
      <c r="C112" s="12" t="s">
        <v>105</v>
      </c>
      <c r="D112" s="7">
        <v>30.64</v>
      </c>
      <c r="E112" s="10" t="s">
        <v>25</v>
      </c>
    </row>
    <row r="113" spans="1:5" ht="15" x14ac:dyDescent="0.3">
      <c r="A113" s="8">
        <v>46059</v>
      </c>
      <c r="B113" s="7">
        <v>90525006</v>
      </c>
      <c r="C113" s="12" t="s">
        <v>119</v>
      </c>
      <c r="D113" s="7">
        <v>14.5</v>
      </c>
      <c r="E113" s="10" t="s">
        <v>25</v>
      </c>
    </row>
    <row r="114" spans="1:5" ht="15" x14ac:dyDescent="0.3">
      <c r="A114" s="8">
        <v>46059</v>
      </c>
      <c r="B114" s="7">
        <v>94811403</v>
      </c>
      <c r="C114" s="12" t="s">
        <v>117</v>
      </c>
      <c r="D114" s="7">
        <v>30</v>
      </c>
      <c r="E114" s="10" t="s">
        <v>25</v>
      </c>
    </row>
    <row r="115" spans="1:5" ht="15" x14ac:dyDescent="0.3">
      <c r="A115" s="8">
        <v>46060</v>
      </c>
      <c r="B115" s="7">
        <v>8954354</v>
      </c>
      <c r="C115" s="12" t="s">
        <v>73</v>
      </c>
      <c r="D115" s="7">
        <v>50.75</v>
      </c>
      <c r="E115" s="10" t="s">
        <v>25</v>
      </c>
    </row>
    <row r="116" spans="1:5" ht="15" x14ac:dyDescent="0.3">
      <c r="A116" s="8">
        <v>46060</v>
      </c>
      <c r="B116" s="7">
        <v>88388838</v>
      </c>
      <c r="C116" s="12" t="s">
        <v>120</v>
      </c>
      <c r="D116" s="7">
        <v>66</v>
      </c>
      <c r="E116" s="10" t="s">
        <v>25</v>
      </c>
    </row>
    <row r="117" spans="1:5" ht="15" x14ac:dyDescent="0.3">
      <c r="A117" s="8">
        <v>46060</v>
      </c>
      <c r="B117" s="7">
        <v>35807909</v>
      </c>
      <c r="C117" s="12" t="s">
        <v>118</v>
      </c>
      <c r="D117" s="7">
        <v>12</v>
      </c>
      <c r="E117" s="10" t="s">
        <v>25</v>
      </c>
    </row>
    <row r="118" spans="1:5" ht="15" x14ac:dyDescent="0.3">
      <c r="A118" s="8">
        <v>46060</v>
      </c>
      <c r="B118" s="7">
        <v>87350209</v>
      </c>
      <c r="C118" s="12" t="s">
        <v>116</v>
      </c>
      <c r="D118" s="7">
        <v>113.89</v>
      </c>
      <c r="E118" s="10" t="s">
        <v>25</v>
      </c>
    </row>
    <row r="119" spans="1:5" ht="15" x14ac:dyDescent="0.3">
      <c r="A119" s="8">
        <v>46061</v>
      </c>
      <c r="B119" s="7">
        <v>39001090</v>
      </c>
      <c r="C119" s="12" t="s">
        <v>115</v>
      </c>
      <c r="D119" s="7">
        <v>25862.83</v>
      </c>
      <c r="E119" s="10" t="s">
        <v>27</v>
      </c>
    </row>
    <row r="120" spans="1:5" ht="15" x14ac:dyDescent="0.3">
      <c r="A120" s="8">
        <v>46061</v>
      </c>
      <c r="B120" s="7">
        <v>91462774</v>
      </c>
      <c r="C120" s="12" t="s">
        <v>71</v>
      </c>
      <c r="D120" s="7" t="s">
        <v>139</v>
      </c>
      <c r="E120" s="10" t="s">
        <v>25</v>
      </c>
    </row>
    <row r="121" spans="1:5" ht="15" x14ac:dyDescent="0.3">
      <c r="A121" s="8">
        <v>46063</v>
      </c>
      <c r="B121" s="7">
        <v>80336550</v>
      </c>
      <c r="C121" s="12" t="s">
        <v>66</v>
      </c>
      <c r="D121" s="7">
        <v>11</v>
      </c>
      <c r="E121" s="10" t="s">
        <v>25</v>
      </c>
    </row>
    <row r="122" spans="1:5" ht="15" x14ac:dyDescent="0.3">
      <c r="A122" s="8">
        <v>46063</v>
      </c>
      <c r="B122" s="7">
        <v>69507609</v>
      </c>
      <c r="C122" s="12" t="s">
        <v>67</v>
      </c>
      <c r="D122" s="7">
        <v>111.54</v>
      </c>
      <c r="E122" s="10" t="s">
        <v>25</v>
      </c>
    </row>
    <row r="123" spans="1:5" ht="15" x14ac:dyDescent="0.3">
      <c r="A123" s="8">
        <v>46064</v>
      </c>
      <c r="B123" s="7">
        <v>85410382</v>
      </c>
      <c r="C123" s="12" t="s">
        <v>114</v>
      </c>
      <c r="D123" s="7">
        <v>190</v>
      </c>
      <c r="E123" s="10" t="s">
        <v>27</v>
      </c>
    </row>
    <row r="124" spans="1:5" ht="15" x14ac:dyDescent="0.3">
      <c r="A124" s="8">
        <v>46065</v>
      </c>
      <c r="B124" s="7">
        <v>3560259</v>
      </c>
      <c r="C124" s="12" t="s">
        <v>72</v>
      </c>
      <c r="D124" s="7">
        <v>299</v>
      </c>
      <c r="E124" s="10" t="s">
        <v>28</v>
      </c>
    </row>
    <row r="125" spans="1:5" ht="15" x14ac:dyDescent="0.3">
      <c r="A125" s="8">
        <v>46065</v>
      </c>
      <c r="B125" s="7">
        <v>65845220</v>
      </c>
      <c r="C125" s="12" t="s">
        <v>68</v>
      </c>
      <c r="D125" s="7">
        <v>2.75</v>
      </c>
      <c r="E125" s="10" t="s">
        <v>25</v>
      </c>
    </row>
    <row r="126" spans="1:5" ht="15" x14ac:dyDescent="0.3">
      <c r="A126" s="8">
        <v>46066</v>
      </c>
      <c r="B126" s="7">
        <v>85610447</v>
      </c>
      <c r="C126" s="12" t="s">
        <v>68</v>
      </c>
      <c r="D126" s="7">
        <v>1.99</v>
      </c>
      <c r="E126" s="10" t="s">
        <v>25</v>
      </c>
    </row>
    <row r="127" spans="1:5" ht="15" x14ac:dyDescent="0.3">
      <c r="A127" s="8">
        <v>46067</v>
      </c>
      <c r="B127" s="7">
        <v>17123008</v>
      </c>
      <c r="C127" s="12" t="s">
        <v>74</v>
      </c>
      <c r="D127" s="7">
        <v>1.89</v>
      </c>
      <c r="E127" s="10" t="s">
        <v>25</v>
      </c>
    </row>
    <row r="128" spans="1:5" ht="15" x14ac:dyDescent="0.3">
      <c r="A128" s="8">
        <v>46067</v>
      </c>
      <c r="B128" s="7">
        <v>26507209</v>
      </c>
      <c r="C128" s="12" t="s">
        <v>74</v>
      </c>
      <c r="D128" s="7">
        <v>193.78</v>
      </c>
      <c r="E128" s="10" t="s">
        <v>25</v>
      </c>
    </row>
    <row r="129" spans="1:5" ht="15" x14ac:dyDescent="0.3">
      <c r="A129" s="8">
        <v>46067</v>
      </c>
      <c r="B129" s="7">
        <v>22297407</v>
      </c>
      <c r="C129" s="12" t="s">
        <v>136</v>
      </c>
      <c r="D129" s="7">
        <v>20</v>
      </c>
      <c r="E129" s="10" t="s">
        <v>25</v>
      </c>
    </row>
    <row r="130" spans="1:5" ht="15" x14ac:dyDescent="0.3">
      <c r="A130" s="8">
        <v>46067</v>
      </c>
      <c r="B130" s="7">
        <v>81106144</v>
      </c>
      <c r="C130" s="12" t="s">
        <v>116</v>
      </c>
      <c r="D130" s="7">
        <v>51.94</v>
      </c>
      <c r="E130" s="10" t="s">
        <v>25</v>
      </c>
    </row>
    <row r="131" spans="1:5" ht="15" x14ac:dyDescent="0.3">
      <c r="A131" s="8">
        <v>46067</v>
      </c>
      <c r="B131" s="7">
        <v>75688811</v>
      </c>
      <c r="C131" s="12" t="s">
        <v>135</v>
      </c>
      <c r="D131" s="7">
        <v>54</v>
      </c>
      <c r="E131" s="10" t="s">
        <v>25</v>
      </c>
    </row>
    <row r="132" spans="1:5" ht="15" x14ac:dyDescent="0.3">
      <c r="A132" s="8">
        <v>46068</v>
      </c>
      <c r="B132" s="7">
        <v>50560090</v>
      </c>
      <c r="C132" s="12" t="s">
        <v>138</v>
      </c>
      <c r="D132" s="7">
        <v>12</v>
      </c>
      <c r="E132" s="10" t="s">
        <v>25</v>
      </c>
    </row>
    <row r="133" spans="1:5" ht="15" x14ac:dyDescent="0.3">
      <c r="A133" s="8">
        <v>46068</v>
      </c>
      <c r="B133" s="7">
        <v>30610758</v>
      </c>
      <c r="C133" s="12" t="s">
        <v>137</v>
      </c>
      <c r="D133" s="7">
        <v>15.5</v>
      </c>
      <c r="E133" s="10" t="s">
        <v>25</v>
      </c>
    </row>
    <row r="134" spans="1:5" ht="15" x14ac:dyDescent="0.3">
      <c r="A134" s="8">
        <v>46068</v>
      </c>
      <c r="B134" s="7">
        <v>30610766</v>
      </c>
      <c r="C134" s="12" t="s">
        <v>137</v>
      </c>
      <c r="D134" s="7">
        <v>6.5</v>
      </c>
      <c r="E134" s="10" t="s">
        <v>25</v>
      </c>
    </row>
    <row r="135" spans="1:5" ht="15" x14ac:dyDescent="0.3">
      <c r="A135" s="8">
        <v>46068</v>
      </c>
      <c r="B135" s="7">
        <v>16451610</v>
      </c>
      <c r="C135" s="12" t="s">
        <v>134</v>
      </c>
      <c r="D135" s="7">
        <v>20</v>
      </c>
      <c r="E135" s="10" t="s">
        <v>25</v>
      </c>
    </row>
    <row r="136" spans="1:5" ht="15" x14ac:dyDescent="0.3">
      <c r="A136" s="8">
        <v>46068</v>
      </c>
      <c r="B136" s="7">
        <v>50097602</v>
      </c>
      <c r="C136" s="12" t="s">
        <v>133</v>
      </c>
      <c r="D136" s="7">
        <v>30</v>
      </c>
      <c r="E136" s="10" t="s">
        <v>25</v>
      </c>
    </row>
    <row r="137" spans="1:5" ht="15" x14ac:dyDescent="0.3">
      <c r="A137" s="8">
        <v>46068</v>
      </c>
      <c r="B137" s="7">
        <v>47279986</v>
      </c>
      <c r="C137" s="12" t="s">
        <v>132</v>
      </c>
      <c r="D137" s="7">
        <v>20.27</v>
      </c>
      <c r="E137" s="10" t="s">
        <v>25</v>
      </c>
    </row>
    <row r="138" spans="1:5" ht="15" x14ac:dyDescent="0.3">
      <c r="A138" s="8">
        <v>46068</v>
      </c>
      <c r="B138" s="7">
        <v>84026085</v>
      </c>
      <c r="C138" s="12" t="s">
        <v>131</v>
      </c>
      <c r="D138" s="7">
        <v>12</v>
      </c>
      <c r="E138" s="10" t="s">
        <v>25</v>
      </c>
    </row>
    <row r="139" spans="1:5" ht="15" x14ac:dyDescent="0.3">
      <c r="A139" s="8">
        <v>46068</v>
      </c>
      <c r="B139" s="7">
        <v>84026432</v>
      </c>
      <c r="C139" s="12" t="s">
        <v>131</v>
      </c>
      <c r="D139" s="7">
        <v>15</v>
      </c>
      <c r="E139" s="10" t="s">
        <v>25</v>
      </c>
    </row>
    <row r="140" spans="1:5" ht="15" x14ac:dyDescent="0.3">
      <c r="A140" s="8">
        <v>46068</v>
      </c>
      <c r="B140" s="7">
        <v>84201282</v>
      </c>
      <c r="C140" s="12" t="s">
        <v>130</v>
      </c>
      <c r="D140" s="7">
        <v>15</v>
      </c>
      <c r="E140" s="10" t="s">
        <v>25</v>
      </c>
    </row>
    <row r="141" spans="1:5" ht="15" x14ac:dyDescent="0.3">
      <c r="A141" s="8">
        <v>46071</v>
      </c>
      <c r="B141" s="7">
        <v>6785804</v>
      </c>
      <c r="C141" s="12" t="s">
        <v>113</v>
      </c>
      <c r="D141" s="7">
        <v>661.47</v>
      </c>
      <c r="E141" s="10" t="s">
        <v>25</v>
      </c>
    </row>
    <row r="142" spans="1:5" ht="15" x14ac:dyDescent="0.3">
      <c r="A142" s="8">
        <v>46071</v>
      </c>
      <c r="B142" s="7">
        <v>31983035</v>
      </c>
      <c r="C142" s="12" t="s">
        <v>67</v>
      </c>
      <c r="D142" s="7">
        <v>472.4</v>
      </c>
      <c r="E142" s="10" t="s">
        <v>25</v>
      </c>
    </row>
    <row r="143" spans="1:5" ht="15" x14ac:dyDescent="0.3">
      <c r="A143" s="8">
        <v>46074</v>
      </c>
      <c r="B143" s="7">
        <v>10156591</v>
      </c>
      <c r="C143" s="12" t="s">
        <v>112</v>
      </c>
      <c r="D143" s="7">
        <v>208.95</v>
      </c>
      <c r="E143" s="10" t="s">
        <v>26</v>
      </c>
    </row>
    <row r="144" spans="1:5" ht="15" x14ac:dyDescent="0.3">
      <c r="A144" s="8">
        <v>46074</v>
      </c>
      <c r="B144" s="7">
        <v>2177059</v>
      </c>
      <c r="C144" s="12" t="s">
        <v>129</v>
      </c>
      <c r="D144" s="7">
        <v>84</v>
      </c>
      <c r="E144" s="10" t="s">
        <v>25</v>
      </c>
    </row>
    <row r="145" spans="1:5" ht="15" x14ac:dyDescent="0.3">
      <c r="A145" s="8">
        <v>46076</v>
      </c>
      <c r="B145" s="7">
        <v>12531207</v>
      </c>
      <c r="C145" s="12" t="s">
        <v>128</v>
      </c>
      <c r="D145" s="7">
        <v>95</v>
      </c>
      <c r="E145" s="10" t="s">
        <v>25</v>
      </c>
    </row>
    <row r="146" spans="1:5" ht="15" x14ac:dyDescent="0.3">
      <c r="A146" s="8">
        <v>46076</v>
      </c>
      <c r="B146" s="7">
        <v>61881129</v>
      </c>
      <c r="C146" s="12" t="s">
        <v>127</v>
      </c>
      <c r="D146" s="7">
        <v>130.5</v>
      </c>
      <c r="E146" s="10" t="s">
        <v>25</v>
      </c>
    </row>
    <row r="147" spans="1:5" ht="15" x14ac:dyDescent="0.3">
      <c r="A147" s="8">
        <v>46077</v>
      </c>
      <c r="B147" s="7">
        <v>89087842</v>
      </c>
      <c r="C147" s="12" t="s">
        <v>68</v>
      </c>
      <c r="D147" s="7">
        <v>28.24</v>
      </c>
      <c r="E147" s="10" t="s">
        <v>25</v>
      </c>
    </row>
    <row r="148" spans="1:5" ht="15" x14ac:dyDescent="0.3">
      <c r="A148" s="8">
        <v>46077</v>
      </c>
      <c r="B148" s="7">
        <v>68247703</v>
      </c>
      <c r="C148" s="12" t="s">
        <v>69</v>
      </c>
      <c r="D148" s="7">
        <v>475.1</v>
      </c>
      <c r="E148" s="10" t="s">
        <v>25</v>
      </c>
    </row>
    <row r="149" spans="1:5" ht="15" x14ac:dyDescent="0.3">
      <c r="A149" s="8">
        <v>46078</v>
      </c>
      <c r="B149" s="7" t="s">
        <v>121</v>
      </c>
      <c r="C149" s="12" t="s">
        <v>59</v>
      </c>
      <c r="D149" s="7">
        <v>313.95999999999998</v>
      </c>
      <c r="E149" s="10" t="s">
        <v>25</v>
      </c>
    </row>
    <row r="150" spans="1:5" ht="15" x14ac:dyDescent="0.3">
      <c r="A150" s="8">
        <v>46078</v>
      </c>
      <c r="B150" s="7">
        <v>4677410</v>
      </c>
      <c r="C150" s="12" t="s">
        <v>68</v>
      </c>
      <c r="D150" s="7">
        <v>48.32</v>
      </c>
      <c r="E150" s="10" t="s">
        <v>25</v>
      </c>
    </row>
    <row r="151" spans="1:5" ht="15" x14ac:dyDescent="0.3">
      <c r="A151" s="8">
        <v>46078</v>
      </c>
      <c r="B151" s="7">
        <v>46617587</v>
      </c>
      <c r="C151" s="12" t="s">
        <v>126</v>
      </c>
      <c r="D151" s="7">
        <v>394.99</v>
      </c>
      <c r="E151" s="10" t="s">
        <v>25</v>
      </c>
    </row>
    <row r="152" spans="1:5" ht="15" x14ac:dyDescent="0.3">
      <c r="A152" s="8">
        <v>46078</v>
      </c>
      <c r="B152" s="7">
        <v>15443601</v>
      </c>
      <c r="C152" s="12" t="s">
        <v>125</v>
      </c>
      <c r="D152" s="7">
        <v>60</v>
      </c>
      <c r="E152" s="10" t="s">
        <v>25</v>
      </c>
    </row>
    <row r="153" spans="1:5" ht="15" x14ac:dyDescent="0.3">
      <c r="A153" s="8">
        <v>46082</v>
      </c>
      <c r="B153" s="7">
        <v>50614295</v>
      </c>
      <c r="C153" s="12" t="s">
        <v>124</v>
      </c>
      <c r="D153" s="7">
        <v>37</v>
      </c>
      <c r="E153" s="10" t="s">
        <v>25</v>
      </c>
    </row>
    <row r="154" spans="1:5" ht="15" x14ac:dyDescent="0.3">
      <c r="A154" s="8">
        <v>46082</v>
      </c>
      <c r="B154" s="7">
        <v>71709009</v>
      </c>
      <c r="C154" s="12" t="s">
        <v>123</v>
      </c>
      <c r="D154" s="7">
        <v>38</v>
      </c>
      <c r="E154" s="10" t="s">
        <v>25</v>
      </c>
    </row>
    <row r="155" spans="1:5" ht="15" x14ac:dyDescent="0.3">
      <c r="A155" s="8">
        <v>46082</v>
      </c>
      <c r="B155" s="7">
        <v>79739404</v>
      </c>
      <c r="C155" s="12" t="s">
        <v>70</v>
      </c>
      <c r="D155" s="7">
        <v>26.78</v>
      </c>
      <c r="E155" s="10" t="s">
        <v>25</v>
      </c>
    </row>
    <row r="156" spans="1:5" ht="15" x14ac:dyDescent="0.3">
      <c r="A156" s="8">
        <v>46082</v>
      </c>
      <c r="B156" s="7">
        <v>56465939</v>
      </c>
      <c r="C156" s="12" t="s">
        <v>122</v>
      </c>
      <c r="D156" s="7">
        <v>18.75</v>
      </c>
      <c r="E156" s="10" t="s">
        <v>25</v>
      </c>
    </row>
    <row r="157" spans="1:5" ht="15" x14ac:dyDescent="0.3">
      <c r="A157" s="8">
        <v>46083</v>
      </c>
      <c r="B157" s="7">
        <v>73527387</v>
      </c>
      <c r="C157" s="12" t="s">
        <v>67</v>
      </c>
      <c r="D157" s="7">
        <v>347.42</v>
      </c>
      <c r="E157" s="10" t="s">
        <v>25</v>
      </c>
    </row>
    <row r="158" spans="1:5" ht="15" x14ac:dyDescent="0.3">
      <c r="A158" s="8">
        <v>46084</v>
      </c>
      <c r="B158" s="7">
        <v>3320138</v>
      </c>
      <c r="C158" s="12" t="s">
        <v>72</v>
      </c>
      <c r="D158" s="7">
        <v>198</v>
      </c>
      <c r="E158" s="10" t="s">
        <v>28</v>
      </c>
    </row>
    <row r="159" spans="1:5" ht="15" x14ac:dyDescent="0.3">
      <c r="A159" s="8">
        <v>46087</v>
      </c>
      <c r="B159" s="7" t="s">
        <v>4</v>
      </c>
      <c r="C159" s="7" t="s">
        <v>5</v>
      </c>
      <c r="D159" s="9">
        <v>18249</v>
      </c>
      <c r="E159" s="10" t="s">
        <v>25</v>
      </c>
    </row>
    <row r="160" spans="1:5" ht="22.2" x14ac:dyDescent="0.4">
      <c r="C160" s="14" t="s">
        <v>24</v>
      </c>
      <c r="D160" s="13">
        <f>SUM(D2:D159)</f>
        <v>119690.31999999999</v>
      </c>
    </row>
    <row r="164" spans="1:3" x14ac:dyDescent="0.3">
      <c r="A164" s="18" t="s">
        <v>142</v>
      </c>
      <c r="B164" t="s">
        <v>144</v>
      </c>
      <c r="C164" s="21" t="s">
        <v>145</v>
      </c>
    </row>
    <row r="165" spans="1:3" x14ac:dyDescent="0.3">
      <c r="A165" s="19" t="s">
        <v>25</v>
      </c>
      <c r="B165" s="20">
        <v>138</v>
      </c>
      <c r="C165" s="23">
        <v>34001.199999999997</v>
      </c>
    </row>
    <row r="166" spans="1:3" x14ac:dyDescent="0.3">
      <c r="A166" s="19" t="s">
        <v>28</v>
      </c>
      <c r="B166" s="20">
        <v>5</v>
      </c>
      <c r="C166" s="23">
        <v>1202</v>
      </c>
    </row>
    <row r="167" spans="1:3" x14ac:dyDescent="0.3">
      <c r="A167" s="19" t="s">
        <v>26</v>
      </c>
      <c r="B167" s="20">
        <v>8</v>
      </c>
      <c r="C167" s="23">
        <v>16355</v>
      </c>
    </row>
    <row r="168" spans="1:3" x14ac:dyDescent="0.3">
      <c r="A168" s="19" t="s">
        <v>27</v>
      </c>
      <c r="B168" s="20">
        <v>6</v>
      </c>
      <c r="C168" s="23">
        <v>68131.95</v>
      </c>
    </row>
    <row r="169" spans="1:3" x14ac:dyDescent="0.3">
      <c r="A169" s="19" t="s">
        <v>143</v>
      </c>
      <c r="B169" s="20">
        <v>157</v>
      </c>
      <c r="C169" s="22">
        <f>SUM(C165:C168)</f>
        <v>119690.15</v>
      </c>
    </row>
  </sheetData>
  <autoFilter ref="A1:E160" xr:uid="{9EC78C8A-2D63-41C4-9CB0-C2391C902778}"/>
  <sortState xmlns:xlrd2="http://schemas.microsoft.com/office/spreadsheetml/2017/richdata2" ref="A3:E159">
    <sortCondition ref="A3:A159"/>
  </sortState>
  <conditionalFormatting sqref="B1 B3:B1048576">
    <cfRule type="duplicateValues" dxfId="19" priority="1"/>
  </conditionalFormatting>
  <conditionalFormatting sqref="B160:B1048576 B1 B3:B158">
    <cfRule type="duplicateValues" dxfId="18" priority="2"/>
    <cfRule type="duplicateValues" dxfId="17" priority="3"/>
    <cfRule type="duplicateValues" dxfId="16" priority="4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7BC31-3CEA-41E8-A359-193408A64FB1}">
  <dimension ref="A1:Q140"/>
  <sheetViews>
    <sheetView topLeftCell="A119" workbookViewId="0">
      <selection activeCell="D139" sqref="D139"/>
    </sheetView>
  </sheetViews>
  <sheetFormatPr defaultRowHeight="14.4" x14ac:dyDescent="0.3"/>
  <cols>
    <col min="1" max="1" width="21.5546875" customWidth="1"/>
    <col min="2" max="2" width="29.6640625" customWidth="1"/>
    <col min="3" max="3" width="50" customWidth="1"/>
    <col min="4" max="4" width="24.5546875" customWidth="1"/>
    <col min="5" max="5" width="28.44140625" customWidth="1"/>
    <col min="7" max="7" width="25.88671875" bestFit="1" customWidth="1"/>
  </cols>
  <sheetData>
    <row r="1" spans="1:5" ht="15.6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5" ht="15" x14ac:dyDescent="0.3">
      <c r="A2" s="8">
        <v>45999</v>
      </c>
      <c r="B2" s="7">
        <v>99646233</v>
      </c>
      <c r="C2" s="7" t="s">
        <v>15</v>
      </c>
      <c r="D2" s="7">
        <v>310.07</v>
      </c>
      <c r="E2" s="10" t="s">
        <v>25</v>
      </c>
    </row>
    <row r="3" spans="1:5" ht="15" x14ac:dyDescent="0.3">
      <c r="A3" s="8">
        <v>46001</v>
      </c>
      <c r="B3" s="7">
        <v>52173607</v>
      </c>
      <c r="C3" s="7" t="s">
        <v>16</v>
      </c>
      <c r="D3" s="7">
        <v>35</v>
      </c>
      <c r="E3" s="10" t="s">
        <v>25</v>
      </c>
    </row>
    <row r="4" spans="1:5" ht="15" x14ac:dyDescent="0.3">
      <c r="A4" s="8">
        <v>46001</v>
      </c>
      <c r="B4" s="7">
        <v>44847299</v>
      </c>
      <c r="C4" s="7" t="s">
        <v>17</v>
      </c>
      <c r="D4" s="7">
        <v>7</v>
      </c>
      <c r="E4" s="10" t="s">
        <v>25</v>
      </c>
    </row>
    <row r="5" spans="1:5" ht="15" x14ac:dyDescent="0.3">
      <c r="A5" s="8">
        <v>46001</v>
      </c>
      <c r="B5" s="7">
        <v>60713025</v>
      </c>
      <c r="C5" s="7" t="s">
        <v>30</v>
      </c>
      <c r="D5" s="7">
        <v>27</v>
      </c>
      <c r="E5" s="10" t="s">
        <v>25</v>
      </c>
    </row>
    <row r="6" spans="1:5" ht="15" x14ac:dyDescent="0.3">
      <c r="A6" s="8">
        <v>46002</v>
      </c>
      <c r="B6" s="7">
        <v>64933304</v>
      </c>
      <c r="C6" s="7" t="s">
        <v>16</v>
      </c>
      <c r="D6" s="7">
        <v>30</v>
      </c>
      <c r="E6" s="10" t="s">
        <v>25</v>
      </c>
    </row>
    <row r="7" spans="1:5" ht="15" x14ac:dyDescent="0.3">
      <c r="A7" s="8">
        <v>46005</v>
      </c>
      <c r="B7" s="7">
        <v>50893601</v>
      </c>
      <c r="C7" s="7" t="s">
        <v>31</v>
      </c>
      <c r="D7" s="7">
        <v>40</v>
      </c>
      <c r="E7" s="10" t="s">
        <v>25</v>
      </c>
    </row>
    <row r="8" spans="1:5" ht="15" x14ac:dyDescent="0.3">
      <c r="A8" s="8">
        <v>46005</v>
      </c>
      <c r="B8" s="7">
        <v>86056357</v>
      </c>
      <c r="C8" s="7" t="s">
        <v>15</v>
      </c>
      <c r="D8" s="7">
        <v>252.33</v>
      </c>
      <c r="E8" s="10" t="s">
        <v>25</v>
      </c>
    </row>
    <row r="9" spans="1:5" ht="15" x14ac:dyDescent="0.3">
      <c r="A9" s="8">
        <v>46005</v>
      </c>
      <c r="B9" s="7">
        <v>86151331</v>
      </c>
      <c r="C9" s="7" t="s">
        <v>15</v>
      </c>
      <c r="D9" s="7">
        <v>19.98</v>
      </c>
      <c r="E9" s="10" t="s">
        <v>25</v>
      </c>
    </row>
    <row r="10" spans="1:5" ht="15" x14ac:dyDescent="0.3">
      <c r="A10" s="8">
        <v>46005</v>
      </c>
      <c r="B10" s="7">
        <v>47506398</v>
      </c>
      <c r="C10" s="7" t="s">
        <v>32</v>
      </c>
      <c r="D10" s="7">
        <v>95</v>
      </c>
      <c r="E10" s="10" t="s">
        <v>25</v>
      </c>
    </row>
    <row r="11" spans="1:5" ht="15" x14ac:dyDescent="0.3">
      <c r="A11" s="8">
        <v>46007</v>
      </c>
      <c r="B11" s="7">
        <v>58880988</v>
      </c>
      <c r="C11" s="7" t="s">
        <v>17</v>
      </c>
      <c r="D11" s="7">
        <v>2.95</v>
      </c>
      <c r="E11" s="10" t="s">
        <v>25</v>
      </c>
    </row>
    <row r="12" spans="1:5" ht="15" x14ac:dyDescent="0.3">
      <c r="A12" s="8">
        <v>46007</v>
      </c>
      <c r="B12" s="7">
        <v>43461103</v>
      </c>
      <c r="C12" s="7" t="s">
        <v>33</v>
      </c>
      <c r="D12" s="7">
        <v>33.450000000000003</v>
      </c>
      <c r="E12" s="10" t="s">
        <v>25</v>
      </c>
    </row>
    <row r="13" spans="1:5" ht="15" x14ac:dyDescent="0.3">
      <c r="A13" s="8">
        <v>46008</v>
      </c>
      <c r="B13" s="7">
        <v>80608495</v>
      </c>
      <c r="C13" s="7" t="s">
        <v>34</v>
      </c>
      <c r="D13" s="7">
        <v>2.99</v>
      </c>
      <c r="E13" s="10" t="s">
        <v>25</v>
      </c>
    </row>
    <row r="14" spans="1:5" ht="15" x14ac:dyDescent="0.3">
      <c r="A14" s="8">
        <v>46010</v>
      </c>
      <c r="B14" s="7">
        <v>14720116</v>
      </c>
      <c r="C14" s="7" t="s">
        <v>35</v>
      </c>
      <c r="D14" s="7">
        <v>17</v>
      </c>
      <c r="E14" s="10" t="s">
        <v>25</v>
      </c>
    </row>
    <row r="15" spans="1:5" ht="15" x14ac:dyDescent="0.3">
      <c r="A15" s="8">
        <v>46010</v>
      </c>
      <c r="B15" s="11" t="s">
        <v>20</v>
      </c>
      <c r="C15" s="7" t="s">
        <v>36</v>
      </c>
      <c r="D15" s="7">
        <v>4</v>
      </c>
      <c r="E15" s="10" t="s">
        <v>25</v>
      </c>
    </row>
    <row r="16" spans="1:5" ht="15" x14ac:dyDescent="0.3">
      <c r="A16" s="8">
        <v>46010</v>
      </c>
      <c r="B16" s="7">
        <v>11915803</v>
      </c>
      <c r="C16" s="7" t="s">
        <v>36</v>
      </c>
      <c r="D16" s="7">
        <v>4</v>
      </c>
      <c r="E16" s="10" t="s">
        <v>25</v>
      </c>
    </row>
    <row r="17" spans="1:17" ht="15" x14ac:dyDescent="0.3">
      <c r="A17" s="8">
        <v>46010</v>
      </c>
      <c r="B17" s="7">
        <v>21197702</v>
      </c>
      <c r="C17" s="7" t="s">
        <v>37</v>
      </c>
      <c r="D17" s="7">
        <v>19.989999999999998</v>
      </c>
      <c r="E17" s="10" t="s">
        <v>25</v>
      </c>
    </row>
    <row r="18" spans="1:17" ht="15" customHeight="1" x14ac:dyDescent="0.3">
      <c r="A18" s="8">
        <v>46011</v>
      </c>
      <c r="B18" s="11" t="s">
        <v>21</v>
      </c>
      <c r="C18" s="7" t="s">
        <v>38</v>
      </c>
      <c r="D18" s="7">
        <v>20</v>
      </c>
      <c r="E18" s="10" t="s">
        <v>25</v>
      </c>
      <c r="I18" s="1"/>
      <c r="M18" s="1"/>
      <c r="Q18" s="1"/>
    </row>
    <row r="19" spans="1:17" ht="15" customHeight="1" x14ac:dyDescent="0.3">
      <c r="A19" s="8">
        <v>46012</v>
      </c>
      <c r="B19" s="7">
        <v>52248003</v>
      </c>
      <c r="C19" s="7" t="s">
        <v>6</v>
      </c>
      <c r="D19" s="7">
        <v>651.45000000000005</v>
      </c>
      <c r="E19" s="10" t="s">
        <v>25</v>
      </c>
      <c r="I19" s="1"/>
      <c r="M19" s="1"/>
      <c r="Q19" s="1"/>
    </row>
    <row r="20" spans="1:17" ht="15" customHeight="1" x14ac:dyDescent="0.3">
      <c r="A20" s="8">
        <v>46012</v>
      </c>
      <c r="B20" s="7">
        <v>80677004</v>
      </c>
      <c r="C20" s="7" t="s">
        <v>35</v>
      </c>
      <c r="D20" s="7">
        <v>34</v>
      </c>
      <c r="E20" s="10" t="s">
        <v>25</v>
      </c>
      <c r="I20" s="1"/>
      <c r="M20" s="1"/>
      <c r="Q20" s="1"/>
    </row>
    <row r="21" spans="1:17" ht="15" customHeight="1" x14ac:dyDescent="0.3">
      <c r="A21" s="8">
        <v>46012</v>
      </c>
      <c r="B21" s="7">
        <v>61348547</v>
      </c>
      <c r="C21" s="7" t="s">
        <v>39</v>
      </c>
      <c r="D21" s="7">
        <v>61</v>
      </c>
      <c r="E21" s="10" t="s">
        <v>25</v>
      </c>
      <c r="I21" s="1"/>
      <c r="M21" s="1"/>
      <c r="Q21" s="1"/>
    </row>
    <row r="22" spans="1:17" ht="15" customHeight="1" x14ac:dyDescent="0.3">
      <c r="A22" s="8">
        <v>46012</v>
      </c>
      <c r="B22" s="7">
        <v>62591616</v>
      </c>
      <c r="C22" s="7" t="s">
        <v>15</v>
      </c>
      <c r="D22" s="7">
        <v>4</v>
      </c>
      <c r="E22" s="10" t="s">
        <v>25</v>
      </c>
      <c r="I22" s="1"/>
      <c r="M22" s="1"/>
      <c r="Q22" s="1"/>
    </row>
    <row r="23" spans="1:17" ht="15" customHeight="1" x14ac:dyDescent="0.3">
      <c r="A23" s="8">
        <v>46012</v>
      </c>
      <c r="B23" s="7">
        <v>67316773</v>
      </c>
      <c r="C23" s="7" t="s">
        <v>15</v>
      </c>
      <c r="D23" s="7">
        <v>319.82</v>
      </c>
      <c r="E23" s="10" t="s">
        <v>25</v>
      </c>
      <c r="I23" s="1"/>
      <c r="M23" s="1"/>
      <c r="Q23" s="1"/>
    </row>
    <row r="24" spans="1:17" ht="15" customHeight="1" x14ac:dyDescent="0.3">
      <c r="A24" s="8">
        <v>46012</v>
      </c>
      <c r="B24" s="7">
        <v>67411160</v>
      </c>
      <c r="C24" s="7" t="s">
        <v>15</v>
      </c>
      <c r="D24" s="7">
        <v>477.93</v>
      </c>
      <c r="E24" s="10" t="s">
        <v>25</v>
      </c>
      <c r="I24" s="1"/>
      <c r="M24" s="1"/>
      <c r="Q24" s="1"/>
    </row>
    <row r="25" spans="1:17" ht="15" customHeight="1" x14ac:dyDescent="0.3">
      <c r="A25" s="8">
        <v>46012</v>
      </c>
      <c r="B25" s="7">
        <v>68078083</v>
      </c>
      <c r="C25" s="7" t="s">
        <v>15</v>
      </c>
      <c r="D25" s="7">
        <v>16.75</v>
      </c>
      <c r="E25" s="10" t="s">
        <v>25</v>
      </c>
      <c r="I25" s="1"/>
      <c r="M25" s="1"/>
      <c r="Q25" s="1"/>
    </row>
    <row r="26" spans="1:17" ht="15" customHeight="1" x14ac:dyDescent="0.3">
      <c r="A26" s="8">
        <v>46016</v>
      </c>
      <c r="B26" s="11" t="s">
        <v>23</v>
      </c>
      <c r="C26" s="7" t="s">
        <v>7</v>
      </c>
      <c r="D26" s="7">
        <v>12.6</v>
      </c>
      <c r="E26" s="10" t="s">
        <v>25</v>
      </c>
      <c r="I26" s="1"/>
      <c r="M26" s="1"/>
      <c r="Q26" s="1"/>
    </row>
    <row r="27" spans="1:17" ht="15" customHeight="1" x14ac:dyDescent="0.3">
      <c r="A27" s="8">
        <v>46016</v>
      </c>
      <c r="B27" s="11" t="s">
        <v>22</v>
      </c>
      <c r="C27" s="7" t="s">
        <v>8</v>
      </c>
      <c r="D27" s="7">
        <v>37.15</v>
      </c>
      <c r="E27" s="10" t="s">
        <v>25</v>
      </c>
      <c r="I27" s="1"/>
      <c r="M27" s="1"/>
      <c r="Q27" s="1"/>
    </row>
    <row r="28" spans="1:17" ht="15" customHeight="1" x14ac:dyDescent="0.3">
      <c r="A28" s="8">
        <v>46018</v>
      </c>
      <c r="B28" s="7">
        <v>83757958</v>
      </c>
      <c r="C28" s="7" t="s">
        <v>8</v>
      </c>
      <c r="D28" s="7">
        <v>77.400000000000006</v>
      </c>
      <c r="E28" s="10" t="s">
        <v>25</v>
      </c>
      <c r="I28" s="1"/>
      <c r="M28" s="1"/>
      <c r="Q28" s="1"/>
    </row>
    <row r="29" spans="1:17" ht="15" customHeight="1" x14ac:dyDescent="0.3">
      <c r="A29" s="8">
        <v>46019</v>
      </c>
      <c r="B29" s="7">
        <v>32772895</v>
      </c>
      <c r="C29" s="7" t="s">
        <v>9</v>
      </c>
      <c r="D29" s="7">
        <v>129</v>
      </c>
      <c r="E29" s="10" t="s">
        <v>25</v>
      </c>
      <c r="I29" s="1"/>
      <c r="M29" s="1"/>
      <c r="Q29" s="1"/>
    </row>
    <row r="30" spans="1:17" ht="15" customHeight="1" x14ac:dyDescent="0.3">
      <c r="A30" s="8">
        <v>46019</v>
      </c>
      <c r="B30" s="7">
        <v>94865306</v>
      </c>
      <c r="C30" s="7" t="s">
        <v>10</v>
      </c>
      <c r="D30" s="7">
        <v>17</v>
      </c>
      <c r="E30" s="10" t="s">
        <v>25</v>
      </c>
      <c r="I30" s="1"/>
      <c r="M30" s="1"/>
      <c r="Q30" s="1"/>
    </row>
    <row r="31" spans="1:17" ht="15" customHeight="1" x14ac:dyDescent="0.3">
      <c r="A31" s="8">
        <v>46019</v>
      </c>
      <c r="B31" s="7">
        <v>24487709</v>
      </c>
      <c r="C31" s="7" t="s">
        <v>11</v>
      </c>
      <c r="D31" s="7">
        <v>16</v>
      </c>
      <c r="E31" s="10" t="s">
        <v>25</v>
      </c>
      <c r="I31" s="1"/>
      <c r="M31" s="1"/>
      <c r="Q31" s="1"/>
    </row>
    <row r="32" spans="1:17" ht="15" customHeight="1" x14ac:dyDescent="0.3">
      <c r="A32" s="8">
        <v>46019</v>
      </c>
      <c r="B32" s="7">
        <v>24810801</v>
      </c>
      <c r="C32" s="7" t="s">
        <v>12</v>
      </c>
      <c r="D32" s="7">
        <v>3</v>
      </c>
      <c r="E32" s="10" t="s">
        <v>25</v>
      </c>
      <c r="I32" s="1"/>
      <c r="M32" s="1"/>
      <c r="Q32" s="1"/>
    </row>
    <row r="33" spans="1:17" ht="15" customHeight="1" x14ac:dyDescent="0.3">
      <c r="A33" s="8">
        <v>46019</v>
      </c>
      <c r="B33" s="7">
        <v>42792205</v>
      </c>
      <c r="C33" s="7" t="s">
        <v>13</v>
      </c>
      <c r="D33" s="7">
        <v>16.5</v>
      </c>
      <c r="E33" s="10" t="s">
        <v>25</v>
      </c>
      <c r="I33" s="1"/>
      <c r="M33" s="1"/>
      <c r="Q33" s="1"/>
    </row>
    <row r="34" spans="1:17" ht="15" customHeight="1" x14ac:dyDescent="0.3">
      <c r="A34" s="8">
        <v>46019</v>
      </c>
      <c r="B34" s="7">
        <v>73433201</v>
      </c>
      <c r="C34" s="7" t="s">
        <v>14</v>
      </c>
      <c r="D34" s="7">
        <v>320</v>
      </c>
      <c r="E34" s="10" t="s">
        <v>25</v>
      </c>
      <c r="I34" s="1"/>
      <c r="M34" s="1"/>
      <c r="Q34" s="1"/>
    </row>
    <row r="35" spans="1:17" ht="15" customHeight="1" x14ac:dyDescent="0.3">
      <c r="A35" s="8">
        <v>46020</v>
      </c>
      <c r="B35" s="7">
        <v>93741373</v>
      </c>
      <c r="C35" s="7" t="s">
        <v>40</v>
      </c>
      <c r="D35" s="7">
        <v>375.04</v>
      </c>
      <c r="E35" s="10" t="s">
        <v>25</v>
      </c>
      <c r="I35" s="1"/>
      <c r="M35" s="1"/>
      <c r="Q35" s="1"/>
    </row>
    <row r="36" spans="1:17" ht="15" customHeight="1" x14ac:dyDescent="0.3">
      <c r="A36" s="8">
        <v>46021</v>
      </c>
      <c r="B36" s="7">
        <v>30138262</v>
      </c>
      <c r="C36" s="7" t="s">
        <v>41</v>
      </c>
      <c r="D36" s="7">
        <v>31.45</v>
      </c>
      <c r="E36" s="10" t="s">
        <v>25</v>
      </c>
      <c r="I36" s="1"/>
      <c r="M36" s="1"/>
      <c r="Q36" s="1"/>
    </row>
    <row r="37" spans="1:17" ht="15" customHeight="1" x14ac:dyDescent="0.3">
      <c r="A37" s="8">
        <v>46021</v>
      </c>
      <c r="B37" s="7">
        <v>32120912</v>
      </c>
      <c r="C37" s="7" t="s">
        <v>17</v>
      </c>
      <c r="D37" s="7">
        <v>3.25</v>
      </c>
      <c r="E37" s="10" t="s">
        <v>25</v>
      </c>
      <c r="I37" s="1"/>
      <c r="M37" s="1"/>
      <c r="Q37" s="1"/>
    </row>
    <row r="38" spans="1:17" ht="15" customHeight="1" x14ac:dyDescent="0.3">
      <c r="A38" s="8">
        <v>46022</v>
      </c>
      <c r="B38" s="7">
        <v>12816448</v>
      </c>
      <c r="C38" s="7" t="s">
        <v>42</v>
      </c>
      <c r="D38" s="7">
        <v>9</v>
      </c>
      <c r="E38" s="10" t="s">
        <v>25</v>
      </c>
      <c r="I38" s="1"/>
      <c r="M38" s="1"/>
      <c r="Q38" s="1"/>
    </row>
    <row r="39" spans="1:17" ht="15" customHeight="1" x14ac:dyDescent="0.3">
      <c r="A39" s="8">
        <v>46023</v>
      </c>
      <c r="B39" s="7">
        <v>35374901</v>
      </c>
      <c r="C39" s="7" t="s">
        <v>43</v>
      </c>
      <c r="D39" s="7">
        <v>91</v>
      </c>
      <c r="E39" s="10" t="s">
        <v>25</v>
      </c>
      <c r="I39" s="1"/>
      <c r="M39" s="1"/>
      <c r="Q39" s="1"/>
    </row>
    <row r="40" spans="1:17" ht="15" customHeight="1" x14ac:dyDescent="0.3">
      <c r="A40" s="8">
        <v>46023</v>
      </c>
      <c r="B40" s="7">
        <v>20823153</v>
      </c>
      <c r="C40" s="7" t="s">
        <v>44</v>
      </c>
      <c r="D40" s="7">
        <v>30</v>
      </c>
      <c r="E40" s="10" t="s">
        <v>25</v>
      </c>
      <c r="I40" s="1"/>
      <c r="M40" s="1"/>
      <c r="Q40" s="1"/>
    </row>
    <row r="41" spans="1:17" ht="15" customHeight="1" x14ac:dyDescent="0.3">
      <c r="A41" s="8">
        <v>46023</v>
      </c>
      <c r="B41" s="7">
        <v>19680608</v>
      </c>
      <c r="C41" s="7" t="s">
        <v>45</v>
      </c>
      <c r="D41" s="7">
        <v>149</v>
      </c>
      <c r="E41" s="10" t="s">
        <v>25</v>
      </c>
      <c r="I41" s="1"/>
      <c r="M41" s="1"/>
      <c r="Q41" s="1"/>
    </row>
    <row r="42" spans="1:17" ht="15" x14ac:dyDescent="0.3">
      <c r="A42" s="8">
        <v>46023</v>
      </c>
      <c r="B42" s="7">
        <v>21497009</v>
      </c>
      <c r="C42" s="7" t="s">
        <v>45</v>
      </c>
      <c r="D42" s="7">
        <v>13</v>
      </c>
      <c r="E42" s="10" t="s">
        <v>25</v>
      </c>
      <c r="I42" s="1"/>
      <c r="M42" s="1"/>
      <c r="Q42" s="1"/>
    </row>
    <row r="43" spans="1:17" ht="15" x14ac:dyDescent="0.3">
      <c r="A43" s="8">
        <v>46023</v>
      </c>
      <c r="B43" s="7">
        <v>91539017</v>
      </c>
      <c r="C43" s="7" t="s">
        <v>46</v>
      </c>
      <c r="D43" s="7">
        <v>227.43</v>
      </c>
      <c r="E43" s="10" t="s">
        <v>25</v>
      </c>
      <c r="I43" s="1"/>
      <c r="M43" s="1"/>
      <c r="Q43" s="1"/>
    </row>
    <row r="44" spans="1:17" ht="15" x14ac:dyDescent="0.3">
      <c r="A44" s="8">
        <v>46024</v>
      </c>
      <c r="B44" s="11" t="s">
        <v>19</v>
      </c>
      <c r="C44" s="7" t="s">
        <v>47</v>
      </c>
      <c r="D44" s="7">
        <v>103</v>
      </c>
      <c r="E44" s="10" t="s">
        <v>25</v>
      </c>
      <c r="I44" s="1"/>
      <c r="M44" s="1"/>
      <c r="Q44" s="1"/>
    </row>
    <row r="45" spans="1:17" ht="15" x14ac:dyDescent="0.3">
      <c r="A45" s="8">
        <v>46025</v>
      </c>
      <c r="B45" s="11" t="s">
        <v>18</v>
      </c>
      <c r="C45" s="7" t="s">
        <v>48</v>
      </c>
      <c r="D45" s="7">
        <v>9</v>
      </c>
      <c r="E45" s="10" t="s">
        <v>25</v>
      </c>
      <c r="I45" s="1"/>
      <c r="M45" s="1"/>
      <c r="Q45" s="1"/>
    </row>
    <row r="46" spans="1:17" ht="15" x14ac:dyDescent="0.3">
      <c r="A46" s="8">
        <v>46026</v>
      </c>
      <c r="B46" s="7">
        <v>20482774</v>
      </c>
      <c r="C46" s="7" t="s">
        <v>49</v>
      </c>
      <c r="D46" s="7">
        <v>6</v>
      </c>
      <c r="E46" s="10" t="s">
        <v>25</v>
      </c>
      <c r="I46" s="1"/>
      <c r="M46" s="1"/>
      <c r="Q46" s="1"/>
    </row>
    <row r="47" spans="1:17" ht="15" x14ac:dyDescent="0.3">
      <c r="A47" s="8">
        <v>46026</v>
      </c>
      <c r="B47" s="7">
        <v>59296228</v>
      </c>
      <c r="C47" s="7" t="s">
        <v>15</v>
      </c>
      <c r="D47" s="7">
        <v>99</v>
      </c>
      <c r="E47" s="10" t="s">
        <v>25</v>
      </c>
      <c r="I47" s="1"/>
      <c r="M47" s="1"/>
      <c r="Q47" s="1"/>
    </row>
    <row r="48" spans="1:17" ht="15" x14ac:dyDescent="0.3">
      <c r="A48" s="8">
        <v>46026</v>
      </c>
      <c r="B48" s="7">
        <v>59411207</v>
      </c>
      <c r="C48" s="7" t="s">
        <v>15</v>
      </c>
      <c r="D48" s="7">
        <v>59</v>
      </c>
      <c r="E48" s="10" t="s">
        <v>25</v>
      </c>
      <c r="I48" s="1"/>
      <c r="M48" s="1"/>
      <c r="Q48" s="1"/>
    </row>
    <row r="49" spans="1:17" ht="15" x14ac:dyDescent="0.3">
      <c r="A49" s="8">
        <v>46026</v>
      </c>
      <c r="B49" s="7">
        <v>59465492</v>
      </c>
      <c r="C49" s="7" t="s">
        <v>15</v>
      </c>
      <c r="D49" s="7">
        <v>60</v>
      </c>
      <c r="E49" s="10" t="s">
        <v>25</v>
      </c>
      <c r="I49" s="1"/>
      <c r="M49" s="1"/>
      <c r="Q49" s="1"/>
    </row>
    <row r="50" spans="1:17" ht="15" x14ac:dyDescent="0.3">
      <c r="A50" s="8">
        <v>46026</v>
      </c>
      <c r="B50" s="7">
        <v>55713018</v>
      </c>
      <c r="C50" s="7" t="s">
        <v>30</v>
      </c>
      <c r="D50" s="7">
        <v>32</v>
      </c>
      <c r="E50" s="10" t="s">
        <v>25</v>
      </c>
      <c r="I50" s="1"/>
      <c r="M50" s="1"/>
      <c r="Q50" s="1"/>
    </row>
    <row r="51" spans="1:17" ht="15" x14ac:dyDescent="0.3">
      <c r="A51" s="8">
        <v>46027</v>
      </c>
      <c r="B51" s="7">
        <v>20760491</v>
      </c>
      <c r="C51" s="7" t="s">
        <v>42</v>
      </c>
      <c r="D51" s="7">
        <v>9</v>
      </c>
      <c r="E51" s="10" t="s">
        <v>25</v>
      </c>
      <c r="I51" s="1"/>
      <c r="M51" s="1"/>
      <c r="Q51" s="1"/>
    </row>
    <row r="52" spans="1:17" ht="15" x14ac:dyDescent="0.3">
      <c r="A52" s="8">
        <v>46030</v>
      </c>
      <c r="B52" s="7">
        <v>23371001</v>
      </c>
      <c r="C52" s="7" t="s">
        <v>13</v>
      </c>
      <c r="D52" s="7">
        <v>21.5</v>
      </c>
      <c r="E52" s="10" t="s">
        <v>25</v>
      </c>
      <c r="I52" s="1"/>
      <c r="M52" s="1"/>
      <c r="Q52" s="1"/>
    </row>
    <row r="53" spans="1:17" ht="15" x14ac:dyDescent="0.3">
      <c r="A53" s="8">
        <v>46034</v>
      </c>
      <c r="B53" s="7" t="s">
        <v>62</v>
      </c>
      <c r="C53" s="7" t="s">
        <v>60</v>
      </c>
      <c r="D53" s="7">
        <v>50</v>
      </c>
      <c r="E53" s="10" t="s">
        <v>25</v>
      </c>
      <c r="I53" s="1"/>
      <c r="M53" s="1"/>
      <c r="Q53" s="1"/>
    </row>
    <row r="54" spans="1:17" ht="15" x14ac:dyDescent="0.3">
      <c r="A54" s="8">
        <v>46035</v>
      </c>
      <c r="B54" s="7" t="s">
        <v>61</v>
      </c>
      <c r="C54" s="7" t="s">
        <v>59</v>
      </c>
      <c r="D54" s="7">
        <v>313.95999999999998</v>
      </c>
      <c r="E54" s="10" t="s">
        <v>25</v>
      </c>
    </row>
    <row r="55" spans="1:17" ht="15" x14ac:dyDescent="0.3">
      <c r="A55" s="8">
        <v>46035</v>
      </c>
      <c r="B55" s="7">
        <v>93306005</v>
      </c>
      <c r="C55" s="12" t="s">
        <v>75</v>
      </c>
      <c r="D55" s="7">
        <v>6</v>
      </c>
      <c r="E55" s="10" t="s">
        <v>25</v>
      </c>
    </row>
    <row r="56" spans="1:17" ht="15" x14ac:dyDescent="0.3">
      <c r="A56" s="8">
        <v>46036</v>
      </c>
      <c r="B56" s="7">
        <v>32758307</v>
      </c>
      <c r="C56" s="7" t="s">
        <v>6</v>
      </c>
      <c r="D56" s="7">
        <v>645.44000000000005</v>
      </c>
      <c r="E56" s="10" t="s">
        <v>25</v>
      </c>
    </row>
    <row r="57" spans="1:17" ht="15" x14ac:dyDescent="0.3">
      <c r="A57" s="8">
        <v>46039</v>
      </c>
      <c r="B57" s="11" t="s">
        <v>107</v>
      </c>
      <c r="C57" s="12" t="s">
        <v>76</v>
      </c>
      <c r="D57" s="7">
        <v>13.5</v>
      </c>
      <c r="E57" s="10" t="s">
        <v>25</v>
      </c>
    </row>
    <row r="58" spans="1:17" ht="15" x14ac:dyDescent="0.3">
      <c r="A58" s="8">
        <v>46039</v>
      </c>
      <c r="B58" s="7">
        <v>17223254</v>
      </c>
      <c r="C58" s="12" t="s">
        <v>77</v>
      </c>
      <c r="D58" s="7">
        <v>21.5</v>
      </c>
      <c r="E58" s="10" t="s">
        <v>25</v>
      </c>
    </row>
    <row r="59" spans="1:17" ht="15" x14ac:dyDescent="0.3">
      <c r="A59" s="8">
        <v>46039</v>
      </c>
      <c r="B59" s="7">
        <v>70458808</v>
      </c>
      <c r="C59" s="12" t="s">
        <v>78</v>
      </c>
      <c r="D59" s="7">
        <v>12.5</v>
      </c>
      <c r="E59" s="10" t="s">
        <v>25</v>
      </c>
    </row>
    <row r="60" spans="1:17" ht="15" x14ac:dyDescent="0.3">
      <c r="A60" s="8">
        <v>46039</v>
      </c>
      <c r="B60" s="11" t="s">
        <v>108</v>
      </c>
      <c r="C60" s="12" t="s">
        <v>79</v>
      </c>
      <c r="D60" s="7">
        <v>70</v>
      </c>
      <c r="E60" s="10" t="s">
        <v>25</v>
      </c>
    </row>
    <row r="61" spans="1:17" ht="15" x14ac:dyDescent="0.3">
      <c r="A61" s="8">
        <v>46040</v>
      </c>
      <c r="B61" s="7">
        <v>67879406</v>
      </c>
      <c r="C61" s="12" t="s">
        <v>80</v>
      </c>
      <c r="D61" s="7">
        <v>88.6</v>
      </c>
      <c r="E61" s="10" t="s">
        <v>25</v>
      </c>
    </row>
    <row r="62" spans="1:17" ht="15" x14ac:dyDescent="0.3">
      <c r="A62" s="8">
        <v>46040</v>
      </c>
      <c r="B62" s="7">
        <v>78506452</v>
      </c>
      <c r="C62" s="12" t="s">
        <v>81</v>
      </c>
      <c r="D62" s="7">
        <v>79</v>
      </c>
      <c r="E62" s="10" t="s">
        <v>25</v>
      </c>
    </row>
    <row r="63" spans="1:17" ht="15" x14ac:dyDescent="0.3">
      <c r="A63" s="8">
        <v>46042</v>
      </c>
      <c r="B63" s="11">
        <v>44861912</v>
      </c>
      <c r="C63" s="12" t="s">
        <v>82</v>
      </c>
      <c r="D63" s="7">
        <v>9</v>
      </c>
      <c r="E63" s="10" t="s">
        <v>25</v>
      </c>
    </row>
    <row r="64" spans="1:17" ht="15" x14ac:dyDescent="0.3">
      <c r="A64" s="8">
        <v>46042</v>
      </c>
      <c r="B64" s="7">
        <v>52237375</v>
      </c>
      <c r="C64" s="12" t="s">
        <v>83</v>
      </c>
      <c r="D64" s="7">
        <v>553.34</v>
      </c>
      <c r="E64" s="10" t="s">
        <v>25</v>
      </c>
    </row>
    <row r="65" spans="1:5" ht="15" x14ac:dyDescent="0.3">
      <c r="A65" s="8">
        <v>46044</v>
      </c>
      <c r="B65" s="11" t="s">
        <v>109</v>
      </c>
      <c r="C65" s="12" t="s">
        <v>84</v>
      </c>
      <c r="D65" s="7">
        <v>16.5</v>
      </c>
      <c r="E65" s="10" t="s">
        <v>25</v>
      </c>
    </row>
    <row r="66" spans="1:5" ht="15" x14ac:dyDescent="0.3">
      <c r="A66" s="8">
        <v>46044</v>
      </c>
      <c r="B66" s="7">
        <v>79525502</v>
      </c>
      <c r="C66" s="12" t="s">
        <v>80</v>
      </c>
      <c r="D66" s="7">
        <v>30</v>
      </c>
      <c r="E66" s="10" t="s">
        <v>25</v>
      </c>
    </row>
    <row r="67" spans="1:5" ht="15" x14ac:dyDescent="0.3">
      <c r="A67" s="8">
        <v>46044</v>
      </c>
      <c r="B67" s="7">
        <v>97625904</v>
      </c>
      <c r="C67" s="12" t="s">
        <v>85</v>
      </c>
      <c r="D67" s="7">
        <v>34</v>
      </c>
      <c r="E67" s="10" t="s">
        <v>25</v>
      </c>
    </row>
    <row r="68" spans="1:5" ht="15" x14ac:dyDescent="0.3">
      <c r="A68" s="8">
        <v>46044</v>
      </c>
      <c r="B68" s="7">
        <v>63950587</v>
      </c>
      <c r="C68" s="12" t="s">
        <v>86</v>
      </c>
      <c r="D68" s="7">
        <v>10</v>
      </c>
      <c r="E68" s="10" t="s">
        <v>25</v>
      </c>
    </row>
    <row r="69" spans="1:5" ht="15" x14ac:dyDescent="0.3">
      <c r="A69" s="8">
        <v>46045</v>
      </c>
      <c r="B69" s="7">
        <v>73403926</v>
      </c>
      <c r="C69" s="12" t="s">
        <v>87</v>
      </c>
      <c r="D69" s="7">
        <v>3</v>
      </c>
      <c r="E69" s="10" t="s">
        <v>25</v>
      </c>
    </row>
    <row r="70" spans="1:5" ht="15" x14ac:dyDescent="0.3">
      <c r="A70" s="8">
        <v>46045</v>
      </c>
      <c r="B70" s="7">
        <v>84435107</v>
      </c>
      <c r="C70" s="12" t="s">
        <v>88</v>
      </c>
      <c r="D70" s="7">
        <v>8.5</v>
      </c>
      <c r="E70" s="10" t="s">
        <v>25</v>
      </c>
    </row>
    <row r="71" spans="1:5" ht="15" x14ac:dyDescent="0.3">
      <c r="A71" s="8">
        <v>46045</v>
      </c>
      <c r="B71" s="7">
        <v>85973107</v>
      </c>
      <c r="C71" s="12" t="s">
        <v>89</v>
      </c>
      <c r="D71" s="7">
        <v>14.5</v>
      </c>
      <c r="E71" s="10" t="s">
        <v>25</v>
      </c>
    </row>
    <row r="72" spans="1:5" ht="15" x14ac:dyDescent="0.3">
      <c r="A72" s="8">
        <v>46045</v>
      </c>
      <c r="B72" s="7">
        <v>94882698</v>
      </c>
      <c r="C72" s="12" t="s">
        <v>92</v>
      </c>
      <c r="D72" s="7">
        <v>330</v>
      </c>
      <c r="E72" s="10" t="s">
        <v>25</v>
      </c>
    </row>
    <row r="73" spans="1:5" ht="15" x14ac:dyDescent="0.3">
      <c r="A73" s="8">
        <v>46045</v>
      </c>
      <c r="B73" s="7">
        <v>71806762</v>
      </c>
      <c r="C73" s="12" t="s">
        <v>93</v>
      </c>
      <c r="D73" s="7">
        <v>315</v>
      </c>
      <c r="E73" s="10" t="s">
        <v>25</v>
      </c>
    </row>
    <row r="74" spans="1:5" ht="15" x14ac:dyDescent="0.3">
      <c r="A74" s="8">
        <v>46046</v>
      </c>
      <c r="B74" s="7">
        <v>51323500</v>
      </c>
      <c r="C74" s="12" t="s">
        <v>90</v>
      </c>
      <c r="D74" s="7">
        <v>35</v>
      </c>
      <c r="E74" s="10" t="s">
        <v>25</v>
      </c>
    </row>
    <row r="75" spans="1:5" ht="15" x14ac:dyDescent="0.3">
      <c r="A75" s="8">
        <v>46046</v>
      </c>
      <c r="B75" s="7">
        <v>58749509</v>
      </c>
      <c r="C75" s="12" t="s">
        <v>91</v>
      </c>
      <c r="D75" s="7">
        <v>44</v>
      </c>
      <c r="E75" s="10" t="s">
        <v>25</v>
      </c>
    </row>
    <row r="76" spans="1:5" ht="15" x14ac:dyDescent="0.3">
      <c r="A76" s="8">
        <v>46047</v>
      </c>
      <c r="B76" s="7">
        <v>98640107</v>
      </c>
      <c r="C76" s="12" t="s">
        <v>89</v>
      </c>
      <c r="D76" s="7">
        <v>20.5</v>
      </c>
      <c r="E76" s="10" t="s">
        <v>25</v>
      </c>
    </row>
    <row r="77" spans="1:5" ht="15" x14ac:dyDescent="0.3">
      <c r="A77" s="8">
        <v>46047</v>
      </c>
      <c r="B77" s="11" t="s">
        <v>110</v>
      </c>
      <c r="C77" s="12" t="s">
        <v>94</v>
      </c>
      <c r="D77" s="7">
        <v>61</v>
      </c>
      <c r="E77" s="10" t="s">
        <v>25</v>
      </c>
    </row>
    <row r="78" spans="1:5" ht="15" x14ac:dyDescent="0.3">
      <c r="A78" s="8">
        <v>46047</v>
      </c>
      <c r="B78" s="7">
        <v>13205502</v>
      </c>
      <c r="C78" s="12" t="s">
        <v>95</v>
      </c>
      <c r="D78" s="7">
        <v>27</v>
      </c>
      <c r="E78" s="10" t="s">
        <v>25</v>
      </c>
    </row>
    <row r="79" spans="1:5" ht="15" x14ac:dyDescent="0.3">
      <c r="A79" s="8">
        <v>46047</v>
      </c>
      <c r="B79" s="7">
        <v>30076908</v>
      </c>
      <c r="C79" s="12" t="s">
        <v>96</v>
      </c>
      <c r="D79" s="7">
        <v>155</v>
      </c>
      <c r="E79" s="10" t="s">
        <v>25</v>
      </c>
    </row>
    <row r="80" spans="1:5" ht="15" x14ac:dyDescent="0.3">
      <c r="A80" s="8">
        <v>46047</v>
      </c>
      <c r="B80" s="7">
        <v>21442365</v>
      </c>
      <c r="C80" s="12" t="s">
        <v>83</v>
      </c>
      <c r="D80" s="7">
        <v>68.45</v>
      </c>
      <c r="E80" s="10" t="s">
        <v>25</v>
      </c>
    </row>
    <row r="81" spans="1:5" ht="15" x14ac:dyDescent="0.3">
      <c r="A81" s="8">
        <v>46049</v>
      </c>
      <c r="B81" s="7">
        <v>85181263</v>
      </c>
      <c r="C81" s="12" t="s">
        <v>97</v>
      </c>
      <c r="D81" s="7">
        <v>25</v>
      </c>
      <c r="E81" s="10" t="s">
        <v>25</v>
      </c>
    </row>
    <row r="82" spans="1:5" ht="15" x14ac:dyDescent="0.3">
      <c r="A82" s="8">
        <v>46050</v>
      </c>
      <c r="B82" s="7">
        <v>50367426</v>
      </c>
      <c r="C82" s="12" t="s">
        <v>98</v>
      </c>
      <c r="D82" s="7">
        <v>1423.95</v>
      </c>
      <c r="E82" s="10" t="s">
        <v>25</v>
      </c>
    </row>
    <row r="83" spans="1:5" ht="15" x14ac:dyDescent="0.3">
      <c r="A83" s="8">
        <v>46050</v>
      </c>
      <c r="B83" s="7">
        <v>59601742</v>
      </c>
      <c r="C83" s="12" t="s">
        <v>83</v>
      </c>
      <c r="D83" s="7">
        <v>52.53</v>
      </c>
      <c r="E83" s="10" t="s">
        <v>25</v>
      </c>
    </row>
    <row r="84" spans="1:5" ht="15" x14ac:dyDescent="0.3">
      <c r="A84" s="8">
        <v>46051</v>
      </c>
      <c r="B84" s="7">
        <v>55337495</v>
      </c>
      <c r="C84" s="12" t="s">
        <v>98</v>
      </c>
      <c r="D84" s="7">
        <v>84.96</v>
      </c>
      <c r="E84" s="10" t="s">
        <v>25</v>
      </c>
    </row>
    <row r="85" spans="1:5" ht="15" x14ac:dyDescent="0.3">
      <c r="A85" s="8">
        <v>46053</v>
      </c>
      <c r="B85" s="7">
        <v>42675803</v>
      </c>
      <c r="C85" s="12" t="s">
        <v>80</v>
      </c>
      <c r="D85" s="7">
        <v>50</v>
      </c>
      <c r="E85" s="10" t="s">
        <v>25</v>
      </c>
    </row>
    <row r="86" spans="1:5" ht="15" x14ac:dyDescent="0.3">
      <c r="A86" s="8">
        <v>46054</v>
      </c>
      <c r="B86" s="7">
        <v>64884422</v>
      </c>
      <c r="C86" s="12" t="s">
        <v>98</v>
      </c>
      <c r="D86" s="7">
        <v>84.96</v>
      </c>
      <c r="E86" s="10" t="s">
        <v>25</v>
      </c>
    </row>
    <row r="87" spans="1:5" ht="15" x14ac:dyDescent="0.3">
      <c r="A87" s="8">
        <v>46054</v>
      </c>
      <c r="B87" s="7">
        <v>65803033</v>
      </c>
      <c r="C87" s="12" t="s">
        <v>98</v>
      </c>
      <c r="D87" s="7">
        <v>1399</v>
      </c>
      <c r="E87" s="10" t="s">
        <v>25</v>
      </c>
    </row>
    <row r="88" spans="1:5" ht="15" x14ac:dyDescent="0.3">
      <c r="A88" s="8">
        <v>46054</v>
      </c>
      <c r="B88" s="11">
        <v>12121907</v>
      </c>
      <c r="C88" s="12" t="s">
        <v>101</v>
      </c>
      <c r="D88" s="7">
        <v>30</v>
      </c>
      <c r="E88" s="10" t="s">
        <v>25</v>
      </c>
    </row>
    <row r="89" spans="1:5" ht="15" x14ac:dyDescent="0.3">
      <c r="A89" s="8">
        <v>46055</v>
      </c>
      <c r="B89" s="7">
        <v>65923646</v>
      </c>
      <c r="C89" s="12" t="s">
        <v>99</v>
      </c>
      <c r="D89" s="7">
        <v>97</v>
      </c>
      <c r="E89" s="10" t="s">
        <v>25</v>
      </c>
    </row>
    <row r="90" spans="1:5" ht="15" x14ac:dyDescent="0.3">
      <c r="A90" s="8">
        <v>46055</v>
      </c>
      <c r="B90" s="7">
        <v>78612408</v>
      </c>
      <c r="C90" s="12" t="s">
        <v>103</v>
      </c>
      <c r="D90" s="7">
        <v>99</v>
      </c>
      <c r="E90" s="10" t="s">
        <v>25</v>
      </c>
    </row>
    <row r="91" spans="1:5" ht="15" x14ac:dyDescent="0.3">
      <c r="A91" s="8">
        <v>46055</v>
      </c>
      <c r="B91" s="7">
        <v>35082118</v>
      </c>
      <c r="C91" s="12" t="s">
        <v>83</v>
      </c>
      <c r="D91" s="7">
        <v>503.17</v>
      </c>
      <c r="E91" s="10" t="s">
        <v>25</v>
      </c>
    </row>
    <row r="92" spans="1:5" ht="15" x14ac:dyDescent="0.3">
      <c r="A92" s="8">
        <v>46056</v>
      </c>
      <c r="B92" s="7">
        <v>68951072</v>
      </c>
      <c r="C92" s="12" t="s">
        <v>102</v>
      </c>
      <c r="D92" s="7">
        <v>29.9</v>
      </c>
      <c r="E92" s="10" t="s">
        <v>25</v>
      </c>
    </row>
    <row r="93" spans="1:5" ht="15" x14ac:dyDescent="0.3">
      <c r="A93" s="8">
        <v>46056</v>
      </c>
      <c r="B93" s="7">
        <v>98198108</v>
      </c>
      <c r="C93" s="12" t="s">
        <v>87</v>
      </c>
      <c r="D93" s="7">
        <v>5.04</v>
      </c>
      <c r="E93" s="10" t="s">
        <v>25</v>
      </c>
    </row>
    <row r="94" spans="1:5" ht="15" x14ac:dyDescent="0.3">
      <c r="A94" s="8">
        <v>46057</v>
      </c>
      <c r="B94" s="11" t="s">
        <v>106</v>
      </c>
      <c r="C94" s="12" t="s">
        <v>104</v>
      </c>
      <c r="D94" s="7">
        <v>48.5</v>
      </c>
      <c r="E94" s="10" t="s">
        <v>25</v>
      </c>
    </row>
    <row r="95" spans="1:5" ht="15" x14ac:dyDescent="0.3">
      <c r="A95" s="8">
        <v>46058</v>
      </c>
      <c r="B95" s="7" t="s">
        <v>63</v>
      </c>
      <c r="C95" s="7" t="s">
        <v>10</v>
      </c>
      <c r="D95" s="7">
        <v>49</v>
      </c>
      <c r="E95" s="10" t="s">
        <v>25</v>
      </c>
    </row>
    <row r="96" spans="1:5" ht="15" x14ac:dyDescent="0.3">
      <c r="A96" s="8">
        <v>46058</v>
      </c>
      <c r="B96" s="7" t="s">
        <v>65</v>
      </c>
      <c r="C96" s="7" t="s">
        <v>64</v>
      </c>
      <c r="D96" s="7">
        <v>148</v>
      </c>
      <c r="E96" s="10" t="s">
        <v>25</v>
      </c>
    </row>
    <row r="97" spans="1:5" ht="15" x14ac:dyDescent="0.3">
      <c r="A97" s="8">
        <v>46059</v>
      </c>
      <c r="B97" s="7">
        <v>46883457</v>
      </c>
      <c r="C97" s="12" t="s">
        <v>105</v>
      </c>
      <c r="D97" s="7">
        <v>30.64</v>
      </c>
      <c r="E97" s="10" t="s">
        <v>25</v>
      </c>
    </row>
    <row r="98" spans="1:5" ht="15" x14ac:dyDescent="0.3">
      <c r="A98" s="8">
        <v>46059</v>
      </c>
      <c r="B98" s="7">
        <v>90525006</v>
      </c>
      <c r="C98" s="12" t="s">
        <v>119</v>
      </c>
      <c r="D98" s="7">
        <v>14.5</v>
      </c>
      <c r="E98" s="10" t="s">
        <v>25</v>
      </c>
    </row>
    <row r="99" spans="1:5" ht="15" x14ac:dyDescent="0.3">
      <c r="A99" s="8">
        <v>46059</v>
      </c>
      <c r="B99" s="7">
        <v>94811403</v>
      </c>
      <c r="C99" s="12" t="s">
        <v>117</v>
      </c>
      <c r="D99" s="7">
        <v>30</v>
      </c>
      <c r="E99" s="10" t="s">
        <v>25</v>
      </c>
    </row>
    <row r="100" spans="1:5" ht="15" x14ac:dyDescent="0.3">
      <c r="A100" s="8">
        <v>46060</v>
      </c>
      <c r="B100" s="7">
        <v>8954354</v>
      </c>
      <c r="C100" s="12" t="s">
        <v>73</v>
      </c>
      <c r="D100" s="7">
        <v>50.75</v>
      </c>
      <c r="E100" s="10" t="s">
        <v>25</v>
      </c>
    </row>
    <row r="101" spans="1:5" ht="15" x14ac:dyDescent="0.3">
      <c r="A101" s="8">
        <v>46060</v>
      </c>
      <c r="B101" s="7">
        <v>88388838</v>
      </c>
      <c r="C101" s="12" t="s">
        <v>120</v>
      </c>
      <c r="D101" s="7">
        <v>66</v>
      </c>
      <c r="E101" s="10" t="s">
        <v>25</v>
      </c>
    </row>
    <row r="102" spans="1:5" ht="15" x14ac:dyDescent="0.3">
      <c r="A102" s="8">
        <v>46060</v>
      </c>
      <c r="B102" s="7">
        <v>35807909</v>
      </c>
      <c r="C102" s="12" t="s">
        <v>118</v>
      </c>
      <c r="D102" s="7">
        <v>12</v>
      </c>
      <c r="E102" s="10" t="s">
        <v>25</v>
      </c>
    </row>
    <row r="103" spans="1:5" ht="15" x14ac:dyDescent="0.3">
      <c r="A103" s="8">
        <v>46060</v>
      </c>
      <c r="B103" s="7">
        <v>87350209</v>
      </c>
      <c r="C103" s="12" t="s">
        <v>116</v>
      </c>
      <c r="D103" s="7">
        <v>113.89</v>
      </c>
      <c r="E103" s="10" t="s">
        <v>25</v>
      </c>
    </row>
    <row r="104" spans="1:5" ht="15" x14ac:dyDescent="0.3">
      <c r="A104" s="8">
        <v>46061</v>
      </c>
      <c r="B104" s="7">
        <v>91462774</v>
      </c>
      <c r="C104" s="12" t="s">
        <v>71</v>
      </c>
      <c r="D104" s="7" t="s">
        <v>139</v>
      </c>
      <c r="E104" s="10" t="s">
        <v>25</v>
      </c>
    </row>
    <row r="105" spans="1:5" ht="15" x14ac:dyDescent="0.3">
      <c r="A105" s="8">
        <v>46063</v>
      </c>
      <c r="B105" s="7">
        <v>80336550</v>
      </c>
      <c r="C105" s="12" t="s">
        <v>66</v>
      </c>
      <c r="D105" s="7">
        <v>11</v>
      </c>
      <c r="E105" s="10" t="s">
        <v>25</v>
      </c>
    </row>
    <row r="106" spans="1:5" ht="15" x14ac:dyDescent="0.3">
      <c r="A106" s="8">
        <v>46063</v>
      </c>
      <c r="B106" s="7">
        <v>69507609</v>
      </c>
      <c r="C106" s="12" t="s">
        <v>67</v>
      </c>
      <c r="D106" s="7">
        <v>111.54</v>
      </c>
      <c r="E106" s="10" t="s">
        <v>25</v>
      </c>
    </row>
    <row r="107" spans="1:5" ht="15" x14ac:dyDescent="0.3">
      <c r="A107" s="8">
        <v>46065</v>
      </c>
      <c r="B107" s="7">
        <v>65845220</v>
      </c>
      <c r="C107" s="12" t="s">
        <v>68</v>
      </c>
      <c r="D107" s="7">
        <v>2.75</v>
      </c>
      <c r="E107" s="10" t="s">
        <v>25</v>
      </c>
    </row>
    <row r="108" spans="1:5" ht="15" x14ac:dyDescent="0.3">
      <c r="A108" s="8">
        <v>46066</v>
      </c>
      <c r="B108" s="7">
        <v>85610447</v>
      </c>
      <c r="C108" s="12" t="s">
        <v>68</v>
      </c>
      <c r="D108" s="7">
        <v>1.99</v>
      </c>
      <c r="E108" s="10" t="s">
        <v>25</v>
      </c>
    </row>
    <row r="109" spans="1:5" ht="15" x14ac:dyDescent="0.3">
      <c r="A109" s="8">
        <v>46067</v>
      </c>
      <c r="B109" s="7">
        <v>17123008</v>
      </c>
      <c r="C109" s="12" t="s">
        <v>74</v>
      </c>
      <c r="D109" s="7">
        <v>1.89</v>
      </c>
      <c r="E109" s="10" t="s">
        <v>25</v>
      </c>
    </row>
    <row r="110" spans="1:5" ht="15" x14ac:dyDescent="0.3">
      <c r="A110" s="8">
        <v>46067</v>
      </c>
      <c r="B110" s="7">
        <v>26507209</v>
      </c>
      <c r="C110" s="12" t="s">
        <v>74</v>
      </c>
      <c r="D110" s="7">
        <v>193.78</v>
      </c>
      <c r="E110" s="10" t="s">
        <v>25</v>
      </c>
    </row>
    <row r="111" spans="1:5" ht="15" x14ac:dyDescent="0.3">
      <c r="A111" s="8">
        <v>46067</v>
      </c>
      <c r="B111" s="7">
        <v>22297407</v>
      </c>
      <c r="C111" s="12" t="s">
        <v>136</v>
      </c>
      <c r="D111" s="7">
        <v>20</v>
      </c>
      <c r="E111" s="10" t="s">
        <v>25</v>
      </c>
    </row>
    <row r="112" spans="1:5" ht="15" x14ac:dyDescent="0.3">
      <c r="A112" s="8">
        <v>46067</v>
      </c>
      <c r="B112" s="7">
        <v>81106144</v>
      </c>
      <c r="C112" s="12" t="s">
        <v>116</v>
      </c>
      <c r="D112" s="7">
        <v>51.94</v>
      </c>
      <c r="E112" s="10" t="s">
        <v>25</v>
      </c>
    </row>
    <row r="113" spans="1:5" ht="15" x14ac:dyDescent="0.3">
      <c r="A113" s="8">
        <v>46067</v>
      </c>
      <c r="B113" s="7">
        <v>75688811</v>
      </c>
      <c r="C113" s="12" t="s">
        <v>135</v>
      </c>
      <c r="D113" s="7">
        <v>54</v>
      </c>
      <c r="E113" s="10" t="s">
        <v>25</v>
      </c>
    </row>
    <row r="114" spans="1:5" ht="15" x14ac:dyDescent="0.3">
      <c r="A114" s="8">
        <v>46068</v>
      </c>
      <c r="B114" s="7">
        <v>50560090</v>
      </c>
      <c r="C114" s="12" t="s">
        <v>138</v>
      </c>
      <c r="D114" s="7">
        <v>12</v>
      </c>
      <c r="E114" s="10" t="s">
        <v>25</v>
      </c>
    </row>
    <row r="115" spans="1:5" ht="15" x14ac:dyDescent="0.3">
      <c r="A115" s="8">
        <v>46068</v>
      </c>
      <c r="B115" s="7">
        <v>30610758</v>
      </c>
      <c r="C115" s="12" t="s">
        <v>137</v>
      </c>
      <c r="D115" s="7">
        <v>15.5</v>
      </c>
      <c r="E115" s="10" t="s">
        <v>25</v>
      </c>
    </row>
    <row r="116" spans="1:5" ht="15" x14ac:dyDescent="0.3">
      <c r="A116" s="8">
        <v>46068</v>
      </c>
      <c r="B116" s="7">
        <v>30610766</v>
      </c>
      <c r="C116" s="12" t="s">
        <v>137</v>
      </c>
      <c r="D116" s="7">
        <v>6.5</v>
      </c>
      <c r="E116" s="10" t="s">
        <v>25</v>
      </c>
    </row>
    <row r="117" spans="1:5" ht="15" x14ac:dyDescent="0.3">
      <c r="A117" s="8">
        <v>46068</v>
      </c>
      <c r="B117" s="7">
        <v>16451610</v>
      </c>
      <c r="C117" s="12" t="s">
        <v>134</v>
      </c>
      <c r="D117" s="7">
        <v>20</v>
      </c>
      <c r="E117" s="10" t="s">
        <v>25</v>
      </c>
    </row>
    <row r="118" spans="1:5" ht="15" x14ac:dyDescent="0.3">
      <c r="A118" s="8">
        <v>46068</v>
      </c>
      <c r="B118" s="7">
        <v>50097602</v>
      </c>
      <c r="C118" s="12" t="s">
        <v>133</v>
      </c>
      <c r="D118" s="7">
        <v>30</v>
      </c>
      <c r="E118" s="10" t="s">
        <v>25</v>
      </c>
    </row>
    <row r="119" spans="1:5" ht="15" x14ac:dyDescent="0.3">
      <c r="A119" s="8">
        <v>46068</v>
      </c>
      <c r="B119" s="7">
        <v>47279986</v>
      </c>
      <c r="C119" s="12" t="s">
        <v>132</v>
      </c>
      <c r="D119" s="7">
        <v>20.27</v>
      </c>
      <c r="E119" s="10" t="s">
        <v>25</v>
      </c>
    </row>
    <row r="120" spans="1:5" ht="15" x14ac:dyDescent="0.3">
      <c r="A120" s="8">
        <v>46068</v>
      </c>
      <c r="B120" s="7">
        <v>84026085</v>
      </c>
      <c r="C120" s="12" t="s">
        <v>131</v>
      </c>
      <c r="D120" s="7">
        <v>12</v>
      </c>
      <c r="E120" s="10" t="s">
        <v>25</v>
      </c>
    </row>
    <row r="121" spans="1:5" ht="15" x14ac:dyDescent="0.3">
      <c r="A121" s="8">
        <v>46068</v>
      </c>
      <c r="B121" s="7">
        <v>84026432</v>
      </c>
      <c r="C121" s="12" t="s">
        <v>131</v>
      </c>
      <c r="D121" s="7">
        <v>15</v>
      </c>
      <c r="E121" s="10" t="s">
        <v>25</v>
      </c>
    </row>
    <row r="122" spans="1:5" ht="15" x14ac:dyDescent="0.3">
      <c r="A122" s="8">
        <v>46068</v>
      </c>
      <c r="B122" s="7">
        <v>84201282</v>
      </c>
      <c r="C122" s="12" t="s">
        <v>130</v>
      </c>
      <c r="D122" s="7">
        <v>15</v>
      </c>
      <c r="E122" s="10" t="s">
        <v>25</v>
      </c>
    </row>
    <row r="123" spans="1:5" ht="15" x14ac:dyDescent="0.3">
      <c r="A123" s="8">
        <v>46071</v>
      </c>
      <c r="B123" s="7">
        <v>6785804</v>
      </c>
      <c r="C123" s="12" t="s">
        <v>113</v>
      </c>
      <c r="D123" s="7">
        <v>661.47</v>
      </c>
      <c r="E123" s="10" t="s">
        <v>25</v>
      </c>
    </row>
    <row r="124" spans="1:5" ht="15" x14ac:dyDescent="0.3">
      <c r="A124" s="8">
        <v>46071</v>
      </c>
      <c r="B124" s="7">
        <v>31983035</v>
      </c>
      <c r="C124" s="12" t="s">
        <v>67</v>
      </c>
      <c r="D124" s="7">
        <v>472.4</v>
      </c>
      <c r="E124" s="10" t="s">
        <v>25</v>
      </c>
    </row>
    <row r="125" spans="1:5" ht="15" x14ac:dyDescent="0.3">
      <c r="A125" s="8">
        <v>46074</v>
      </c>
      <c r="B125" s="7">
        <v>2177059</v>
      </c>
      <c r="C125" s="12" t="s">
        <v>129</v>
      </c>
      <c r="D125" s="7">
        <v>84</v>
      </c>
      <c r="E125" s="10" t="s">
        <v>25</v>
      </c>
    </row>
    <row r="126" spans="1:5" ht="15" x14ac:dyDescent="0.3">
      <c r="A126" s="8">
        <v>46076</v>
      </c>
      <c r="B126" s="7">
        <v>12531207</v>
      </c>
      <c r="C126" s="12" t="s">
        <v>128</v>
      </c>
      <c r="D126" s="7">
        <v>95</v>
      </c>
      <c r="E126" s="10" t="s">
        <v>25</v>
      </c>
    </row>
    <row r="127" spans="1:5" ht="15" x14ac:dyDescent="0.3">
      <c r="A127" s="8">
        <v>46076</v>
      </c>
      <c r="B127" s="7">
        <v>61881129</v>
      </c>
      <c r="C127" s="12" t="s">
        <v>127</v>
      </c>
      <c r="D127" s="7">
        <v>130.5</v>
      </c>
      <c r="E127" s="10" t="s">
        <v>25</v>
      </c>
    </row>
    <row r="128" spans="1:5" ht="15" x14ac:dyDescent="0.3">
      <c r="A128" s="8">
        <v>46077</v>
      </c>
      <c r="B128" s="7">
        <v>89087842</v>
      </c>
      <c r="C128" s="12" t="s">
        <v>68</v>
      </c>
      <c r="D128" s="7">
        <v>28.24</v>
      </c>
      <c r="E128" s="10" t="s">
        <v>25</v>
      </c>
    </row>
    <row r="129" spans="1:5" ht="15" x14ac:dyDescent="0.3">
      <c r="A129" s="8">
        <v>46077</v>
      </c>
      <c r="B129" s="7">
        <v>68247703</v>
      </c>
      <c r="C129" s="12" t="s">
        <v>69</v>
      </c>
      <c r="D129" s="7">
        <v>475.1</v>
      </c>
      <c r="E129" s="10" t="s">
        <v>25</v>
      </c>
    </row>
    <row r="130" spans="1:5" ht="15" x14ac:dyDescent="0.3">
      <c r="A130" s="8">
        <v>46078</v>
      </c>
      <c r="B130" s="7" t="s">
        <v>121</v>
      </c>
      <c r="C130" s="12" t="s">
        <v>59</v>
      </c>
      <c r="D130" s="7">
        <v>313.95999999999998</v>
      </c>
      <c r="E130" s="10" t="s">
        <v>25</v>
      </c>
    </row>
    <row r="131" spans="1:5" ht="15" x14ac:dyDescent="0.3">
      <c r="A131" s="8">
        <v>46078</v>
      </c>
      <c r="B131" s="7">
        <v>4677410</v>
      </c>
      <c r="C131" s="12" t="s">
        <v>68</v>
      </c>
      <c r="D131" s="7">
        <v>48.32</v>
      </c>
      <c r="E131" s="10" t="s">
        <v>25</v>
      </c>
    </row>
    <row r="132" spans="1:5" ht="15" x14ac:dyDescent="0.3">
      <c r="A132" s="8">
        <v>46078</v>
      </c>
      <c r="B132" s="7">
        <v>46617587</v>
      </c>
      <c r="C132" s="12" t="s">
        <v>126</v>
      </c>
      <c r="D132" s="7">
        <v>394.99</v>
      </c>
      <c r="E132" s="10" t="s">
        <v>25</v>
      </c>
    </row>
    <row r="133" spans="1:5" ht="15" x14ac:dyDescent="0.3">
      <c r="A133" s="8">
        <v>46078</v>
      </c>
      <c r="B133" s="7">
        <v>15443601</v>
      </c>
      <c r="C133" s="12" t="s">
        <v>125</v>
      </c>
      <c r="D133" s="7">
        <v>60</v>
      </c>
      <c r="E133" s="10" t="s">
        <v>25</v>
      </c>
    </row>
    <row r="134" spans="1:5" ht="15" x14ac:dyDescent="0.3">
      <c r="A134" s="8">
        <v>46082</v>
      </c>
      <c r="B134" s="7">
        <v>50614295</v>
      </c>
      <c r="C134" s="12" t="s">
        <v>124</v>
      </c>
      <c r="D134" s="7">
        <v>37</v>
      </c>
      <c r="E134" s="10" t="s">
        <v>25</v>
      </c>
    </row>
    <row r="135" spans="1:5" ht="15" x14ac:dyDescent="0.3">
      <c r="A135" s="8">
        <v>46082</v>
      </c>
      <c r="B135" s="7">
        <v>71709009</v>
      </c>
      <c r="C135" s="12" t="s">
        <v>123</v>
      </c>
      <c r="D135" s="7">
        <v>38</v>
      </c>
      <c r="E135" s="10" t="s">
        <v>25</v>
      </c>
    </row>
    <row r="136" spans="1:5" ht="15" x14ac:dyDescent="0.3">
      <c r="A136" s="8">
        <v>46082</v>
      </c>
      <c r="B136" s="7">
        <v>79739404</v>
      </c>
      <c r="C136" s="12" t="s">
        <v>70</v>
      </c>
      <c r="D136" s="7">
        <v>26.78</v>
      </c>
      <c r="E136" s="10" t="s">
        <v>25</v>
      </c>
    </row>
    <row r="137" spans="1:5" ht="15" x14ac:dyDescent="0.3">
      <c r="A137" s="8">
        <v>46082</v>
      </c>
      <c r="B137" s="7">
        <v>56465939</v>
      </c>
      <c r="C137" s="12" t="s">
        <v>122</v>
      </c>
      <c r="D137" s="7">
        <v>18.75</v>
      </c>
      <c r="E137" s="10" t="s">
        <v>25</v>
      </c>
    </row>
    <row r="138" spans="1:5" ht="15" x14ac:dyDescent="0.3">
      <c r="A138" s="8">
        <v>46083</v>
      </c>
      <c r="B138" s="7">
        <v>73527387</v>
      </c>
      <c r="C138" s="12" t="s">
        <v>67</v>
      </c>
      <c r="D138" s="7">
        <v>347.42</v>
      </c>
      <c r="E138" s="10" t="s">
        <v>25</v>
      </c>
    </row>
    <row r="139" spans="1:5" ht="15" x14ac:dyDescent="0.3">
      <c r="A139" s="8">
        <v>46087</v>
      </c>
      <c r="B139" s="7" t="s">
        <v>4</v>
      </c>
      <c r="C139" s="7" t="s">
        <v>5</v>
      </c>
      <c r="D139" s="9">
        <v>18249</v>
      </c>
      <c r="E139" s="10" t="s">
        <v>25</v>
      </c>
    </row>
    <row r="140" spans="1:5" ht="24" x14ac:dyDescent="0.45">
      <c r="C140" s="16" t="s">
        <v>24</v>
      </c>
      <c r="D140" s="17">
        <f>SUM(D2:D139)</f>
        <v>34001.199999999997</v>
      </c>
    </row>
  </sheetData>
  <sortState xmlns:xlrd2="http://schemas.microsoft.com/office/spreadsheetml/2017/richdata2" ref="A2:D53">
    <sortCondition ref="A53"/>
  </sortState>
  <conditionalFormatting sqref="B2:B138">
    <cfRule type="duplicateValues" dxfId="15" priority="2"/>
    <cfRule type="duplicateValues" dxfId="14" priority="3"/>
    <cfRule type="duplicateValues" dxfId="13" priority="4"/>
  </conditionalFormatting>
  <conditionalFormatting sqref="B2:B139">
    <cfRule type="duplicateValues" dxfId="12" priority="1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71147-DD46-43EE-BE6C-8BE16F329C1F}">
  <dimension ref="A1:U14"/>
  <sheetViews>
    <sheetView workbookViewId="0">
      <selection activeCell="B9" sqref="B9"/>
    </sheetView>
  </sheetViews>
  <sheetFormatPr defaultRowHeight="14.4" x14ac:dyDescent="0.3"/>
  <cols>
    <col min="1" max="1" width="21.109375" customWidth="1"/>
    <col min="2" max="2" width="24" customWidth="1"/>
    <col min="3" max="3" width="41.33203125" customWidth="1"/>
    <col min="4" max="4" width="20.6640625" style="29" customWidth="1"/>
    <col min="5" max="5" width="11.5546875" bestFit="1" customWidth="1"/>
    <col min="6" max="6" width="9.5546875" bestFit="1" customWidth="1"/>
    <col min="13" max="13" width="21.109375" bestFit="1" customWidth="1"/>
  </cols>
  <sheetData>
    <row r="1" spans="1:21" ht="15.6" x14ac:dyDescent="0.3">
      <c r="A1" s="2" t="s">
        <v>0</v>
      </c>
      <c r="B1" s="2" t="s">
        <v>1</v>
      </c>
      <c r="C1" s="2" t="s">
        <v>2</v>
      </c>
      <c r="D1" s="25" t="s">
        <v>3</v>
      </c>
      <c r="E1" s="15" t="s">
        <v>29</v>
      </c>
    </row>
    <row r="2" spans="1:21" ht="15.6" x14ac:dyDescent="0.3">
      <c r="A2" s="32">
        <v>45997</v>
      </c>
      <c r="B2" s="30"/>
      <c r="C2" s="30"/>
      <c r="D2" s="31">
        <v>6700</v>
      </c>
      <c r="E2" s="10" t="s">
        <v>26</v>
      </c>
    </row>
    <row r="3" spans="1:21" ht="15" customHeight="1" x14ac:dyDescent="0.3">
      <c r="A3" s="8">
        <v>45999</v>
      </c>
      <c r="B3" s="10">
        <v>95909903</v>
      </c>
      <c r="C3" s="7" t="s">
        <v>50</v>
      </c>
      <c r="D3" s="26">
        <v>258.85000000000002</v>
      </c>
      <c r="E3" s="10" t="s">
        <v>26</v>
      </c>
      <c r="F3" s="5"/>
    </row>
    <row r="4" spans="1:21" ht="15" customHeight="1" x14ac:dyDescent="0.3">
      <c r="A4" s="8">
        <v>46001</v>
      </c>
      <c r="B4" s="10">
        <v>11284678</v>
      </c>
      <c r="C4" s="7" t="s">
        <v>52</v>
      </c>
      <c r="D4" s="26">
        <v>208.95</v>
      </c>
      <c r="E4" s="10" t="s">
        <v>26</v>
      </c>
      <c r="I4" s="4"/>
      <c r="M4" s="4"/>
      <c r="Q4" s="4"/>
      <c r="U4" s="4"/>
    </row>
    <row r="5" spans="1:21" ht="15" customHeight="1" x14ac:dyDescent="0.3">
      <c r="A5" s="8">
        <v>46014</v>
      </c>
      <c r="B5" s="10">
        <v>43364428</v>
      </c>
      <c r="C5" s="7" t="s">
        <v>57</v>
      </c>
      <c r="D5" s="26">
        <v>1575</v>
      </c>
      <c r="E5" s="10" t="s">
        <v>26</v>
      </c>
      <c r="I5" s="4"/>
      <c r="M5" s="4"/>
      <c r="Q5" s="4"/>
      <c r="U5" s="4"/>
    </row>
    <row r="6" spans="1:21" ht="15" customHeight="1" x14ac:dyDescent="0.3">
      <c r="A6" s="8">
        <v>46031</v>
      </c>
      <c r="B6" s="7">
        <v>11331306</v>
      </c>
      <c r="C6" s="6" t="s">
        <v>58</v>
      </c>
      <c r="D6" s="27">
        <v>208.95</v>
      </c>
      <c r="E6" s="10" t="s">
        <v>26</v>
      </c>
    </row>
    <row r="7" spans="1:21" ht="15" x14ac:dyDescent="0.3">
      <c r="A7" s="8">
        <v>46039</v>
      </c>
      <c r="B7" s="7">
        <v>38625106</v>
      </c>
      <c r="C7" s="7" t="s">
        <v>6</v>
      </c>
      <c r="D7" s="24">
        <v>285.52</v>
      </c>
      <c r="E7" s="10" t="s">
        <v>26</v>
      </c>
    </row>
    <row r="8" spans="1:21" ht="15" x14ac:dyDescent="0.3">
      <c r="A8" s="8">
        <v>46056</v>
      </c>
      <c r="B8" s="8" t="s">
        <v>140</v>
      </c>
      <c r="C8" s="8" t="s">
        <v>141</v>
      </c>
      <c r="D8" s="24">
        <v>6700</v>
      </c>
      <c r="E8" s="8" t="s">
        <v>26</v>
      </c>
    </row>
    <row r="9" spans="1:21" ht="15" x14ac:dyDescent="0.3">
      <c r="A9" s="8">
        <v>46059</v>
      </c>
      <c r="B9" s="7">
        <v>10352600</v>
      </c>
      <c r="C9" s="7" t="s">
        <v>58</v>
      </c>
      <c r="D9" s="24">
        <v>208.95</v>
      </c>
      <c r="E9" s="10" t="s">
        <v>26</v>
      </c>
    </row>
    <row r="10" spans="1:21" ht="15" x14ac:dyDescent="0.3">
      <c r="A10" s="8">
        <v>46074</v>
      </c>
      <c r="B10" s="7">
        <v>10156591</v>
      </c>
      <c r="C10" s="12" t="s">
        <v>112</v>
      </c>
      <c r="D10" s="24">
        <v>208.95</v>
      </c>
      <c r="E10" s="10" t="s">
        <v>26</v>
      </c>
    </row>
    <row r="11" spans="1:21" ht="24" x14ac:dyDescent="0.3">
      <c r="C11" s="16" t="s">
        <v>24</v>
      </c>
      <c r="D11" s="28">
        <f>SUM(D2:D10)</f>
        <v>16355.170000000002</v>
      </c>
    </row>
    <row r="14" spans="1:21" x14ac:dyDescent="0.3">
      <c r="F14" s="3"/>
    </row>
  </sheetData>
  <conditionalFormatting sqref="B3:B10">
    <cfRule type="duplicateValues" dxfId="11" priority="1"/>
    <cfRule type="duplicateValues" dxfId="10" priority="2"/>
    <cfRule type="duplicateValues" dxfId="9" priority="3"/>
    <cfRule type="duplicateValues" dxfId="8" priority="4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41A7A-E03B-4B43-AAE1-2F3C3C8AAD41}">
  <dimension ref="A1:E8"/>
  <sheetViews>
    <sheetView tabSelected="1" workbookViewId="0">
      <selection activeCell="C11" sqref="C11"/>
    </sheetView>
  </sheetViews>
  <sheetFormatPr defaultRowHeight="14.4" x14ac:dyDescent="0.3"/>
  <cols>
    <col min="1" max="1" width="22.33203125" customWidth="1"/>
    <col min="2" max="2" width="25" customWidth="1"/>
    <col min="3" max="3" width="69.44140625" customWidth="1"/>
    <col min="4" max="4" width="22.33203125" customWidth="1"/>
    <col min="5" max="5" width="14" bestFit="1" customWidth="1"/>
  </cols>
  <sheetData>
    <row r="1" spans="1:5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15" t="s">
        <v>29</v>
      </c>
    </row>
    <row r="2" spans="1:5" ht="15" customHeight="1" x14ac:dyDescent="0.3">
      <c r="A2" s="8">
        <v>46007</v>
      </c>
      <c r="B2" s="10">
        <v>53303739</v>
      </c>
      <c r="C2" s="33" t="s">
        <v>146</v>
      </c>
      <c r="D2" s="10">
        <v>5088.68</v>
      </c>
      <c r="E2" s="10" t="s">
        <v>27</v>
      </c>
    </row>
    <row r="3" spans="1:5" ht="15" customHeight="1" x14ac:dyDescent="0.3">
      <c r="A3" s="8">
        <v>46008</v>
      </c>
      <c r="B3" s="10">
        <v>63807067</v>
      </c>
      <c r="C3" s="33" t="s">
        <v>147</v>
      </c>
      <c r="D3" s="10">
        <v>17991.310000000001</v>
      </c>
      <c r="E3" s="10" t="s">
        <v>27</v>
      </c>
    </row>
    <row r="4" spans="1:5" ht="15" customHeight="1" x14ac:dyDescent="0.3">
      <c r="A4" s="8">
        <v>46008</v>
      </c>
      <c r="B4" s="10">
        <v>63807075</v>
      </c>
      <c r="C4" s="33" t="s">
        <v>148</v>
      </c>
      <c r="D4" s="10">
        <v>3030.71</v>
      </c>
      <c r="E4" s="10" t="s">
        <v>27</v>
      </c>
    </row>
    <row r="5" spans="1:5" ht="15" customHeight="1" x14ac:dyDescent="0.3">
      <c r="A5" s="8">
        <v>46013</v>
      </c>
      <c r="B5" s="10">
        <v>43401790</v>
      </c>
      <c r="C5" s="33" t="s">
        <v>149</v>
      </c>
      <c r="D5" s="10">
        <v>15968.42</v>
      </c>
      <c r="E5" s="10" t="s">
        <v>27</v>
      </c>
    </row>
    <row r="6" spans="1:5" ht="15" x14ac:dyDescent="0.3">
      <c r="A6" s="8">
        <v>46061</v>
      </c>
      <c r="B6" s="7">
        <v>39001090</v>
      </c>
      <c r="C6" s="34" t="s">
        <v>150</v>
      </c>
      <c r="D6" s="7">
        <v>25862.83</v>
      </c>
      <c r="E6" s="10" t="s">
        <v>27</v>
      </c>
    </row>
    <row r="7" spans="1:5" ht="15" x14ac:dyDescent="0.3">
      <c r="A7" s="8">
        <v>46064</v>
      </c>
      <c r="B7" s="7">
        <v>85410382</v>
      </c>
      <c r="C7" s="34" t="s">
        <v>151</v>
      </c>
      <c r="D7" s="7">
        <v>190</v>
      </c>
      <c r="E7" s="10" t="s">
        <v>27</v>
      </c>
    </row>
    <row r="8" spans="1:5" ht="24" x14ac:dyDescent="0.3">
      <c r="C8" s="16" t="s">
        <v>24</v>
      </c>
      <c r="D8" s="16">
        <f>SUM(D2:D7)</f>
        <v>68131.950000000012</v>
      </c>
    </row>
  </sheetData>
  <conditionalFormatting sqref="B2:B7">
    <cfRule type="duplicateValues" dxfId="7" priority="1"/>
    <cfRule type="duplicateValues" dxfId="6" priority="2"/>
    <cfRule type="duplicateValues" dxfId="5" priority="3"/>
    <cfRule type="duplicateValues" dxfId="4" priority="4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AF3E1-6481-41D4-A064-38A8D9A9B276}">
  <dimension ref="A1:E7"/>
  <sheetViews>
    <sheetView workbookViewId="0">
      <selection activeCell="B16" sqref="B16"/>
    </sheetView>
  </sheetViews>
  <sheetFormatPr defaultRowHeight="14.4" x14ac:dyDescent="0.3"/>
  <cols>
    <col min="1" max="1" width="21.5546875" customWidth="1"/>
    <col min="2" max="2" width="30.5546875" customWidth="1"/>
    <col min="3" max="3" width="44.44140625" customWidth="1"/>
    <col min="4" max="4" width="25.44140625" customWidth="1"/>
  </cols>
  <sheetData>
    <row r="1" spans="1:5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15" t="s">
        <v>29</v>
      </c>
    </row>
    <row r="2" spans="1:5" ht="15" x14ac:dyDescent="0.3">
      <c r="A2" s="8">
        <v>45999</v>
      </c>
      <c r="B2" s="10">
        <v>3930202</v>
      </c>
      <c r="C2" s="33" t="s">
        <v>152</v>
      </c>
      <c r="D2" s="10">
        <v>189</v>
      </c>
      <c r="E2" s="10" t="s">
        <v>28</v>
      </c>
    </row>
    <row r="3" spans="1:5" ht="15" customHeight="1" x14ac:dyDescent="0.3">
      <c r="A3" s="8">
        <v>45999</v>
      </c>
      <c r="B3" s="10">
        <v>3930210</v>
      </c>
      <c r="C3" s="7" t="s">
        <v>51</v>
      </c>
      <c r="D3" s="10">
        <v>213</v>
      </c>
      <c r="E3" s="10" t="s">
        <v>28</v>
      </c>
    </row>
    <row r="4" spans="1:5" ht="23.25" customHeight="1" x14ac:dyDescent="0.3">
      <c r="A4" s="8">
        <v>46055</v>
      </c>
      <c r="B4" s="11" t="s">
        <v>111</v>
      </c>
      <c r="C4" s="12" t="s">
        <v>100</v>
      </c>
      <c r="D4" s="7">
        <v>303</v>
      </c>
      <c r="E4" s="10" t="s">
        <v>28</v>
      </c>
    </row>
    <row r="5" spans="1:5" ht="15" x14ac:dyDescent="0.3">
      <c r="A5" s="8">
        <v>46065</v>
      </c>
      <c r="B5" s="7">
        <v>3560259</v>
      </c>
      <c r="C5" s="12" t="s">
        <v>72</v>
      </c>
      <c r="D5" s="7">
        <v>299</v>
      </c>
      <c r="E5" s="10" t="s">
        <v>28</v>
      </c>
    </row>
    <row r="6" spans="1:5" ht="15" x14ac:dyDescent="0.3">
      <c r="A6" s="8">
        <v>46084</v>
      </c>
      <c r="B6" s="7">
        <v>3320138</v>
      </c>
      <c r="C6" s="12" t="s">
        <v>72</v>
      </c>
      <c r="D6" s="7">
        <v>198</v>
      </c>
      <c r="E6" s="10" t="s">
        <v>28</v>
      </c>
    </row>
    <row r="7" spans="1:5" ht="24" x14ac:dyDescent="0.3">
      <c r="C7" s="16" t="s">
        <v>24</v>
      </c>
      <c r="D7" s="16">
        <f>SUM(D2:D6)</f>
        <v>1202</v>
      </c>
    </row>
  </sheetData>
  <conditionalFormatting sqref="B2:B6">
    <cfRule type="duplicateValues" dxfId="3" priority="1"/>
    <cfRule type="duplicateValues" dxfId="2" priority="2"/>
    <cfRule type="duplicateValues" dxfId="1" priority="3"/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 </vt:lpstr>
      <vt:lpstr>Faisal Bhai</vt:lpstr>
      <vt:lpstr>Swiss Tech</vt:lpstr>
      <vt:lpstr>Waheed Bhai</vt:lpstr>
      <vt:lpstr>Mudassir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dcterms:created xsi:type="dcterms:W3CDTF">2026-03-11T09:31:46Z</dcterms:created>
  <dcterms:modified xsi:type="dcterms:W3CDTF">2026-03-17T11:18:06Z</dcterms:modified>
</cp:coreProperties>
</file>