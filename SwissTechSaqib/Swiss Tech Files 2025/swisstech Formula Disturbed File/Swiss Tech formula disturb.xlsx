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3B90200F-3A5A-4AFE-82D8-D29C4F06EBC0}" xr6:coauthVersionLast="47" xr6:coauthVersionMax="47" xr10:uidLastSave="{00000000-0000-0000-0000-000000000000}"/>
  <bookViews>
    <workbookView xWindow="-110" yWindow="-110" windowWidth="19420" windowHeight="10300" tabRatio="737" activeTab="2" xr2:uid="{00000000-000D-0000-FFFF-FFFF00000000}"/>
  </bookViews>
  <sheets>
    <sheet name="Purchases" sheetId="2" r:id="rId1"/>
    <sheet name="Stock_Transactions" sheetId="6" r:id="rId2"/>
    <sheet name="Product_Master" sheetId="7" r:id="rId3"/>
    <sheet name="Pending_Stock" sheetId="3" r:id="rId4"/>
    <sheet name="GST" sheetId="5" r:id="rId5"/>
    <sheet name="ShipToDubai" sheetId="4" r:id="rId6"/>
    <sheet name="Monthly Sales" sheetId="9" r:id="rId7"/>
    <sheet name="Profit Report" sheetId="10" r:id="rId8"/>
    <sheet name="Pending Things" sheetId="8" r:id="rId9"/>
    <sheet name="Karachi Sale" sheetId="11" r:id="rId10"/>
    <sheet name="Sheet2" sheetId="13" r:id="rId11"/>
    <sheet name="Sheet1" sheetId="12" r:id="rId12"/>
  </sheets>
  <definedNames>
    <definedName name="_xlnm._FilterDatabase" localSheetId="2" hidden="1">Product_Master!$A$2:$J$140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3" i="5" l="1"/>
  <c r="N113" i="5" s="1"/>
  <c r="C73" i="7" l="1"/>
  <c r="F521" i="5"/>
  <c r="G521" i="5" s="1"/>
  <c r="H1287" i="2"/>
  <c r="I1287" i="2" s="1"/>
  <c r="H1288" i="2"/>
  <c r="I1288" i="2" s="1"/>
  <c r="F1287" i="2"/>
  <c r="F1288" i="2"/>
  <c r="F518" i="5"/>
  <c r="G518" i="5" s="1"/>
  <c r="F519" i="5"/>
  <c r="G519" i="5" s="1"/>
  <c r="F520" i="5"/>
  <c r="G520" i="5" s="1"/>
  <c r="F522" i="5"/>
  <c r="G522" i="5" s="1"/>
  <c r="I1298" i="2"/>
  <c r="J1298" i="2" s="1"/>
  <c r="I1297" i="2"/>
  <c r="J1297" i="2" s="1"/>
  <c r="I1296" i="2"/>
  <c r="J1296" i="2" s="1"/>
  <c r="M1296" i="2" s="1"/>
  <c r="N1296" i="2" s="1"/>
  <c r="I1295" i="2"/>
  <c r="J1295" i="2" s="1"/>
  <c r="I1294" i="2"/>
  <c r="J1294" i="2" s="1"/>
  <c r="J140" i="7"/>
  <c r="I140" i="7"/>
  <c r="H140" i="7"/>
  <c r="G140" i="7"/>
  <c r="D140" i="7"/>
  <c r="C140" i="7"/>
  <c r="J139" i="7"/>
  <c r="I139" i="7"/>
  <c r="H139" i="7"/>
  <c r="G139" i="7"/>
  <c r="D139" i="7"/>
  <c r="C139" i="7"/>
  <c r="J138" i="7"/>
  <c r="I138" i="7"/>
  <c r="H138" i="7"/>
  <c r="G138" i="7"/>
  <c r="D138" i="7"/>
  <c r="C138" i="7"/>
  <c r="J137" i="7"/>
  <c r="I137" i="7"/>
  <c r="H137" i="7"/>
  <c r="G137" i="7"/>
  <c r="D137" i="7"/>
  <c r="C137" i="7"/>
  <c r="G511" i="5"/>
  <c r="G512" i="5"/>
  <c r="F516" i="5"/>
  <c r="G516" i="5" s="1"/>
  <c r="F515" i="5"/>
  <c r="G515" i="5" s="1"/>
  <c r="F514" i="5"/>
  <c r="G514" i="5" s="1"/>
  <c r="F513" i="5"/>
  <c r="G513" i="5" s="1"/>
  <c r="F512" i="5"/>
  <c r="F511" i="5"/>
  <c r="F510" i="5"/>
  <c r="G510" i="5" s="1"/>
  <c r="F509" i="5"/>
  <c r="G509" i="5" s="1"/>
  <c r="F508" i="5"/>
  <c r="G508" i="5" s="1"/>
  <c r="F507" i="5"/>
  <c r="H1286" i="2"/>
  <c r="I1286" i="2" s="1"/>
  <c r="F1286" i="2"/>
  <c r="H1285" i="2"/>
  <c r="I1285" i="2" s="1"/>
  <c r="F1285" i="2"/>
  <c r="H1284" i="2"/>
  <c r="I1284" i="2" s="1"/>
  <c r="F1284" i="2"/>
  <c r="H1283" i="2"/>
  <c r="I1283" i="2" s="1"/>
  <c r="F1283" i="2"/>
  <c r="H1282" i="2"/>
  <c r="I1282" i="2" s="1"/>
  <c r="F1282" i="2"/>
  <c r="H1281" i="2"/>
  <c r="I1281" i="2" s="1"/>
  <c r="F1281" i="2"/>
  <c r="H1280" i="2"/>
  <c r="I1280" i="2" s="1"/>
  <c r="F1280" i="2"/>
  <c r="H1279" i="2"/>
  <c r="I1279" i="2" s="1"/>
  <c r="F1279" i="2"/>
  <c r="H1278" i="2"/>
  <c r="I1278" i="2" s="1"/>
  <c r="F1278" i="2"/>
  <c r="H1277" i="2"/>
  <c r="I1277" i="2" s="1"/>
  <c r="J1277" i="2" s="1"/>
  <c r="F1277" i="2"/>
  <c r="F1270" i="2"/>
  <c r="H1270" i="2"/>
  <c r="F1269" i="2"/>
  <c r="F1271" i="2"/>
  <c r="F1272" i="2"/>
  <c r="F1268" i="2"/>
  <c r="H1272" i="2"/>
  <c r="I1272" i="2" s="1"/>
  <c r="H1271" i="2"/>
  <c r="I1271" i="2" s="1"/>
  <c r="I1270" i="2"/>
  <c r="H1269" i="2"/>
  <c r="I1269" i="2" s="1"/>
  <c r="H1268" i="2"/>
  <c r="I1268" i="2" s="1"/>
  <c r="C136" i="7"/>
  <c r="D136" i="7"/>
  <c r="G136" i="7"/>
  <c r="H136" i="7"/>
  <c r="I136" i="7"/>
  <c r="J136" i="7"/>
  <c r="C135" i="7"/>
  <c r="D135" i="7"/>
  <c r="G135" i="7"/>
  <c r="H135" i="7"/>
  <c r="I135" i="7"/>
  <c r="J135" i="7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H1254" i="2"/>
  <c r="I1254" i="2" s="1"/>
  <c r="F1254" i="2"/>
  <c r="H1252" i="2"/>
  <c r="I1252" i="2" s="1"/>
  <c r="F1252" i="2"/>
  <c r="F1260" i="2"/>
  <c r="H1260" i="2"/>
  <c r="I1260" i="2" s="1"/>
  <c r="F1261" i="2"/>
  <c r="H1261" i="2"/>
  <c r="I1261" i="2" s="1"/>
  <c r="F1262" i="2"/>
  <c r="H1262" i="2"/>
  <c r="I1262" i="2" s="1"/>
  <c r="F1263" i="2"/>
  <c r="H1263" i="2"/>
  <c r="I1263" i="2" s="1"/>
  <c r="F1258" i="2"/>
  <c r="H1258" i="2"/>
  <c r="I1258" i="2" s="1"/>
  <c r="F1259" i="2"/>
  <c r="H1259" i="2"/>
  <c r="I1259" i="2" s="1"/>
  <c r="H1251" i="2"/>
  <c r="I1251" i="2" s="1"/>
  <c r="H1253" i="2"/>
  <c r="I1253" i="2" s="1"/>
  <c r="F1251" i="2"/>
  <c r="F1253" i="2"/>
  <c r="H1257" i="2"/>
  <c r="I1257" i="2" s="1"/>
  <c r="F1257" i="2"/>
  <c r="H1256" i="2"/>
  <c r="I1256" i="2" s="1"/>
  <c r="F1256" i="2"/>
  <c r="H1255" i="2"/>
  <c r="I1255" i="2" s="1"/>
  <c r="F1255" i="2"/>
  <c r="H1250" i="2"/>
  <c r="I1250" i="2" s="1"/>
  <c r="F1250" i="2"/>
  <c r="H1249" i="2"/>
  <c r="I1249" i="2" s="1"/>
  <c r="F1249" i="2"/>
  <c r="H1248" i="2"/>
  <c r="I1248" i="2" s="1"/>
  <c r="F1248" i="2"/>
  <c r="H1247" i="2"/>
  <c r="I1247" i="2" s="1"/>
  <c r="F1247" i="2"/>
  <c r="H1246" i="2"/>
  <c r="I1246" i="2" s="1"/>
  <c r="J1246" i="2" s="1"/>
  <c r="F1246" i="2"/>
  <c r="G461" i="4"/>
  <c r="G462" i="4"/>
  <c r="G463" i="4"/>
  <c r="G464" i="4"/>
  <c r="G465" i="4"/>
  <c r="G466" i="4"/>
  <c r="G467" i="4"/>
  <c r="G468" i="4"/>
  <c r="G469" i="4"/>
  <c r="G470" i="4"/>
  <c r="G471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43" i="4"/>
  <c r="E138" i="7" l="1"/>
  <c r="F138" i="7" s="1"/>
  <c r="J1247" i="2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M1297" i="2"/>
  <c r="N1297" i="2" s="1"/>
  <c r="K1297" i="2"/>
  <c r="M1298" i="2"/>
  <c r="N1298" i="2" s="1"/>
  <c r="K1298" i="2"/>
  <c r="M1294" i="2"/>
  <c r="N1294" i="2" s="1"/>
  <c r="O1294" i="2" s="1"/>
  <c r="K1294" i="2"/>
  <c r="M1295" i="2"/>
  <c r="N1295" i="2" s="1"/>
  <c r="K1295" i="2"/>
  <c r="K1296" i="2"/>
  <c r="E139" i="7"/>
  <c r="F139" i="7" s="1"/>
  <c r="E137" i="7"/>
  <c r="F137" i="7" s="1"/>
  <c r="E140" i="7"/>
  <c r="F140" i="7" s="1"/>
  <c r="J1278" i="2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68" i="2"/>
  <c r="J1269" i="2" s="1"/>
  <c r="J1270" i="2" s="1"/>
  <c r="J1271" i="2" s="1"/>
  <c r="J1272" i="2" s="1"/>
  <c r="E136" i="7"/>
  <c r="F136" i="7" s="1"/>
  <c r="E135" i="7"/>
  <c r="F135" i="7" s="1"/>
  <c r="G442" i="4"/>
  <c r="G441" i="4"/>
  <c r="G440" i="4"/>
  <c r="G502" i="5"/>
  <c r="G507" i="5"/>
  <c r="F506" i="5"/>
  <c r="G506" i="5" s="1"/>
  <c r="F505" i="5"/>
  <c r="G505" i="5" s="1"/>
  <c r="F504" i="5"/>
  <c r="G504" i="5" s="1"/>
  <c r="F503" i="5"/>
  <c r="G503" i="5" s="1"/>
  <c r="F117" i="3"/>
  <c r="F118" i="3"/>
  <c r="H1241" i="2"/>
  <c r="I1241" i="2" s="1"/>
  <c r="F1241" i="2"/>
  <c r="H1240" i="2"/>
  <c r="I1240" i="2" s="1"/>
  <c r="F1240" i="2"/>
  <c r="H1239" i="2"/>
  <c r="I1239" i="2" s="1"/>
  <c r="F1239" i="2"/>
  <c r="H1238" i="2"/>
  <c r="I1238" i="2" s="1"/>
  <c r="F1238" i="2"/>
  <c r="H1237" i="2"/>
  <c r="I1237" i="2" s="1"/>
  <c r="F1237" i="2"/>
  <c r="H1236" i="2"/>
  <c r="I1236" i="2" s="1"/>
  <c r="F1236" i="2"/>
  <c r="H1235" i="2"/>
  <c r="I1235" i="2" s="1"/>
  <c r="F1235" i="2"/>
  <c r="H1234" i="2"/>
  <c r="I1234" i="2" s="1"/>
  <c r="F1234" i="2"/>
  <c r="H1233" i="2"/>
  <c r="I1233" i="2" s="1"/>
  <c r="J1233" i="2" s="1"/>
  <c r="F1233" i="2"/>
  <c r="O1295" i="2" l="1"/>
  <c r="O1296" i="2" s="1"/>
  <c r="O1297" i="2" s="1"/>
  <c r="O1298" i="2" s="1"/>
  <c r="J1234" i="2"/>
  <c r="J1235" i="2" s="1"/>
  <c r="J1236" i="2" s="1"/>
  <c r="J1237" i="2" s="1"/>
  <c r="J1238" i="2" s="1"/>
  <c r="J1239" i="2" s="1"/>
  <c r="J1240" i="2" s="1"/>
  <c r="J1241" i="2" s="1"/>
  <c r="G427" i="4" l="1"/>
  <c r="G428" i="4"/>
  <c r="G429" i="4"/>
  <c r="G430" i="4"/>
  <c r="G431" i="4"/>
  <c r="G432" i="4"/>
  <c r="G433" i="4"/>
  <c r="G434" i="4"/>
  <c r="G435" i="4"/>
  <c r="G436" i="4"/>
  <c r="G437" i="4"/>
  <c r="G438" i="4"/>
  <c r="G439" i="4"/>
  <c r="C132" i="7"/>
  <c r="D132" i="7"/>
  <c r="G132" i="7"/>
  <c r="H132" i="7"/>
  <c r="I132" i="7"/>
  <c r="J132" i="7"/>
  <c r="C133" i="7"/>
  <c r="D133" i="7"/>
  <c r="G133" i="7"/>
  <c r="H133" i="7"/>
  <c r="I133" i="7"/>
  <c r="J133" i="7"/>
  <c r="C134" i="7"/>
  <c r="D134" i="7"/>
  <c r="G134" i="7"/>
  <c r="H134" i="7"/>
  <c r="I134" i="7"/>
  <c r="J134" i="7"/>
  <c r="H1227" i="2"/>
  <c r="I1227" i="2" s="1"/>
  <c r="F1227" i="2"/>
  <c r="F1224" i="2"/>
  <c r="H1224" i="2"/>
  <c r="I1224" i="2" s="1"/>
  <c r="F1225" i="2"/>
  <c r="H1225" i="2"/>
  <c r="I1225" i="2" s="1"/>
  <c r="F1226" i="2"/>
  <c r="H1226" i="2"/>
  <c r="I1226" i="2" s="1"/>
  <c r="F1228" i="2"/>
  <c r="H1228" i="2"/>
  <c r="I1228" i="2" s="1"/>
  <c r="H1223" i="2"/>
  <c r="I1223" i="2" s="1"/>
  <c r="F1223" i="2"/>
  <c r="H1222" i="2"/>
  <c r="I1222" i="2" s="1"/>
  <c r="F1222" i="2"/>
  <c r="H1221" i="2"/>
  <c r="I1221" i="2" s="1"/>
  <c r="F1221" i="2"/>
  <c r="H1220" i="2"/>
  <c r="I1220" i="2" s="1"/>
  <c r="F1220" i="2"/>
  <c r="H1219" i="2"/>
  <c r="I1219" i="2" s="1"/>
  <c r="F1219" i="2"/>
  <c r="H1218" i="2"/>
  <c r="I1218" i="2" s="1"/>
  <c r="F1218" i="2"/>
  <c r="H1217" i="2"/>
  <c r="I1217" i="2" s="1"/>
  <c r="F1217" i="2"/>
  <c r="H1216" i="2"/>
  <c r="I1216" i="2" s="1"/>
  <c r="J1216" i="2" s="1"/>
  <c r="F1216" i="2"/>
  <c r="J1217" i="2" l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E134" i="7"/>
  <c r="F134" i="7" s="1"/>
  <c r="E133" i="7"/>
  <c r="F133" i="7" s="1"/>
  <c r="E132" i="7"/>
  <c r="F132" i="7" s="1"/>
  <c r="C210" i="10"/>
  <c r="C191" i="10"/>
  <c r="C196" i="10" s="1"/>
  <c r="C212" i="10" l="1"/>
  <c r="C131" i="7" l="1"/>
  <c r="D131" i="7"/>
  <c r="G131" i="7"/>
  <c r="H131" i="7"/>
  <c r="I131" i="7"/>
  <c r="J131" i="7"/>
  <c r="G426" i="4"/>
  <c r="C130" i="7"/>
  <c r="D130" i="7"/>
  <c r="G130" i="7"/>
  <c r="H130" i="7"/>
  <c r="I130" i="7"/>
  <c r="J130" i="7"/>
  <c r="E131" i="7" l="1"/>
  <c r="F131" i="7" s="1"/>
  <c r="E130" i="7"/>
  <c r="F130" i="7" s="1"/>
  <c r="G423" i="4"/>
  <c r="G424" i="4"/>
  <c r="G425" i="4"/>
  <c r="G414" i="4"/>
  <c r="G415" i="4"/>
  <c r="G416" i="4"/>
  <c r="G417" i="4"/>
  <c r="G418" i="4"/>
  <c r="G419" i="4"/>
  <c r="G420" i="4"/>
  <c r="G421" i="4"/>
  <c r="G422" i="4"/>
  <c r="C129" i="7"/>
  <c r="D129" i="7"/>
  <c r="G129" i="7"/>
  <c r="H129" i="7"/>
  <c r="I129" i="7"/>
  <c r="J129" i="7"/>
  <c r="G413" i="4"/>
  <c r="C128" i="7"/>
  <c r="D128" i="7"/>
  <c r="G128" i="7"/>
  <c r="H128" i="7"/>
  <c r="I128" i="7"/>
  <c r="J128" i="7"/>
  <c r="G412" i="4"/>
  <c r="E129" i="7" l="1"/>
  <c r="F129" i="7" s="1"/>
  <c r="E128" i="7"/>
  <c r="F128" i="7" s="1"/>
  <c r="G411" i="4"/>
  <c r="G405" i="4"/>
  <c r="G406" i="4"/>
  <c r="G407" i="4"/>
  <c r="G408" i="4"/>
  <c r="G409" i="4"/>
  <c r="G410" i="4"/>
  <c r="M155" i="5"/>
  <c r="M156" i="5"/>
  <c r="N156" i="5" s="1"/>
  <c r="M157" i="5"/>
  <c r="N157" i="5" s="1"/>
  <c r="M158" i="5"/>
  <c r="N158" i="5" s="1"/>
  <c r="M159" i="5"/>
  <c r="N159" i="5" s="1"/>
  <c r="M160" i="5"/>
  <c r="N160" i="5" s="1"/>
  <c r="M161" i="5"/>
  <c r="N161" i="5" s="1"/>
  <c r="N162" i="5"/>
  <c r="H1210" i="2"/>
  <c r="I1210" i="2" s="1"/>
  <c r="F1210" i="2"/>
  <c r="H1209" i="2"/>
  <c r="I1209" i="2" s="1"/>
  <c r="F1209" i="2"/>
  <c r="H1208" i="2"/>
  <c r="I1208" i="2" s="1"/>
  <c r="F1208" i="2"/>
  <c r="H1207" i="2"/>
  <c r="I1207" i="2" s="1"/>
  <c r="F1207" i="2"/>
  <c r="H1206" i="2"/>
  <c r="I1206" i="2" s="1"/>
  <c r="F1206" i="2"/>
  <c r="H1205" i="2"/>
  <c r="I1205" i="2" s="1"/>
  <c r="F1205" i="2"/>
  <c r="H1204" i="2"/>
  <c r="I1204" i="2" s="1"/>
  <c r="F1204" i="2"/>
  <c r="H1203" i="2"/>
  <c r="I1203" i="2" s="1"/>
  <c r="F1203" i="2"/>
  <c r="H1202" i="2"/>
  <c r="I1202" i="2" s="1"/>
  <c r="J1202" i="2" s="1"/>
  <c r="F1202" i="2"/>
  <c r="F501" i="5"/>
  <c r="G501" i="5" s="1"/>
  <c r="F116" i="3"/>
  <c r="J1203" i="2" l="1"/>
  <c r="J1204" i="2" s="1"/>
  <c r="J1205" i="2" s="1"/>
  <c r="J1206" i="2" s="1"/>
  <c r="J1207" i="2" s="1"/>
  <c r="J1208" i="2" s="1"/>
  <c r="J1209" i="2" s="1"/>
  <c r="J1210" i="2" s="1"/>
  <c r="G404" i="4" l="1"/>
  <c r="F115" i="3"/>
  <c r="F498" i="5"/>
  <c r="G498" i="5" s="1"/>
  <c r="F499" i="5"/>
  <c r="G499" i="5" s="1"/>
  <c r="F500" i="5"/>
  <c r="G500" i="5" s="1"/>
  <c r="H1196" i="2"/>
  <c r="I1196" i="2" s="1"/>
  <c r="F1196" i="2"/>
  <c r="H1195" i="2"/>
  <c r="I1195" i="2" s="1"/>
  <c r="F1195" i="2"/>
  <c r="H1194" i="2"/>
  <c r="I1194" i="2" s="1"/>
  <c r="F1194" i="2"/>
  <c r="H1193" i="2"/>
  <c r="I1193" i="2" s="1"/>
  <c r="F1193" i="2"/>
  <c r="H1192" i="2"/>
  <c r="I1192" i="2" s="1"/>
  <c r="F1192" i="2"/>
  <c r="H1191" i="2"/>
  <c r="I1191" i="2" s="1"/>
  <c r="F1191" i="2"/>
  <c r="H1190" i="2"/>
  <c r="I1190" i="2" s="1"/>
  <c r="F1190" i="2"/>
  <c r="H1189" i="2"/>
  <c r="I1189" i="2" s="1"/>
  <c r="F1189" i="2"/>
  <c r="H1188" i="2"/>
  <c r="I1188" i="2" s="1"/>
  <c r="J1188" i="2" s="1"/>
  <c r="F1188" i="2"/>
  <c r="J1189" i="2" l="1"/>
  <c r="J1190" i="2" s="1"/>
  <c r="J1191" i="2" s="1"/>
  <c r="J1192" i="2" s="1"/>
  <c r="J1193" i="2" s="1"/>
  <c r="J1194" i="2" s="1"/>
  <c r="J1195" i="2" s="1"/>
  <c r="J1196" i="2" s="1"/>
  <c r="G385" i="4" l="1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C123" i="7"/>
  <c r="D123" i="7"/>
  <c r="G123" i="7"/>
  <c r="H123" i="7"/>
  <c r="I123" i="7"/>
  <c r="J123" i="7"/>
  <c r="C124" i="7"/>
  <c r="D124" i="7"/>
  <c r="G124" i="7"/>
  <c r="H124" i="7"/>
  <c r="I124" i="7"/>
  <c r="J124" i="7"/>
  <c r="C125" i="7"/>
  <c r="D125" i="7"/>
  <c r="G125" i="7"/>
  <c r="H125" i="7"/>
  <c r="I125" i="7"/>
  <c r="J125" i="7"/>
  <c r="C126" i="7"/>
  <c r="D126" i="7"/>
  <c r="G126" i="7"/>
  <c r="H126" i="7"/>
  <c r="I126" i="7"/>
  <c r="J126" i="7"/>
  <c r="C127" i="7"/>
  <c r="D127" i="7"/>
  <c r="G127" i="7"/>
  <c r="H127" i="7"/>
  <c r="I127" i="7"/>
  <c r="J127" i="7"/>
  <c r="H1167" i="2"/>
  <c r="I1167" i="2" s="1"/>
  <c r="F1167" i="2"/>
  <c r="F1170" i="2"/>
  <c r="H1170" i="2"/>
  <c r="I1170" i="2" s="1"/>
  <c r="F1171" i="2"/>
  <c r="H1171" i="2"/>
  <c r="I1171" i="2" s="1"/>
  <c r="F1172" i="2"/>
  <c r="H1172" i="2"/>
  <c r="I1172" i="2" s="1"/>
  <c r="F1173" i="2"/>
  <c r="H1173" i="2"/>
  <c r="I1173" i="2" s="1"/>
  <c r="F1174" i="2"/>
  <c r="H1174" i="2"/>
  <c r="I1174" i="2" s="1"/>
  <c r="F1175" i="2"/>
  <c r="H1175" i="2"/>
  <c r="I1175" i="2" s="1"/>
  <c r="F1176" i="2"/>
  <c r="H1176" i="2"/>
  <c r="I1176" i="2" s="1"/>
  <c r="F1177" i="2"/>
  <c r="H1177" i="2"/>
  <c r="I1177" i="2" s="1"/>
  <c r="F1178" i="2"/>
  <c r="H1178" i="2"/>
  <c r="I1178" i="2" s="1"/>
  <c r="F1179" i="2"/>
  <c r="H1179" i="2"/>
  <c r="I1179" i="2" s="1"/>
  <c r="F1180" i="2"/>
  <c r="H1180" i="2"/>
  <c r="I1180" i="2" s="1"/>
  <c r="F1181" i="2"/>
  <c r="H1181" i="2"/>
  <c r="I1181" i="2" s="1"/>
  <c r="F1182" i="2"/>
  <c r="H1182" i="2"/>
  <c r="I1182" i="2" s="1"/>
  <c r="H1169" i="2"/>
  <c r="I1169" i="2" s="1"/>
  <c r="F1169" i="2"/>
  <c r="H1168" i="2"/>
  <c r="I1168" i="2" s="1"/>
  <c r="F1168" i="2"/>
  <c r="H1166" i="2"/>
  <c r="I1166" i="2" s="1"/>
  <c r="F1166" i="2"/>
  <c r="H1165" i="2"/>
  <c r="I1165" i="2" s="1"/>
  <c r="F1165" i="2"/>
  <c r="H1164" i="2"/>
  <c r="I1164" i="2" s="1"/>
  <c r="F1164" i="2"/>
  <c r="H1163" i="2"/>
  <c r="I1163" i="2" s="1"/>
  <c r="F1163" i="2"/>
  <c r="H1162" i="2"/>
  <c r="I1162" i="2" s="1"/>
  <c r="F1162" i="2"/>
  <c r="H1161" i="2"/>
  <c r="I1161" i="2" s="1"/>
  <c r="F1161" i="2"/>
  <c r="H1160" i="2"/>
  <c r="I1160" i="2" s="1"/>
  <c r="J1160" i="2" s="1"/>
  <c r="F1160" i="2"/>
  <c r="I89" i="7"/>
  <c r="E127" i="7" l="1"/>
  <c r="F127" i="7" s="1"/>
  <c r="E126" i="7"/>
  <c r="F126" i="7" s="1"/>
  <c r="E125" i="7"/>
  <c r="F125" i="7" s="1"/>
  <c r="E123" i="7"/>
  <c r="F123" i="7" s="1"/>
  <c r="E124" i="7"/>
  <c r="F124" i="7" s="1"/>
  <c r="J1161" i="2"/>
  <c r="J1162" i="2" s="1"/>
  <c r="J1163" i="2" s="1"/>
  <c r="J1164" i="2" s="1"/>
  <c r="J1165" i="2" s="1"/>
  <c r="J1166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G353" i="4"/>
  <c r="G354" i="4"/>
  <c r="G355" i="4"/>
  <c r="G356" i="4"/>
  <c r="G357" i="4"/>
  <c r="G358" i="4"/>
  <c r="G359" i="4"/>
  <c r="G360" i="4"/>
  <c r="G361" i="4"/>
  <c r="H1150" i="2"/>
  <c r="I1150" i="2" s="1"/>
  <c r="H1151" i="2"/>
  <c r="I1151" i="2" s="1"/>
  <c r="H1152" i="2"/>
  <c r="I1152" i="2" s="1"/>
  <c r="H1153" i="2"/>
  <c r="I1153" i="2" s="1"/>
  <c r="H1154" i="2"/>
  <c r="I1154" i="2"/>
  <c r="F1150" i="2"/>
  <c r="F1151" i="2"/>
  <c r="F1152" i="2"/>
  <c r="F1153" i="2"/>
  <c r="F1154" i="2"/>
  <c r="H1149" i="2"/>
  <c r="I1149" i="2" s="1"/>
  <c r="F1149" i="2"/>
  <c r="H1148" i="2"/>
  <c r="I1148" i="2" s="1"/>
  <c r="F1148" i="2"/>
  <c r="H1147" i="2"/>
  <c r="I1147" i="2" s="1"/>
  <c r="F1147" i="2"/>
  <c r="H1146" i="2"/>
  <c r="I1146" i="2" s="1"/>
  <c r="F1146" i="2"/>
  <c r="H1145" i="2"/>
  <c r="I1145" i="2" s="1"/>
  <c r="F1145" i="2"/>
  <c r="H1144" i="2"/>
  <c r="I1144" i="2" s="1"/>
  <c r="F1144" i="2"/>
  <c r="H1143" i="2"/>
  <c r="I1143" i="2" s="1"/>
  <c r="F1143" i="2"/>
  <c r="H1142" i="2"/>
  <c r="I1142" i="2" s="1"/>
  <c r="F1142" i="2"/>
  <c r="H1141" i="2"/>
  <c r="I1141" i="2" s="1"/>
  <c r="J1141" i="2" s="1"/>
  <c r="F1141" i="2"/>
  <c r="J1142" i="2" l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G352" i="4" l="1"/>
  <c r="G351" i="4"/>
  <c r="I78" i="7"/>
  <c r="H331" i="8" l="1"/>
  <c r="H332" i="8"/>
  <c r="H333" i="8"/>
  <c r="H334" i="8"/>
  <c r="H335" i="8"/>
  <c r="H336" i="8"/>
  <c r="H337" i="8"/>
  <c r="H338" i="8"/>
  <c r="H339" i="8"/>
  <c r="H330" i="8"/>
  <c r="H342" i="8" l="1"/>
  <c r="G327" i="4"/>
  <c r="G347" i="4" l="1"/>
  <c r="G348" i="4"/>
  <c r="G349" i="4"/>
  <c r="G350" i="4"/>
  <c r="G341" i="4"/>
  <c r="G342" i="4"/>
  <c r="G343" i="4"/>
  <c r="G344" i="4"/>
  <c r="G345" i="4"/>
  <c r="G346" i="4"/>
  <c r="G329" i="4" l="1"/>
  <c r="G330" i="4"/>
  <c r="G331" i="4"/>
  <c r="G332" i="4"/>
  <c r="G333" i="4"/>
  <c r="G334" i="4"/>
  <c r="G335" i="4"/>
  <c r="G336" i="4"/>
  <c r="G337" i="4"/>
  <c r="G338" i="4"/>
  <c r="G339" i="4"/>
  <c r="G340" i="4"/>
  <c r="C122" i="7"/>
  <c r="D122" i="7"/>
  <c r="G122" i="7"/>
  <c r="H122" i="7"/>
  <c r="I122" i="7"/>
  <c r="J122" i="7"/>
  <c r="C121" i="7"/>
  <c r="D121" i="7"/>
  <c r="G121" i="7"/>
  <c r="H121" i="7"/>
  <c r="I121" i="7"/>
  <c r="J121" i="7"/>
  <c r="C120" i="7"/>
  <c r="D120" i="7"/>
  <c r="G120" i="7"/>
  <c r="H120" i="7"/>
  <c r="I120" i="7"/>
  <c r="J120" i="7"/>
  <c r="C119" i="7"/>
  <c r="D119" i="7"/>
  <c r="G119" i="7"/>
  <c r="H119" i="7"/>
  <c r="I119" i="7"/>
  <c r="J119" i="7"/>
  <c r="E122" i="7" l="1"/>
  <c r="F122" i="7" s="1"/>
  <c r="E121" i="7"/>
  <c r="F121" i="7" s="1"/>
  <c r="E120" i="7"/>
  <c r="F120" i="7" s="1"/>
  <c r="E119" i="7"/>
  <c r="F119" i="7" s="1"/>
  <c r="G473" i="5"/>
  <c r="G477" i="5"/>
  <c r="F484" i="5"/>
  <c r="G484" i="5" s="1"/>
  <c r="F483" i="5"/>
  <c r="G483" i="5" s="1"/>
  <c r="F482" i="5"/>
  <c r="G482" i="5" s="1"/>
  <c r="F481" i="5"/>
  <c r="G481" i="5" s="1"/>
  <c r="F480" i="5"/>
  <c r="G480" i="5" s="1"/>
  <c r="F479" i="5"/>
  <c r="G479" i="5" s="1"/>
  <c r="F478" i="5"/>
  <c r="G478" i="5" s="1"/>
  <c r="F477" i="5"/>
  <c r="F476" i="5"/>
  <c r="G476" i="5" s="1"/>
  <c r="F475" i="5"/>
  <c r="G475" i="5" s="1"/>
  <c r="F474" i="5"/>
  <c r="G474" i="5" s="1"/>
  <c r="F473" i="5"/>
  <c r="F472" i="5"/>
  <c r="G472" i="5" s="1"/>
  <c r="F471" i="5"/>
  <c r="G471" i="5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F114" i="3"/>
  <c r="F113" i="3"/>
  <c r="F112" i="3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F1126" i="2"/>
  <c r="F1127" i="2"/>
  <c r="F1128" i="2"/>
  <c r="F1129" i="2"/>
  <c r="F1130" i="2"/>
  <c r="F1131" i="2"/>
  <c r="F1132" i="2"/>
  <c r="F1133" i="2"/>
  <c r="F1134" i="2"/>
  <c r="F1135" i="2"/>
  <c r="F1136" i="2"/>
  <c r="F1125" i="2"/>
  <c r="F1122" i="2"/>
  <c r="F1119" i="2"/>
  <c r="F1118" i="2"/>
  <c r="F1117" i="2"/>
  <c r="F1120" i="2"/>
  <c r="H1125" i="2"/>
  <c r="H1124" i="2"/>
  <c r="F1124" i="2"/>
  <c r="H1123" i="2"/>
  <c r="F1123" i="2"/>
  <c r="H1122" i="2"/>
  <c r="I1122" i="2" s="1"/>
  <c r="H1121" i="2"/>
  <c r="I1121" i="2" s="1"/>
  <c r="F1121" i="2"/>
  <c r="H1120" i="2"/>
  <c r="H1119" i="2"/>
  <c r="H1118" i="2"/>
  <c r="H1117" i="2"/>
  <c r="I1125" i="2" l="1"/>
  <c r="I1117" i="2"/>
  <c r="J1117" i="2" s="1"/>
  <c r="I1118" i="2"/>
  <c r="I1119" i="2"/>
  <c r="I1123" i="2"/>
  <c r="I1120" i="2"/>
  <c r="I1124" i="2"/>
  <c r="J1118" i="2" l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G328" i="4" l="1"/>
  <c r="G324" i="4"/>
  <c r="G325" i="4"/>
  <c r="G326" i="4"/>
  <c r="G323" i="4"/>
  <c r="G322" i="4"/>
  <c r="G321" i="4"/>
  <c r="N98" i="5"/>
  <c r="M98" i="5"/>
  <c r="M99" i="5"/>
  <c r="N99" i="5" s="1"/>
  <c r="M100" i="5"/>
  <c r="N100" i="5" s="1"/>
  <c r="M101" i="5"/>
  <c r="N101" i="5" s="1"/>
  <c r="M102" i="5"/>
  <c r="N102" i="5" s="1"/>
  <c r="M103" i="5"/>
  <c r="N103" i="5" s="1"/>
  <c r="M104" i="5"/>
  <c r="N104" i="5" s="1"/>
  <c r="M105" i="5"/>
  <c r="N105" i="5" s="1"/>
  <c r="M106" i="5"/>
  <c r="N106" i="5" s="1"/>
  <c r="M107" i="5"/>
  <c r="N107" i="5" s="1"/>
  <c r="M108" i="5"/>
  <c r="N108" i="5" s="1"/>
  <c r="M109" i="5"/>
  <c r="N109" i="5" s="1"/>
  <c r="M110" i="5"/>
  <c r="N110" i="5" s="1"/>
  <c r="F457" i="5"/>
  <c r="G457" i="5" s="1"/>
  <c r="F458" i="5"/>
  <c r="G458" i="5" s="1"/>
  <c r="F459" i="5"/>
  <c r="G459" i="5" s="1"/>
  <c r="F460" i="5"/>
  <c r="G460" i="5" s="1"/>
  <c r="F461" i="5"/>
  <c r="G461" i="5" s="1"/>
  <c r="F462" i="5"/>
  <c r="G462" i="5" s="1"/>
  <c r="F463" i="5"/>
  <c r="G463" i="5" s="1"/>
  <c r="F464" i="5"/>
  <c r="G464" i="5"/>
  <c r="G465" i="5"/>
  <c r="F485" i="5"/>
  <c r="G485" i="5" s="1"/>
  <c r="F486" i="5"/>
  <c r="G486" i="5" s="1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G493" i="5" s="1"/>
  <c r="F494" i="5"/>
  <c r="G494" i="5" s="1"/>
  <c r="F495" i="5"/>
  <c r="G495" i="5" s="1"/>
  <c r="F496" i="5"/>
  <c r="G496" i="5" s="1"/>
  <c r="F497" i="5"/>
  <c r="G497" i="5" s="1"/>
  <c r="F517" i="5"/>
  <c r="G517" i="5" s="1"/>
  <c r="F541" i="5"/>
  <c r="G541" i="5" s="1"/>
  <c r="F542" i="5"/>
  <c r="G542" i="5" s="1"/>
  <c r="F111" i="3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F1106" i="2"/>
  <c r="F1107" i="2"/>
  <c r="F1108" i="2"/>
  <c r="F1109" i="2"/>
  <c r="F1110" i="2"/>
  <c r="F1111" i="2"/>
  <c r="F1112" i="2"/>
  <c r="H1105" i="2"/>
  <c r="I1105" i="2" s="1"/>
  <c r="F1105" i="2"/>
  <c r="H1104" i="2"/>
  <c r="I1104" i="2" s="1"/>
  <c r="F1104" i="2"/>
  <c r="H1103" i="2"/>
  <c r="I1103" i="2" s="1"/>
  <c r="F1103" i="2"/>
  <c r="H1102" i="2"/>
  <c r="I1102" i="2" s="1"/>
  <c r="F1102" i="2"/>
  <c r="H1101" i="2"/>
  <c r="I1101" i="2" s="1"/>
  <c r="F1101" i="2"/>
  <c r="H1100" i="2"/>
  <c r="I1100" i="2" s="1"/>
  <c r="F1100" i="2"/>
  <c r="H1099" i="2"/>
  <c r="I1099" i="2" s="1"/>
  <c r="F1099" i="2"/>
  <c r="H1098" i="2"/>
  <c r="I1098" i="2" s="1"/>
  <c r="F1098" i="2"/>
  <c r="H1097" i="2"/>
  <c r="I1097" i="2" s="1"/>
  <c r="J1097" i="2" s="1"/>
  <c r="F1097" i="2"/>
  <c r="H1092" i="2"/>
  <c r="I1092" i="2" s="1"/>
  <c r="F1092" i="2"/>
  <c r="H1091" i="2"/>
  <c r="I1091" i="2" s="1"/>
  <c r="F1091" i="2"/>
  <c r="H1090" i="2"/>
  <c r="I1090" i="2" s="1"/>
  <c r="F1090" i="2"/>
  <c r="H1089" i="2"/>
  <c r="I1089" i="2" s="1"/>
  <c r="F1089" i="2"/>
  <c r="H1088" i="2"/>
  <c r="I1088" i="2" s="1"/>
  <c r="F1088" i="2"/>
  <c r="H1087" i="2"/>
  <c r="I1087" i="2" s="1"/>
  <c r="F1087" i="2"/>
  <c r="H1086" i="2"/>
  <c r="I1086" i="2" s="1"/>
  <c r="F1086" i="2"/>
  <c r="H1085" i="2"/>
  <c r="I1085" i="2" s="1"/>
  <c r="F1085" i="2"/>
  <c r="H1084" i="2"/>
  <c r="I1084" i="2" s="1"/>
  <c r="J1084" i="2" s="1"/>
  <c r="F1084" i="2"/>
  <c r="G268" i="8"/>
  <c r="J1085" i="2" l="1"/>
  <c r="J1086" i="2" s="1"/>
  <c r="J1087" i="2" s="1"/>
  <c r="J1088" i="2" s="1"/>
  <c r="J1089" i="2" s="1"/>
  <c r="J1090" i="2" s="1"/>
  <c r="J1091" i="2" s="1"/>
  <c r="J1092" i="2" s="1"/>
  <c r="J1098" i="2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N174" i="5" l="1"/>
  <c r="M175" i="5"/>
  <c r="N175" i="5" s="1"/>
  <c r="H1078" i="2"/>
  <c r="I1078" i="2" s="1"/>
  <c r="F1078" i="2"/>
  <c r="H1077" i="2"/>
  <c r="I1077" i="2" s="1"/>
  <c r="F1077" i="2"/>
  <c r="H1076" i="2"/>
  <c r="I1076" i="2" s="1"/>
  <c r="F1076" i="2"/>
  <c r="H1075" i="2"/>
  <c r="I1075" i="2" s="1"/>
  <c r="F1075" i="2"/>
  <c r="H1074" i="2"/>
  <c r="I1074" i="2" s="1"/>
  <c r="F1074" i="2"/>
  <c r="H1073" i="2"/>
  <c r="I1073" i="2" s="1"/>
  <c r="F1073" i="2"/>
  <c r="H1072" i="2"/>
  <c r="I1072" i="2" s="1"/>
  <c r="F1072" i="2"/>
  <c r="H1071" i="2"/>
  <c r="I1071" i="2" s="1"/>
  <c r="J1071" i="2" s="1"/>
  <c r="F1071" i="2"/>
  <c r="F110" i="3"/>
  <c r="H1066" i="2"/>
  <c r="I1066" i="2" s="1"/>
  <c r="F1066" i="2"/>
  <c r="H1065" i="2"/>
  <c r="I1065" i="2" s="1"/>
  <c r="F1065" i="2"/>
  <c r="H1064" i="2"/>
  <c r="I1064" i="2" s="1"/>
  <c r="F1064" i="2"/>
  <c r="H1063" i="2"/>
  <c r="I1063" i="2" s="1"/>
  <c r="F1063" i="2"/>
  <c r="H1062" i="2"/>
  <c r="I1062" i="2" s="1"/>
  <c r="F1062" i="2"/>
  <c r="H1061" i="2"/>
  <c r="I1061" i="2" s="1"/>
  <c r="F1061" i="2"/>
  <c r="H1060" i="2"/>
  <c r="I1060" i="2" s="1"/>
  <c r="F1060" i="2"/>
  <c r="H1059" i="2"/>
  <c r="I1059" i="2" s="1"/>
  <c r="F1059" i="2"/>
  <c r="H1058" i="2"/>
  <c r="I1058" i="2" s="1"/>
  <c r="J1058" i="2" s="1"/>
  <c r="F1058" i="2"/>
  <c r="J1072" i="2" l="1"/>
  <c r="J1073" i="2" s="1"/>
  <c r="J1074" i="2" s="1"/>
  <c r="J1075" i="2" s="1"/>
  <c r="J1076" i="2" s="1"/>
  <c r="J1077" i="2" s="1"/>
  <c r="J1078" i="2" s="1"/>
  <c r="J1059" i="2"/>
  <c r="J1060" i="2" s="1"/>
  <c r="J1061" i="2" s="1"/>
  <c r="J1062" i="2" s="1"/>
  <c r="J1063" i="2" s="1"/>
  <c r="J1064" i="2" s="1"/>
  <c r="J1065" i="2" s="1"/>
  <c r="J1066" i="2" s="1"/>
  <c r="G7" i="7" l="1"/>
  <c r="G318" i="4"/>
  <c r="G319" i="4"/>
  <c r="G320" i="4"/>
  <c r="H1051" i="2"/>
  <c r="I1051" i="2" s="1"/>
  <c r="F1053" i="2"/>
  <c r="H1053" i="2"/>
  <c r="I1053" i="2" s="1"/>
  <c r="F1051" i="2"/>
  <c r="G309" i="4" l="1"/>
  <c r="G310" i="4"/>
  <c r="G311" i="4"/>
  <c r="G312" i="4"/>
  <c r="G313" i="4"/>
  <c r="G314" i="4"/>
  <c r="G315" i="4"/>
  <c r="G316" i="4"/>
  <c r="J117" i="7" s="1"/>
  <c r="G317" i="4"/>
  <c r="C118" i="7"/>
  <c r="D118" i="7"/>
  <c r="G118" i="7"/>
  <c r="H118" i="7"/>
  <c r="I118" i="7"/>
  <c r="J118" i="7"/>
  <c r="C117" i="7"/>
  <c r="D117" i="7"/>
  <c r="G117" i="7"/>
  <c r="H117" i="7"/>
  <c r="I117" i="7"/>
  <c r="C116" i="7"/>
  <c r="D116" i="7"/>
  <c r="G116" i="7"/>
  <c r="H116" i="7"/>
  <c r="I116" i="7"/>
  <c r="J116" i="7"/>
  <c r="G297" i="4"/>
  <c r="G298" i="4"/>
  <c r="G299" i="4"/>
  <c r="G300" i="4"/>
  <c r="G301" i="4"/>
  <c r="G302" i="4"/>
  <c r="G303" i="4"/>
  <c r="G304" i="4"/>
  <c r="G305" i="4"/>
  <c r="G306" i="4"/>
  <c r="G307" i="4"/>
  <c r="G308" i="4"/>
  <c r="C115" i="7"/>
  <c r="D115" i="7"/>
  <c r="G115" i="7"/>
  <c r="H115" i="7"/>
  <c r="I115" i="7"/>
  <c r="J115" i="7"/>
  <c r="C114" i="7"/>
  <c r="D114" i="7"/>
  <c r="G114" i="7"/>
  <c r="H114" i="7"/>
  <c r="I114" i="7"/>
  <c r="J114" i="7"/>
  <c r="C113" i="7"/>
  <c r="D113" i="7"/>
  <c r="G113" i="7"/>
  <c r="H113" i="7"/>
  <c r="I113" i="7"/>
  <c r="J113" i="7"/>
  <c r="H1029" i="2"/>
  <c r="H1030" i="2"/>
  <c r="H1031" i="2"/>
  <c r="H1032" i="2"/>
  <c r="H1033" i="2"/>
  <c r="H1034" i="2"/>
  <c r="H1035" i="2"/>
  <c r="H1036" i="2"/>
  <c r="H1028" i="2"/>
  <c r="F1029" i="2"/>
  <c r="I1029" i="2" s="1"/>
  <c r="F1030" i="2"/>
  <c r="I1030" i="2" s="1"/>
  <c r="F1031" i="2"/>
  <c r="I1031" i="2" s="1"/>
  <c r="F1032" i="2"/>
  <c r="I1032" i="2" s="1"/>
  <c r="F1033" i="2"/>
  <c r="I1033" i="2" s="1"/>
  <c r="F1034" i="2"/>
  <c r="I1034" i="2" s="1"/>
  <c r="F1035" i="2"/>
  <c r="I1035" i="2" s="1"/>
  <c r="F1036" i="2"/>
  <c r="I1036" i="2" s="1"/>
  <c r="F1028" i="2"/>
  <c r="I1028" i="2" s="1"/>
  <c r="J1028" i="2" s="1"/>
  <c r="J1029" i="2" l="1"/>
  <c r="J1030" i="2" s="1"/>
  <c r="J1031" i="2" s="1"/>
  <c r="J1032" i="2" s="1"/>
  <c r="J1033" i="2" s="1"/>
  <c r="J1034" i="2" s="1"/>
  <c r="J1035" i="2" s="1"/>
  <c r="J1036" i="2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F1052" i="2"/>
  <c r="H1048" i="2"/>
  <c r="I1048" i="2" s="1"/>
  <c r="H1049" i="2"/>
  <c r="I1049" i="2" s="1"/>
  <c r="H1050" i="2"/>
  <c r="I1050" i="2" s="1"/>
  <c r="H1052" i="2"/>
  <c r="I1052" i="2" s="1"/>
  <c r="F1049" i="2"/>
  <c r="F1050" i="2"/>
  <c r="F1048" i="2"/>
  <c r="H1045" i="2"/>
  <c r="I1045" i="2" s="1"/>
  <c r="H1046" i="2"/>
  <c r="I1046" i="2" s="1"/>
  <c r="H1047" i="2"/>
  <c r="I1047" i="2" s="1"/>
  <c r="F1045" i="2"/>
  <c r="F1046" i="2"/>
  <c r="F1047" i="2"/>
  <c r="H1044" i="2"/>
  <c r="I1044" i="2" s="1"/>
  <c r="F1044" i="2"/>
  <c r="H1043" i="2"/>
  <c r="I1043" i="2" s="1"/>
  <c r="F1043" i="2"/>
  <c r="H1042" i="2"/>
  <c r="I1042" i="2" s="1"/>
  <c r="F1042" i="2"/>
  <c r="H1041" i="2"/>
  <c r="I1041" i="2" s="1"/>
  <c r="J1041" i="2" s="1"/>
  <c r="F1041" i="2"/>
  <c r="H1040" i="2"/>
  <c r="I1040" i="2" s="1"/>
  <c r="F1040" i="2"/>
  <c r="C112" i="7"/>
  <c r="D112" i="7"/>
  <c r="G112" i="7"/>
  <c r="H112" i="7"/>
  <c r="I112" i="7"/>
  <c r="G288" i="4"/>
  <c r="G289" i="4"/>
  <c r="G290" i="4"/>
  <c r="G291" i="4"/>
  <c r="G292" i="4"/>
  <c r="G293" i="4"/>
  <c r="G294" i="4"/>
  <c r="G295" i="4"/>
  <c r="G296" i="4"/>
  <c r="C111" i="7"/>
  <c r="D111" i="7"/>
  <c r="G111" i="7"/>
  <c r="H111" i="7"/>
  <c r="I111" i="7"/>
  <c r="J111" i="7"/>
  <c r="C110" i="7"/>
  <c r="D110" i="7"/>
  <c r="G110" i="7"/>
  <c r="H110" i="7"/>
  <c r="I110" i="7"/>
  <c r="J110" i="7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C109" i="7"/>
  <c r="D109" i="7"/>
  <c r="G109" i="7"/>
  <c r="H109" i="7"/>
  <c r="I109" i="7"/>
  <c r="J109" i="7"/>
  <c r="G266" i="4"/>
  <c r="G267" i="4"/>
  <c r="G268" i="4"/>
  <c r="G269" i="4"/>
  <c r="J112" i="7" s="1"/>
  <c r="G270" i="4"/>
  <c r="G271" i="4"/>
  <c r="G272" i="4"/>
  <c r="J1042" i="2" l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E112" i="7"/>
  <c r="F112" i="7" s="1"/>
  <c r="E111" i="7"/>
  <c r="F111" i="7" s="1"/>
  <c r="E110" i="7"/>
  <c r="F110" i="7" s="1"/>
  <c r="E109" i="7"/>
  <c r="F109" i="7" s="1"/>
  <c r="F37" i="5"/>
  <c r="C176" i="10" l="1"/>
  <c r="C157" i="10"/>
  <c r="C162" i="10" s="1"/>
  <c r="C178" i="10" l="1"/>
  <c r="C108" i="7"/>
  <c r="D108" i="7"/>
  <c r="G108" i="7"/>
  <c r="H108" i="7"/>
  <c r="I108" i="7"/>
  <c r="G265" i="4"/>
  <c r="G250" i="4"/>
  <c r="G251" i="4"/>
  <c r="G252" i="4"/>
  <c r="G253" i="4"/>
  <c r="G254" i="4"/>
  <c r="G255" i="4"/>
  <c r="J98" i="7" s="1"/>
  <c r="G256" i="4"/>
  <c r="G257" i="4"/>
  <c r="J100" i="7" s="1"/>
  <c r="G258" i="4"/>
  <c r="G259" i="4"/>
  <c r="G260" i="4"/>
  <c r="G261" i="4"/>
  <c r="G262" i="4"/>
  <c r="G263" i="4"/>
  <c r="J106" i="7" s="1"/>
  <c r="G264" i="4"/>
  <c r="J107" i="7" s="1"/>
  <c r="C93" i="7"/>
  <c r="D93" i="7"/>
  <c r="G93" i="7"/>
  <c r="H93" i="7"/>
  <c r="I93" i="7"/>
  <c r="J93" i="7"/>
  <c r="C94" i="7"/>
  <c r="D94" i="7"/>
  <c r="G94" i="7"/>
  <c r="H94" i="7"/>
  <c r="I94" i="7"/>
  <c r="J94" i="7"/>
  <c r="C95" i="7"/>
  <c r="D95" i="7"/>
  <c r="G95" i="7"/>
  <c r="H95" i="7"/>
  <c r="I95" i="7"/>
  <c r="J95" i="7"/>
  <c r="C96" i="7"/>
  <c r="D96" i="7"/>
  <c r="G96" i="7"/>
  <c r="H96" i="7"/>
  <c r="I96" i="7"/>
  <c r="J96" i="7"/>
  <c r="C97" i="7"/>
  <c r="D97" i="7"/>
  <c r="G97" i="7"/>
  <c r="H97" i="7"/>
  <c r="I97" i="7"/>
  <c r="C98" i="7"/>
  <c r="D98" i="7"/>
  <c r="G98" i="7"/>
  <c r="H98" i="7"/>
  <c r="I98" i="7"/>
  <c r="C99" i="7"/>
  <c r="D99" i="7"/>
  <c r="G99" i="7"/>
  <c r="H99" i="7"/>
  <c r="I99" i="7"/>
  <c r="C100" i="7"/>
  <c r="D100" i="7"/>
  <c r="G100" i="7"/>
  <c r="H100" i="7"/>
  <c r="I100" i="7"/>
  <c r="C101" i="7"/>
  <c r="D101" i="7"/>
  <c r="G101" i="7"/>
  <c r="H101" i="7"/>
  <c r="I101" i="7"/>
  <c r="J101" i="7"/>
  <c r="C102" i="7"/>
  <c r="D102" i="7"/>
  <c r="G102" i="7"/>
  <c r="H102" i="7"/>
  <c r="I102" i="7"/>
  <c r="C103" i="7"/>
  <c r="D103" i="7"/>
  <c r="G103" i="7"/>
  <c r="H103" i="7"/>
  <c r="I103" i="7"/>
  <c r="C104" i="7"/>
  <c r="D104" i="7"/>
  <c r="G104" i="7"/>
  <c r="H104" i="7"/>
  <c r="I104" i="7"/>
  <c r="J104" i="7"/>
  <c r="C105" i="7"/>
  <c r="D105" i="7"/>
  <c r="G105" i="7"/>
  <c r="H105" i="7"/>
  <c r="I105" i="7"/>
  <c r="J105" i="7"/>
  <c r="C106" i="7"/>
  <c r="D106" i="7"/>
  <c r="G106" i="7"/>
  <c r="H106" i="7"/>
  <c r="I106" i="7"/>
  <c r="C107" i="7"/>
  <c r="D107" i="7"/>
  <c r="G107" i="7"/>
  <c r="H107" i="7"/>
  <c r="I107" i="7"/>
  <c r="E96" i="7" l="1"/>
  <c r="F96" i="7" s="1"/>
  <c r="E97" i="7"/>
  <c r="E100" i="7"/>
  <c r="F100" i="7" s="1"/>
  <c r="E108" i="7"/>
  <c r="E106" i="7"/>
  <c r="F106" i="7" s="1"/>
  <c r="E102" i="7"/>
  <c r="E98" i="7"/>
  <c r="F98" i="7" s="1"/>
  <c r="E99" i="7"/>
  <c r="E95" i="7"/>
  <c r="F95" i="7" s="1"/>
  <c r="E94" i="7"/>
  <c r="F94" i="7" s="1"/>
  <c r="E105" i="7"/>
  <c r="F105" i="7" s="1"/>
  <c r="E101" i="7"/>
  <c r="F101" i="7" s="1"/>
  <c r="E93" i="7"/>
  <c r="F93" i="7" s="1"/>
  <c r="E104" i="7"/>
  <c r="F104" i="7" s="1"/>
  <c r="E107" i="7"/>
  <c r="F107" i="7" s="1"/>
  <c r="E103" i="7"/>
  <c r="G238" i="4" l="1"/>
  <c r="G239" i="4"/>
  <c r="G240" i="4"/>
  <c r="G241" i="4"/>
  <c r="G242" i="4"/>
  <c r="G243" i="4"/>
  <c r="G244" i="4"/>
  <c r="G245" i="4"/>
  <c r="G246" i="4"/>
  <c r="G247" i="4"/>
  <c r="G248" i="4"/>
  <c r="G249" i="4"/>
  <c r="C92" i="7"/>
  <c r="D92" i="7"/>
  <c r="G92" i="7"/>
  <c r="I92" i="7"/>
  <c r="J92" i="7"/>
  <c r="G237" i="4"/>
  <c r="H829" i="2"/>
  <c r="I829" i="2" s="1"/>
  <c r="F829" i="2"/>
  <c r="H828" i="2"/>
  <c r="I828" i="2" s="1"/>
  <c r="J828" i="2" s="1"/>
  <c r="J829" i="2" s="1"/>
  <c r="F828" i="2"/>
  <c r="M91" i="5"/>
  <c r="N91" i="5" s="1"/>
  <c r="M92" i="5"/>
  <c r="N92" i="5" s="1"/>
  <c r="M93" i="5"/>
  <c r="N93" i="5" s="1"/>
  <c r="M94" i="5"/>
  <c r="N94" i="5" s="1"/>
  <c r="M95" i="5"/>
  <c r="N95" i="5" s="1"/>
  <c r="M96" i="5"/>
  <c r="N96" i="5" s="1"/>
  <c r="M97" i="5"/>
  <c r="N97" i="5" s="1"/>
  <c r="M111" i="5"/>
  <c r="N111" i="5" s="1"/>
  <c r="M112" i="5"/>
  <c r="N112" i="5" s="1"/>
  <c r="M114" i="5"/>
  <c r="N114" i="5" s="1"/>
  <c r="M115" i="5"/>
  <c r="N115" i="5" s="1"/>
  <c r="M116" i="5"/>
  <c r="N116" i="5" s="1"/>
  <c r="M117" i="5"/>
  <c r="N117" i="5" s="1"/>
  <c r="M118" i="5"/>
  <c r="N118" i="5" s="1"/>
  <c r="E92" i="7" l="1"/>
  <c r="H1024" i="2" l="1"/>
  <c r="I1024" i="2" s="1"/>
  <c r="F1024" i="2"/>
  <c r="H1023" i="2"/>
  <c r="I1023" i="2" s="1"/>
  <c r="F1023" i="2"/>
  <c r="H1022" i="2"/>
  <c r="I1022" i="2" s="1"/>
  <c r="F1022" i="2"/>
  <c r="H1021" i="2"/>
  <c r="I1021" i="2" s="1"/>
  <c r="F1021" i="2"/>
  <c r="H1020" i="2"/>
  <c r="I1020" i="2" s="1"/>
  <c r="F1020" i="2"/>
  <c r="H1019" i="2"/>
  <c r="I1019" i="2" s="1"/>
  <c r="F1019" i="2"/>
  <c r="H1018" i="2"/>
  <c r="I1018" i="2" s="1"/>
  <c r="F1018" i="2"/>
  <c r="H1017" i="2"/>
  <c r="I1017" i="2" s="1"/>
  <c r="F1017" i="2"/>
  <c r="H1016" i="2"/>
  <c r="I1016" i="2" s="1"/>
  <c r="J1016" i="2" s="1"/>
  <c r="F1016" i="2"/>
  <c r="F109" i="3"/>
  <c r="J1017" i="2" l="1"/>
  <c r="J1018" i="2" s="1"/>
  <c r="J1019" i="2" s="1"/>
  <c r="J1020" i="2" s="1"/>
  <c r="J1021" i="2" s="1"/>
  <c r="J1022" i="2" s="1"/>
  <c r="J1023" i="2" s="1"/>
  <c r="J1024" i="2" s="1"/>
  <c r="G236" i="4"/>
  <c r="F445" i="5"/>
  <c r="G445" i="5" s="1"/>
  <c r="F446" i="5"/>
  <c r="G446" i="5" s="1"/>
  <c r="F447" i="5"/>
  <c r="G447" i="5" s="1"/>
  <c r="F448" i="5"/>
  <c r="G448" i="5" s="1"/>
  <c r="F449" i="5"/>
  <c r="G449" i="5" s="1"/>
  <c r="F450" i="5"/>
  <c r="G450" i="5" s="1"/>
  <c r="F451" i="5"/>
  <c r="G451" i="5" s="1"/>
  <c r="F452" i="5"/>
  <c r="G452" i="5" s="1"/>
  <c r="F453" i="5"/>
  <c r="G453" i="5" s="1"/>
  <c r="F454" i="5"/>
  <c r="G454" i="5" s="1"/>
  <c r="F455" i="5"/>
  <c r="G455" i="5" s="1"/>
  <c r="F456" i="5"/>
  <c r="G456" i="5" s="1"/>
  <c r="F106" i="3"/>
  <c r="F107" i="3"/>
  <c r="F108" i="3"/>
  <c r="H1011" i="2"/>
  <c r="I1011" i="2" s="1"/>
  <c r="F1011" i="2"/>
  <c r="H1010" i="2"/>
  <c r="I1010" i="2" s="1"/>
  <c r="F1010" i="2"/>
  <c r="H1009" i="2"/>
  <c r="I1009" i="2" s="1"/>
  <c r="F1009" i="2"/>
  <c r="H1008" i="2"/>
  <c r="I1008" i="2" s="1"/>
  <c r="F1008" i="2"/>
  <c r="H1007" i="2"/>
  <c r="I1007" i="2" s="1"/>
  <c r="F1007" i="2"/>
  <c r="H1006" i="2"/>
  <c r="I1006" i="2" s="1"/>
  <c r="F1006" i="2"/>
  <c r="H1005" i="2"/>
  <c r="I1005" i="2" s="1"/>
  <c r="F1005" i="2"/>
  <c r="H1004" i="2"/>
  <c r="I1004" i="2" s="1"/>
  <c r="F1004" i="2"/>
  <c r="H1003" i="2"/>
  <c r="I1003" i="2" s="1"/>
  <c r="J1003" i="2" s="1"/>
  <c r="F1003" i="2"/>
  <c r="J1004" i="2" l="1"/>
  <c r="J1005" i="2" s="1"/>
  <c r="J1006" i="2" s="1"/>
  <c r="J1007" i="2" s="1"/>
  <c r="J1008" i="2" s="1"/>
  <c r="J1009" i="2" s="1"/>
  <c r="J1010" i="2" s="1"/>
  <c r="J1011" i="2" s="1"/>
  <c r="G235" i="4"/>
  <c r="G234" i="4"/>
  <c r="C89" i="7"/>
  <c r="D89" i="7"/>
  <c r="G89" i="7"/>
  <c r="H89" i="7"/>
  <c r="J89" i="7"/>
  <c r="C90" i="7"/>
  <c r="D90" i="7"/>
  <c r="G90" i="7"/>
  <c r="H90" i="7"/>
  <c r="I90" i="7"/>
  <c r="J90" i="7"/>
  <c r="C91" i="7"/>
  <c r="D91" i="7"/>
  <c r="G91" i="7"/>
  <c r="H91" i="7"/>
  <c r="I91" i="7"/>
  <c r="J91" i="7"/>
  <c r="G233" i="4"/>
  <c r="M83" i="5"/>
  <c r="N83" i="5" s="1"/>
  <c r="M84" i="5"/>
  <c r="N84" i="5" s="1"/>
  <c r="M85" i="5"/>
  <c r="N85" i="5" s="1"/>
  <c r="M86" i="5"/>
  <c r="N86" i="5" s="1"/>
  <c r="M87" i="5"/>
  <c r="N87" i="5" s="1"/>
  <c r="M88" i="5"/>
  <c r="N88" i="5" s="1"/>
  <c r="M89" i="5"/>
  <c r="N89" i="5" s="1"/>
  <c r="M90" i="5"/>
  <c r="N90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 s="1"/>
  <c r="F430" i="5"/>
  <c r="G430" i="5" s="1"/>
  <c r="F431" i="5"/>
  <c r="G431" i="5" s="1"/>
  <c r="F432" i="5"/>
  <c r="G432" i="5" s="1"/>
  <c r="F433" i="5"/>
  <c r="G433" i="5" s="1"/>
  <c r="F434" i="5"/>
  <c r="G434" i="5" s="1"/>
  <c r="F435" i="5"/>
  <c r="G435" i="5" s="1"/>
  <c r="E89" i="7" l="1"/>
  <c r="F89" i="7" s="1"/>
  <c r="E90" i="7"/>
  <c r="F90" i="7" s="1"/>
  <c r="E91" i="7"/>
  <c r="F91" i="7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F992" i="2"/>
  <c r="F993" i="2"/>
  <c r="F994" i="2"/>
  <c r="F995" i="2"/>
  <c r="F996" i="2"/>
  <c r="F997" i="2"/>
  <c r="F998" i="2"/>
  <c r="H991" i="2"/>
  <c r="I991" i="2" s="1"/>
  <c r="F991" i="2"/>
  <c r="H990" i="2"/>
  <c r="I990" i="2" s="1"/>
  <c r="J990" i="2" s="1"/>
  <c r="F990" i="2"/>
  <c r="J991" i="2" l="1"/>
  <c r="J992" i="2" s="1"/>
  <c r="J993" i="2" s="1"/>
  <c r="J994" i="2" s="1"/>
  <c r="J995" i="2" s="1"/>
  <c r="J996" i="2" s="1"/>
  <c r="J997" i="2" s="1"/>
  <c r="J998" i="2" s="1"/>
  <c r="H972" i="2" l="1"/>
  <c r="I972" i="2" s="1"/>
  <c r="F972" i="2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F979" i="2"/>
  <c r="F980" i="2"/>
  <c r="F981" i="2"/>
  <c r="F982" i="2"/>
  <c r="F983" i="2"/>
  <c r="F984" i="2"/>
  <c r="F985" i="2"/>
  <c r="H978" i="2"/>
  <c r="I978" i="2" s="1"/>
  <c r="F978" i="2"/>
  <c r="H977" i="2"/>
  <c r="I977" i="2" s="1"/>
  <c r="J977" i="2" s="1"/>
  <c r="F977" i="2"/>
  <c r="H971" i="2"/>
  <c r="I971" i="2" s="1"/>
  <c r="F971" i="2"/>
  <c r="H970" i="2"/>
  <c r="I970" i="2" s="1"/>
  <c r="F970" i="2"/>
  <c r="H969" i="2"/>
  <c r="I969" i="2" s="1"/>
  <c r="F969" i="2"/>
  <c r="H968" i="2"/>
  <c r="I968" i="2" s="1"/>
  <c r="F968" i="2"/>
  <c r="H967" i="2"/>
  <c r="I967" i="2" s="1"/>
  <c r="F967" i="2"/>
  <c r="H966" i="2"/>
  <c r="I966" i="2" s="1"/>
  <c r="F966" i="2"/>
  <c r="H965" i="2"/>
  <c r="I965" i="2" s="1"/>
  <c r="F965" i="2"/>
  <c r="H964" i="2"/>
  <c r="I964" i="2" s="1"/>
  <c r="F964" i="2"/>
  <c r="H963" i="2"/>
  <c r="I963" i="2" s="1"/>
  <c r="J963" i="2" s="1"/>
  <c r="F963" i="2"/>
  <c r="J978" i="2" l="1"/>
  <c r="J979" i="2" s="1"/>
  <c r="J980" i="2" s="1"/>
  <c r="J981" i="2" s="1"/>
  <c r="J982" i="2" s="1"/>
  <c r="J983" i="2" s="1"/>
  <c r="J984" i="2" s="1"/>
  <c r="J985" i="2" s="1"/>
  <c r="J964" i="2"/>
  <c r="J965" i="2" s="1"/>
  <c r="J966" i="2" s="1"/>
  <c r="J967" i="2" s="1"/>
  <c r="J968" i="2" s="1"/>
  <c r="J969" i="2" s="1"/>
  <c r="J970" i="2" s="1"/>
  <c r="J971" i="2" s="1"/>
  <c r="J972" i="2" s="1"/>
  <c r="G229" i="4" l="1"/>
  <c r="G230" i="4"/>
  <c r="G231" i="4"/>
  <c r="G232" i="4"/>
  <c r="H958" i="2"/>
  <c r="I958" i="2" s="1"/>
  <c r="F958" i="2"/>
  <c r="H957" i="2"/>
  <c r="I957" i="2" s="1"/>
  <c r="F957" i="2"/>
  <c r="H956" i="2"/>
  <c r="I956" i="2" s="1"/>
  <c r="F956" i="2"/>
  <c r="H955" i="2"/>
  <c r="I955" i="2" s="1"/>
  <c r="F955" i="2"/>
  <c r="H954" i="2"/>
  <c r="I954" i="2" s="1"/>
  <c r="J954" i="2" s="1"/>
  <c r="F954" i="2"/>
  <c r="G224" i="4"/>
  <c r="G225" i="4"/>
  <c r="G226" i="4"/>
  <c r="G227" i="4"/>
  <c r="G228" i="4"/>
  <c r="H949" i="2"/>
  <c r="I949" i="2" s="1"/>
  <c r="F949" i="2"/>
  <c r="H948" i="2"/>
  <c r="I948" i="2" s="1"/>
  <c r="F948" i="2"/>
  <c r="H947" i="2"/>
  <c r="I947" i="2" s="1"/>
  <c r="F947" i="2"/>
  <c r="H946" i="2"/>
  <c r="I946" i="2" s="1"/>
  <c r="F946" i="2"/>
  <c r="H945" i="2"/>
  <c r="I945" i="2" s="1"/>
  <c r="J945" i="2" s="1"/>
  <c r="F945" i="2"/>
  <c r="G223" i="4"/>
  <c r="G222" i="4"/>
  <c r="G221" i="4"/>
  <c r="G220" i="4"/>
  <c r="G217" i="4"/>
  <c r="G218" i="4"/>
  <c r="G219" i="4"/>
  <c r="H940" i="2"/>
  <c r="I940" i="2" s="1"/>
  <c r="F940" i="2"/>
  <c r="H939" i="2"/>
  <c r="I939" i="2" s="1"/>
  <c r="F939" i="2"/>
  <c r="H938" i="2"/>
  <c r="I938" i="2" s="1"/>
  <c r="F938" i="2"/>
  <c r="H937" i="2"/>
  <c r="I937" i="2" s="1"/>
  <c r="F937" i="2"/>
  <c r="H936" i="2"/>
  <c r="I936" i="2" s="1"/>
  <c r="J936" i="2" s="1"/>
  <c r="F936" i="2"/>
  <c r="C87" i="7"/>
  <c r="D87" i="7"/>
  <c r="G87" i="7"/>
  <c r="H87" i="7"/>
  <c r="I87" i="7"/>
  <c r="C88" i="7"/>
  <c r="D88" i="7"/>
  <c r="G88" i="7"/>
  <c r="H88" i="7"/>
  <c r="I88" i="7"/>
  <c r="G215" i="4"/>
  <c r="J87" i="7" s="1"/>
  <c r="G216" i="4"/>
  <c r="J88" i="7" s="1"/>
  <c r="C84" i="7"/>
  <c r="D84" i="7"/>
  <c r="G84" i="7"/>
  <c r="H84" i="7"/>
  <c r="I84" i="7"/>
  <c r="C85" i="7"/>
  <c r="D85" i="7"/>
  <c r="G85" i="7"/>
  <c r="I85" i="7"/>
  <c r="C86" i="7"/>
  <c r="D86" i="7"/>
  <c r="G86" i="7"/>
  <c r="H86" i="7"/>
  <c r="I86" i="7"/>
  <c r="G210" i="4"/>
  <c r="G211" i="4"/>
  <c r="J85" i="7" s="1"/>
  <c r="G212" i="4"/>
  <c r="J84" i="7" s="1"/>
  <c r="G213" i="4"/>
  <c r="G214" i="4"/>
  <c r="J86" i="7" s="1"/>
  <c r="F105" i="3"/>
  <c r="F102" i="3"/>
  <c r="F103" i="3"/>
  <c r="F104" i="3"/>
  <c r="M68" i="5"/>
  <c r="N68" i="5" s="1"/>
  <c r="M69" i="5"/>
  <c r="N69" i="5" s="1"/>
  <c r="M70" i="5"/>
  <c r="N70" i="5" s="1"/>
  <c r="M71" i="5"/>
  <c r="N71" i="5" s="1"/>
  <c r="M72" i="5"/>
  <c r="N72" i="5" s="1"/>
  <c r="M73" i="5"/>
  <c r="N73" i="5" s="1"/>
  <c r="M74" i="5"/>
  <c r="N74" i="5" s="1"/>
  <c r="M75" i="5"/>
  <c r="N75" i="5" s="1"/>
  <c r="M76" i="5"/>
  <c r="N76" i="5" s="1"/>
  <c r="M77" i="5"/>
  <c r="N77" i="5" s="1"/>
  <c r="M78" i="5"/>
  <c r="N78" i="5" s="1"/>
  <c r="M79" i="5"/>
  <c r="N79" i="5" s="1"/>
  <c r="M80" i="5"/>
  <c r="N80" i="5" s="1"/>
  <c r="M81" i="5"/>
  <c r="N81" i="5" s="1"/>
  <c r="M82" i="5"/>
  <c r="N82" i="5" s="1"/>
  <c r="M58" i="5"/>
  <c r="N58" i="5" s="1"/>
  <c r="M59" i="5"/>
  <c r="N59" i="5" s="1"/>
  <c r="M60" i="5"/>
  <c r="N60" i="5" s="1"/>
  <c r="M61" i="5"/>
  <c r="N61" i="5" s="1"/>
  <c r="M62" i="5"/>
  <c r="N62" i="5" s="1"/>
  <c r="M63" i="5"/>
  <c r="N63" i="5" s="1"/>
  <c r="M64" i="5"/>
  <c r="N64" i="5" s="1"/>
  <c r="M65" i="5"/>
  <c r="N65" i="5" s="1"/>
  <c r="M66" i="5"/>
  <c r="N66" i="5" s="1"/>
  <c r="M67" i="5"/>
  <c r="N67" i="5" s="1"/>
  <c r="H928" i="2"/>
  <c r="I928" i="2" s="1"/>
  <c r="H929" i="2"/>
  <c r="I929" i="2" s="1"/>
  <c r="H930" i="2"/>
  <c r="I930" i="2" s="1"/>
  <c r="F928" i="2"/>
  <c r="F929" i="2"/>
  <c r="F930" i="2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F920" i="2"/>
  <c r="F921" i="2"/>
  <c r="F922" i="2"/>
  <c r="F923" i="2"/>
  <c r="F924" i="2"/>
  <c r="F925" i="2"/>
  <c r="F926" i="2"/>
  <c r="F927" i="2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H901" i="2"/>
  <c r="I901" i="2" s="1"/>
  <c r="H902" i="2"/>
  <c r="I902" i="2" s="1"/>
  <c r="H903" i="2"/>
  <c r="I903" i="2" s="1"/>
  <c r="F900" i="2"/>
  <c r="F901" i="2"/>
  <c r="F902" i="2"/>
  <c r="F903" i="2"/>
  <c r="H900" i="2"/>
  <c r="I900" i="2" s="1"/>
  <c r="H899" i="2"/>
  <c r="I899" i="2" s="1"/>
  <c r="J899" i="2" s="1"/>
  <c r="F899" i="2"/>
  <c r="H894" i="2"/>
  <c r="I894" i="2" s="1"/>
  <c r="F894" i="2"/>
  <c r="H893" i="2"/>
  <c r="I893" i="2" s="1"/>
  <c r="J893" i="2" s="1"/>
  <c r="F893" i="2"/>
  <c r="H887" i="2"/>
  <c r="I887" i="2" s="1"/>
  <c r="F887" i="2"/>
  <c r="H886" i="2"/>
  <c r="I886" i="2" s="1"/>
  <c r="J886" i="2" s="1"/>
  <c r="F886" i="2"/>
  <c r="I69" i="7"/>
  <c r="G209" i="4"/>
  <c r="G208" i="4"/>
  <c r="C80" i="7"/>
  <c r="D80" i="7"/>
  <c r="G80" i="7"/>
  <c r="H80" i="7"/>
  <c r="I80" i="7"/>
  <c r="J80" i="7"/>
  <c r="C81" i="7"/>
  <c r="D81" i="7"/>
  <c r="G81" i="7"/>
  <c r="H81" i="7"/>
  <c r="I81" i="7"/>
  <c r="C82" i="7"/>
  <c r="D82" i="7"/>
  <c r="G82" i="7"/>
  <c r="H82" i="7"/>
  <c r="I82" i="7"/>
  <c r="C83" i="7"/>
  <c r="D83" i="7"/>
  <c r="G83" i="7"/>
  <c r="H83" i="7"/>
  <c r="I83" i="7"/>
  <c r="G203" i="4"/>
  <c r="G204" i="4"/>
  <c r="G205" i="4"/>
  <c r="J81" i="7" s="1"/>
  <c r="G206" i="4"/>
  <c r="J82" i="7" s="1"/>
  <c r="G207" i="4"/>
  <c r="H878" i="2"/>
  <c r="I878" i="2" s="1"/>
  <c r="H879" i="2"/>
  <c r="I879" i="2" s="1"/>
  <c r="H880" i="2"/>
  <c r="I880" i="2" s="1"/>
  <c r="F878" i="2"/>
  <c r="F879" i="2"/>
  <c r="F880" i="2"/>
  <c r="H877" i="2"/>
  <c r="I877" i="2" s="1"/>
  <c r="F877" i="2"/>
  <c r="H876" i="2"/>
  <c r="I876" i="2" s="1"/>
  <c r="J876" i="2" s="1"/>
  <c r="F876" i="2"/>
  <c r="C140" i="10"/>
  <c r="C124" i="10"/>
  <c r="C129" i="10" s="1"/>
  <c r="J83" i="7" l="1"/>
  <c r="J887" i="2"/>
  <c r="J955" i="2"/>
  <c r="J956" i="2" s="1"/>
  <c r="J957" i="2" s="1"/>
  <c r="J958" i="2" s="1"/>
  <c r="J946" i="2"/>
  <c r="J947" i="2" s="1"/>
  <c r="J948" i="2" s="1"/>
  <c r="J949" i="2" s="1"/>
  <c r="J937" i="2"/>
  <c r="J938" i="2" s="1"/>
  <c r="J939" i="2" s="1"/>
  <c r="J940" i="2" s="1"/>
  <c r="E85" i="7"/>
  <c r="E88" i="7"/>
  <c r="F88" i="7" s="1"/>
  <c r="E86" i="7"/>
  <c r="F86" i="7" s="1"/>
  <c r="E84" i="7"/>
  <c r="F84" i="7" s="1"/>
  <c r="E87" i="7"/>
  <c r="F87" i="7" s="1"/>
  <c r="J894" i="2"/>
  <c r="J900" i="2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E83" i="7"/>
  <c r="E82" i="7"/>
  <c r="F82" i="7" s="1"/>
  <c r="E80" i="7"/>
  <c r="F80" i="7" s="1"/>
  <c r="E81" i="7"/>
  <c r="F81" i="7" s="1"/>
  <c r="J877" i="2"/>
  <c r="J878" i="2" s="1"/>
  <c r="J879" i="2" s="1"/>
  <c r="J880" i="2" s="1"/>
  <c r="C142" i="10"/>
  <c r="F83" i="7" l="1"/>
  <c r="G202" i="4"/>
  <c r="G201" i="4"/>
  <c r="G200" i="4"/>
  <c r="G199" i="4"/>
  <c r="G188" i="4"/>
  <c r="G189" i="4"/>
  <c r="G190" i="4"/>
  <c r="G191" i="4"/>
  <c r="G192" i="4"/>
  <c r="G193" i="4"/>
  <c r="G194" i="4"/>
  <c r="G195" i="4"/>
  <c r="G196" i="4"/>
  <c r="G197" i="4"/>
  <c r="G198" i="4"/>
  <c r="H871" i="2"/>
  <c r="I871" i="2" s="1"/>
  <c r="F871" i="2"/>
  <c r="H870" i="2"/>
  <c r="I870" i="2" s="1"/>
  <c r="F870" i="2"/>
  <c r="H869" i="2"/>
  <c r="I869" i="2" s="1"/>
  <c r="F869" i="2"/>
  <c r="H868" i="2"/>
  <c r="I868" i="2" s="1"/>
  <c r="F868" i="2"/>
  <c r="H867" i="2"/>
  <c r="I867" i="2" s="1"/>
  <c r="F867" i="2"/>
  <c r="H866" i="2"/>
  <c r="I866" i="2" s="1"/>
  <c r="J866" i="2" s="1"/>
  <c r="F866" i="2"/>
  <c r="C78" i="7"/>
  <c r="D78" i="7"/>
  <c r="G78" i="7"/>
  <c r="H78" i="7"/>
  <c r="J78" i="7"/>
  <c r="C79" i="7"/>
  <c r="D79" i="7"/>
  <c r="G79" i="7"/>
  <c r="H79" i="7"/>
  <c r="I79" i="7"/>
  <c r="H862" i="2"/>
  <c r="I862" i="2" s="1"/>
  <c r="F862" i="2"/>
  <c r="H861" i="2"/>
  <c r="I861" i="2" s="1"/>
  <c r="F861" i="2"/>
  <c r="H860" i="2"/>
  <c r="I860" i="2" s="1"/>
  <c r="F860" i="2"/>
  <c r="H859" i="2"/>
  <c r="I859" i="2" s="1"/>
  <c r="F859" i="2"/>
  <c r="H858" i="2"/>
  <c r="I858" i="2" s="1"/>
  <c r="F858" i="2"/>
  <c r="H857" i="2"/>
  <c r="I857" i="2" s="1"/>
  <c r="F857" i="2"/>
  <c r="H856" i="2"/>
  <c r="I856" i="2" s="1"/>
  <c r="F856" i="2"/>
  <c r="H855" i="2"/>
  <c r="I855" i="2" s="1"/>
  <c r="F855" i="2"/>
  <c r="H854" i="2"/>
  <c r="I854" i="2" s="1"/>
  <c r="J854" i="2" s="1"/>
  <c r="F854" i="2"/>
  <c r="F404" i="5"/>
  <c r="G404" i="5" s="1"/>
  <c r="F405" i="5"/>
  <c r="G405" i="5" s="1"/>
  <c r="F406" i="5"/>
  <c r="G406" i="5" s="1"/>
  <c r="F407" i="5"/>
  <c r="G407" i="5" s="1"/>
  <c r="F408" i="5"/>
  <c r="G408" i="5" s="1"/>
  <c r="F409" i="5"/>
  <c r="G409" i="5" s="1"/>
  <c r="F410" i="5"/>
  <c r="G410" i="5" s="1"/>
  <c r="F411" i="5"/>
  <c r="G411" i="5" s="1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 s="1"/>
  <c r="F419" i="5"/>
  <c r="G419" i="5" s="1"/>
  <c r="F420" i="5"/>
  <c r="G420" i="5" s="1"/>
  <c r="F421" i="5"/>
  <c r="G421" i="5" s="1"/>
  <c r="F422" i="5"/>
  <c r="G422" i="5" s="1"/>
  <c r="F423" i="5"/>
  <c r="G423" i="5" s="1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G397" i="5" s="1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H849" i="2"/>
  <c r="I849" i="2" s="1"/>
  <c r="H850" i="2"/>
  <c r="I850" i="2" s="1"/>
  <c r="F849" i="2"/>
  <c r="F850" i="2"/>
  <c r="H848" i="2"/>
  <c r="I848" i="2" s="1"/>
  <c r="F848" i="2"/>
  <c r="H847" i="2"/>
  <c r="I847" i="2" s="1"/>
  <c r="F847" i="2"/>
  <c r="H846" i="2"/>
  <c r="I846" i="2" s="1"/>
  <c r="F846" i="2"/>
  <c r="H845" i="2"/>
  <c r="I845" i="2" s="1"/>
  <c r="F845" i="2"/>
  <c r="H844" i="2"/>
  <c r="I844" i="2" s="1"/>
  <c r="F844" i="2"/>
  <c r="H843" i="2"/>
  <c r="I843" i="2" s="1"/>
  <c r="F843" i="2"/>
  <c r="H842" i="2"/>
  <c r="I842" i="2" s="1"/>
  <c r="F842" i="2"/>
  <c r="H841" i="2"/>
  <c r="I841" i="2" s="1"/>
  <c r="F841" i="2"/>
  <c r="H840" i="2"/>
  <c r="I840" i="2" s="1"/>
  <c r="J840" i="2" s="1"/>
  <c r="F840" i="2"/>
  <c r="H835" i="2"/>
  <c r="I835" i="2" s="1"/>
  <c r="F835" i="2"/>
  <c r="H834" i="2"/>
  <c r="I834" i="2" s="1"/>
  <c r="J834" i="2" s="1"/>
  <c r="F834" i="2"/>
  <c r="J867" i="2" l="1"/>
  <c r="J868" i="2" s="1"/>
  <c r="J869" i="2" s="1"/>
  <c r="J870" i="2" s="1"/>
  <c r="J871" i="2" s="1"/>
  <c r="E78" i="7"/>
  <c r="F78" i="7" s="1"/>
  <c r="E79" i="7"/>
  <c r="J855" i="2"/>
  <c r="J856" i="2" s="1"/>
  <c r="J857" i="2" s="1"/>
  <c r="J858" i="2" s="1"/>
  <c r="J859" i="2" s="1"/>
  <c r="J860" i="2" s="1"/>
  <c r="J861" i="2" s="1"/>
  <c r="J862" i="2" s="1"/>
  <c r="J841" i="2"/>
  <c r="J842" i="2" s="1"/>
  <c r="J843" i="2" s="1"/>
  <c r="J844" i="2" s="1"/>
  <c r="J845" i="2" s="1"/>
  <c r="J846" i="2" s="1"/>
  <c r="J847" i="2" s="1"/>
  <c r="J848" i="2" s="1"/>
  <c r="J849" i="2" s="1"/>
  <c r="J850" i="2" s="1"/>
  <c r="J835" i="2"/>
  <c r="G187" i="4" l="1"/>
  <c r="G186" i="4" l="1"/>
  <c r="G185" i="4"/>
  <c r="G184" i="4"/>
  <c r="D57" i="12"/>
  <c r="D42" i="12"/>
  <c r="N155" i="5" l="1"/>
  <c r="M154" i="5"/>
  <c r="N154" i="5" s="1"/>
  <c r="M153" i="5"/>
  <c r="N153" i="5" s="1"/>
  <c r="M152" i="5"/>
  <c r="N152" i="5" s="1"/>
  <c r="M151" i="5"/>
  <c r="N151" i="5" s="1"/>
  <c r="M150" i="5"/>
  <c r="N150" i="5" s="1"/>
  <c r="M149" i="5"/>
  <c r="N149" i="5" s="1"/>
  <c r="M148" i="5"/>
  <c r="N148" i="5" s="1"/>
  <c r="M147" i="5"/>
  <c r="N147" i="5" s="1"/>
  <c r="M146" i="5"/>
  <c r="N146" i="5" s="1"/>
  <c r="M145" i="5"/>
  <c r="N145" i="5" s="1"/>
  <c r="M144" i="5"/>
  <c r="N144" i="5" s="1"/>
  <c r="M143" i="5"/>
  <c r="N143" i="5" s="1"/>
  <c r="M142" i="5"/>
  <c r="N142" i="5" s="1"/>
  <c r="M141" i="5"/>
  <c r="N141" i="5" s="1"/>
  <c r="M140" i="5"/>
  <c r="N140" i="5" s="1"/>
  <c r="M139" i="5"/>
  <c r="N139" i="5" s="1"/>
  <c r="M138" i="5"/>
  <c r="N138" i="5" s="1"/>
  <c r="M137" i="5"/>
  <c r="N137" i="5" s="1"/>
  <c r="M136" i="5"/>
  <c r="N136" i="5" s="1"/>
  <c r="M135" i="5"/>
  <c r="N135" i="5" s="1"/>
  <c r="M134" i="5"/>
  <c r="N134" i="5" s="1"/>
  <c r="M133" i="5"/>
  <c r="N133" i="5" s="1"/>
  <c r="M132" i="5"/>
  <c r="N132" i="5" s="1"/>
  <c r="M131" i="5"/>
  <c r="N131" i="5" s="1"/>
  <c r="M130" i="5"/>
  <c r="N130" i="5" s="1"/>
  <c r="G183" i="4"/>
  <c r="N178" i="5" l="1"/>
  <c r="G182" i="4"/>
  <c r="G181" i="4"/>
  <c r="G180" i="4"/>
  <c r="G177" i="4"/>
  <c r="G178" i="4"/>
  <c r="G179" i="4"/>
  <c r="H824" i="2"/>
  <c r="I824" i="2" s="1"/>
  <c r="F824" i="2"/>
  <c r="H823" i="2"/>
  <c r="I823" i="2" s="1"/>
  <c r="F823" i="2"/>
  <c r="H822" i="2"/>
  <c r="I822" i="2" s="1"/>
  <c r="J822" i="2" s="1"/>
  <c r="F822" i="2"/>
  <c r="G176" i="4"/>
  <c r="H809" i="2"/>
  <c r="I809" i="2" s="1"/>
  <c r="F809" i="2"/>
  <c r="H808" i="2"/>
  <c r="I808" i="2" s="1"/>
  <c r="J808" i="2" s="1"/>
  <c r="F808" i="2"/>
  <c r="C95" i="10"/>
  <c r="C100" i="10" s="1"/>
  <c r="C111" i="10"/>
  <c r="J823" i="2" l="1"/>
  <c r="J824" i="2" s="1"/>
  <c r="J809" i="2"/>
  <c r="C113" i="10"/>
  <c r="G173" i="4" l="1"/>
  <c r="G174" i="4"/>
  <c r="G175" i="4"/>
  <c r="H795" i="2"/>
  <c r="I795" i="2" s="1"/>
  <c r="F795" i="2"/>
  <c r="H794" i="2"/>
  <c r="I794" i="2" s="1"/>
  <c r="J794" i="2" s="1"/>
  <c r="F794" i="2"/>
  <c r="H789" i="2"/>
  <c r="I789" i="2" s="1"/>
  <c r="F789" i="2"/>
  <c r="H788" i="2"/>
  <c r="I788" i="2" s="1"/>
  <c r="F788" i="2"/>
  <c r="H787" i="2"/>
  <c r="I787" i="2" s="1"/>
  <c r="F787" i="2"/>
  <c r="H786" i="2"/>
  <c r="I786" i="2" s="1"/>
  <c r="F786" i="2"/>
  <c r="H785" i="2"/>
  <c r="I785" i="2" s="1"/>
  <c r="F785" i="2"/>
  <c r="H784" i="2"/>
  <c r="I784" i="2" s="1"/>
  <c r="F784" i="2"/>
  <c r="H783" i="2"/>
  <c r="I783" i="2" s="1"/>
  <c r="F783" i="2"/>
  <c r="H782" i="2"/>
  <c r="I782" i="2" s="1"/>
  <c r="F782" i="2"/>
  <c r="H781" i="2"/>
  <c r="I781" i="2" s="1"/>
  <c r="J781" i="2" s="1"/>
  <c r="F781" i="2"/>
  <c r="G172" i="4"/>
  <c r="C77" i="7"/>
  <c r="D77" i="7"/>
  <c r="G77" i="7"/>
  <c r="H77" i="7"/>
  <c r="I77" i="7"/>
  <c r="J77" i="7"/>
  <c r="G167" i="4"/>
  <c r="G168" i="4"/>
  <c r="G169" i="4"/>
  <c r="G170" i="4"/>
  <c r="G171" i="4"/>
  <c r="H775" i="2"/>
  <c r="I775" i="2" s="1"/>
  <c r="F775" i="2"/>
  <c r="H774" i="2"/>
  <c r="I774" i="2" s="1"/>
  <c r="F774" i="2"/>
  <c r="H773" i="2"/>
  <c r="I773" i="2" s="1"/>
  <c r="F773" i="2"/>
  <c r="H772" i="2"/>
  <c r="I772" i="2" s="1"/>
  <c r="F772" i="2"/>
  <c r="H771" i="2"/>
  <c r="I771" i="2" s="1"/>
  <c r="F771" i="2"/>
  <c r="H770" i="2"/>
  <c r="I770" i="2" s="1"/>
  <c r="F770" i="2"/>
  <c r="H769" i="2"/>
  <c r="I769" i="2" s="1"/>
  <c r="F769" i="2"/>
  <c r="H768" i="2"/>
  <c r="I768" i="2" s="1"/>
  <c r="F768" i="2"/>
  <c r="H767" i="2"/>
  <c r="I767" i="2" s="1"/>
  <c r="J767" i="2" s="1"/>
  <c r="F767" i="2"/>
  <c r="G166" i="4"/>
  <c r="G165" i="4"/>
  <c r="G164" i="4"/>
  <c r="G163" i="4"/>
  <c r="G162" i="4"/>
  <c r="G161" i="4"/>
  <c r="G159" i="4"/>
  <c r="G160" i="4"/>
  <c r="J79" i="7" s="1"/>
  <c r="F79" i="7" s="1"/>
  <c r="G158" i="4"/>
  <c r="G157" i="4"/>
  <c r="G156" i="4"/>
  <c r="G155" i="4"/>
  <c r="G154" i="4"/>
  <c r="C72" i="7"/>
  <c r="D72" i="7"/>
  <c r="G72" i="7"/>
  <c r="H72" i="7"/>
  <c r="I72" i="7"/>
  <c r="J72" i="7"/>
  <c r="D73" i="7"/>
  <c r="G73" i="7"/>
  <c r="I73" i="7"/>
  <c r="J73" i="7"/>
  <c r="C74" i="7"/>
  <c r="D74" i="7"/>
  <c r="G74" i="7"/>
  <c r="H74" i="7"/>
  <c r="I74" i="7"/>
  <c r="J74" i="7"/>
  <c r="C75" i="7"/>
  <c r="D75" i="7"/>
  <c r="H75" i="7"/>
  <c r="I75" i="7"/>
  <c r="J75" i="7"/>
  <c r="C76" i="7"/>
  <c r="D76" i="7"/>
  <c r="H76" i="7"/>
  <c r="I76" i="7"/>
  <c r="J76" i="7"/>
  <c r="F93" i="3"/>
  <c r="F94" i="3"/>
  <c r="F95" i="3"/>
  <c r="G75" i="7" s="1"/>
  <c r="F96" i="3"/>
  <c r="F97" i="3"/>
  <c r="F98" i="3"/>
  <c r="F99" i="3"/>
  <c r="F100" i="3"/>
  <c r="F101" i="3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F738" i="2"/>
  <c r="F739" i="2"/>
  <c r="F740" i="2"/>
  <c r="F741" i="2"/>
  <c r="F742" i="2"/>
  <c r="F743" i="2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1" i="5"/>
  <c r="N41" i="5" s="1"/>
  <c r="M42" i="5"/>
  <c r="N42" i="5" s="1"/>
  <c r="M43" i="5"/>
  <c r="N43" i="5" s="1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50" i="5"/>
  <c r="N50" i="5" s="1"/>
  <c r="M51" i="5"/>
  <c r="N51" i="5" s="1"/>
  <c r="M52" i="5"/>
  <c r="N52" i="5" s="1"/>
  <c r="M53" i="5"/>
  <c r="N53" i="5" s="1"/>
  <c r="M54" i="5"/>
  <c r="M55" i="5"/>
  <c r="N55" i="5" s="1"/>
  <c r="M56" i="5"/>
  <c r="N56" i="5" s="1"/>
  <c r="M57" i="5"/>
  <c r="N57" i="5" s="1"/>
  <c r="H737" i="2"/>
  <c r="I737" i="2" s="1"/>
  <c r="F737" i="2"/>
  <c r="H736" i="2"/>
  <c r="I736" i="2" s="1"/>
  <c r="F736" i="2"/>
  <c r="H735" i="2"/>
  <c r="I735" i="2" s="1"/>
  <c r="F735" i="2"/>
  <c r="H734" i="2"/>
  <c r="I734" i="2" s="1"/>
  <c r="F734" i="2"/>
  <c r="H733" i="2"/>
  <c r="I733" i="2" s="1"/>
  <c r="F733" i="2"/>
  <c r="H732" i="2"/>
  <c r="I732" i="2" s="1"/>
  <c r="F732" i="2"/>
  <c r="H731" i="2"/>
  <c r="I731" i="2" s="1"/>
  <c r="F731" i="2"/>
  <c r="H730" i="2"/>
  <c r="I730" i="2" s="1"/>
  <c r="F730" i="2"/>
  <c r="H729" i="2"/>
  <c r="I729" i="2" s="1"/>
  <c r="J729" i="2" s="1"/>
  <c r="F729" i="2"/>
  <c r="J795" i="2" l="1"/>
  <c r="E73" i="7"/>
  <c r="J782" i="2"/>
  <c r="J783" i="2" s="1"/>
  <c r="J784" i="2" s="1"/>
  <c r="J785" i="2" s="1"/>
  <c r="J786" i="2" s="1"/>
  <c r="J787" i="2" s="1"/>
  <c r="J788" i="2" s="1"/>
  <c r="J789" i="2" s="1"/>
  <c r="E77" i="7"/>
  <c r="F77" i="7" s="1"/>
  <c r="J768" i="2"/>
  <c r="J769" i="2" s="1"/>
  <c r="J770" i="2" s="1"/>
  <c r="J771" i="2" s="1"/>
  <c r="J772" i="2" s="1"/>
  <c r="J773" i="2" s="1"/>
  <c r="J774" i="2" s="1"/>
  <c r="J775" i="2" s="1"/>
  <c r="E76" i="7"/>
  <c r="E74" i="7"/>
  <c r="F74" i="7" s="1"/>
  <c r="E75" i="7"/>
  <c r="F75" i="7" s="1"/>
  <c r="E72" i="7"/>
  <c r="F72" i="7" s="1"/>
  <c r="J730" i="2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G153" i="4" l="1"/>
  <c r="C70" i="7"/>
  <c r="D70" i="7"/>
  <c r="G70" i="7"/>
  <c r="H70" i="7"/>
  <c r="I70" i="7"/>
  <c r="C71" i="7"/>
  <c r="D71" i="7"/>
  <c r="G71" i="7"/>
  <c r="H71" i="7"/>
  <c r="I71" i="7"/>
  <c r="H723" i="2"/>
  <c r="I723" i="2" s="1"/>
  <c r="F723" i="2"/>
  <c r="H722" i="2"/>
  <c r="I722" i="2" s="1"/>
  <c r="F722" i="2"/>
  <c r="H721" i="2"/>
  <c r="I721" i="2" s="1"/>
  <c r="F721" i="2"/>
  <c r="H720" i="2"/>
  <c r="I720" i="2" s="1"/>
  <c r="F720" i="2"/>
  <c r="H719" i="2"/>
  <c r="I719" i="2" s="1"/>
  <c r="F719" i="2"/>
  <c r="H718" i="2"/>
  <c r="I718" i="2" s="1"/>
  <c r="F718" i="2"/>
  <c r="H717" i="2"/>
  <c r="I717" i="2" s="1"/>
  <c r="F717" i="2"/>
  <c r="H716" i="2"/>
  <c r="I716" i="2" s="1"/>
  <c r="F716" i="2"/>
  <c r="H715" i="2"/>
  <c r="I715" i="2" s="1"/>
  <c r="J715" i="2" s="1"/>
  <c r="F715" i="2"/>
  <c r="G148" i="4"/>
  <c r="J70" i="7" s="1"/>
  <c r="G149" i="4"/>
  <c r="J71" i="7" s="1"/>
  <c r="G150" i="4"/>
  <c r="G151" i="4"/>
  <c r="G152" i="4"/>
  <c r="G147" i="4"/>
  <c r="J69" i="7" s="1"/>
  <c r="G146" i="4"/>
  <c r="G145" i="4"/>
  <c r="G144" i="4"/>
  <c r="G143" i="4"/>
  <c r="C69" i="7"/>
  <c r="D69" i="7"/>
  <c r="G69" i="7"/>
  <c r="H69" i="7"/>
  <c r="H707" i="2"/>
  <c r="I707" i="2" s="1"/>
  <c r="H708" i="2"/>
  <c r="I708" i="2" s="1"/>
  <c r="H709" i="2"/>
  <c r="I709" i="2" s="1"/>
  <c r="H710" i="2"/>
  <c r="I710" i="2" s="1"/>
  <c r="F707" i="2"/>
  <c r="F708" i="2"/>
  <c r="F709" i="2"/>
  <c r="F710" i="2"/>
  <c r="H706" i="2"/>
  <c r="I706" i="2" s="1"/>
  <c r="F706" i="2"/>
  <c r="H705" i="2"/>
  <c r="I705" i="2" s="1"/>
  <c r="F705" i="2"/>
  <c r="H704" i="2"/>
  <c r="I704" i="2" s="1"/>
  <c r="F704" i="2"/>
  <c r="H703" i="2"/>
  <c r="I703" i="2" s="1"/>
  <c r="F703" i="2"/>
  <c r="H702" i="2"/>
  <c r="I702" i="2" s="1"/>
  <c r="F702" i="2"/>
  <c r="H701" i="2"/>
  <c r="I701" i="2" s="1"/>
  <c r="F701" i="2"/>
  <c r="H700" i="2"/>
  <c r="I700" i="2" s="1"/>
  <c r="F700" i="2"/>
  <c r="H699" i="2"/>
  <c r="I699" i="2" s="1"/>
  <c r="F699" i="2"/>
  <c r="H698" i="2"/>
  <c r="I698" i="2" s="1"/>
  <c r="J698" i="2" s="1"/>
  <c r="F698" i="2"/>
  <c r="G142" i="4"/>
  <c r="G141" i="4"/>
  <c r="C68" i="7"/>
  <c r="D68" i="7"/>
  <c r="G68" i="7"/>
  <c r="H68" i="7"/>
  <c r="I68" i="7"/>
  <c r="J68" i="7"/>
  <c r="H693" i="2"/>
  <c r="I693" i="2" s="1"/>
  <c r="F693" i="2"/>
  <c r="H692" i="2"/>
  <c r="I692" i="2" s="1"/>
  <c r="F692" i="2"/>
  <c r="H691" i="2"/>
  <c r="I691" i="2" s="1"/>
  <c r="F691" i="2"/>
  <c r="H690" i="2"/>
  <c r="I690" i="2" s="1"/>
  <c r="F690" i="2"/>
  <c r="H689" i="2"/>
  <c r="I689" i="2" s="1"/>
  <c r="J689" i="2" s="1"/>
  <c r="F689" i="2"/>
  <c r="G140" i="4"/>
  <c r="G138" i="4"/>
  <c r="G139" i="4"/>
  <c r="C80" i="10"/>
  <c r="C64" i="10"/>
  <c r="C69" i="10" s="1"/>
  <c r="H684" i="2"/>
  <c r="I684" i="2" s="1"/>
  <c r="F684" i="2"/>
  <c r="H683" i="2"/>
  <c r="I683" i="2" s="1"/>
  <c r="J683" i="2" s="1"/>
  <c r="F683" i="2"/>
  <c r="R510" i="2"/>
  <c r="S510" i="2" s="1"/>
  <c r="R509" i="2"/>
  <c r="S509" i="2" s="1"/>
  <c r="C82" i="10" l="1"/>
  <c r="J684" i="2"/>
  <c r="E70" i="7"/>
  <c r="F70" i="7" s="1"/>
  <c r="E71" i="7"/>
  <c r="F71" i="7" s="1"/>
  <c r="J716" i="2"/>
  <c r="J717" i="2" s="1"/>
  <c r="J718" i="2" s="1"/>
  <c r="J719" i="2" s="1"/>
  <c r="J720" i="2" s="1"/>
  <c r="J721" i="2" s="1"/>
  <c r="J722" i="2" s="1"/>
  <c r="J723" i="2" s="1"/>
  <c r="E69" i="7"/>
  <c r="F69" i="7" s="1"/>
  <c r="J699" i="2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E68" i="7"/>
  <c r="F68" i="7" s="1"/>
  <c r="J690" i="2"/>
  <c r="J691" i="2" s="1"/>
  <c r="J692" i="2" s="1"/>
  <c r="J693" i="2" s="1"/>
  <c r="H679" i="2"/>
  <c r="I679" i="2" s="1"/>
  <c r="F679" i="2"/>
  <c r="H678" i="2"/>
  <c r="I678" i="2" s="1"/>
  <c r="F678" i="2"/>
  <c r="H677" i="2"/>
  <c r="I677" i="2" s="1"/>
  <c r="F677" i="2"/>
  <c r="H676" i="2"/>
  <c r="I676" i="2" s="1"/>
  <c r="J676" i="2" s="1"/>
  <c r="F676" i="2"/>
  <c r="G137" i="4"/>
  <c r="G136" i="4"/>
  <c r="G135" i="4"/>
  <c r="C67" i="7"/>
  <c r="D67" i="7"/>
  <c r="G67" i="7"/>
  <c r="H67" i="7"/>
  <c r="I67" i="7"/>
  <c r="J67" i="7"/>
  <c r="J677" i="2" l="1"/>
  <c r="J678" i="2" s="1"/>
  <c r="J679" i="2" s="1"/>
  <c r="E67" i="7"/>
  <c r="F67" i="7" s="1"/>
  <c r="G134" i="4" l="1"/>
  <c r="G133" i="4"/>
  <c r="C66" i="7"/>
  <c r="D66" i="7"/>
  <c r="G66" i="7"/>
  <c r="H66" i="7"/>
  <c r="I66" i="7"/>
  <c r="J66" i="7"/>
  <c r="C65" i="7"/>
  <c r="D65" i="7"/>
  <c r="G65" i="7"/>
  <c r="H65" i="7"/>
  <c r="I65" i="7"/>
  <c r="J65" i="7"/>
  <c r="G132" i="4"/>
  <c r="G131" i="4"/>
  <c r="G124" i="4"/>
  <c r="G125" i="4"/>
  <c r="G126" i="4"/>
  <c r="G127" i="4"/>
  <c r="G128" i="4"/>
  <c r="G129" i="4"/>
  <c r="G130" i="4"/>
  <c r="H671" i="2"/>
  <c r="I671" i="2" s="1"/>
  <c r="F671" i="2"/>
  <c r="H670" i="2"/>
  <c r="I670" i="2" s="1"/>
  <c r="F670" i="2"/>
  <c r="H669" i="2"/>
  <c r="I669" i="2" s="1"/>
  <c r="F669" i="2"/>
  <c r="H668" i="2"/>
  <c r="I668" i="2" s="1"/>
  <c r="F668" i="2"/>
  <c r="H667" i="2"/>
  <c r="I667" i="2" s="1"/>
  <c r="F667" i="2"/>
  <c r="H666" i="2"/>
  <c r="I666" i="2" s="1"/>
  <c r="F666" i="2"/>
  <c r="H665" i="2"/>
  <c r="I665" i="2" s="1"/>
  <c r="F665" i="2"/>
  <c r="H664" i="2"/>
  <c r="I664" i="2" s="1"/>
  <c r="F664" i="2"/>
  <c r="H663" i="2"/>
  <c r="I663" i="2" s="1"/>
  <c r="J663" i="2" s="1"/>
  <c r="F663" i="2"/>
  <c r="E66" i="7" l="1"/>
  <c r="F66" i="7" s="1"/>
  <c r="E65" i="7"/>
  <c r="F65" i="7" s="1"/>
  <c r="J664" i="2"/>
  <c r="J665" i="2" s="1"/>
  <c r="J666" i="2" s="1"/>
  <c r="J667" i="2" s="1"/>
  <c r="J668" i="2" s="1"/>
  <c r="J669" i="2" s="1"/>
  <c r="J670" i="2" s="1"/>
  <c r="J671" i="2" s="1"/>
  <c r="F325" i="5" l="1"/>
  <c r="G325" i="5" s="1"/>
  <c r="F326" i="5"/>
  <c r="G326" i="5" s="1"/>
  <c r="F327" i="5"/>
  <c r="G327" i="5" s="1"/>
  <c r="F328" i="5"/>
  <c r="G328" i="5"/>
  <c r="F329" i="5"/>
  <c r="G329" i="5" s="1"/>
  <c r="F330" i="5"/>
  <c r="G330" i="5" s="1"/>
  <c r="F331" i="5"/>
  <c r="G331" i="5" s="1"/>
  <c r="F332" i="5"/>
  <c r="G332" i="5" s="1"/>
  <c r="F333" i="5"/>
  <c r="G333" i="5" s="1"/>
  <c r="F334" i="5"/>
  <c r="G334" i="5" s="1"/>
  <c r="F335" i="5"/>
  <c r="G335" i="5"/>
  <c r="F336" i="5"/>
  <c r="G336" i="5" s="1"/>
  <c r="F337" i="5"/>
  <c r="G337" i="5" s="1"/>
  <c r="F338" i="5"/>
  <c r="G338" i="5" s="1"/>
  <c r="F339" i="5"/>
  <c r="G339" i="5" s="1"/>
  <c r="F340" i="5"/>
  <c r="G340" i="5" s="1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 s="1"/>
  <c r="F349" i="5"/>
  <c r="G349" i="5" s="1"/>
  <c r="F350" i="5"/>
  <c r="G350" i="5" s="1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G361" i="5" s="1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G373" i="5" s="1"/>
  <c r="F374" i="5"/>
  <c r="G374" i="5" s="1"/>
  <c r="F375" i="5"/>
  <c r="G375" i="5" s="1"/>
  <c r="F376" i="5"/>
  <c r="G376" i="5" s="1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G385" i="5" s="1"/>
  <c r="F386" i="5"/>
  <c r="G386" i="5" s="1"/>
  <c r="F387" i="5"/>
  <c r="G387" i="5" s="1"/>
  <c r="F388" i="5"/>
  <c r="G388" i="5" s="1"/>
  <c r="F389" i="5"/>
  <c r="G389" i="5" s="1"/>
  <c r="F390" i="5"/>
  <c r="G390" i="5" s="1"/>
  <c r="F391" i="5"/>
  <c r="G391" i="5" s="1"/>
  <c r="H645" i="2" l="1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F645" i="2"/>
  <c r="F646" i="2"/>
  <c r="F647" i="2"/>
  <c r="F648" i="2"/>
  <c r="F649" i="2"/>
  <c r="F650" i="2"/>
  <c r="F651" i="2"/>
  <c r="F652" i="2"/>
  <c r="F653" i="2"/>
  <c r="F654" i="2"/>
  <c r="F655" i="2"/>
  <c r="F656" i="2"/>
  <c r="H644" i="2"/>
  <c r="I644" i="2" s="1"/>
  <c r="F644" i="2"/>
  <c r="H643" i="2"/>
  <c r="I643" i="2" s="1"/>
  <c r="F643" i="2"/>
  <c r="H642" i="2"/>
  <c r="I642" i="2" s="1"/>
  <c r="F642" i="2"/>
  <c r="H641" i="2"/>
  <c r="I641" i="2" s="1"/>
  <c r="F641" i="2"/>
  <c r="H640" i="2"/>
  <c r="I640" i="2" s="1"/>
  <c r="F640" i="2"/>
  <c r="H639" i="2"/>
  <c r="I639" i="2" s="1"/>
  <c r="F639" i="2"/>
  <c r="H638" i="2"/>
  <c r="I638" i="2" s="1"/>
  <c r="F638" i="2"/>
  <c r="H637" i="2"/>
  <c r="I637" i="2" s="1"/>
  <c r="F637" i="2"/>
  <c r="H636" i="2"/>
  <c r="I636" i="2" s="1"/>
  <c r="J636" i="2" s="1"/>
  <c r="F636" i="2"/>
  <c r="J637" i="2" l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G123" i="4" l="1"/>
  <c r="G122" i="4"/>
  <c r="H628" i="2"/>
  <c r="I628" i="2" s="1"/>
  <c r="H629" i="2"/>
  <c r="I629" i="2" s="1"/>
  <c r="H630" i="2"/>
  <c r="I630" i="2" s="1"/>
  <c r="H631" i="2"/>
  <c r="I631" i="2" s="1"/>
  <c r="F628" i="2"/>
  <c r="F629" i="2"/>
  <c r="F630" i="2"/>
  <c r="F631" i="2"/>
  <c r="H627" i="2"/>
  <c r="I627" i="2" s="1"/>
  <c r="F627" i="2"/>
  <c r="H626" i="2"/>
  <c r="I626" i="2" s="1"/>
  <c r="F626" i="2"/>
  <c r="H625" i="2"/>
  <c r="I625" i="2" s="1"/>
  <c r="F625" i="2"/>
  <c r="H624" i="2"/>
  <c r="I624" i="2" s="1"/>
  <c r="F624" i="2"/>
  <c r="H623" i="2"/>
  <c r="I623" i="2" s="1"/>
  <c r="F623" i="2"/>
  <c r="H622" i="2"/>
  <c r="I622" i="2" s="1"/>
  <c r="F622" i="2"/>
  <c r="H621" i="2"/>
  <c r="I621" i="2" s="1"/>
  <c r="F621" i="2"/>
  <c r="H620" i="2"/>
  <c r="I620" i="2" s="1"/>
  <c r="F620" i="2"/>
  <c r="H619" i="2"/>
  <c r="I619" i="2" s="1"/>
  <c r="J619" i="2" s="1"/>
  <c r="F619" i="2"/>
  <c r="F301" i="5"/>
  <c r="G301" i="5" s="1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 s="1"/>
  <c r="F313" i="5"/>
  <c r="G313" i="5" s="1"/>
  <c r="F314" i="5"/>
  <c r="G314" i="5" s="1"/>
  <c r="F315" i="5"/>
  <c r="G315" i="5" s="1"/>
  <c r="F316" i="5"/>
  <c r="G316" i="5" s="1"/>
  <c r="F317" i="5"/>
  <c r="G317" i="5" s="1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F607" i="2"/>
  <c r="F608" i="2"/>
  <c r="F609" i="2"/>
  <c r="F610" i="2"/>
  <c r="F611" i="2"/>
  <c r="F612" i="2"/>
  <c r="F613" i="2"/>
  <c r="H606" i="2"/>
  <c r="I606" i="2" s="1"/>
  <c r="F606" i="2"/>
  <c r="H605" i="2"/>
  <c r="I605" i="2" s="1"/>
  <c r="F605" i="2"/>
  <c r="H604" i="2"/>
  <c r="I604" i="2" s="1"/>
  <c r="F604" i="2"/>
  <c r="H603" i="2"/>
  <c r="I603" i="2" s="1"/>
  <c r="F603" i="2"/>
  <c r="H602" i="2"/>
  <c r="I602" i="2" s="1"/>
  <c r="F602" i="2"/>
  <c r="H601" i="2"/>
  <c r="I601" i="2" s="1"/>
  <c r="F601" i="2"/>
  <c r="H600" i="2"/>
  <c r="I600" i="2" s="1"/>
  <c r="F600" i="2"/>
  <c r="H599" i="2"/>
  <c r="I599" i="2" s="1"/>
  <c r="F599" i="2"/>
  <c r="H598" i="2"/>
  <c r="I598" i="2" s="1"/>
  <c r="J598" i="2" s="1"/>
  <c r="F598" i="2"/>
  <c r="J620" i="2" l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599" i="2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G121" i="4" l="1"/>
  <c r="G120" i="4"/>
  <c r="C64" i="7"/>
  <c r="D64" i="7"/>
  <c r="G64" i="7"/>
  <c r="H64" i="7"/>
  <c r="I64" i="7"/>
  <c r="J64" i="7"/>
  <c r="G119" i="4"/>
  <c r="G118" i="4"/>
  <c r="G117" i="4"/>
  <c r="G115" i="4"/>
  <c r="G116" i="4"/>
  <c r="G113" i="4"/>
  <c r="G114" i="4"/>
  <c r="G111" i="4"/>
  <c r="G112" i="4"/>
  <c r="F280" i="5"/>
  <c r="G280" i="5" s="1"/>
  <c r="F281" i="5"/>
  <c r="G281" i="5" s="1"/>
  <c r="F282" i="5"/>
  <c r="G282" i="5" s="1"/>
  <c r="F283" i="5"/>
  <c r="G283" i="5" s="1"/>
  <c r="F284" i="5"/>
  <c r="G284" i="5" s="1"/>
  <c r="F285" i="5"/>
  <c r="G285" i="5" s="1"/>
  <c r="F286" i="5"/>
  <c r="G286" i="5" s="1"/>
  <c r="F287" i="5"/>
  <c r="G287" i="5" s="1"/>
  <c r="F288" i="5"/>
  <c r="G288" i="5" s="1"/>
  <c r="F289" i="5"/>
  <c r="G289" i="5" s="1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 s="1"/>
  <c r="F298" i="5"/>
  <c r="G298" i="5" s="1"/>
  <c r="F299" i="5"/>
  <c r="G299" i="5" s="1"/>
  <c r="F300" i="5"/>
  <c r="G300" i="5" s="1"/>
  <c r="H590" i="2"/>
  <c r="I590" i="2" s="1"/>
  <c r="H591" i="2"/>
  <c r="I591" i="2" s="1"/>
  <c r="H592" i="2"/>
  <c r="I592" i="2" s="1"/>
  <c r="F590" i="2"/>
  <c r="F591" i="2"/>
  <c r="F592" i="2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F580" i="2"/>
  <c r="F581" i="2"/>
  <c r="F582" i="2"/>
  <c r="F583" i="2"/>
  <c r="F584" i="2"/>
  <c r="F585" i="2"/>
  <c r="F586" i="2"/>
  <c r="F587" i="2"/>
  <c r="F588" i="2"/>
  <c r="F589" i="2"/>
  <c r="H579" i="2"/>
  <c r="I579" i="2" s="1"/>
  <c r="F579" i="2"/>
  <c r="H578" i="2"/>
  <c r="I578" i="2" s="1"/>
  <c r="F578" i="2"/>
  <c r="H577" i="2"/>
  <c r="I577" i="2" s="1"/>
  <c r="F577" i="2"/>
  <c r="H576" i="2"/>
  <c r="I576" i="2" s="1"/>
  <c r="F576" i="2"/>
  <c r="H575" i="2"/>
  <c r="I575" i="2" s="1"/>
  <c r="F575" i="2"/>
  <c r="H574" i="2"/>
  <c r="I574" i="2" s="1"/>
  <c r="F574" i="2"/>
  <c r="H573" i="2"/>
  <c r="I573" i="2" s="1"/>
  <c r="F573" i="2"/>
  <c r="H572" i="2"/>
  <c r="I572" i="2" s="1"/>
  <c r="F572" i="2"/>
  <c r="H571" i="2"/>
  <c r="I571" i="2" s="1"/>
  <c r="J571" i="2" s="1"/>
  <c r="F571" i="2"/>
  <c r="E64" i="7" l="1"/>
  <c r="F64" i="7" s="1"/>
  <c r="J572" i="2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C62" i="7" l="1"/>
  <c r="D62" i="7"/>
  <c r="G62" i="7"/>
  <c r="H62" i="7"/>
  <c r="I62" i="7"/>
  <c r="C63" i="7"/>
  <c r="D63" i="7"/>
  <c r="G63" i="7"/>
  <c r="H63" i="7"/>
  <c r="I63" i="7"/>
  <c r="G110" i="4"/>
  <c r="C61" i="7"/>
  <c r="D61" i="7"/>
  <c r="G61" i="7"/>
  <c r="H61" i="7"/>
  <c r="I61" i="7"/>
  <c r="C60" i="7"/>
  <c r="D60" i="7"/>
  <c r="G60" i="7"/>
  <c r="H60" i="7"/>
  <c r="I60" i="7"/>
  <c r="G97" i="4"/>
  <c r="G98" i="4"/>
  <c r="J60" i="7" s="1"/>
  <c r="G99" i="4"/>
  <c r="G100" i="4"/>
  <c r="G101" i="4"/>
  <c r="G102" i="4"/>
  <c r="G103" i="4"/>
  <c r="G104" i="4"/>
  <c r="G105" i="4"/>
  <c r="G106" i="4"/>
  <c r="G107" i="4"/>
  <c r="G108" i="4"/>
  <c r="G109" i="4"/>
  <c r="J62" i="7" s="1"/>
  <c r="E62" i="7" l="1"/>
  <c r="F62" i="7" s="1"/>
  <c r="E63" i="7"/>
  <c r="E60" i="7"/>
  <c r="F60" i="7" s="1"/>
  <c r="E61" i="7"/>
  <c r="C47" i="10" l="1"/>
  <c r="C45" i="10"/>
  <c r="C38" i="10"/>
  <c r="C34" i="10"/>
  <c r="C33" i="10"/>
  <c r="C35" i="10" s="1"/>
  <c r="C40" i="10" s="1"/>
  <c r="F260" i="5"/>
  <c r="G260" i="5" s="1"/>
  <c r="F261" i="5"/>
  <c r="G261" i="5" s="1"/>
  <c r="F262" i="5"/>
  <c r="G262" i="5" s="1"/>
  <c r="F263" i="5"/>
  <c r="G263" i="5" s="1"/>
  <c r="F264" i="5"/>
  <c r="G264" i="5" s="1"/>
  <c r="F265" i="5"/>
  <c r="G265" i="5" s="1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 s="1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G277" i="5" s="1"/>
  <c r="F278" i="5"/>
  <c r="G278" i="5" s="1"/>
  <c r="F279" i="5"/>
  <c r="G279" i="5" s="1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G217" i="5" s="1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G229" i="5" s="1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G236" i="5" s="1"/>
  <c r="F237" i="5"/>
  <c r="G237" i="5" s="1"/>
  <c r="F238" i="5"/>
  <c r="G238" i="5" s="1"/>
  <c r="F239" i="5"/>
  <c r="G239" i="5" s="1"/>
  <c r="F240" i="5"/>
  <c r="G240" i="5" s="1"/>
  <c r="F241" i="5"/>
  <c r="G241" i="5" s="1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 s="1"/>
  <c r="F251" i="5"/>
  <c r="G251" i="5" s="1"/>
  <c r="F252" i="5"/>
  <c r="G252" i="5" s="1"/>
  <c r="F253" i="5"/>
  <c r="G253" i="5" s="1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80" i="3"/>
  <c r="F81" i="3"/>
  <c r="F82" i="3"/>
  <c r="F83" i="3"/>
  <c r="F84" i="3"/>
  <c r="F85" i="3"/>
  <c r="F86" i="3"/>
  <c r="F87" i="3"/>
  <c r="F88" i="3"/>
  <c r="F89" i="3"/>
  <c r="F90" i="3"/>
  <c r="F91" i="3"/>
  <c r="G76" i="7" s="1"/>
  <c r="F76" i="7" s="1"/>
  <c r="F92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C49" i="10" l="1"/>
  <c r="C52" i="10" s="1"/>
  <c r="C59" i="7"/>
  <c r="D59" i="7"/>
  <c r="G59" i="7"/>
  <c r="H59" i="7"/>
  <c r="I59" i="7"/>
  <c r="C55" i="7"/>
  <c r="D55" i="7"/>
  <c r="G55" i="7"/>
  <c r="H55" i="7"/>
  <c r="I55" i="7"/>
  <c r="J55" i="7"/>
  <c r="C56" i="7"/>
  <c r="D56" i="7"/>
  <c r="G56" i="7"/>
  <c r="H56" i="7"/>
  <c r="I56" i="7"/>
  <c r="J56" i="7"/>
  <c r="C57" i="7"/>
  <c r="D57" i="7"/>
  <c r="G57" i="7"/>
  <c r="H57" i="7"/>
  <c r="I57" i="7"/>
  <c r="J57" i="7"/>
  <c r="C58" i="7"/>
  <c r="D58" i="7"/>
  <c r="G58" i="7"/>
  <c r="H58" i="7"/>
  <c r="I58" i="7"/>
  <c r="J58" i="7"/>
  <c r="I556" i="2"/>
  <c r="J556" i="2" s="1"/>
  <c r="I557" i="2"/>
  <c r="J557" i="2" s="1"/>
  <c r="M557" i="2" s="1"/>
  <c r="N557" i="2" s="1"/>
  <c r="I558" i="2"/>
  <c r="J558" i="2" s="1"/>
  <c r="K558" i="2" s="1"/>
  <c r="I559" i="2"/>
  <c r="J559" i="2" s="1"/>
  <c r="M559" i="2" s="1"/>
  <c r="N559" i="2" s="1"/>
  <c r="I560" i="2"/>
  <c r="J560" i="2" s="1"/>
  <c r="I561" i="2"/>
  <c r="J561" i="2" s="1"/>
  <c r="K561" i="2" s="1"/>
  <c r="I562" i="2"/>
  <c r="J562" i="2" s="1"/>
  <c r="I563" i="2"/>
  <c r="J563" i="2" s="1"/>
  <c r="M563" i="2" s="1"/>
  <c r="N563" i="2" s="1"/>
  <c r="I564" i="2"/>
  <c r="J564" i="2" s="1"/>
  <c r="I565" i="2"/>
  <c r="J565" i="2" s="1"/>
  <c r="K559" i="2" l="1"/>
  <c r="M564" i="2"/>
  <c r="N564" i="2" s="1"/>
  <c r="K564" i="2"/>
  <c r="K565" i="2"/>
  <c r="M565" i="2"/>
  <c r="N565" i="2" s="1"/>
  <c r="K557" i="2"/>
  <c r="M561" i="2"/>
  <c r="N561" i="2" s="1"/>
  <c r="E56" i="7"/>
  <c r="F56" i="7" s="1"/>
  <c r="E55" i="7"/>
  <c r="F55" i="7" s="1"/>
  <c r="E59" i="7"/>
  <c r="E57" i="7"/>
  <c r="F57" i="7" s="1"/>
  <c r="E58" i="7"/>
  <c r="F58" i="7" s="1"/>
  <c r="M562" i="2"/>
  <c r="N562" i="2" s="1"/>
  <c r="K563" i="2"/>
  <c r="K562" i="2"/>
  <c r="K560" i="2"/>
  <c r="M560" i="2"/>
  <c r="N560" i="2" s="1"/>
  <c r="M558" i="2"/>
  <c r="N558" i="2" s="1"/>
  <c r="M556" i="2"/>
  <c r="N556" i="2" s="1"/>
  <c r="K556" i="2"/>
  <c r="I541" i="2" l="1"/>
  <c r="J541" i="2" s="1"/>
  <c r="I542" i="2"/>
  <c r="J542" i="2" s="1"/>
  <c r="K542" i="2" s="1"/>
  <c r="I543" i="2"/>
  <c r="J543" i="2" s="1"/>
  <c r="K543" i="2" s="1"/>
  <c r="I544" i="2"/>
  <c r="J544" i="2" s="1"/>
  <c r="I545" i="2"/>
  <c r="J545" i="2" s="1"/>
  <c r="K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K552" i="2" s="1"/>
  <c r="I553" i="2"/>
  <c r="J553" i="2" s="1"/>
  <c r="I554" i="2"/>
  <c r="J554" i="2" s="1"/>
  <c r="I555" i="2"/>
  <c r="J555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K523" i="2" s="1"/>
  <c r="I524" i="2"/>
  <c r="J524" i="2" s="1"/>
  <c r="I525" i="2"/>
  <c r="J525" i="2" s="1"/>
  <c r="I506" i="2"/>
  <c r="J506" i="2" s="1"/>
  <c r="K506" i="2" s="1"/>
  <c r="I507" i="2"/>
  <c r="J507" i="2" s="1"/>
  <c r="K507" i="2" s="1"/>
  <c r="I508" i="2"/>
  <c r="J508" i="2" s="1"/>
  <c r="I509" i="2"/>
  <c r="J509" i="2" s="1"/>
  <c r="K509" i="2" s="1"/>
  <c r="I510" i="2"/>
  <c r="J510" i="2" s="1"/>
  <c r="K510" i="2" s="1"/>
  <c r="I511" i="2"/>
  <c r="J511" i="2" s="1"/>
  <c r="I512" i="2"/>
  <c r="J512" i="2" s="1"/>
  <c r="K512" i="2" s="1"/>
  <c r="I513" i="2"/>
  <c r="J513" i="2" s="1"/>
  <c r="M513" i="2" s="1"/>
  <c r="N513" i="2" s="1"/>
  <c r="I514" i="2"/>
  <c r="J514" i="2" s="1"/>
  <c r="K514" i="2" s="1"/>
  <c r="I515" i="2"/>
  <c r="J515" i="2" s="1"/>
  <c r="K515" i="2" s="1"/>
  <c r="I516" i="2"/>
  <c r="J516" i="2" s="1"/>
  <c r="I517" i="2"/>
  <c r="J517" i="2" s="1"/>
  <c r="K517" i="2" s="1"/>
  <c r="U43" i="2"/>
  <c r="V43" i="2" s="1"/>
  <c r="U42" i="2"/>
  <c r="V42" i="2" s="1"/>
  <c r="U41" i="2"/>
  <c r="V41" i="2" s="1"/>
  <c r="U40" i="2"/>
  <c r="V40" i="2" s="1"/>
  <c r="U39" i="2"/>
  <c r="V39" i="2" s="1"/>
  <c r="U38" i="2"/>
  <c r="V38" i="2" s="1"/>
  <c r="U37" i="2"/>
  <c r="V37" i="2" s="1"/>
  <c r="U36" i="2"/>
  <c r="V36" i="2" s="1"/>
  <c r="U35" i="2"/>
  <c r="V35" i="2" s="1"/>
  <c r="U34" i="2"/>
  <c r="V34" i="2" s="1"/>
  <c r="I497" i="2"/>
  <c r="J497" i="2" s="1"/>
  <c r="K497" i="2" s="1"/>
  <c r="I498" i="2"/>
  <c r="J498" i="2" s="1"/>
  <c r="K498" i="2" s="1"/>
  <c r="I499" i="2"/>
  <c r="J499" i="2" s="1"/>
  <c r="I500" i="2"/>
  <c r="J500" i="2" s="1"/>
  <c r="K500" i="2" s="1"/>
  <c r="I501" i="2"/>
  <c r="J501" i="2" s="1"/>
  <c r="I502" i="2"/>
  <c r="J502" i="2" s="1"/>
  <c r="I503" i="2"/>
  <c r="J503" i="2" s="1"/>
  <c r="K503" i="2" s="1"/>
  <c r="I504" i="2"/>
  <c r="J504" i="2" s="1"/>
  <c r="K504" i="2" s="1"/>
  <c r="I505" i="2"/>
  <c r="J505" i="2" s="1"/>
  <c r="K505" i="2" s="1"/>
  <c r="I496" i="2"/>
  <c r="J496" i="2" s="1"/>
  <c r="M496" i="2" s="1"/>
  <c r="N496" i="2" s="1"/>
  <c r="O496" i="2" s="1"/>
  <c r="G95" i="4"/>
  <c r="G96" i="4"/>
  <c r="C54" i="7"/>
  <c r="D54" i="7"/>
  <c r="G54" i="7"/>
  <c r="H54" i="7"/>
  <c r="I54" i="7"/>
  <c r="J54" i="7"/>
  <c r="C53" i="7"/>
  <c r="D53" i="7"/>
  <c r="G53" i="7"/>
  <c r="H53" i="7"/>
  <c r="I53" i="7"/>
  <c r="J53" i="7"/>
  <c r="M507" i="2" l="1"/>
  <c r="N507" i="2" s="1"/>
  <c r="M506" i="2"/>
  <c r="N506" i="2" s="1"/>
  <c r="K553" i="2"/>
  <c r="M553" i="2"/>
  <c r="N553" i="2" s="1"/>
  <c r="M551" i="2"/>
  <c r="N551" i="2" s="1"/>
  <c r="K551" i="2"/>
  <c r="M515" i="2"/>
  <c r="N515" i="2" s="1"/>
  <c r="M512" i="2"/>
  <c r="N512" i="2" s="1"/>
  <c r="K546" i="2"/>
  <c r="M546" i="2"/>
  <c r="N546" i="2" s="1"/>
  <c r="K524" i="2"/>
  <c r="M524" i="2"/>
  <c r="N524" i="2" s="1"/>
  <c r="K525" i="2"/>
  <c r="M525" i="2"/>
  <c r="N525" i="2" s="1"/>
  <c r="K548" i="2"/>
  <c r="M548" i="2"/>
  <c r="N548" i="2" s="1"/>
  <c r="K520" i="2"/>
  <c r="M520" i="2"/>
  <c r="N520" i="2" s="1"/>
  <c r="K544" i="2"/>
  <c r="M544" i="2"/>
  <c r="N544" i="2" s="1"/>
  <c r="M500" i="2"/>
  <c r="N500" i="2" s="1"/>
  <c r="M523" i="2"/>
  <c r="N523" i="2" s="1"/>
  <c r="M504" i="2"/>
  <c r="N504" i="2" s="1"/>
  <c r="M517" i="2"/>
  <c r="N517" i="2" s="1"/>
  <c r="K555" i="2"/>
  <c r="M555" i="2"/>
  <c r="N555" i="2" s="1"/>
  <c r="K554" i="2"/>
  <c r="M554" i="2"/>
  <c r="N554" i="2" s="1"/>
  <c r="M552" i="2"/>
  <c r="N552" i="2" s="1"/>
  <c r="K549" i="2"/>
  <c r="M549" i="2"/>
  <c r="N549" i="2" s="1"/>
  <c r="K550" i="2"/>
  <c r="M550" i="2"/>
  <c r="N550" i="2" s="1"/>
  <c r="M547" i="2"/>
  <c r="N547" i="2" s="1"/>
  <c r="K547" i="2"/>
  <c r="M545" i="2"/>
  <c r="N545" i="2" s="1"/>
  <c r="K541" i="2"/>
  <c r="M541" i="2"/>
  <c r="N541" i="2" s="1"/>
  <c r="M543" i="2"/>
  <c r="N543" i="2" s="1"/>
  <c r="M542" i="2"/>
  <c r="N542" i="2" s="1"/>
  <c r="M533" i="2"/>
  <c r="N533" i="2" s="1"/>
  <c r="K533" i="2"/>
  <c r="K534" i="2"/>
  <c r="M534" i="2"/>
  <c r="N534" i="2" s="1"/>
  <c r="M535" i="2"/>
  <c r="N535" i="2" s="1"/>
  <c r="K535" i="2"/>
  <c r="K536" i="2"/>
  <c r="M536" i="2"/>
  <c r="N536" i="2" s="1"/>
  <c r="M537" i="2"/>
  <c r="N537" i="2" s="1"/>
  <c r="K537" i="2"/>
  <c r="K538" i="2"/>
  <c r="M538" i="2"/>
  <c r="N538" i="2" s="1"/>
  <c r="M531" i="2"/>
  <c r="N531" i="2" s="1"/>
  <c r="O531" i="2" s="1"/>
  <c r="K531" i="2"/>
  <c r="M539" i="2"/>
  <c r="N539" i="2" s="1"/>
  <c r="K539" i="2"/>
  <c r="K532" i="2"/>
  <c r="M532" i="2"/>
  <c r="N532" i="2" s="1"/>
  <c r="M540" i="2"/>
  <c r="N540" i="2" s="1"/>
  <c r="K540" i="2"/>
  <c r="M521" i="2"/>
  <c r="N521" i="2" s="1"/>
  <c r="K521" i="2"/>
  <c r="M522" i="2"/>
  <c r="N522" i="2" s="1"/>
  <c r="K522" i="2"/>
  <c r="K519" i="2"/>
  <c r="M519" i="2"/>
  <c r="N519" i="2" s="1"/>
  <c r="K518" i="2"/>
  <c r="M518" i="2"/>
  <c r="N518" i="2" s="1"/>
  <c r="M516" i="2"/>
  <c r="N516" i="2" s="1"/>
  <c r="K516" i="2"/>
  <c r="M514" i="2"/>
  <c r="N514" i="2" s="1"/>
  <c r="K513" i="2"/>
  <c r="K511" i="2"/>
  <c r="M511" i="2"/>
  <c r="N511" i="2" s="1"/>
  <c r="M510" i="2"/>
  <c r="N510" i="2" s="1"/>
  <c r="M508" i="2"/>
  <c r="N508" i="2" s="1"/>
  <c r="K508" i="2"/>
  <c r="M509" i="2"/>
  <c r="N509" i="2" s="1"/>
  <c r="M505" i="2"/>
  <c r="N505" i="2" s="1"/>
  <c r="K502" i="2"/>
  <c r="M502" i="2"/>
  <c r="N502" i="2" s="1"/>
  <c r="M501" i="2"/>
  <c r="N501" i="2" s="1"/>
  <c r="K501" i="2"/>
  <c r="M503" i="2"/>
  <c r="N503" i="2" s="1"/>
  <c r="K499" i="2"/>
  <c r="M499" i="2"/>
  <c r="N499" i="2" s="1"/>
  <c r="M498" i="2"/>
  <c r="N498" i="2" s="1"/>
  <c r="M497" i="2"/>
  <c r="N497" i="2" s="1"/>
  <c r="O497" i="2" s="1"/>
  <c r="W36" i="2"/>
  <c r="Y36" i="2"/>
  <c r="Z36" i="2" s="1"/>
  <c r="Y37" i="2"/>
  <c r="Z37" i="2" s="1"/>
  <c r="W37" i="2"/>
  <c r="W39" i="2"/>
  <c r="Y39" i="2"/>
  <c r="Z39" i="2" s="1"/>
  <c r="W40" i="2"/>
  <c r="Y40" i="2"/>
  <c r="Z40" i="2" s="1"/>
  <c r="Y38" i="2"/>
  <c r="Z38" i="2" s="1"/>
  <c r="W38" i="2"/>
  <c r="Y41" i="2"/>
  <c r="Z41" i="2" s="1"/>
  <c r="W41" i="2"/>
  <c r="Y34" i="2"/>
  <c r="Z34" i="2" s="1"/>
  <c r="AA34" i="2" s="1"/>
  <c r="W34" i="2"/>
  <c r="Y42" i="2"/>
  <c r="Z42" i="2" s="1"/>
  <c r="W42" i="2"/>
  <c r="Y35" i="2"/>
  <c r="Z35" i="2" s="1"/>
  <c r="W35" i="2"/>
  <c r="Y43" i="2"/>
  <c r="Z43" i="2" s="1"/>
  <c r="W43" i="2"/>
  <c r="K496" i="2"/>
  <c r="E54" i="7"/>
  <c r="F54" i="7" s="1"/>
  <c r="E53" i="7"/>
  <c r="F53" i="7" s="1"/>
  <c r="O532" i="2" l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498" i="2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AA35" i="2"/>
  <c r="AA36" i="2" s="1"/>
  <c r="AA37" i="2" s="1"/>
  <c r="AA38" i="2" s="1"/>
  <c r="AA39" i="2" s="1"/>
  <c r="AA40" i="2" s="1"/>
  <c r="AA41" i="2" s="1"/>
  <c r="AA42" i="2" s="1"/>
  <c r="AA43" i="2" s="1"/>
  <c r="F186" i="5" l="1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H475" i="2"/>
  <c r="I475" i="2" s="1"/>
  <c r="F475" i="2"/>
  <c r="H474" i="2"/>
  <c r="I474" i="2" s="1"/>
  <c r="J474" i="2" s="1"/>
  <c r="F474" i="2"/>
  <c r="H470" i="2"/>
  <c r="I470" i="2" s="1"/>
  <c r="F470" i="2"/>
  <c r="H469" i="2"/>
  <c r="I469" i="2" s="1"/>
  <c r="F469" i="2"/>
  <c r="H468" i="2"/>
  <c r="I468" i="2" s="1"/>
  <c r="F468" i="2"/>
  <c r="H467" i="2"/>
  <c r="I467" i="2" s="1"/>
  <c r="J467" i="2" s="1"/>
  <c r="F467" i="2"/>
  <c r="H462" i="2"/>
  <c r="I462" i="2" s="1"/>
  <c r="F462" i="2"/>
  <c r="H461" i="2"/>
  <c r="I461" i="2" s="1"/>
  <c r="F461" i="2"/>
  <c r="H460" i="2"/>
  <c r="I460" i="2" s="1"/>
  <c r="F460" i="2"/>
  <c r="H459" i="2"/>
  <c r="I459" i="2" s="1"/>
  <c r="F459" i="2"/>
  <c r="H458" i="2"/>
  <c r="I458" i="2" s="1"/>
  <c r="J458" i="2" s="1"/>
  <c r="F458" i="2"/>
  <c r="J475" i="2" l="1"/>
  <c r="J468" i="2"/>
  <c r="J469" i="2" s="1"/>
  <c r="J470" i="2" s="1"/>
  <c r="J459" i="2"/>
  <c r="J460" i="2" s="1"/>
  <c r="J461" i="2" s="1"/>
  <c r="J462" i="2" s="1"/>
  <c r="H453" i="2" l="1"/>
  <c r="I453" i="2" s="1"/>
  <c r="F453" i="2"/>
  <c r="H452" i="2"/>
  <c r="I452" i="2" s="1"/>
  <c r="F452" i="2"/>
  <c r="H451" i="2"/>
  <c r="I451" i="2" s="1"/>
  <c r="F451" i="2"/>
  <c r="H450" i="2"/>
  <c r="I450" i="2" s="1"/>
  <c r="F450" i="2"/>
  <c r="H449" i="2"/>
  <c r="I449" i="2" s="1"/>
  <c r="F449" i="2"/>
  <c r="H448" i="2"/>
  <c r="I448" i="2" s="1"/>
  <c r="F448" i="2"/>
  <c r="H447" i="2"/>
  <c r="I447" i="2" s="1"/>
  <c r="F447" i="2"/>
  <c r="H446" i="2"/>
  <c r="I446" i="2" s="1"/>
  <c r="F446" i="2"/>
  <c r="H445" i="2"/>
  <c r="I445" i="2" s="1"/>
  <c r="J445" i="2" s="1"/>
  <c r="F445" i="2"/>
  <c r="G94" i="4"/>
  <c r="J446" i="2" l="1"/>
  <c r="J447" i="2" s="1"/>
  <c r="J448" i="2" s="1"/>
  <c r="J449" i="2" s="1"/>
  <c r="J450" i="2" s="1"/>
  <c r="J451" i="2" s="1"/>
  <c r="J452" i="2" s="1"/>
  <c r="J453" i="2" s="1"/>
  <c r="C48" i="7" l="1"/>
  <c r="D48" i="7"/>
  <c r="G48" i="7"/>
  <c r="H48" i="7"/>
  <c r="I48" i="7"/>
  <c r="C49" i="7"/>
  <c r="D49" i="7"/>
  <c r="G49" i="7"/>
  <c r="H49" i="7"/>
  <c r="I49" i="7"/>
  <c r="C50" i="7"/>
  <c r="D50" i="7"/>
  <c r="G50" i="7"/>
  <c r="H50" i="7"/>
  <c r="I50" i="7"/>
  <c r="C51" i="7"/>
  <c r="D51" i="7"/>
  <c r="G51" i="7"/>
  <c r="H51" i="7"/>
  <c r="I51" i="7"/>
  <c r="C52" i="7"/>
  <c r="D52" i="7"/>
  <c r="G52" i="7"/>
  <c r="H52" i="7"/>
  <c r="I52" i="7"/>
  <c r="J52" i="7"/>
  <c r="G90" i="4"/>
  <c r="J50" i="7" s="1"/>
  <c r="G91" i="4"/>
  <c r="J51" i="7" s="1"/>
  <c r="G92" i="4"/>
  <c r="G93" i="4"/>
  <c r="H489" i="2"/>
  <c r="I489" i="2" s="1"/>
  <c r="F489" i="2"/>
  <c r="H488" i="2"/>
  <c r="I488" i="2" s="1"/>
  <c r="F488" i="2"/>
  <c r="H487" i="2"/>
  <c r="I487" i="2" s="1"/>
  <c r="F487" i="2"/>
  <c r="H486" i="2"/>
  <c r="I486" i="2" s="1"/>
  <c r="F486" i="2"/>
  <c r="H485" i="2"/>
  <c r="I485" i="2" s="1"/>
  <c r="F485" i="2"/>
  <c r="H484" i="2"/>
  <c r="I484" i="2" s="1"/>
  <c r="F484" i="2"/>
  <c r="H483" i="2"/>
  <c r="I483" i="2" s="1"/>
  <c r="F483" i="2"/>
  <c r="H482" i="2"/>
  <c r="I482" i="2" s="1"/>
  <c r="F482" i="2"/>
  <c r="H481" i="2"/>
  <c r="I481" i="2" s="1"/>
  <c r="J481" i="2" s="1"/>
  <c r="F481" i="2"/>
  <c r="E49" i="7" l="1"/>
  <c r="J482" i="2"/>
  <c r="J483" i="2" s="1"/>
  <c r="J484" i="2" s="1"/>
  <c r="J485" i="2" s="1"/>
  <c r="J486" i="2" s="1"/>
  <c r="J487" i="2" s="1"/>
  <c r="J488" i="2" s="1"/>
  <c r="J489" i="2" s="1"/>
  <c r="E50" i="7"/>
  <c r="F50" i="7" s="1"/>
  <c r="E48" i="7"/>
  <c r="E52" i="7"/>
  <c r="F52" i="7" s="1"/>
  <c r="E51" i="7"/>
  <c r="F51" i="7" s="1"/>
  <c r="I21" i="10" l="1"/>
  <c r="I7" i="10"/>
  <c r="I12" i="10" s="1"/>
  <c r="I24" i="10" l="1"/>
  <c r="J86" i="9" l="1"/>
  <c r="J22" i="9"/>
  <c r="J20" i="9"/>
  <c r="C47" i="7" l="1"/>
  <c r="D47" i="7"/>
  <c r="G47" i="7"/>
  <c r="H47" i="7"/>
  <c r="I47" i="7"/>
  <c r="G83" i="4"/>
  <c r="G82" i="4"/>
  <c r="C46" i="7"/>
  <c r="D46" i="7"/>
  <c r="G46" i="7"/>
  <c r="H46" i="7"/>
  <c r="I46" i="7"/>
  <c r="J46" i="7"/>
  <c r="H440" i="2"/>
  <c r="I440" i="2" s="1"/>
  <c r="F440" i="2"/>
  <c r="H439" i="2"/>
  <c r="I439" i="2" s="1"/>
  <c r="F439" i="2"/>
  <c r="H438" i="2"/>
  <c r="I438" i="2" s="1"/>
  <c r="F438" i="2"/>
  <c r="H437" i="2"/>
  <c r="I437" i="2" s="1"/>
  <c r="J437" i="2" s="1"/>
  <c r="F437" i="2"/>
  <c r="H432" i="2"/>
  <c r="I432" i="2" s="1"/>
  <c r="F432" i="2"/>
  <c r="H431" i="2"/>
  <c r="I431" i="2" s="1"/>
  <c r="F431" i="2"/>
  <c r="H430" i="2"/>
  <c r="I430" i="2" s="1"/>
  <c r="F430" i="2"/>
  <c r="H429" i="2"/>
  <c r="I429" i="2" s="1"/>
  <c r="J429" i="2" s="1"/>
  <c r="F429" i="2"/>
  <c r="E47" i="7" l="1"/>
  <c r="E46" i="7"/>
  <c r="F46" i="7" s="1"/>
  <c r="J438" i="2"/>
  <c r="J439" i="2" s="1"/>
  <c r="J440" i="2" s="1"/>
  <c r="J430" i="2"/>
  <c r="J431" i="2" s="1"/>
  <c r="J432" i="2" s="1"/>
  <c r="I113" i="9" l="1"/>
  <c r="H113" i="9"/>
  <c r="G113" i="9"/>
  <c r="I112" i="9"/>
  <c r="H112" i="9"/>
  <c r="G112" i="9"/>
  <c r="I111" i="9"/>
  <c r="H111" i="9"/>
  <c r="J111" i="9" s="1"/>
  <c r="G111" i="9"/>
  <c r="I110" i="9"/>
  <c r="H110" i="9"/>
  <c r="G110" i="9"/>
  <c r="I109" i="9"/>
  <c r="H109" i="9"/>
  <c r="G109" i="9"/>
  <c r="I118" i="9"/>
  <c r="H118" i="9"/>
  <c r="G118" i="9"/>
  <c r="I108" i="9"/>
  <c r="H108" i="9"/>
  <c r="J108" i="9" s="1"/>
  <c r="G108" i="9"/>
  <c r="I107" i="9"/>
  <c r="H107" i="9"/>
  <c r="G107" i="9"/>
  <c r="I117" i="9"/>
  <c r="H117" i="9"/>
  <c r="G117" i="9"/>
  <c r="I116" i="9"/>
  <c r="H116" i="9"/>
  <c r="G116" i="9"/>
  <c r="I115" i="9"/>
  <c r="H115" i="9"/>
  <c r="J115" i="9" s="1"/>
  <c r="G115" i="9"/>
  <c r="I106" i="9"/>
  <c r="H106" i="9"/>
  <c r="G106" i="9"/>
  <c r="I105" i="9"/>
  <c r="H105" i="9"/>
  <c r="G105" i="9"/>
  <c r="I104" i="9"/>
  <c r="H104" i="9"/>
  <c r="G104" i="9"/>
  <c r="I103" i="9"/>
  <c r="H103" i="9"/>
  <c r="J103" i="9" s="1"/>
  <c r="G103" i="9"/>
  <c r="I114" i="9"/>
  <c r="H114" i="9"/>
  <c r="G114" i="9"/>
  <c r="I102" i="9"/>
  <c r="H102" i="9"/>
  <c r="G102" i="9"/>
  <c r="C21" i="10"/>
  <c r="C7" i="10"/>
  <c r="C12" i="10" s="1"/>
  <c r="J64" i="9"/>
  <c r="J15" i="9"/>
  <c r="I23" i="9"/>
  <c r="I24" i="9"/>
  <c r="I25" i="9"/>
  <c r="I26" i="9"/>
  <c r="I3" i="9"/>
  <c r="I27" i="9"/>
  <c r="I28" i="9"/>
  <c r="I29" i="9"/>
  <c r="I30" i="9"/>
  <c r="I31" i="9"/>
  <c r="I4" i="9"/>
  <c r="I32" i="9"/>
  <c r="I33" i="9"/>
  <c r="I34" i="9"/>
  <c r="I35" i="9"/>
  <c r="I5" i="9"/>
  <c r="I6" i="9"/>
  <c r="I36" i="9"/>
  <c r="I37" i="9"/>
  <c r="I38" i="9"/>
  <c r="I7" i="9"/>
  <c r="I39" i="9"/>
  <c r="I40" i="9"/>
  <c r="I41" i="9"/>
  <c r="I42" i="9"/>
  <c r="I43" i="9"/>
  <c r="I44" i="9"/>
  <c r="I45" i="9"/>
  <c r="I46" i="9"/>
  <c r="I47" i="9"/>
  <c r="I8" i="9"/>
  <c r="I9" i="9"/>
  <c r="I48" i="9"/>
  <c r="I49" i="9"/>
  <c r="I50" i="9"/>
  <c r="I51" i="9"/>
  <c r="I52" i="9"/>
  <c r="I53" i="9"/>
  <c r="I54" i="9"/>
  <c r="I55" i="9"/>
  <c r="I56" i="9"/>
  <c r="I57" i="9"/>
  <c r="I58" i="9"/>
  <c r="I10" i="9"/>
  <c r="I59" i="9"/>
  <c r="I60" i="9"/>
  <c r="I61" i="9"/>
  <c r="I11" i="9"/>
  <c r="I62" i="9"/>
  <c r="I12" i="9"/>
  <c r="I63" i="9"/>
  <c r="I64" i="9"/>
  <c r="I65" i="9"/>
  <c r="I66" i="9"/>
  <c r="I13" i="9"/>
  <c r="I14" i="9"/>
  <c r="I15" i="9"/>
  <c r="I16" i="9"/>
  <c r="I67" i="9"/>
  <c r="I68" i="9"/>
  <c r="I69" i="9"/>
  <c r="I70" i="9"/>
  <c r="I71" i="9"/>
  <c r="I72" i="9"/>
  <c r="I17" i="9"/>
  <c r="I73" i="9"/>
  <c r="I18" i="9"/>
  <c r="I74" i="9"/>
  <c r="I75" i="9"/>
  <c r="I76" i="9"/>
  <c r="I77" i="9"/>
  <c r="I78" i="9"/>
  <c r="I79" i="9"/>
  <c r="I80" i="9"/>
  <c r="I81" i="9"/>
  <c r="I82" i="9"/>
  <c r="I83" i="9"/>
  <c r="I19" i="9"/>
  <c r="I84" i="9"/>
  <c r="I22" i="9"/>
  <c r="H23" i="9"/>
  <c r="J23" i="9" s="1"/>
  <c r="H24" i="9"/>
  <c r="J24" i="9" s="1"/>
  <c r="H25" i="9"/>
  <c r="J25" i="9" s="1"/>
  <c r="H26" i="9"/>
  <c r="J26" i="9" s="1"/>
  <c r="H3" i="9"/>
  <c r="H27" i="9"/>
  <c r="J27" i="9" s="1"/>
  <c r="H28" i="9"/>
  <c r="J28" i="9" s="1"/>
  <c r="H29" i="9"/>
  <c r="J29" i="9" s="1"/>
  <c r="H30" i="9"/>
  <c r="J30" i="9" s="1"/>
  <c r="H31" i="9"/>
  <c r="H4" i="9"/>
  <c r="H32" i="9"/>
  <c r="J32" i="9" s="1"/>
  <c r="H33" i="9"/>
  <c r="J33" i="9" s="1"/>
  <c r="H34" i="9"/>
  <c r="J34" i="9" s="1"/>
  <c r="H35" i="9"/>
  <c r="J35" i="9" s="1"/>
  <c r="H5" i="9"/>
  <c r="H6" i="9"/>
  <c r="H36" i="9"/>
  <c r="J36" i="9" s="1"/>
  <c r="H37" i="9"/>
  <c r="J37" i="9" s="1"/>
  <c r="H38" i="9"/>
  <c r="J38" i="9" s="1"/>
  <c r="H7" i="9"/>
  <c r="J7" i="9" s="1"/>
  <c r="H39" i="9"/>
  <c r="J39" i="9" s="1"/>
  <c r="H40" i="9"/>
  <c r="J40" i="9" s="1"/>
  <c r="H41" i="9"/>
  <c r="J41" i="9" s="1"/>
  <c r="H42" i="9"/>
  <c r="J42" i="9" s="1"/>
  <c r="H43" i="9"/>
  <c r="J43" i="9" s="1"/>
  <c r="H44" i="9"/>
  <c r="J44" i="9" s="1"/>
  <c r="H45" i="9"/>
  <c r="J45" i="9" s="1"/>
  <c r="H46" i="9"/>
  <c r="J46" i="9" s="1"/>
  <c r="H47" i="9"/>
  <c r="J47" i="9" s="1"/>
  <c r="H8" i="9"/>
  <c r="J8" i="9" s="1"/>
  <c r="H9" i="9"/>
  <c r="J9" i="9" s="1"/>
  <c r="H48" i="9"/>
  <c r="J48" i="9" s="1"/>
  <c r="H49" i="9"/>
  <c r="J49" i="9" s="1"/>
  <c r="H50" i="9"/>
  <c r="J50" i="9" s="1"/>
  <c r="H51" i="9"/>
  <c r="J51" i="9" s="1"/>
  <c r="H52" i="9"/>
  <c r="J52" i="9" s="1"/>
  <c r="H53" i="9"/>
  <c r="J53" i="9" s="1"/>
  <c r="H54" i="9"/>
  <c r="J54" i="9" s="1"/>
  <c r="H55" i="9"/>
  <c r="J55" i="9" s="1"/>
  <c r="H56" i="9"/>
  <c r="J56" i="9" s="1"/>
  <c r="H57" i="9"/>
  <c r="H58" i="9"/>
  <c r="J58" i="9" s="1"/>
  <c r="H10" i="9"/>
  <c r="H59" i="9"/>
  <c r="J59" i="9" s="1"/>
  <c r="H60" i="9"/>
  <c r="J60" i="9" s="1"/>
  <c r="H61" i="9"/>
  <c r="J61" i="9" s="1"/>
  <c r="H11" i="9"/>
  <c r="H62" i="9"/>
  <c r="H12" i="9"/>
  <c r="J12" i="9" s="1"/>
  <c r="H63" i="9"/>
  <c r="J63" i="9" s="1"/>
  <c r="H64" i="9"/>
  <c r="H65" i="9"/>
  <c r="J65" i="9" s="1"/>
  <c r="H66" i="9"/>
  <c r="J66" i="9" s="1"/>
  <c r="H13" i="9"/>
  <c r="J13" i="9" s="1"/>
  <c r="H14" i="9"/>
  <c r="H15" i="9"/>
  <c r="H16" i="9"/>
  <c r="J16" i="9" s="1"/>
  <c r="H67" i="9"/>
  <c r="H68" i="9"/>
  <c r="J68" i="9" s="1"/>
  <c r="H69" i="9"/>
  <c r="J69" i="9" s="1"/>
  <c r="H70" i="9"/>
  <c r="J70" i="9" s="1"/>
  <c r="H71" i="9"/>
  <c r="J71" i="9" s="1"/>
  <c r="H72" i="9"/>
  <c r="J72" i="9" s="1"/>
  <c r="H17" i="9"/>
  <c r="J17" i="9" s="1"/>
  <c r="H73" i="9"/>
  <c r="H18" i="9"/>
  <c r="J18" i="9" s="1"/>
  <c r="H74" i="9"/>
  <c r="J74" i="9" s="1"/>
  <c r="H75" i="9"/>
  <c r="J75" i="9" s="1"/>
  <c r="H76" i="9"/>
  <c r="J76" i="9" s="1"/>
  <c r="H77" i="9"/>
  <c r="J77" i="9" s="1"/>
  <c r="H78" i="9"/>
  <c r="J78" i="9" s="1"/>
  <c r="H79" i="9"/>
  <c r="J79" i="9" s="1"/>
  <c r="H80" i="9"/>
  <c r="J80" i="9" s="1"/>
  <c r="H81" i="9"/>
  <c r="J81" i="9" s="1"/>
  <c r="H82" i="9"/>
  <c r="J82" i="9" s="1"/>
  <c r="H83" i="9"/>
  <c r="H19" i="9"/>
  <c r="H84" i="9"/>
  <c r="J84" i="9" s="1"/>
  <c r="H22" i="9"/>
  <c r="G23" i="9"/>
  <c r="G24" i="9"/>
  <c r="G25" i="9"/>
  <c r="G26" i="9"/>
  <c r="G3" i="9"/>
  <c r="G27" i="9"/>
  <c r="G28" i="9"/>
  <c r="G29" i="9"/>
  <c r="G30" i="9"/>
  <c r="G31" i="9"/>
  <c r="G4" i="9"/>
  <c r="G32" i="9"/>
  <c r="G33" i="9"/>
  <c r="G34" i="9"/>
  <c r="G35" i="9"/>
  <c r="G5" i="9"/>
  <c r="G6" i="9"/>
  <c r="G36" i="9"/>
  <c r="G37" i="9"/>
  <c r="G38" i="9"/>
  <c r="G7" i="9"/>
  <c r="G39" i="9"/>
  <c r="G40" i="9"/>
  <c r="G41" i="9"/>
  <c r="G42" i="9"/>
  <c r="G43" i="9"/>
  <c r="G44" i="9"/>
  <c r="G45" i="9"/>
  <c r="G46" i="9"/>
  <c r="G47" i="9"/>
  <c r="G8" i="9"/>
  <c r="G9" i="9"/>
  <c r="G48" i="9"/>
  <c r="G49" i="9"/>
  <c r="G50" i="9"/>
  <c r="G51" i="9"/>
  <c r="G52" i="9"/>
  <c r="G53" i="9"/>
  <c r="G54" i="9"/>
  <c r="G55" i="9"/>
  <c r="G56" i="9"/>
  <c r="G57" i="9"/>
  <c r="G58" i="9"/>
  <c r="G10" i="9"/>
  <c r="G59" i="9"/>
  <c r="G60" i="9"/>
  <c r="G61" i="9"/>
  <c r="G11" i="9"/>
  <c r="G62" i="9"/>
  <c r="G12" i="9"/>
  <c r="G63" i="9"/>
  <c r="G64" i="9"/>
  <c r="G65" i="9"/>
  <c r="G66" i="9"/>
  <c r="G13" i="9"/>
  <c r="G14" i="9"/>
  <c r="G15" i="9"/>
  <c r="G16" i="9"/>
  <c r="G67" i="9"/>
  <c r="G68" i="9"/>
  <c r="G69" i="9"/>
  <c r="G70" i="9"/>
  <c r="G71" i="9"/>
  <c r="G72" i="9"/>
  <c r="G17" i="9"/>
  <c r="G73" i="9"/>
  <c r="G18" i="9"/>
  <c r="G74" i="9"/>
  <c r="G75" i="9"/>
  <c r="G76" i="9"/>
  <c r="G77" i="9"/>
  <c r="G78" i="9"/>
  <c r="G79" i="9"/>
  <c r="G80" i="9"/>
  <c r="G81" i="9"/>
  <c r="G82" i="9"/>
  <c r="G83" i="9"/>
  <c r="G19" i="9"/>
  <c r="G84" i="9"/>
  <c r="G22" i="9"/>
  <c r="C24" i="10" l="1"/>
  <c r="J73" i="9"/>
  <c r="J107" i="9"/>
  <c r="J6" i="9"/>
  <c r="J5" i="9"/>
  <c r="J10" i="9"/>
  <c r="J3" i="9"/>
  <c r="J114" i="9"/>
  <c r="J116" i="9"/>
  <c r="J102" i="9"/>
  <c r="J117" i="9"/>
  <c r="J112" i="9"/>
  <c r="J113" i="9"/>
  <c r="J105" i="9"/>
  <c r="J104" i="9"/>
  <c r="J110" i="9"/>
  <c r="J118" i="9"/>
  <c r="J106" i="9"/>
  <c r="J109" i="9"/>
  <c r="J11" i="9"/>
  <c r="J19" i="9"/>
  <c r="J83" i="9"/>
  <c r="J14" i="9"/>
  <c r="J67" i="9"/>
  <c r="J4" i="9"/>
  <c r="J57" i="9"/>
  <c r="J31" i="9"/>
  <c r="J62" i="9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J59" i="7" s="1"/>
  <c r="F59" i="7" s="1"/>
  <c r="G80" i="4"/>
  <c r="J47" i="7" s="1"/>
  <c r="F47" i="7" s="1"/>
  <c r="G81" i="4"/>
  <c r="G85" i="4"/>
  <c r="G86" i="4"/>
  <c r="G87" i="4"/>
  <c r="J48" i="7" s="1"/>
  <c r="F48" i="7" s="1"/>
  <c r="G88" i="4"/>
  <c r="G89" i="4"/>
  <c r="J49" i="7" s="1"/>
  <c r="F49" i="7" s="1"/>
  <c r="H424" i="2"/>
  <c r="I424" i="2" s="1"/>
  <c r="F424" i="2"/>
  <c r="H423" i="2"/>
  <c r="I423" i="2" s="1"/>
  <c r="F423" i="2"/>
  <c r="H422" i="2"/>
  <c r="I422" i="2" s="1"/>
  <c r="F422" i="2"/>
  <c r="H421" i="2"/>
  <c r="I421" i="2" s="1"/>
  <c r="F421" i="2"/>
  <c r="H420" i="2"/>
  <c r="I420" i="2" s="1"/>
  <c r="J420" i="2" s="1"/>
  <c r="F420" i="2"/>
  <c r="H415" i="2"/>
  <c r="I415" i="2" s="1"/>
  <c r="F415" i="2"/>
  <c r="H414" i="2"/>
  <c r="I414" i="2" s="1"/>
  <c r="F414" i="2"/>
  <c r="H413" i="2"/>
  <c r="I413" i="2" s="1"/>
  <c r="J413" i="2" s="1"/>
  <c r="F413" i="2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H376" i="2"/>
  <c r="I376" i="2" s="1"/>
  <c r="F376" i="2"/>
  <c r="H375" i="2"/>
  <c r="I375" i="2" s="1"/>
  <c r="F375" i="2"/>
  <c r="H374" i="2"/>
  <c r="I374" i="2" s="1"/>
  <c r="F374" i="2"/>
  <c r="H373" i="2"/>
  <c r="I373" i="2" s="1"/>
  <c r="F373" i="2"/>
  <c r="H372" i="2"/>
  <c r="I372" i="2" s="1"/>
  <c r="F372" i="2"/>
  <c r="H371" i="2"/>
  <c r="I371" i="2" s="1"/>
  <c r="J371" i="2" s="1"/>
  <c r="F371" i="2"/>
  <c r="J120" i="9" l="1"/>
  <c r="J421" i="2"/>
  <c r="J422" i="2" s="1"/>
  <c r="J423" i="2" s="1"/>
  <c r="J424" i="2" s="1"/>
  <c r="J414" i="2"/>
  <c r="J415" i="2" s="1"/>
  <c r="J372" i="2"/>
  <c r="J373" i="2" s="1"/>
  <c r="J374" i="2" s="1"/>
  <c r="J375" i="2" s="1"/>
  <c r="J376" i="2" s="1"/>
  <c r="D81" i="8" l="1"/>
  <c r="F42" i="3" l="1"/>
  <c r="F43" i="3"/>
  <c r="F44" i="3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F397" i="2"/>
  <c r="F398" i="2"/>
  <c r="F399" i="2"/>
  <c r="F400" i="2"/>
  <c r="F401" i="2"/>
  <c r="F402" i="2"/>
  <c r="F403" i="2"/>
  <c r="F404" i="2"/>
  <c r="F405" i="2"/>
  <c r="F406" i="2"/>
  <c r="F407" i="2"/>
  <c r="F408" i="2"/>
  <c r="H396" i="2"/>
  <c r="I396" i="2" s="1"/>
  <c r="F396" i="2"/>
  <c r="H395" i="2"/>
  <c r="I395" i="2" s="1"/>
  <c r="F395" i="2"/>
  <c r="H394" i="2"/>
  <c r="I394" i="2" s="1"/>
  <c r="F394" i="2"/>
  <c r="H393" i="2"/>
  <c r="I393" i="2" s="1"/>
  <c r="F393" i="2"/>
  <c r="H392" i="2"/>
  <c r="I392" i="2" s="1"/>
  <c r="F392" i="2"/>
  <c r="H391" i="2"/>
  <c r="I391" i="2" s="1"/>
  <c r="F391" i="2"/>
  <c r="H390" i="2"/>
  <c r="I390" i="2" s="1"/>
  <c r="F390" i="2"/>
  <c r="H389" i="2"/>
  <c r="I389" i="2" s="1"/>
  <c r="F389" i="2"/>
  <c r="H388" i="2"/>
  <c r="I388" i="2" s="1"/>
  <c r="J388" i="2" s="1"/>
  <c r="F388" i="2"/>
  <c r="H383" i="2"/>
  <c r="I383" i="2" s="1"/>
  <c r="F383" i="2"/>
  <c r="H382" i="2"/>
  <c r="I382" i="2" s="1"/>
  <c r="J382" i="2" s="1"/>
  <c r="F382" i="2"/>
  <c r="J383" i="2" l="1"/>
  <c r="J389" i="2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H366" i="2"/>
  <c r="I366" i="2" s="1"/>
  <c r="F366" i="2"/>
  <c r="H365" i="2"/>
  <c r="I365" i="2" s="1"/>
  <c r="F365" i="2"/>
  <c r="H364" i="2"/>
  <c r="I364" i="2" s="1"/>
  <c r="F364" i="2"/>
  <c r="H363" i="2"/>
  <c r="I363" i="2" s="1"/>
  <c r="J363" i="2" s="1"/>
  <c r="F363" i="2"/>
  <c r="J364" i="2" l="1"/>
  <c r="J365" i="2" s="1"/>
  <c r="J366" i="2" s="1"/>
  <c r="F109" i="5" l="1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H325" i="2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F353" i="2"/>
  <c r="F354" i="2"/>
  <c r="F355" i="2"/>
  <c r="F356" i="2"/>
  <c r="F357" i="2"/>
  <c r="F358" i="2"/>
  <c r="H352" i="2"/>
  <c r="I352" i="2" s="1"/>
  <c r="F352" i="2"/>
  <c r="H351" i="2"/>
  <c r="I351" i="2" s="1"/>
  <c r="F351" i="2"/>
  <c r="H350" i="2"/>
  <c r="I350" i="2" s="1"/>
  <c r="F350" i="2"/>
  <c r="H349" i="2"/>
  <c r="I349" i="2" s="1"/>
  <c r="F349" i="2"/>
  <c r="H348" i="2"/>
  <c r="I348" i="2" s="1"/>
  <c r="F348" i="2"/>
  <c r="H347" i="2"/>
  <c r="I347" i="2" s="1"/>
  <c r="F347" i="2"/>
  <c r="H346" i="2"/>
  <c r="I346" i="2" s="1"/>
  <c r="F346" i="2"/>
  <c r="H345" i="2"/>
  <c r="I345" i="2" s="1"/>
  <c r="F345" i="2"/>
  <c r="H344" i="2"/>
  <c r="I344" i="2" s="1"/>
  <c r="J344" i="2" s="1"/>
  <c r="F344" i="2"/>
  <c r="H339" i="2"/>
  <c r="I339" i="2" s="1"/>
  <c r="F339" i="2"/>
  <c r="H338" i="2"/>
  <c r="I338" i="2" s="1"/>
  <c r="F338" i="2"/>
  <c r="H337" i="2"/>
  <c r="I337" i="2" s="1"/>
  <c r="F337" i="2"/>
  <c r="H336" i="2"/>
  <c r="I336" i="2" s="1"/>
  <c r="F336" i="2"/>
  <c r="H335" i="2"/>
  <c r="I335" i="2" s="1"/>
  <c r="F335" i="2"/>
  <c r="H334" i="2"/>
  <c r="I334" i="2" s="1"/>
  <c r="F334" i="2"/>
  <c r="H333" i="2"/>
  <c r="I333" i="2" s="1"/>
  <c r="F333" i="2"/>
  <c r="H332" i="2"/>
  <c r="I332" i="2" s="1"/>
  <c r="F332" i="2"/>
  <c r="H331" i="2"/>
  <c r="I331" i="2" s="1"/>
  <c r="J331" i="2" s="1"/>
  <c r="F331" i="2"/>
  <c r="J345" i="2" l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32" i="2"/>
  <c r="J333" i="2" s="1"/>
  <c r="J334" i="2" s="1"/>
  <c r="J335" i="2" s="1"/>
  <c r="J336" i="2" s="1"/>
  <c r="J337" i="2" s="1"/>
  <c r="J338" i="2" s="1"/>
  <c r="J339" i="2" s="1"/>
  <c r="H326" i="2" l="1"/>
  <c r="I326" i="2" s="1"/>
  <c r="F326" i="2"/>
  <c r="I325" i="2"/>
  <c r="F325" i="2"/>
  <c r="H324" i="2"/>
  <c r="I324" i="2" s="1"/>
  <c r="F324" i="2"/>
  <c r="H323" i="2"/>
  <c r="I323" i="2" s="1"/>
  <c r="F323" i="2"/>
  <c r="H322" i="2"/>
  <c r="I322" i="2" s="1"/>
  <c r="J322" i="2" s="1"/>
  <c r="F322" i="2"/>
  <c r="G66" i="4"/>
  <c r="G65" i="4"/>
  <c r="G62" i="4"/>
  <c r="G64" i="4"/>
  <c r="G63" i="4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H316" i="2"/>
  <c r="I316" i="2" s="1"/>
  <c r="F316" i="2"/>
  <c r="H315" i="2"/>
  <c r="I315" i="2" s="1"/>
  <c r="F315" i="2"/>
  <c r="H314" i="2"/>
  <c r="I314" i="2" s="1"/>
  <c r="F314" i="2"/>
  <c r="H313" i="2"/>
  <c r="I313" i="2" s="1"/>
  <c r="F313" i="2"/>
  <c r="H312" i="2"/>
  <c r="I312" i="2" s="1"/>
  <c r="F312" i="2"/>
  <c r="H311" i="2"/>
  <c r="I311" i="2" s="1"/>
  <c r="F311" i="2"/>
  <c r="H310" i="2"/>
  <c r="I310" i="2" s="1"/>
  <c r="F310" i="2"/>
  <c r="H309" i="2"/>
  <c r="I309" i="2" s="1"/>
  <c r="F309" i="2"/>
  <c r="H308" i="2"/>
  <c r="I308" i="2" s="1"/>
  <c r="J308" i="2" s="1"/>
  <c r="F308" i="2"/>
  <c r="H303" i="2"/>
  <c r="I303" i="2" s="1"/>
  <c r="F303" i="2"/>
  <c r="H302" i="2"/>
  <c r="I302" i="2" s="1"/>
  <c r="F302" i="2"/>
  <c r="H301" i="2"/>
  <c r="I301" i="2" s="1"/>
  <c r="F301" i="2"/>
  <c r="H300" i="2"/>
  <c r="I300" i="2" s="1"/>
  <c r="F300" i="2"/>
  <c r="H299" i="2"/>
  <c r="I299" i="2" s="1"/>
  <c r="F299" i="2"/>
  <c r="H298" i="2"/>
  <c r="I298" i="2" s="1"/>
  <c r="F298" i="2"/>
  <c r="H297" i="2"/>
  <c r="I297" i="2" s="1"/>
  <c r="F297" i="2"/>
  <c r="H296" i="2"/>
  <c r="I296" i="2" s="1"/>
  <c r="F296" i="2"/>
  <c r="H295" i="2"/>
  <c r="I295" i="2" s="1"/>
  <c r="J295" i="2" s="1"/>
  <c r="F295" i="2"/>
  <c r="G51" i="8"/>
  <c r="J323" i="2" l="1"/>
  <c r="J324" i="2" s="1"/>
  <c r="J325" i="2" s="1"/>
  <c r="J326" i="2" s="1"/>
  <c r="J309" i="2"/>
  <c r="J310" i="2" s="1"/>
  <c r="J311" i="2" s="1"/>
  <c r="J312" i="2" s="1"/>
  <c r="J313" i="2" s="1"/>
  <c r="J314" i="2" s="1"/>
  <c r="J315" i="2" s="1"/>
  <c r="J316" i="2" s="1"/>
  <c r="J296" i="2"/>
  <c r="J297" i="2" s="1"/>
  <c r="J298" i="2" s="1"/>
  <c r="J299" i="2" s="1"/>
  <c r="J300" i="2" s="1"/>
  <c r="J301" i="2" s="1"/>
  <c r="J302" i="2" s="1"/>
  <c r="J303" i="2" s="1"/>
  <c r="H56" i="8"/>
  <c r="G50" i="8"/>
  <c r="G49" i="8"/>
  <c r="G48" i="8"/>
  <c r="G47" i="8"/>
  <c r="G46" i="8"/>
  <c r="G45" i="8"/>
  <c r="G44" i="8"/>
  <c r="G43" i="8"/>
  <c r="G42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25" i="8"/>
  <c r="G24" i="8"/>
  <c r="G23" i="8"/>
  <c r="H289" i="2"/>
  <c r="I289" i="2" s="1"/>
  <c r="F289" i="2"/>
  <c r="H288" i="2"/>
  <c r="I288" i="2" s="1"/>
  <c r="F288" i="2"/>
  <c r="H287" i="2"/>
  <c r="I287" i="2" s="1"/>
  <c r="F287" i="2"/>
  <c r="H286" i="2"/>
  <c r="I286" i="2" s="1"/>
  <c r="J286" i="2" s="1"/>
  <c r="F286" i="2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H282" i="2"/>
  <c r="I282" i="2" s="1"/>
  <c r="F282" i="2"/>
  <c r="H281" i="2"/>
  <c r="I281" i="2" s="1"/>
  <c r="F281" i="2"/>
  <c r="H280" i="2"/>
  <c r="I280" i="2" s="1"/>
  <c r="F280" i="2"/>
  <c r="H279" i="2"/>
  <c r="I279" i="2" s="1"/>
  <c r="F279" i="2"/>
  <c r="H278" i="2"/>
  <c r="I278" i="2" s="1"/>
  <c r="F278" i="2"/>
  <c r="H277" i="2"/>
  <c r="I277" i="2" s="1"/>
  <c r="F277" i="2"/>
  <c r="H276" i="2"/>
  <c r="I276" i="2" s="1"/>
  <c r="F276" i="2"/>
  <c r="H275" i="2"/>
  <c r="I275" i="2" s="1"/>
  <c r="F275" i="2"/>
  <c r="H274" i="2"/>
  <c r="I274" i="2" s="1"/>
  <c r="J274" i="2" s="1"/>
  <c r="F274" i="2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41" i="5"/>
  <c r="G41" i="5" s="1"/>
  <c r="F40" i="5"/>
  <c r="G40" i="5" s="1"/>
  <c r="F39" i="5"/>
  <c r="G39" i="5" s="1"/>
  <c r="F38" i="5"/>
  <c r="G38" i="5" s="1"/>
  <c r="F36" i="5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H269" i="2"/>
  <c r="I269" i="2" s="1"/>
  <c r="F269" i="2"/>
  <c r="H268" i="2"/>
  <c r="I268" i="2" s="1"/>
  <c r="F268" i="2"/>
  <c r="H267" i="2"/>
  <c r="I267" i="2" s="1"/>
  <c r="J267" i="2" s="1"/>
  <c r="F267" i="2"/>
  <c r="G61" i="4"/>
  <c r="G60" i="4"/>
  <c r="G57" i="4"/>
  <c r="G58" i="4"/>
  <c r="G59" i="4"/>
  <c r="G52" i="8" l="1"/>
  <c r="J268" i="2"/>
  <c r="J269" i="2" s="1"/>
  <c r="J287" i="2"/>
  <c r="J288" i="2" s="1"/>
  <c r="J289" i="2" s="1"/>
  <c r="J275" i="2"/>
  <c r="J276" i="2" s="1"/>
  <c r="J277" i="2" s="1"/>
  <c r="J278" i="2" s="1"/>
  <c r="J279" i="2" s="1"/>
  <c r="J280" i="2" s="1"/>
  <c r="J281" i="2" s="1"/>
  <c r="J282" i="2" s="1"/>
  <c r="G50" i="4"/>
  <c r="G51" i="4"/>
  <c r="G52" i="4"/>
  <c r="G53" i="4"/>
  <c r="G54" i="4"/>
  <c r="G55" i="4"/>
  <c r="G56" i="4"/>
  <c r="C43" i="7"/>
  <c r="D43" i="7"/>
  <c r="H43" i="7"/>
  <c r="I43" i="7"/>
  <c r="J43" i="7"/>
  <c r="C44" i="7"/>
  <c r="D44" i="7"/>
  <c r="H44" i="7"/>
  <c r="I44" i="7"/>
  <c r="J44" i="7"/>
  <c r="C45" i="7"/>
  <c r="D45" i="7"/>
  <c r="G45" i="7"/>
  <c r="H45" i="7"/>
  <c r="I45" i="7"/>
  <c r="J45" i="7"/>
  <c r="H262" i="2"/>
  <c r="I262" i="2" s="1"/>
  <c r="F262" i="2"/>
  <c r="H261" i="2"/>
  <c r="I261" i="2" s="1"/>
  <c r="F261" i="2"/>
  <c r="H260" i="2"/>
  <c r="I260" i="2" s="1"/>
  <c r="F260" i="2"/>
  <c r="H259" i="2"/>
  <c r="I259" i="2" s="1"/>
  <c r="F259" i="2"/>
  <c r="H258" i="2"/>
  <c r="I258" i="2" s="1"/>
  <c r="F258" i="2"/>
  <c r="H257" i="2"/>
  <c r="I257" i="2" s="1"/>
  <c r="F257" i="2"/>
  <c r="H256" i="2"/>
  <c r="I256" i="2" s="1"/>
  <c r="F256" i="2"/>
  <c r="H255" i="2"/>
  <c r="I255" i="2" s="1"/>
  <c r="F255" i="2"/>
  <c r="H254" i="2"/>
  <c r="I254" i="2" s="1"/>
  <c r="J254" i="2" s="1"/>
  <c r="F254" i="2"/>
  <c r="E43" i="7" l="1"/>
  <c r="E44" i="7"/>
  <c r="E45" i="7"/>
  <c r="F45" i="7" s="1"/>
  <c r="J255" i="2"/>
  <c r="J256" i="2" s="1"/>
  <c r="J257" i="2" s="1"/>
  <c r="J258" i="2" s="1"/>
  <c r="J259" i="2" s="1"/>
  <c r="J260" i="2" s="1"/>
  <c r="J261" i="2" s="1"/>
  <c r="J262" i="2" s="1"/>
  <c r="C41" i="7" l="1"/>
  <c r="D41" i="7"/>
  <c r="G41" i="7"/>
  <c r="H41" i="7"/>
  <c r="I41" i="7"/>
  <c r="J41" i="7"/>
  <c r="C42" i="7"/>
  <c r="D42" i="7"/>
  <c r="G42" i="7"/>
  <c r="H42" i="7"/>
  <c r="I42" i="7"/>
  <c r="J42" i="7"/>
  <c r="H249" i="2"/>
  <c r="I249" i="2" s="1"/>
  <c r="F249" i="2"/>
  <c r="H248" i="2"/>
  <c r="I248" i="2" s="1"/>
  <c r="F248" i="2"/>
  <c r="H247" i="2"/>
  <c r="I247" i="2" s="1"/>
  <c r="F247" i="2"/>
  <c r="H246" i="2"/>
  <c r="I246" i="2" s="1"/>
  <c r="F246" i="2"/>
  <c r="H245" i="2"/>
  <c r="I245" i="2" s="1"/>
  <c r="F245" i="2"/>
  <c r="H244" i="2"/>
  <c r="I244" i="2" s="1"/>
  <c r="F244" i="2"/>
  <c r="H243" i="2"/>
  <c r="I243" i="2" s="1"/>
  <c r="F243" i="2"/>
  <c r="H242" i="2"/>
  <c r="I242" i="2" s="1"/>
  <c r="F242" i="2"/>
  <c r="H241" i="2"/>
  <c r="I241" i="2" s="1"/>
  <c r="J241" i="2" s="1"/>
  <c r="F241" i="2"/>
  <c r="F231" i="2"/>
  <c r="H231" i="2"/>
  <c r="I231" i="2" s="1"/>
  <c r="F225" i="2"/>
  <c r="H225" i="2"/>
  <c r="I225" i="2" s="1"/>
  <c r="F226" i="2"/>
  <c r="H226" i="2"/>
  <c r="I226" i="2" s="1"/>
  <c r="F227" i="2"/>
  <c r="H227" i="2"/>
  <c r="I227" i="2" s="1"/>
  <c r="F228" i="2"/>
  <c r="H228" i="2"/>
  <c r="I228" i="2" s="1"/>
  <c r="F229" i="2"/>
  <c r="H229" i="2"/>
  <c r="I229" i="2" s="1"/>
  <c r="F230" i="2"/>
  <c r="H230" i="2"/>
  <c r="I230" i="2" s="1"/>
  <c r="F193" i="2"/>
  <c r="F195" i="2"/>
  <c r="H195" i="2"/>
  <c r="I195" i="2" s="1"/>
  <c r="F196" i="2"/>
  <c r="H196" i="2"/>
  <c r="I196" i="2" s="1"/>
  <c r="F197" i="2"/>
  <c r="H197" i="2"/>
  <c r="I197" i="2" s="1"/>
  <c r="F198" i="2"/>
  <c r="H198" i="2"/>
  <c r="I198" i="2" s="1"/>
  <c r="F199" i="2"/>
  <c r="H199" i="2"/>
  <c r="I199" i="2" s="1"/>
  <c r="F200" i="2"/>
  <c r="H200" i="2"/>
  <c r="I200" i="2" s="1"/>
  <c r="F201" i="2"/>
  <c r="H201" i="2"/>
  <c r="I201" i="2" s="1"/>
  <c r="F202" i="2"/>
  <c r="H202" i="2"/>
  <c r="I202" i="2" s="1"/>
  <c r="F203" i="2"/>
  <c r="H203" i="2"/>
  <c r="I203" i="2" s="1"/>
  <c r="F204" i="2"/>
  <c r="H204" i="2"/>
  <c r="I204" i="2" s="1"/>
  <c r="F205" i="2"/>
  <c r="H205" i="2"/>
  <c r="I205" i="2" s="1"/>
  <c r="F206" i="2"/>
  <c r="H206" i="2"/>
  <c r="I206" i="2" s="1"/>
  <c r="F207" i="2"/>
  <c r="H207" i="2"/>
  <c r="I207" i="2" s="1"/>
  <c r="F208" i="2"/>
  <c r="H208" i="2"/>
  <c r="I208" i="2" s="1"/>
  <c r="F209" i="2"/>
  <c r="H209" i="2"/>
  <c r="I209" i="2" s="1"/>
  <c r="F210" i="2"/>
  <c r="H210" i="2"/>
  <c r="I210" i="2" s="1"/>
  <c r="F211" i="2"/>
  <c r="H211" i="2"/>
  <c r="I211" i="2" s="1"/>
  <c r="F212" i="2"/>
  <c r="H212" i="2"/>
  <c r="I212" i="2" s="1"/>
  <c r="F213" i="2"/>
  <c r="H213" i="2"/>
  <c r="I213" i="2" s="1"/>
  <c r="F214" i="2"/>
  <c r="H214" i="2"/>
  <c r="I214" i="2" s="1"/>
  <c r="F215" i="2"/>
  <c r="H215" i="2"/>
  <c r="I215" i="2" s="1"/>
  <c r="F216" i="2"/>
  <c r="H216" i="2"/>
  <c r="I216" i="2" s="1"/>
  <c r="F217" i="2"/>
  <c r="H217" i="2"/>
  <c r="I217" i="2" s="1"/>
  <c r="F218" i="2"/>
  <c r="H218" i="2"/>
  <c r="I218" i="2" s="1"/>
  <c r="F219" i="2"/>
  <c r="H219" i="2"/>
  <c r="I219" i="2" s="1"/>
  <c r="F220" i="2"/>
  <c r="H220" i="2"/>
  <c r="I220" i="2" s="1"/>
  <c r="F221" i="2"/>
  <c r="H221" i="2"/>
  <c r="I221" i="2" s="1"/>
  <c r="F222" i="2"/>
  <c r="H222" i="2"/>
  <c r="I222" i="2" s="1"/>
  <c r="F223" i="2"/>
  <c r="H223" i="2"/>
  <c r="I223" i="2" s="1"/>
  <c r="F224" i="2"/>
  <c r="H224" i="2"/>
  <c r="I224" i="2" s="1"/>
  <c r="H194" i="2"/>
  <c r="I194" i="2" s="1"/>
  <c r="F194" i="2"/>
  <c r="H193" i="2"/>
  <c r="I193" i="2" s="1"/>
  <c r="H192" i="2"/>
  <c r="I192" i="2" s="1"/>
  <c r="F192" i="2"/>
  <c r="H191" i="2"/>
  <c r="I191" i="2" s="1"/>
  <c r="F191" i="2"/>
  <c r="H190" i="2"/>
  <c r="I190" i="2" s="1"/>
  <c r="F190" i="2"/>
  <c r="H189" i="2"/>
  <c r="I189" i="2" s="1"/>
  <c r="F189" i="2"/>
  <c r="H188" i="2"/>
  <c r="I188" i="2" s="1"/>
  <c r="F188" i="2"/>
  <c r="H187" i="2"/>
  <c r="I187" i="2" s="1"/>
  <c r="F187" i="2"/>
  <c r="H186" i="2"/>
  <c r="I186" i="2" s="1"/>
  <c r="J186" i="2" s="1"/>
  <c r="F186" i="2"/>
  <c r="E42" i="7" l="1"/>
  <c r="F42" i="7" s="1"/>
  <c r="E41" i="7"/>
  <c r="F41" i="7" s="1"/>
  <c r="J242" i="2"/>
  <c r="J243" i="2" s="1"/>
  <c r="J244" i="2" s="1"/>
  <c r="J245" i="2" s="1"/>
  <c r="J246" i="2" s="1"/>
  <c r="J247" i="2" s="1"/>
  <c r="J248" i="2" s="1"/>
  <c r="J249" i="2" s="1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D36" i="7" l="1"/>
  <c r="I3" i="7"/>
  <c r="C34" i="7"/>
  <c r="D34" i="7"/>
  <c r="G34" i="7"/>
  <c r="H34" i="7"/>
  <c r="I34" i="7"/>
  <c r="C35" i="7"/>
  <c r="D35" i="7"/>
  <c r="G35" i="7"/>
  <c r="H35" i="7"/>
  <c r="I35" i="7"/>
  <c r="C36" i="7"/>
  <c r="G36" i="7"/>
  <c r="H36" i="7"/>
  <c r="I36" i="7"/>
  <c r="C37" i="7"/>
  <c r="D37" i="7"/>
  <c r="G37" i="7"/>
  <c r="H37" i="7"/>
  <c r="I37" i="7"/>
  <c r="C38" i="7"/>
  <c r="D38" i="7"/>
  <c r="G38" i="7"/>
  <c r="H38" i="7"/>
  <c r="I38" i="7"/>
  <c r="C39" i="7"/>
  <c r="D39" i="7"/>
  <c r="G39" i="7"/>
  <c r="H39" i="7"/>
  <c r="I39" i="7"/>
  <c r="C40" i="7"/>
  <c r="D40" i="7"/>
  <c r="G40" i="7"/>
  <c r="H40" i="7"/>
  <c r="I40" i="7"/>
  <c r="G38" i="4"/>
  <c r="G39" i="4"/>
  <c r="G40" i="4"/>
  <c r="G41" i="4"/>
  <c r="J34" i="7" s="1"/>
  <c r="G42" i="4"/>
  <c r="J35" i="7" s="1"/>
  <c r="G43" i="4"/>
  <c r="J36" i="7" s="1"/>
  <c r="G44" i="4"/>
  <c r="J37" i="7" s="1"/>
  <c r="G45" i="4"/>
  <c r="J38" i="7" s="1"/>
  <c r="G46" i="4"/>
  <c r="J39" i="7" s="1"/>
  <c r="G47" i="4"/>
  <c r="G48" i="4"/>
  <c r="G49" i="4"/>
  <c r="H176" i="2"/>
  <c r="I176" i="2" s="1"/>
  <c r="H177" i="2"/>
  <c r="I177" i="2" s="1"/>
  <c r="H178" i="2"/>
  <c r="I178" i="2" s="1"/>
  <c r="H179" i="2"/>
  <c r="I179" i="2" s="1"/>
  <c r="F179" i="2"/>
  <c r="F178" i="2"/>
  <c r="F177" i="2"/>
  <c r="F176" i="2"/>
  <c r="H175" i="2"/>
  <c r="I175" i="2" s="1"/>
  <c r="F175" i="2"/>
  <c r="H174" i="2"/>
  <c r="I174" i="2" s="1"/>
  <c r="F174" i="2"/>
  <c r="H173" i="2"/>
  <c r="I173" i="2" s="1"/>
  <c r="F173" i="2"/>
  <c r="H172" i="2"/>
  <c r="I172" i="2" s="1"/>
  <c r="F172" i="2"/>
  <c r="H171" i="2"/>
  <c r="I171" i="2" s="1"/>
  <c r="F171" i="2"/>
  <c r="H170" i="2"/>
  <c r="I170" i="2" s="1"/>
  <c r="F170" i="2"/>
  <c r="H169" i="2"/>
  <c r="I169" i="2" s="1"/>
  <c r="F169" i="2"/>
  <c r="H168" i="2"/>
  <c r="I168" i="2" s="1"/>
  <c r="F168" i="2"/>
  <c r="H167" i="2"/>
  <c r="I167" i="2" s="1"/>
  <c r="J167" i="2" s="1"/>
  <c r="F167" i="2"/>
  <c r="E160" i="2"/>
  <c r="F160" i="2" s="1"/>
  <c r="E159" i="2"/>
  <c r="F159" i="2" s="1"/>
  <c r="H161" i="2"/>
  <c r="I161" i="2" s="1"/>
  <c r="F161" i="2"/>
  <c r="C27" i="7"/>
  <c r="D27" i="7"/>
  <c r="G27" i="7"/>
  <c r="H27" i="7"/>
  <c r="I27" i="7"/>
  <c r="C28" i="7"/>
  <c r="D28" i="7"/>
  <c r="G28" i="7"/>
  <c r="H28" i="7"/>
  <c r="I28" i="7"/>
  <c r="C29" i="7"/>
  <c r="D29" i="7"/>
  <c r="G29" i="7"/>
  <c r="H29" i="7"/>
  <c r="I29" i="7"/>
  <c r="C30" i="7"/>
  <c r="D30" i="7"/>
  <c r="G30" i="7"/>
  <c r="H30" i="7"/>
  <c r="I30" i="7"/>
  <c r="C31" i="7"/>
  <c r="D31" i="7"/>
  <c r="G31" i="7"/>
  <c r="H31" i="7"/>
  <c r="I31" i="7"/>
  <c r="C32" i="7"/>
  <c r="D32" i="7"/>
  <c r="G32" i="7"/>
  <c r="H32" i="7"/>
  <c r="I32" i="7"/>
  <c r="C33" i="7"/>
  <c r="D33" i="7"/>
  <c r="G33" i="7"/>
  <c r="H33" i="7"/>
  <c r="I33" i="7"/>
  <c r="H154" i="2"/>
  <c r="I154" i="2" s="1"/>
  <c r="F154" i="2"/>
  <c r="H153" i="2"/>
  <c r="I153" i="2" s="1"/>
  <c r="F153" i="2"/>
  <c r="H152" i="2"/>
  <c r="I152" i="2" s="1"/>
  <c r="F152" i="2"/>
  <c r="H151" i="2"/>
  <c r="I151" i="2" s="1"/>
  <c r="F151" i="2"/>
  <c r="H150" i="2"/>
  <c r="I150" i="2" s="1"/>
  <c r="F150" i="2"/>
  <c r="H149" i="2"/>
  <c r="I149" i="2" s="1"/>
  <c r="F149" i="2"/>
  <c r="H148" i="2"/>
  <c r="I148" i="2" s="1"/>
  <c r="F148" i="2"/>
  <c r="H147" i="2"/>
  <c r="I147" i="2" s="1"/>
  <c r="F147" i="2"/>
  <c r="H146" i="2"/>
  <c r="I146" i="2" s="1"/>
  <c r="J146" i="2" s="1"/>
  <c r="F146" i="2"/>
  <c r="H137" i="2"/>
  <c r="I137" i="2" s="1"/>
  <c r="H138" i="2"/>
  <c r="I138" i="2" s="1"/>
  <c r="H139" i="2"/>
  <c r="I139" i="2" s="1"/>
  <c r="H140" i="2"/>
  <c r="I140" i="2" s="1"/>
  <c r="F137" i="2"/>
  <c r="F138" i="2"/>
  <c r="F139" i="2"/>
  <c r="F140" i="2"/>
  <c r="F136" i="2"/>
  <c r="H136" i="2"/>
  <c r="I136" i="2" s="1"/>
  <c r="H135" i="2"/>
  <c r="I135" i="2" s="1"/>
  <c r="F135" i="2"/>
  <c r="H134" i="2"/>
  <c r="I134" i="2" s="1"/>
  <c r="F134" i="2"/>
  <c r="H133" i="2"/>
  <c r="I133" i="2" s="1"/>
  <c r="F133" i="2"/>
  <c r="H132" i="2"/>
  <c r="I132" i="2" s="1"/>
  <c r="F132" i="2"/>
  <c r="H131" i="2"/>
  <c r="I131" i="2" s="1"/>
  <c r="F131" i="2"/>
  <c r="H130" i="2"/>
  <c r="I130" i="2" s="1"/>
  <c r="F130" i="2"/>
  <c r="H129" i="2"/>
  <c r="I129" i="2" s="1"/>
  <c r="F129" i="2"/>
  <c r="H128" i="2"/>
  <c r="I128" i="2" s="1"/>
  <c r="J128" i="2" s="1"/>
  <c r="F128" i="2"/>
  <c r="H122" i="2"/>
  <c r="I122" i="2" s="1"/>
  <c r="F122" i="2"/>
  <c r="H121" i="2"/>
  <c r="I121" i="2" s="1"/>
  <c r="F121" i="2"/>
  <c r="H120" i="2"/>
  <c r="I120" i="2" s="1"/>
  <c r="F120" i="2"/>
  <c r="H119" i="2"/>
  <c r="I119" i="2" s="1"/>
  <c r="F119" i="2"/>
  <c r="H118" i="2"/>
  <c r="I118" i="2" s="1"/>
  <c r="F118" i="2"/>
  <c r="H117" i="2"/>
  <c r="I117" i="2" s="1"/>
  <c r="F117" i="2"/>
  <c r="H116" i="2"/>
  <c r="I116" i="2" s="1"/>
  <c r="J116" i="2" s="1"/>
  <c r="F116" i="2"/>
  <c r="J40" i="7" l="1"/>
  <c r="J108" i="7"/>
  <c r="F108" i="7" s="1"/>
  <c r="J33" i="7"/>
  <c r="J102" i="7"/>
  <c r="F102" i="7" s="1"/>
  <c r="J32" i="7"/>
  <c r="J103" i="7"/>
  <c r="F103" i="7" s="1"/>
  <c r="E38" i="7"/>
  <c r="F38" i="7" s="1"/>
  <c r="E40" i="7"/>
  <c r="E37" i="7"/>
  <c r="F37" i="7" s="1"/>
  <c r="E36" i="7"/>
  <c r="F36" i="7" s="1"/>
  <c r="E34" i="7"/>
  <c r="F34" i="7" s="1"/>
  <c r="E39" i="7"/>
  <c r="F39" i="7" s="1"/>
  <c r="E35" i="7"/>
  <c r="F35" i="7" s="1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H160" i="2"/>
  <c r="I160" i="2" s="1"/>
  <c r="H159" i="2"/>
  <c r="I159" i="2" s="1"/>
  <c r="J159" i="2" s="1"/>
  <c r="E32" i="7"/>
  <c r="E28" i="7"/>
  <c r="E30" i="7"/>
  <c r="E31" i="7"/>
  <c r="E33" i="7"/>
  <c r="E29" i="7"/>
  <c r="E27" i="7"/>
  <c r="J147" i="2"/>
  <c r="J148" i="2" s="1"/>
  <c r="J149" i="2" s="1"/>
  <c r="J150" i="2" s="1"/>
  <c r="J151" i="2" s="1"/>
  <c r="J152" i="2" s="1"/>
  <c r="J153" i="2" s="1"/>
  <c r="J154" i="2" s="1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17" i="2"/>
  <c r="J118" i="2" s="1"/>
  <c r="J119" i="2" s="1"/>
  <c r="J120" i="2" s="1"/>
  <c r="J121" i="2" s="1"/>
  <c r="J122" i="2" s="1"/>
  <c r="F40" i="7" l="1"/>
  <c r="F33" i="7"/>
  <c r="F32" i="7"/>
  <c r="J160" i="2"/>
  <c r="J161" i="2" s="1"/>
  <c r="G37" i="5"/>
  <c r="F103" i="2"/>
  <c r="F104" i="2"/>
  <c r="F105" i="2"/>
  <c r="F106" i="2"/>
  <c r="F107" i="2"/>
  <c r="F108" i="2"/>
  <c r="F109" i="2"/>
  <c r="F110" i="2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02" i="2"/>
  <c r="I102" i="2" s="1"/>
  <c r="F102" i="2"/>
  <c r="H101" i="2"/>
  <c r="I101" i="2" s="1"/>
  <c r="F101" i="2"/>
  <c r="H100" i="2"/>
  <c r="I100" i="2" s="1"/>
  <c r="F100" i="2"/>
  <c r="H99" i="2"/>
  <c r="I99" i="2" s="1"/>
  <c r="F99" i="2"/>
  <c r="H98" i="2"/>
  <c r="I98" i="2" s="1"/>
  <c r="F98" i="2"/>
  <c r="H97" i="2"/>
  <c r="I97" i="2" s="1"/>
  <c r="F97" i="2"/>
  <c r="H96" i="2"/>
  <c r="I96" i="2" s="1"/>
  <c r="F96" i="2"/>
  <c r="H95" i="2"/>
  <c r="I95" i="2" s="1"/>
  <c r="F95" i="2"/>
  <c r="H94" i="2"/>
  <c r="I94" i="2" s="1"/>
  <c r="J94" i="2" s="1"/>
  <c r="F94" i="2"/>
  <c r="J95" i="2" l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M7" i="5" l="1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6" i="5"/>
  <c r="N6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G36" i="5"/>
  <c r="F19" i="5"/>
  <c r="G19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6" i="5"/>
  <c r="G6" i="5" s="1"/>
  <c r="C25" i="7"/>
  <c r="D25" i="7"/>
  <c r="G25" i="7"/>
  <c r="H25" i="7"/>
  <c r="I25" i="7"/>
  <c r="C26" i="7"/>
  <c r="D26" i="7"/>
  <c r="G26" i="7"/>
  <c r="H26" i="7"/>
  <c r="I26" i="7"/>
  <c r="C16" i="7"/>
  <c r="D16" i="7"/>
  <c r="G16" i="7"/>
  <c r="H16" i="7"/>
  <c r="I16" i="7"/>
  <c r="C17" i="7"/>
  <c r="D17" i="7"/>
  <c r="H17" i="7"/>
  <c r="I17" i="7"/>
  <c r="C18" i="7"/>
  <c r="D18" i="7"/>
  <c r="H18" i="7"/>
  <c r="I18" i="7"/>
  <c r="C19" i="7"/>
  <c r="D19" i="7"/>
  <c r="I19" i="7"/>
  <c r="C20" i="7"/>
  <c r="D20" i="7"/>
  <c r="H20" i="7"/>
  <c r="I20" i="7"/>
  <c r="C21" i="7"/>
  <c r="D21" i="7"/>
  <c r="G21" i="7"/>
  <c r="H21" i="7"/>
  <c r="I21" i="7"/>
  <c r="C22" i="7"/>
  <c r="D22" i="7"/>
  <c r="G22" i="7"/>
  <c r="H22" i="7"/>
  <c r="I22" i="7"/>
  <c r="C23" i="7"/>
  <c r="D23" i="7"/>
  <c r="G23" i="7"/>
  <c r="H23" i="7"/>
  <c r="I23" i="7"/>
  <c r="C24" i="7"/>
  <c r="D24" i="7"/>
  <c r="G24" i="7"/>
  <c r="H24" i="7"/>
  <c r="I24" i="7"/>
  <c r="C7" i="7"/>
  <c r="D7" i="7"/>
  <c r="H7" i="7"/>
  <c r="I7" i="7"/>
  <c r="J7" i="7"/>
  <c r="C8" i="7"/>
  <c r="D8" i="7"/>
  <c r="G8" i="7"/>
  <c r="H8" i="7"/>
  <c r="I8" i="7"/>
  <c r="C9" i="7"/>
  <c r="D9" i="7"/>
  <c r="H9" i="7"/>
  <c r="I9" i="7"/>
  <c r="C10" i="7"/>
  <c r="D10" i="7"/>
  <c r="G10" i="7"/>
  <c r="H10" i="7"/>
  <c r="I10" i="7"/>
  <c r="C11" i="7"/>
  <c r="D11" i="7"/>
  <c r="H11" i="7"/>
  <c r="I11" i="7"/>
  <c r="C12" i="7"/>
  <c r="D12" i="7"/>
  <c r="H12" i="7"/>
  <c r="I12" i="7"/>
  <c r="C13" i="7"/>
  <c r="D13" i="7"/>
  <c r="G13" i="7"/>
  <c r="H13" i="7"/>
  <c r="I13" i="7"/>
  <c r="C14" i="7"/>
  <c r="D14" i="7"/>
  <c r="G14" i="7"/>
  <c r="H14" i="7"/>
  <c r="I14" i="7"/>
  <c r="C15" i="7"/>
  <c r="D15" i="7"/>
  <c r="G15" i="7"/>
  <c r="H15" i="7"/>
  <c r="I15" i="7"/>
  <c r="G543" i="5" l="1"/>
  <c r="N119" i="5"/>
  <c r="E8" i="7"/>
  <c r="E26" i="7"/>
  <c r="E25" i="7"/>
  <c r="E16" i="7"/>
  <c r="E24" i="7"/>
  <c r="E20" i="7"/>
  <c r="E23" i="7"/>
  <c r="E19" i="7"/>
  <c r="E17" i="7"/>
  <c r="E22" i="7"/>
  <c r="E21" i="7"/>
  <c r="E18" i="7"/>
  <c r="E11" i="7"/>
  <c r="E12" i="7"/>
  <c r="E9" i="7"/>
  <c r="E7" i="7"/>
  <c r="E14" i="7"/>
  <c r="E15" i="7"/>
  <c r="E13" i="7"/>
  <c r="E10" i="7"/>
  <c r="L5" i="3" l="1"/>
  <c r="L6" i="3"/>
  <c r="L7" i="3"/>
  <c r="L8" i="3"/>
  <c r="L9" i="3"/>
  <c r="L10" i="3"/>
  <c r="L11" i="3"/>
  <c r="H92" i="7" s="1"/>
  <c r="F92" i="7" s="1"/>
  <c r="L12" i="3"/>
  <c r="L13" i="3"/>
  <c r="L14" i="3"/>
  <c r="L15" i="3"/>
  <c r="L16" i="3"/>
  <c r="L17" i="3"/>
  <c r="L18" i="3"/>
  <c r="L19" i="3"/>
  <c r="H19" i="7" s="1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I4" i="7"/>
  <c r="I5" i="7"/>
  <c r="I6" i="7"/>
  <c r="G5" i="7"/>
  <c r="H5" i="7"/>
  <c r="G6" i="4"/>
  <c r="J4" i="7" s="1"/>
  <c r="G7" i="4"/>
  <c r="G8" i="4"/>
  <c r="J8" i="7" s="1"/>
  <c r="F8" i="7" s="1"/>
  <c r="G9" i="4"/>
  <c r="J9" i="7" s="1"/>
  <c r="G10" i="4"/>
  <c r="J13" i="7" s="1"/>
  <c r="F13" i="7" s="1"/>
  <c r="G11" i="4"/>
  <c r="J14" i="7" s="1"/>
  <c r="F14" i="7" s="1"/>
  <c r="G12" i="4"/>
  <c r="G13" i="4"/>
  <c r="J15" i="7" s="1"/>
  <c r="F15" i="7" s="1"/>
  <c r="G14" i="4"/>
  <c r="J16" i="7" s="1"/>
  <c r="F16" i="7" s="1"/>
  <c r="G15" i="4"/>
  <c r="J17" i="7" s="1"/>
  <c r="G16" i="4"/>
  <c r="J23" i="7" s="1"/>
  <c r="F23" i="7" s="1"/>
  <c r="G17" i="4"/>
  <c r="J24" i="7" s="1"/>
  <c r="F24" i="7" s="1"/>
  <c r="G18" i="4"/>
  <c r="J25" i="7" s="1"/>
  <c r="F25" i="7" s="1"/>
  <c r="G19" i="4"/>
  <c r="G20" i="4"/>
  <c r="J11" i="7" s="1"/>
  <c r="G21" i="4"/>
  <c r="G22" i="4"/>
  <c r="G23" i="4"/>
  <c r="G24" i="4"/>
  <c r="J18" i="7" s="1"/>
  <c r="G25" i="4"/>
  <c r="J19" i="7" s="1"/>
  <c r="G26" i="4"/>
  <c r="G27" i="4"/>
  <c r="G28" i="4"/>
  <c r="J22" i="7" s="1"/>
  <c r="F22" i="7" s="1"/>
  <c r="G29" i="4"/>
  <c r="G30" i="4"/>
  <c r="J26" i="7" s="1"/>
  <c r="F26" i="7" s="1"/>
  <c r="G31" i="4"/>
  <c r="G32" i="4"/>
  <c r="G33" i="4"/>
  <c r="G34" i="4"/>
  <c r="J29" i="7" s="1"/>
  <c r="F29" i="7" s="1"/>
  <c r="G35" i="4"/>
  <c r="J30" i="7" s="1"/>
  <c r="F30" i="7" s="1"/>
  <c r="G36" i="4"/>
  <c r="J31" i="7" s="1"/>
  <c r="F31" i="7" s="1"/>
  <c r="G37" i="4"/>
  <c r="G5" i="4"/>
  <c r="J3" i="7" s="1"/>
  <c r="H3" i="7"/>
  <c r="L4" i="3"/>
  <c r="J48" i="3" s="1"/>
  <c r="F5" i="3"/>
  <c r="G3" i="7" s="1"/>
  <c r="F6" i="3"/>
  <c r="F7" i="3"/>
  <c r="F8" i="3"/>
  <c r="F9" i="3"/>
  <c r="F10" i="3"/>
  <c r="F11" i="3"/>
  <c r="F12" i="3"/>
  <c r="F13" i="3"/>
  <c r="F4" i="3"/>
  <c r="D6" i="7"/>
  <c r="C6" i="7"/>
  <c r="D4" i="7"/>
  <c r="D5" i="7"/>
  <c r="D3" i="7"/>
  <c r="C4" i="7"/>
  <c r="C5" i="7"/>
  <c r="C3" i="7"/>
  <c r="F57" i="2"/>
  <c r="H57" i="2"/>
  <c r="I57" i="2" s="1"/>
  <c r="J57" i="2" s="1"/>
  <c r="F58" i="2"/>
  <c r="H58" i="2"/>
  <c r="I58" i="2" s="1"/>
  <c r="F59" i="2"/>
  <c r="H59" i="2"/>
  <c r="I59" i="2" s="1"/>
  <c r="F60" i="2"/>
  <c r="H60" i="2"/>
  <c r="I60" i="2" s="1"/>
  <c r="F61" i="2"/>
  <c r="H61" i="2"/>
  <c r="I61" i="2" s="1"/>
  <c r="F62" i="2"/>
  <c r="H62" i="2"/>
  <c r="I62" i="2" s="1"/>
  <c r="F63" i="2"/>
  <c r="H63" i="2"/>
  <c r="I63" i="2" s="1"/>
  <c r="H65" i="2"/>
  <c r="I65" i="2" s="1"/>
  <c r="F65" i="2"/>
  <c r="H64" i="2"/>
  <c r="I64" i="2" s="1"/>
  <c r="F64" i="2"/>
  <c r="H52" i="2"/>
  <c r="I52" i="2" s="1"/>
  <c r="F52" i="2"/>
  <c r="H51" i="2"/>
  <c r="I51" i="2" s="1"/>
  <c r="F51" i="2"/>
  <c r="H50" i="2"/>
  <c r="I50" i="2" s="1"/>
  <c r="F50" i="2"/>
  <c r="H49" i="2"/>
  <c r="I49" i="2" s="1"/>
  <c r="F49" i="2"/>
  <c r="H48" i="2"/>
  <c r="I48" i="2" s="1"/>
  <c r="F48" i="2"/>
  <c r="H47" i="2"/>
  <c r="I47" i="2" s="1"/>
  <c r="F47" i="2"/>
  <c r="H46" i="2"/>
  <c r="I46" i="2" s="1"/>
  <c r="F46" i="2"/>
  <c r="H45" i="2"/>
  <c r="I45" i="2" s="1"/>
  <c r="F45" i="2"/>
  <c r="H44" i="2"/>
  <c r="I44" i="2" s="1"/>
  <c r="J44" i="2" s="1"/>
  <c r="F44" i="2"/>
  <c r="L18" i="2"/>
  <c r="H39" i="2"/>
  <c r="I39" i="2" s="1"/>
  <c r="F39" i="2"/>
  <c r="H38" i="2"/>
  <c r="I38" i="2" s="1"/>
  <c r="F38" i="2"/>
  <c r="H37" i="2"/>
  <c r="I37" i="2" s="1"/>
  <c r="F37" i="2"/>
  <c r="H36" i="2"/>
  <c r="I36" i="2" s="1"/>
  <c r="F36" i="2"/>
  <c r="H35" i="2"/>
  <c r="I35" i="2" s="1"/>
  <c r="F35" i="2"/>
  <c r="H34" i="2"/>
  <c r="I34" i="2" s="1"/>
  <c r="F34" i="2"/>
  <c r="H33" i="2"/>
  <c r="I33" i="2" s="1"/>
  <c r="F33" i="2"/>
  <c r="H32" i="2"/>
  <c r="I32" i="2" s="1"/>
  <c r="F32" i="2"/>
  <c r="H31" i="2"/>
  <c r="I31" i="2" s="1"/>
  <c r="J31" i="2" s="1"/>
  <c r="F31" i="2"/>
  <c r="T28" i="2"/>
  <c r="U28" i="2" s="1"/>
  <c r="R28" i="2"/>
  <c r="T27" i="2"/>
  <c r="U27" i="2" s="1"/>
  <c r="R27" i="2"/>
  <c r="T26" i="2"/>
  <c r="U26" i="2" s="1"/>
  <c r="R26" i="2"/>
  <c r="T25" i="2"/>
  <c r="U25" i="2" s="1"/>
  <c r="R25" i="2"/>
  <c r="T24" i="2"/>
  <c r="U24" i="2" s="1"/>
  <c r="R24" i="2"/>
  <c r="T23" i="2"/>
  <c r="U23" i="2" s="1"/>
  <c r="R23" i="2"/>
  <c r="T22" i="2"/>
  <c r="U22" i="2" s="1"/>
  <c r="R22" i="2"/>
  <c r="T21" i="2"/>
  <c r="U21" i="2" s="1"/>
  <c r="R21" i="2"/>
  <c r="T20" i="2"/>
  <c r="U20" i="2" s="1"/>
  <c r="V20" i="2" s="1"/>
  <c r="R20" i="2"/>
  <c r="F73" i="2"/>
  <c r="F74" i="2"/>
  <c r="F75" i="2"/>
  <c r="F76" i="2"/>
  <c r="F77" i="2"/>
  <c r="F78" i="2"/>
  <c r="F79" i="2"/>
  <c r="F80" i="2"/>
  <c r="F81" i="2"/>
  <c r="F72" i="2"/>
  <c r="F19" i="2"/>
  <c r="F20" i="2"/>
  <c r="F21" i="2"/>
  <c r="F22" i="2"/>
  <c r="F23" i="2"/>
  <c r="F24" i="2"/>
  <c r="F25" i="2"/>
  <c r="F26" i="2"/>
  <c r="F18" i="2"/>
  <c r="F5" i="2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J18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5" i="2"/>
  <c r="I5" i="2" s="1"/>
  <c r="J5" i="2" s="1"/>
  <c r="J27" i="7" l="1"/>
  <c r="F27" i="7" s="1"/>
  <c r="J99" i="7"/>
  <c r="F99" i="7" s="1"/>
  <c r="J5" i="7"/>
  <c r="J20" i="7"/>
  <c r="J63" i="7"/>
  <c r="F63" i="7" s="1"/>
  <c r="J21" i="7"/>
  <c r="F21" i="7" s="1"/>
  <c r="J61" i="7"/>
  <c r="F61" i="7" s="1"/>
  <c r="J28" i="7"/>
  <c r="F28" i="7" s="1"/>
  <c r="J97" i="7"/>
  <c r="F97" i="7" s="1"/>
  <c r="H73" i="7"/>
  <c r="F73" i="7" s="1"/>
  <c r="H85" i="7"/>
  <c r="F85" i="7" s="1"/>
  <c r="G43" i="7"/>
  <c r="F43" i="7" s="1"/>
  <c r="G19" i="7"/>
  <c r="F19" i="7" s="1"/>
  <c r="G20" i="7"/>
  <c r="G9" i="7"/>
  <c r="F9" i="7" s="1"/>
  <c r="G44" i="7"/>
  <c r="F44" i="7" s="1"/>
  <c r="G4" i="7"/>
  <c r="G18" i="7"/>
  <c r="F18" i="7" s="1"/>
  <c r="G17" i="7"/>
  <c r="F17" i="7" s="1"/>
  <c r="H4" i="7"/>
  <c r="J49" i="3"/>
  <c r="F7" i="7"/>
  <c r="H6" i="7"/>
  <c r="J12" i="7"/>
  <c r="J10" i="7"/>
  <c r="F10" i="7" s="1"/>
  <c r="G12" i="7"/>
  <c r="J6" i="7"/>
  <c r="G11" i="7"/>
  <c r="F11" i="7" s="1"/>
  <c r="G6" i="7"/>
  <c r="E3" i="7"/>
  <c r="F3" i="7" s="1"/>
  <c r="E6" i="7"/>
  <c r="E5" i="7"/>
  <c r="E4" i="7"/>
  <c r="J58" i="2"/>
  <c r="J59" i="2" s="1"/>
  <c r="J60" i="2" s="1"/>
  <c r="J61" i="2" s="1"/>
  <c r="J62" i="2" s="1"/>
  <c r="J63" i="2" s="1"/>
  <c r="J64" i="2" s="1"/>
  <c r="J65" i="2" s="1"/>
  <c r="J45" i="2"/>
  <c r="J46" i="2" s="1"/>
  <c r="J47" i="2" s="1"/>
  <c r="J48" i="2" s="1"/>
  <c r="J49" i="2" s="1"/>
  <c r="J50" i="2" s="1"/>
  <c r="J51" i="2" s="1"/>
  <c r="J52" i="2" s="1"/>
  <c r="V21" i="2"/>
  <c r="V22" i="2" s="1"/>
  <c r="V23" i="2" s="1"/>
  <c r="V24" i="2" s="1"/>
  <c r="V25" i="2" s="1"/>
  <c r="V26" i="2" s="1"/>
  <c r="V27" i="2" s="1"/>
  <c r="V28" i="2" s="1"/>
  <c r="J32" i="2"/>
  <c r="J33" i="2" s="1"/>
  <c r="J34" i="2" s="1"/>
  <c r="J35" i="2" s="1"/>
  <c r="J36" i="2" s="1"/>
  <c r="J37" i="2" s="1"/>
  <c r="J38" i="2" s="1"/>
  <c r="J39" i="2" s="1"/>
  <c r="J19" i="2"/>
  <c r="J20" i="2" s="1"/>
  <c r="J21" i="2" s="1"/>
  <c r="J22" i="2" s="1"/>
  <c r="J23" i="2" s="1"/>
  <c r="J24" i="2" s="1"/>
  <c r="J25" i="2" s="1"/>
  <c r="J26" i="2" s="1"/>
  <c r="J6" i="2"/>
  <c r="J7" i="2" s="1"/>
  <c r="J8" i="2" s="1"/>
  <c r="J9" i="2" s="1"/>
  <c r="J10" i="2" s="1"/>
  <c r="J11" i="2" s="1"/>
  <c r="J12" i="2" s="1"/>
  <c r="J13" i="2" s="1"/>
  <c r="F5" i="7" l="1"/>
  <c r="F20" i="7"/>
  <c r="F4" i="7"/>
  <c r="F12" i="7"/>
  <c r="F6" i="7"/>
  <c r="H80" i="2"/>
  <c r="I80" i="2" s="1"/>
  <c r="H81" i="2"/>
  <c r="I81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72" i="2"/>
  <c r="I72" i="2" s="1"/>
  <c r="J72" i="2" s="1"/>
  <c r="J73" i="2" l="1"/>
  <c r="J74" i="2" s="1"/>
  <c r="J75" i="2" s="1"/>
  <c r="J76" i="2" s="1"/>
  <c r="J77" i="2" s="1"/>
  <c r="J78" i="2" s="1"/>
  <c r="J79" i="2" s="1"/>
  <c r="J80" i="2" s="1"/>
  <c r="J81" i="2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" i="9"/>
  <c r="A1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<sst xmlns="http://schemas.openxmlformats.org/spreadsheetml/2006/main" count="9237" uniqueCount="1266">
  <si>
    <t xml:space="preserve">Australia </t>
  </si>
  <si>
    <t>Date</t>
  </si>
  <si>
    <t>Product Name</t>
  </si>
  <si>
    <t>Qty</t>
  </si>
  <si>
    <t>Per/Unit  (AUD)</t>
  </si>
  <si>
    <t>C. Rate</t>
  </si>
  <si>
    <t>Per/Unit (AED)</t>
  </si>
  <si>
    <t>Total Price (AED)</t>
  </si>
  <si>
    <t>I MAC WB CARD</t>
  </si>
  <si>
    <t>MACBOOK M4 with Airpods 4 WB Card</t>
  </si>
  <si>
    <t>MACBOOK M4 with Airpods 4 ABR Card</t>
  </si>
  <si>
    <t>MACBOOK M4 with Airpods 4 WB Card(Apple Hornsby Pending Collection)</t>
  </si>
  <si>
    <t>"Instax wide 400 WB Card
(Harvey Norman Castle Hills Pending collection)"</t>
  </si>
  <si>
    <t>Innstax mini Evo 1 unit $248 HN CH</t>
  </si>
  <si>
    <t>Instax Li Play 1 Unit $203 HN CH</t>
  </si>
  <si>
    <t>Instax mini 40 1 unit $143 HN CH</t>
  </si>
  <si>
    <t>Instax mini 99 Bundle 1 unit $250 JBHIFI CH</t>
  </si>
  <si>
    <t>Stock in Dubai</t>
  </si>
  <si>
    <t xml:space="preserve"> (Currently Present)</t>
  </si>
  <si>
    <t>In Shipping</t>
  </si>
  <si>
    <t>Australia</t>
  </si>
  <si>
    <t>Newzeland</t>
  </si>
  <si>
    <t>Purchase Date</t>
  </si>
  <si>
    <t>Qty (Total)</t>
  </si>
  <si>
    <t>Qty Received</t>
  </si>
  <si>
    <t>Qty Pending</t>
  </si>
  <si>
    <t>GST</t>
  </si>
  <si>
    <r>
      <rPr>
        <b/>
        <sz val="11"/>
        <color rgb="FF000000"/>
        <rFont val="Aptos Narrow"/>
        <family val="2"/>
        <scheme val="minor"/>
      </rPr>
      <t>from</t>
    </r>
    <r>
      <rPr>
        <sz val="11"/>
        <color rgb="FF000000"/>
        <rFont val="Aptos Narrow"/>
        <family val="2"/>
        <scheme val="minor"/>
      </rPr>
      <t xml:space="preserve"> month </t>
    </r>
    <r>
      <rPr>
        <b/>
        <sz val="11"/>
        <color rgb="FF000000"/>
        <rFont val="Aptos Narrow"/>
        <family val="2"/>
        <scheme val="minor"/>
      </rPr>
      <t>to</t>
    </r>
    <r>
      <rPr>
        <sz val="11"/>
        <color rgb="FF000000"/>
        <rFont val="Aptos Narrow"/>
        <family val="2"/>
        <scheme val="minor"/>
      </rPr>
      <t xml:space="preserve"> month</t>
    </r>
  </si>
  <si>
    <t xml:space="preserve">Australia  </t>
  </si>
  <si>
    <t>Total (AUD)</t>
  </si>
  <si>
    <t>Shipping To Dubai</t>
  </si>
  <si>
    <t>Shipping Date</t>
  </si>
  <si>
    <t>Qty Shipped</t>
  </si>
  <si>
    <t>Status</t>
  </si>
  <si>
    <t>Starlink v4 19Units  @580  WB</t>
  </si>
  <si>
    <t>NewZeland</t>
  </si>
  <si>
    <t xml:space="preserve"> Price (AUD)</t>
  </si>
  <si>
    <t>Starlink Mini 500 Units  $630  WB</t>
  </si>
  <si>
    <t>JBL Charge 5  150Units $148  WB</t>
  </si>
  <si>
    <t>JBL Charge 5  50Units  $145   WB</t>
  </si>
  <si>
    <t>Google Chrome Cast  250Units  $149  WB</t>
  </si>
  <si>
    <t xml:space="preserve">Paid </t>
  </si>
  <si>
    <t>Instax Wide 400 5units   $188  WB</t>
  </si>
  <si>
    <t>JBL Charge5 125Units $133.30 WB</t>
  </si>
  <si>
    <t>Starlink V4  200Units $549  WB</t>
  </si>
  <si>
    <t>JBL Charge.5 6Units $145  WB</t>
  </si>
  <si>
    <t>PS5  15Units  $695  ARB</t>
  </si>
  <si>
    <t>Transaction Type</t>
  </si>
  <si>
    <t>Quantity</t>
  </si>
  <si>
    <t>Purchase</t>
  </si>
  <si>
    <t>Qty Remaining</t>
  </si>
  <si>
    <t>=SUMIF(Pending_Stock!I:I, A3, Pending_Stock!L:L)'</t>
  </si>
  <si>
    <t>"=SUMIF(Pending_Stock!C:C, A2, Pending_Stock!F:F)"</t>
  </si>
  <si>
    <t>Formula for fetching Pending products quantity name wise from Australia table</t>
  </si>
  <si>
    <t>Formula for fetching Pending products quantity name wise from Newzeland table</t>
  </si>
  <si>
    <t>"=SUMIF(ShipToDubai!C:C, A3, ShipToDubai!G:G)"</t>
  </si>
  <si>
    <t>Currently in shipping</t>
  </si>
  <si>
    <t>Pending in Newzelnd</t>
  </si>
  <si>
    <t>"=SUMIF(Pending_Stock!I:I, A3, Pending_Stock!L:L)"</t>
  </si>
  <si>
    <t>Pending in Australia</t>
  </si>
  <si>
    <t>"=SUMIF(Pending_Stock!C:C, A3, Pending_Stock!F:F)"</t>
  </si>
  <si>
    <t>Delivered to Dubai</t>
  </si>
  <si>
    <t>"=SUMIF(ShipToDubai!C:C, A3, ShipToDubai!F:F)"</t>
  </si>
  <si>
    <t>Delivered to Dubai minus Sold in Dubai</t>
  </si>
  <si>
    <t>"=SUMIF(ShipToDubai!C:C, A3, ShipToDubai!F:F) - (SUMIFS(Stock_Transactions!D:D, Stock_Transactions!B:B, A3, Stock_Transactions!D:D, "&lt;0") * -1)"</t>
  </si>
  <si>
    <t>Total purchase quantity of a particular Product</t>
  </si>
  <si>
    <t>"=SUMIFS(Stock_Transactions!D:D, Stock_Transactions!B:B, A3, Stock_Transactions!D:D, "&gt;0")"</t>
  </si>
  <si>
    <t>Total Sale quantity of a particular Product</t>
  </si>
  <si>
    <t>"=SUMIFS(Stock_Transactions!D:D, Stock_Transactions!B:B, A3, Stock_Transactions!D:D, "&lt;0") * -1"</t>
  </si>
  <si>
    <t>Total Quantity of a product(total purchase - total sale)</t>
  </si>
  <si>
    <t>Product Name)</t>
  </si>
  <si>
    <t>Total Purchased</t>
  </si>
  <si>
    <t>Total Sold</t>
  </si>
  <si>
    <t>Total in Stock</t>
  </si>
  <si>
    <t xml:space="preserve">Pending </t>
  </si>
  <si>
    <t>Opening</t>
  </si>
  <si>
    <t>STARLINK V4</t>
  </si>
  <si>
    <t>20/02/2025</t>
  </si>
  <si>
    <t>STARLINK MINI</t>
  </si>
  <si>
    <t>STRALINK INSTAX CAMERA</t>
  </si>
  <si>
    <t>JBL CHARGE 5</t>
  </si>
  <si>
    <t>ESSENTIAL FLIP</t>
  </si>
  <si>
    <t>CHROME CAST</t>
  </si>
  <si>
    <t>DONE</t>
  </si>
  <si>
    <t>PS5</t>
  </si>
  <si>
    <t>APPLE I MAC</t>
  </si>
  <si>
    <t>MACBOOK M4</t>
  </si>
  <si>
    <t>AIRPODS</t>
  </si>
  <si>
    <t>BREVILLE COFFEE MACHINE</t>
  </si>
  <si>
    <t>DELONGI COFFEE MACHINE</t>
  </si>
  <si>
    <t>DYSON</t>
  </si>
  <si>
    <t>MACBOOK M3</t>
  </si>
  <si>
    <t>STARLINK HIGH.P KIT</t>
  </si>
  <si>
    <t xml:space="preserve">APPLE WATCH ULTRA </t>
  </si>
  <si>
    <t>PRINTER</t>
  </si>
  <si>
    <t>DJI MAVIC PRO 3 DRONE</t>
  </si>
  <si>
    <t>HOLD STOCK AMGT</t>
  </si>
  <si>
    <t>COFFEE MACHINE</t>
  </si>
  <si>
    <t>qty</t>
  </si>
  <si>
    <t>Products Pending in NewZelnd</t>
  </si>
  <si>
    <t>IMAC 1 unit $1919 WB Card</t>
  </si>
  <si>
    <t>IMAC 1 unit $1934 WB Card</t>
  </si>
  <si>
    <t>Macbook M4 with Airpods 4 NC 7 Units $2349 WB Card</t>
  </si>
  <si>
    <t>Macbook M4 with Airpods 4 NC 1 Unit $2349 ARB Card</t>
  </si>
  <si>
    <t>Macbook M4 with Airpods 4 NC 1 Unit $ 2349 (apple Hornsby Pending collection) WB Card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</si>
  <si>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</si>
  <si>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Total AUS GST</t>
  </si>
  <si>
    <t xml:space="preserve">Per/Unit  </t>
  </si>
  <si>
    <t xml:space="preserve">Total </t>
  </si>
  <si>
    <t>Total NZ GST</t>
  </si>
  <si>
    <t>Mac Book 4  Waheed NAB CR Card</t>
  </si>
  <si>
    <t>Mac Book 4  Anwar Ali</t>
  </si>
  <si>
    <t>Mac Book 4  Noaman Mughal</t>
  </si>
  <si>
    <t>Mac Book 4  Atiya Hayat</t>
  </si>
  <si>
    <t>Mac Book 4  Saleem Hayat</t>
  </si>
  <si>
    <t>Mac Book 4 Noureen Mughal</t>
  </si>
  <si>
    <t>Mac Book 4 Abdul Shahid</t>
  </si>
  <si>
    <t>Mac Book 4  Talha Noaman</t>
  </si>
  <si>
    <t>Mac Book 4  Noureen Mughal</t>
  </si>
  <si>
    <t>Mac Book 4  Abdul Shahid</t>
  </si>
  <si>
    <t>IMac4  Waheed NAB CR Card</t>
  </si>
  <si>
    <t>Sale</t>
  </si>
  <si>
    <t xml:space="preserve"> INSTAX WIDE 400</t>
  </si>
  <si>
    <t>INSTAX MINI EVO</t>
  </si>
  <si>
    <t>INSTAX Li PLAY</t>
  </si>
  <si>
    <t>INSTAX MINI 40</t>
  </si>
  <si>
    <t>INSTAX MINI 99</t>
  </si>
  <si>
    <t>entry</t>
  </si>
  <si>
    <t>500 stock</t>
  </si>
  <si>
    <t>Mac Book 4  Waheed GC</t>
  </si>
  <si>
    <t>Mac Book 4  AMGT Cards</t>
  </si>
  <si>
    <t>Mac Book 4  Waheed Card</t>
  </si>
  <si>
    <t>Purchase (for Imacs)</t>
  </si>
  <si>
    <t>Meta Quest 3 512</t>
  </si>
  <si>
    <t>Per/Unit  (USD)</t>
  </si>
  <si>
    <t xml:space="preserve"> Price (USD)</t>
  </si>
  <si>
    <t>iPhone16 Pro Max 256</t>
  </si>
  <si>
    <t>iPad Pro 11 256 Cellular Unlock</t>
  </si>
  <si>
    <t>Airpods 4</t>
  </si>
  <si>
    <t>iPad Pro 11 256 Wifi Only</t>
  </si>
  <si>
    <t>iPad Air 13 128 Wifi Only</t>
  </si>
  <si>
    <t>iPad Air 13 256 Wifi Only</t>
  </si>
  <si>
    <t>USA(Owais Houston)</t>
  </si>
  <si>
    <t>Purchase (Owais Houston) in Dubai</t>
  </si>
  <si>
    <t>Purchased in Dubai</t>
  </si>
  <si>
    <t>Received</t>
  </si>
  <si>
    <t>Pending in Dubai</t>
  </si>
  <si>
    <t xml:space="preserve"> Price (NZD)</t>
  </si>
  <si>
    <t>Per/Unit  (NZD)</t>
  </si>
  <si>
    <r>
      <t xml:space="preserve">Starlink V4 </t>
    </r>
    <r>
      <rPr>
        <b/>
        <sz val="11"/>
        <color theme="1"/>
        <rFont val="Aptos Narrow"/>
        <family val="2"/>
        <scheme val="minor"/>
      </rPr>
      <t>($80,000 Paid)</t>
    </r>
  </si>
  <si>
    <r>
      <t>Google streamer (</t>
    </r>
    <r>
      <rPr>
        <b/>
        <sz val="11"/>
        <color theme="5" tint="-0.249977111117893"/>
        <rFont val="Aptos Narrow"/>
        <family val="2"/>
        <scheme val="minor"/>
      </rPr>
      <t>In System Google Chrome Cast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($37,500 Paid)</t>
    </r>
  </si>
  <si>
    <t>Delivery Charges</t>
  </si>
  <si>
    <t>Newzeland PURCAHSE</t>
  </si>
  <si>
    <t>S.No</t>
  </si>
  <si>
    <t>USA(Cell Wear)</t>
  </si>
  <si>
    <t>Meta Quest 3 (512)</t>
  </si>
  <si>
    <t>Ps5 Controller Dual sense</t>
  </si>
  <si>
    <t>Beats Fit Pro</t>
  </si>
  <si>
    <t xml:space="preserve">iPhone16 Pro dt 256 open box </t>
  </si>
  <si>
    <t>iPhone 16 Pro bt 256 open box</t>
  </si>
  <si>
    <t>iPhone 16 Pro bt 128 open box</t>
  </si>
  <si>
    <t>Beats Studio Buds</t>
  </si>
  <si>
    <t>iPhone 15 Pro 256 GB white Locked</t>
  </si>
  <si>
    <t>iPhone 16 128 GB pink Locked</t>
  </si>
  <si>
    <t>iPhone 16 Pro Max bt 256</t>
  </si>
  <si>
    <t>iPhone 14 Pro Max 128 GB black</t>
  </si>
  <si>
    <t>Samsung Galaxy S25 Plus 256 GB</t>
  </si>
  <si>
    <t>Meta Quest 3 512(pending in Dubai = Received on 12/03/2025)</t>
  </si>
  <si>
    <t>iPhone16 Pro 256</t>
  </si>
  <si>
    <t>iPhone16 Pro 128</t>
  </si>
  <si>
    <t>iPhone 15 Pro 256</t>
  </si>
  <si>
    <t>iPhone 16 128</t>
  </si>
  <si>
    <t>iPhone 14 Pro Max 128</t>
  </si>
  <si>
    <t>Samsung Galaxy S25 Plus 256</t>
  </si>
  <si>
    <t>Cell Wear Usa Purchase</t>
  </si>
  <si>
    <r>
      <t xml:space="preserve">iPhone16 Pro Max 256 (Active) </t>
    </r>
    <r>
      <rPr>
        <b/>
        <sz val="11"/>
        <color theme="1"/>
        <rFont val="Aptos Narrow"/>
        <family val="2"/>
        <scheme val="minor"/>
      </rPr>
      <t>(edited 13/03/2025)</t>
    </r>
  </si>
  <si>
    <t>Shehzad Mughal</t>
  </si>
  <si>
    <t>cell wear payment</t>
  </si>
  <si>
    <t>AR to waheed bhai Payment 13 march 25</t>
  </si>
  <si>
    <t>AR personal zakat maintenance</t>
  </si>
  <si>
    <t>AR 20,000 PKR for karachi Expense</t>
  </si>
  <si>
    <t>done</t>
  </si>
  <si>
    <t>Mac Book Pro 14 inc (Abdul Mujid Canada )</t>
  </si>
  <si>
    <t>Mac Book Pro 14 inc (Warda canada)</t>
  </si>
  <si>
    <t>Mac Book Air 13 inc (Waheed )</t>
  </si>
  <si>
    <t>Mac Book Air 13 inc (Abdul Rehman )</t>
  </si>
  <si>
    <t>3.67 AED</t>
  </si>
  <si>
    <t>Macbook Air M4 13 inch</t>
  </si>
  <si>
    <t>Purchse</t>
  </si>
  <si>
    <t>PS5 JBHIFI Parramatta collected $679</t>
  </si>
  <si>
    <t>2 PS5 JBHIFI Merrylands $679</t>
  </si>
  <si>
    <t>All Above are with airpods</t>
  </si>
  <si>
    <t>PS5 JBHIFI (Roselands Pending collection)</t>
  </si>
  <si>
    <t>PS5  jbhifi Bankstown collected</t>
  </si>
  <si>
    <t>5 PS5 $679 JBHIFI Maq Park</t>
  </si>
  <si>
    <t>3 Instax Mini 99 Bundle $235 pending collection</t>
  </si>
  <si>
    <t>1 Instax Wide 400 $190</t>
  </si>
  <si>
    <t>3 PS5 $679 JBHIFI NR</t>
  </si>
  <si>
    <t>2 Instax mini 99 $229 JBHIFI NR</t>
  </si>
  <si>
    <t>17 Starlink mini $575 AUD</t>
  </si>
  <si>
    <t>Purchase(pending coll.)</t>
  </si>
  <si>
    <t>INSTAX MINI CAMERA</t>
  </si>
  <si>
    <t>INSTAX MINI 99 BUNDEL</t>
  </si>
  <si>
    <t>Instax Mini Bundle (not purchased but shipped)</t>
  </si>
  <si>
    <t>Instax Mini (confirm Model pls) (not purchased but shipped)</t>
  </si>
  <si>
    <t>Instax wide 400 (not purchased but shipped)</t>
  </si>
  <si>
    <t>Instax Mini 99 Bundle JBHIFI Roselands Pending collection</t>
  </si>
  <si>
    <t>Instax Mini 99 Bundle</t>
  </si>
  <si>
    <t>PS5 $679 JBHIFI Parramatta</t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</si>
  <si>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GC)</t>
    </r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</si>
  <si>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)</t>
    </r>
  </si>
  <si>
    <r>
      <t xml:space="preserve">Mac Book Pro 14 inc </t>
    </r>
    <r>
      <rPr>
        <b/>
        <sz val="11"/>
        <color theme="1" tint="0.14999847407452621"/>
        <rFont val="Aptos Narrow"/>
        <family val="2"/>
        <scheme val="minor"/>
      </rPr>
      <t>(removing Duplicate entry)</t>
    </r>
  </si>
  <si>
    <t>Gst</t>
  </si>
  <si>
    <t>Ontell</t>
  </si>
  <si>
    <t>Make Standard Rules Document for Purchasing</t>
  </si>
  <si>
    <t>Make Database for Maintaining all products last purchase</t>
  </si>
  <si>
    <t>ps5 JBHIFI Homebush $679</t>
  </si>
  <si>
    <t xml:space="preserve">PS5 JBHIFI Roselands </t>
  </si>
  <si>
    <t xml:space="preserve"> Intax mini 99 bundle $229 JBHIFI Roselands</t>
  </si>
  <si>
    <t>Ps5 JBHIFI Bankstown $679</t>
  </si>
  <si>
    <t>PS5 EB GAMES $679</t>
  </si>
  <si>
    <t>1 PS5 $679 EB GAMES</t>
  </si>
  <si>
    <t>1 AirPods eBay $163</t>
  </si>
  <si>
    <t>v4</t>
  </si>
  <si>
    <t>mini</t>
  </si>
  <si>
    <t>ITEM</t>
  </si>
  <si>
    <t>QTY</t>
  </si>
  <si>
    <t>PRICE w/o GST</t>
  </si>
  <si>
    <t>Total Price w/o GST</t>
  </si>
  <si>
    <t>ps5</t>
  </si>
  <si>
    <t>airpods</t>
  </si>
  <si>
    <t>imac</t>
  </si>
  <si>
    <t>Macbook 3</t>
  </si>
  <si>
    <t>Macbook 4</t>
  </si>
  <si>
    <t>jbl charge 5</t>
  </si>
  <si>
    <t>Essential Flip</t>
  </si>
  <si>
    <t>Chrome Cast</t>
  </si>
  <si>
    <t>mini 99 bundel</t>
  </si>
  <si>
    <t>printer</t>
  </si>
  <si>
    <t>controller dual sense</t>
  </si>
  <si>
    <t>HP kit</t>
  </si>
  <si>
    <t>studio buds</t>
  </si>
  <si>
    <t>Coffee machine</t>
  </si>
  <si>
    <t>dyson</t>
  </si>
  <si>
    <t>pro 11 256 wifi</t>
  </si>
  <si>
    <t>14 pro max</t>
  </si>
  <si>
    <t>15 pro 256</t>
  </si>
  <si>
    <t>16 128 gb</t>
  </si>
  <si>
    <t>16 pro 128 gb</t>
  </si>
  <si>
    <t>16 pro 256</t>
  </si>
  <si>
    <t>16 pro max 256</t>
  </si>
  <si>
    <t>s25</t>
  </si>
  <si>
    <t xml:space="preserve">mini 99 </t>
  </si>
  <si>
    <t>mini 400</t>
  </si>
  <si>
    <t>Sale Return</t>
  </si>
  <si>
    <t>insatax Camera</t>
  </si>
  <si>
    <r>
      <rPr>
        <b/>
        <sz val="11"/>
        <color theme="1"/>
        <rFont val="Aptos Narrow"/>
        <family val="2"/>
        <scheme val="minor"/>
      </rPr>
      <t>Stock value</t>
    </r>
    <r>
      <rPr>
        <sz val="11"/>
        <color theme="1"/>
        <rFont val="Aptos Narrow"/>
        <family val="2"/>
        <scheme val="minor"/>
      </rPr>
      <t xml:space="preserve"> 22-March-2025</t>
    </r>
  </si>
  <si>
    <r>
      <t xml:space="preserve">5 PS5 $699 JBHIFI commercial pending collection </t>
    </r>
    <r>
      <rPr>
        <b/>
        <sz val="11"/>
        <color theme="5" tint="-0.249977111117893"/>
        <rFont val="Aptos Narrow"/>
        <family val="2"/>
        <scheme val="minor"/>
      </rPr>
      <t>(Order Canceled)</t>
    </r>
  </si>
  <si>
    <t>Order Canceled</t>
  </si>
  <si>
    <t>1 MacBook Air 24/512 GB $2149 sky blue JBHIFI castle hills</t>
  </si>
  <si>
    <t xml:space="preserve">2 MacBook Air 24/512 GB $2090 sky blue Office works Northmead pending collection </t>
  </si>
  <si>
    <t>1 Instax mini Evo $275 office works Northmead</t>
  </si>
  <si>
    <t xml:space="preserve"> MacBook Air 24/512 GB $2042 sky blue Office works castle hills pending collection </t>
  </si>
  <si>
    <t xml:space="preserve">2 MacBook Air 24/512 GB $2090 sky blue Office works Auburn pending collection </t>
  </si>
  <si>
    <t xml:space="preserve">2 MacBook Air 24/512 GB $2090 sky blue Office works westRyde  pending collection </t>
  </si>
  <si>
    <t>2 PS5 $695 Costco without Coupon</t>
  </si>
  <si>
    <t>Macbook Air 24/512 GB</t>
  </si>
  <si>
    <t>Pending</t>
  </si>
  <si>
    <t xml:space="preserve">1 MacBook Air 24/512 GB $2090 sky blue Office works West Ryde pending collection </t>
  </si>
  <si>
    <t>1 MacBook Air 24/512 GB $2090  Midnight Office works West Ryde pending collection</t>
  </si>
  <si>
    <t xml:space="preserve">2 MacBook Air 24/512 GB $2090 sky blue Office works North Ryde  pending collection </t>
  </si>
  <si>
    <t xml:space="preserve">2 MacBook Air 24/512 GB $2090 sky blue Office works Five Dock pending collection </t>
  </si>
  <si>
    <t>2 PS5 slim  Astra Bot $669 EB Games</t>
  </si>
  <si>
    <t>Sale Ret (Shehzad)</t>
  </si>
  <si>
    <t>APPLE AIR TAG 1 PACK</t>
  </si>
  <si>
    <t>Purchase in Dubai</t>
  </si>
  <si>
    <t>Directly Purchased in Dubai</t>
  </si>
  <si>
    <t>Sale Ret (Power play)</t>
  </si>
  <si>
    <t>PS5 Astro BOT JBHIFI Castle Hills</t>
  </si>
  <si>
    <t>Mac Book Air M4 24/512Midnight</t>
  </si>
  <si>
    <t>Mac Book Air M4 24/512Midnight JBHIFI Castle Hills</t>
  </si>
  <si>
    <t xml:space="preserve">Iphone 16 Pro max 256 GB Desert </t>
  </si>
  <si>
    <t>Mac Book Air M4 24/512 Sky Blue  Office Works Northmead Pending</t>
  </si>
  <si>
    <t>Mac Book Air M4 24/512 Sky Blue Office Works  Castle Hills Pending</t>
  </si>
  <si>
    <t>Mac Book Air M4 24/512Midnight Office Works  Castle Hills Pending</t>
  </si>
  <si>
    <t>Mac Book Air M4 24/512Midnight Office Works Blacktown Pending</t>
  </si>
  <si>
    <t>Mac Book Air M4 24/512 Sky Blue Office Works Blacktown Pending</t>
  </si>
  <si>
    <t>Mac Book Pro 16/512 Silver Office Works Wentworthville Pending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</si>
  <si>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</si>
  <si>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</si>
  <si>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</si>
  <si>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</si>
  <si>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</si>
  <si>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</si>
  <si>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</si>
  <si>
    <t>Mini Evo Good Guys Auburn Pending Collection Blacktown</t>
  </si>
  <si>
    <t>Mini 12 Purple Good Guys Auburn Pending Collection Blacktown</t>
  </si>
  <si>
    <t>Mini 12 Blue Good Guys Auburn Pending Collection Blacktown</t>
  </si>
  <si>
    <t>20 pcs</t>
  </si>
  <si>
    <t>133$</t>
  </si>
  <si>
    <t>Purchase from owais usa</t>
  </si>
  <si>
    <t>Bus Pending Purchasing</t>
  </si>
  <si>
    <t>Macbook Pro 16/512</t>
  </si>
  <si>
    <t>INSTAX MINI 12</t>
  </si>
  <si>
    <t>NINJA BLAST BLENDER</t>
  </si>
  <si>
    <t>ok</t>
  </si>
  <si>
    <t>pend</t>
  </si>
  <si>
    <t>pen</t>
  </si>
  <si>
    <t>Mini Evo Good Guys Auburn Pending Collection Bankstown</t>
  </si>
  <si>
    <t>Mini 12 Purple Good Guys Auburn Pending Collection Bankstown</t>
  </si>
  <si>
    <t xml:space="preserve">Mac Book Air M4 24/512 Sky Blue  Office Works Auburn Pending </t>
  </si>
  <si>
    <t>Mini 12 Blue Good Guys Auburn Pending Collection Bankstown</t>
  </si>
  <si>
    <t>Ps5 Astro Bot EB games Online Pending Collection Bankstown</t>
  </si>
  <si>
    <t xml:space="preserve">Mac Book Pro M4 14" 16/512 Silver Office Works Five Dock Auburn Pending </t>
  </si>
  <si>
    <t>return 16 pro max fform stock</t>
  </si>
  <si>
    <t>remove jbl charge 5 from stock</t>
  </si>
  <si>
    <t>sell instax camera to Waheed Bhai</t>
  </si>
  <si>
    <t>Purchase Ret</t>
  </si>
  <si>
    <t>Done</t>
  </si>
  <si>
    <t>10 PS5 Purchased in NZ $759</t>
  </si>
  <si>
    <t>130 purchase cancel</t>
  </si>
  <si>
    <t>sell to waheed bhai</t>
  </si>
  <si>
    <t>Macbook Air 13 M4 24/512 Sky Blue Office Works Nothmead Collected</t>
  </si>
  <si>
    <t>Macbook Pro 14" 16/1TB Space Black Office Works Auburn Pending</t>
  </si>
  <si>
    <t>Macbook Air 13 M4 24/512 Sky Blue Office Works Castle Hills Pending</t>
  </si>
  <si>
    <t>Macbook Air 13 M4 24/512 Space Black Office Works Castle Hills Pending</t>
  </si>
  <si>
    <t>Macbook Pro 14" 16/1TB Space Black Office Works Nothmead Pending</t>
  </si>
  <si>
    <t>Instax Mini 99 Bundle JB HIFI Hornsby Collected</t>
  </si>
  <si>
    <t>Ps5 Astro Bot JB HIFI Hornsby Castle Hills Pending</t>
  </si>
  <si>
    <t>Meta Quest 3 512 GB JB HIFI Hornsby Castle Hills Pending</t>
  </si>
  <si>
    <t>Macbook Air 13 M4 24/512 Sky Blue  JB HIFI Hornsby Collected</t>
  </si>
  <si>
    <t>Macbook Air 13 M4 24/512 Sky Blue  Office Works Auburn Pending</t>
  </si>
  <si>
    <t>Macbook Air 13 M4 24/512 Space Black  Office Works Auburn Pending</t>
  </si>
  <si>
    <t>Norton Antivirus Collected</t>
  </si>
  <si>
    <t>Macbook Pro 16/1TB</t>
  </si>
  <si>
    <t>Macbook Air 13 M4 24/512 Sky Blue Office Works Hornsby Pending</t>
  </si>
  <si>
    <t>Macbook Air 13 M4 24/512 Space Black Office Works Hornsby Pending</t>
  </si>
  <si>
    <t>NORTON ANTIVIRUS</t>
  </si>
  <si>
    <t>Mac Book Air M4 24/512 Sky Blue Office Works Northmead</t>
  </si>
  <si>
    <t>Mac Book Pro M4 14" 16/ 1TB Space Black Office Works Blacktown</t>
  </si>
  <si>
    <t>Mac Book Pro M4 14" 16/ 1TB Space Black Office Works Wentworthville</t>
  </si>
  <si>
    <t>Mini Evo Good Guys Blacktown Pending</t>
  </si>
  <si>
    <t>Mini 12  Mix Colour Good Guys Blacktown Pending</t>
  </si>
  <si>
    <t>Meta Quest 3 512 JBHIFI Castle Hills</t>
  </si>
  <si>
    <t>PS5 EB Games Online Pending Collection</t>
  </si>
  <si>
    <t xml:space="preserve"> Instax Mini 12 Good Guys </t>
  </si>
  <si>
    <t>Mac Book Pro M4 14" 16/512 Silver Good Guys Pending Collection Bankstown</t>
  </si>
  <si>
    <t>Mac Book Air 13" M4 24/512 Space Black Office Works Punchbowl</t>
  </si>
  <si>
    <t>Purchase Newzeland</t>
  </si>
  <si>
    <t>Per Unit Sale</t>
  </si>
  <si>
    <t>Per unit Purchase</t>
  </si>
  <si>
    <t>Total Sale</t>
  </si>
  <si>
    <t>Total Purhcase</t>
  </si>
  <si>
    <t>Per Unit Profit</t>
  </si>
  <si>
    <t>Total Profit</t>
  </si>
  <si>
    <t>MACBOOK PRO 14 INC</t>
  </si>
  <si>
    <t>Revenues</t>
  </si>
  <si>
    <t>Sales Discount</t>
  </si>
  <si>
    <t>Total Revenues</t>
  </si>
  <si>
    <t>Cost of Sales</t>
  </si>
  <si>
    <t>Cost of Goods Sold</t>
  </si>
  <si>
    <t>Profit</t>
  </si>
  <si>
    <t>Expenses</t>
  </si>
  <si>
    <t>Australia Office Exp</t>
  </si>
  <si>
    <t>Travelling Exp</t>
  </si>
  <si>
    <t>Mis. Exp</t>
  </si>
  <si>
    <t>Salaries Exp</t>
  </si>
  <si>
    <t>Shipping and Clearence</t>
  </si>
  <si>
    <t>Net Income</t>
  </si>
  <si>
    <t>Total Expense</t>
  </si>
  <si>
    <t>Income Statement For March 2025</t>
  </si>
  <si>
    <t>Sales Income</t>
  </si>
  <si>
    <t>Products Sold in Loss for the Month of March-2025</t>
  </si>
  <si>
    <t>Macbook Air 13 M4 24/512 Sky Blue  Office Works Noth Ryde Pending Canceled</t>
  </si>
  <si>
    <t>Macbook Air 13 M4 24/512 Sky Blue  Office Works West Ryde Pending Nothmead Canceled</t>
  </si>
  <si>
    <t>Mac Book Air 13" M4 24/512 Sky Blue</t>
  </si>
  <si>
    <t>PS5 Hard drive</t>
  </si>
  <si>
    <t>Mac Book Air 15" M4 24/512 Sky Blue</t>
  </si>
  <si>
    <t>Mac Book Air 13" M4 24/512 Sky Blue Office Works Castle Hills Pending Collection  Zunera</t>
  </si>
  <si>
    <t>Mac Book Air 13" M4 24/512 Space Black Office Works Hornsby Pending Collection Blacktown Zunera</t>
  </si>
  <si>
    <t>Macbook Air 15 24/512 GB</t>
  </si>
  <si>
    <t>PS5 Hard Drive</t>
  </si>
  <si>
    <t>CD PS5 DRAGON AGE</t>
  </si>
  <si>
    <t>NO ENTRY</t>
  </si>
  <si>
    <t>Total Loss</t>
  </si>
  <si>
    <t>Income Statement For Feb(last) 2025</t>
  </si>
  <si>
    <t>2 PS5 slim  Astra Bot $669 EB Games Received</t>
  </si>
  <si>
    <t>Australia Calceled Purchase</t>
  </si>
  <si>
    <t>Canceled Purchase</t>
  </si>
  <si>
    <r>
      <t xml:space="preserve">Mac Book Air 13" M4 24/512 Sky Blue Office Works Punchbowl Pending Collection </t>
    </r>
    <r>
      <rPr>
        <b/>
        <sz val="11"/>
        <color theme="1"/>
        <rFont val="Aptos Narrow"/>
        <family val="2"/>
        <scheme val="minor"/>
      </rPr>
      <t xml:space="preserve"> Canceled</t>
    </r>
  </si>
  <si>
    <t>RAYBAN GLASSES</t>
  </si>
  <si>
    <t>USA (Owais Houston)</t>
  </si>
  <si>
    <t>Sony buds wf-1000XM5</t>
  </si>
  <si>
    <t xml:space="preserve">2tb ps5 ssd </t>
  </si>
  <si>
    <t xml:space="preserve">AirPods pro </t>
  </si>
  <si>
    <t>AirPods 4ANC</t>
  </si>
  <si>
    <t xml:space="preserve">Play station portal </t>
  </si>
  <si>
    <t>SONY BUDS</t>
  </si>
  <si>
    <t>PLAY STATION PORTAL</t>
  </si>
  <si>
    <t>PS5 SSD 2TB</t>
  </si>
  <si>
    <t>APPLE AIRPODS PRO</t>
  </si>
  <si>
    <t>Purchased from USA</t>
  </si>
  <si>
    <t>To be correct</t>
  </si>
  <si>
    <t>Purchase Owais Houston</t>
  </si>
  <si>
    <t>Sale Ret from Shehzad</t>
  </si>
  <si>
    <t>PS5 Astrobot with CD game Big W Merrylands</t>
  </si>
  <si>
    <t>Mac Book Air 15" M3 24/512 Starlight Costco Online</t>
  </si>
  <si>
    <t>Mac Book Air 15" M3 24/512 Silver Costco Online</t>
  </si>
  <si>
    <t>Mac Book Air 15" M3 24/512 Midnight Costco Online</t>
  </si>
  <si>
    <t>Mac Book Air 15" M4 24/512 Sky Blue Costco Online</t>
  </si>
  <si>
    <t>Meta Quest 3S 128 JBHIFI Bankstown</t>
  </si>
  <si>
    <t>PS5 Astrobot with CD game JBHIFI Bankstown</t>
  </si>
  <si>
    <t>PS5 Astrobot with CD game Big W Bansktown</t>
  </si>
  <si>
    <t>PS5 Astrobot with CD game Big W Winston Hills</t>
  </si>
  <si>
    <t>Mac Book Air 15" 24/512 Sky Blue Costco Online</t>
  </si>
  <si>
    <t>Mac Book Air 15" 24/512 Midnight Costco Online</t>
  </si>
  <si>
    <t>Dyson = 2 units</t>
  </si>
  <si>
    <t>Starlink H.P kit = 16 units</t>
  </si>
  <si>
    <t>Printer = 1 unit</t>
  </si>
  <si>
    <t>Beats Studio Buds = 1 unit</t>
  </si>
  <si>
    <t>Australia (05-April-2025)</t>
  </si>
  <si>
    <t>6 Macbook Air 24/512 Office Works (extra Piece purchasing)</t>
  </si>
  <si>
    <t>on 12-april-25</t>
  </si>
  <si>
    <t>Macbook Air 15 M3 24/512 GB</t>
  </si>
  <si>
    <t>with cds</t>
  </si>
  <si>
    <t>Meta Quest 3s 128</t>
  </si>
  <si>
    <t>AirPods 4</t>
  </si>
  <si>
    <t>Last shipment Charges</t>
  </si>
  <si>
    <t>TODO</t>
  </si>
  <si>
    <t xml:space="preserve">12 and 13 april AUS purchasing </t>
  </si>
  <si>
    <t>16 pro 256 gb</t>
  </si>
  <si>
    <t>100,000 in AR A/c</t>
  </si>
  <si>
    <t>95,000 in AR A/C</t>
  </si>
  <si>
    <t xml:space="preserve">  sale bilal G49 </t>
  </si>
  <si>
    <t>Sale Zurain Johar</t>
  </si>
  <si>
    <t>from Zurain to abdul rehman</t>
  </si>
  <si>
    <t>from Abubaker to Abdul Rehman</t>
  </si>
  <si>
    <t>16 pro Max 256</t>
  </si>
  <si>
    <t>Sale Waqas Mt</t>
  </si>
  <si>
    <t>from Waqas to Abdul Rehman</t>
  </si>
  <si>
    <t>April 12,2025</t>
  </si>
  <si>
    <t>April 08,2025</t>
  </si>
  <si>
    <t>April 10,2025</t>
  </si>
  <si>
    <t>April 05,2025</t>
  </si>
  <si>
    <t>April 04,2025</t>
  </si>
  <si>
    <t>March 30,2025</t>
  </si>
  <si>
    <t>March 26,2025</t>
  </si>
  <si>
    <t>March 25,2025</t>
  </si>
  <si>
    <t>March 22,2025</t>
  </si>
  <si>
    <t>March 20,2025</t>
  </si>
  <si>
    <t>March 18,2025</t>
  </si>
  <si>
    <t>ANC</t>
  </si>
  <si>
    <t>without Anc</t>
  </si>
  <si>
    <t>d</t>
  </si>
  <si>
    <t>Karachi Sale</t>
  </si>
  <si>
    <t>Meta Quest 3s 256</t>
  </si>
  <si>
    <t>Purchase from Blue Zone</t>
  </si>
  <si>
    <t>Purchase from Shehzad</t>
  </si>
  <si>
    <t>Macbook Air M4 13" 24/512 Midnight</t>
  </si>
  <si>
    <t>Store</t>
  </si>
  <si>
    <t>Per/Unit (AUD)</t>
  </si>
  <si>
    <t>Discount</t>
  </si>
  <si>
    <t>Per/Unit After Dis.</t>
  </si>
  <si>
    <t>Total AUD</t>
  </si>
  <si>
    <t>C.Rate</t>
  </si>
  <si>
    <t>Per/unit AED</t>
  </si>
  <si>
    <t>Discount %</t>
  </si>
  <si>
    <t xml:space="preserve">Ps5 Controller Dual sense </t>
  </si>
  <si>
    <t>Harvey Norman Morre Park</t>
  </si>
  <si>
    <t>Macbook Air M4 13" 24/512 Sky Blue</t>
  </si>
  <si>
    <t>Pending Collection</t>
  </si>
  <si>
    <t>PS5 Astrobot Bundle No CD</t>
  </si>
  <si>
    <t>Play Station Portal Black</t>
  </si>
  <si>
    <t xml:space="preserve"> equivalent to Macbook Air M4 13" 24/512 Midnight</t>
  </si>
  <si>
    <t>no CD</t>
  </si>
  <si>
    <t>Macbook Air M4 13" 24/512 Silver</t>
  </si>
  <si>
    <t>Harvey Norman Broadway</t>
  </si>
  <si>
    <t>Macbook Air M4 15" 24/512 Midnight</t>
  </si>
  <si>
    <t>Macbook Air M4 15" 24/512 Sky Blue</t>
  </si>
  <si>
    <t>Harvey Norman Castle Hills</t>
  </si>
  <si>
    <t>Collected</t>
  </si>
  <si>
    <t>Instax Mini 40</t>
  </si>
  <si>
    <t>Dragon Age Game CD</t>
  </si>
  <si>
    <t>Harvey Norman North Ryde</t>
  </si>
  <si>
    <t>Costco Online</t>
  </si>
  <si>
    <t>Pending Delivery</t>
  </si>
  <si>
    <t>Macbook Air M4 15" 24/512 Silver</t>
  </si>
  <si>
    <t>PS5 Astrobot with CD game</t>
  </si>
  <si>
    <t xml:space="preserve">Big W Online </t>
  </si>
  <si>
    <t>DJI Osmo Pocket 3</t>
  </si>
  <si>
    <t>Good Guys Blacktown</t>
  </si>
  <si>
    <t>with Cd</t>
  </si>
  <si>
    <t>DJI OSMO POCKET 3</t>
  </si>
  <si>
    <t>Instax mini EVO</t>
  </si>
  <si>
    <t>Good Guys Bankstown</t>
  </si>
  <si>
    <t>Instax Mini 12</t>
  </si>
  <si>
    <t>Instax Film 20 Pack</t>
  </si>
  <si>
    <t>INSTAX FLIM 20 PACK</t>
  </si>
  <si>
    <t>NEW</t>
  </si>
  <si>
    <t>Harvey Norman Alexandria</t>
  </si>
  <si>
    <t>Macbook Air M3 13" 24/512 Midnight</t>
  </si>
  <si>
    <t>Harvey Norman Blacktown</t>
  </si>
  <si>
    <t>Macbook Air 13 M3 24/512 GB</t>
  </si>
  <si>
    <t>Talley Raaz Ledger</t>
  </si>
  <si>
    <t>Carry charges to AR</t>
  </si>
  <si>
    <t>JBHIFI Castle Hills</t>
  </si>
  <si>
    <t>Good Guys Castle Hills</t>
  </si>
  <si>
    <t>DJI Mavic Pro RC (10% Gift Card + $200 Gift Card)</t>
  </si>
  <si>
    <t>DJI Mavic Pro RC Combo (10% Gift Card + $200 Gift Card)</t>
  </si>
  <si>
    <t xml:space="preserve">Instax Li Play Mix </t>
  </si>
  <si>
    <t>Instax Li Play Pink</t>
  </si>
  <si>
    <t>new</t>
  </si>
  <si>
    <t>DJI MAVIC PRO RC</t>
  </si>
  <si>
    <t>DJI MAVIC PRO RC COMBO</t>
  </si>
  <si>
    <t>s</t>
  </si>
  <si>
    <t>megatop payment</t>
  </si>
  <si>
    <t xml:space="preserve">hajj payment through Raaz to waheed bhai </t>
  </si>
  <si>
    <t>Waiting for confirmation</t>
  </si>
  <si>
    <t>28,385 AUD through Raaz to Waheed Bhai</t>
  </si>
  <si>
    <t>issue solved</t>
  </si>
  <si>
    <t>Add Magatop last 3 invoice</t>
  </si>
  <si>
    <t>16-april entries and send report</t>
  </si>
  <si>
    <t>Chrome Cast = 5 units</t>
  </si>
  <si>
    <t>Income Statement Fom Feb 24 to Mar 31</t>
  </si>
  <si>
    <t>1PS5 Astro Bot EB Games Online North Ryde Order Canceled</t>
  </si>
  <si>
    <t>1 piece extra sent</t>
  </si>
  <si>
    <t>Purchase BZS trading</t>
  </si>
  <si>
    <t>Purchase from BZS Trading</t>
  </si>
  <si>
    <t>IPHONE 16 128</t>
  </si>
  <si>
    <t>IPHONE 13 128</t>
  </si>
  <si>
    <t>Purchase IN Dubai</t>
  </si>
  <si>
    <t>Star Link V4 =  1 units</t>
  </si>
  <si>
    <t>PS5 with CD Big W Online Rockdale cd Pending</t>
  </si>
  <si>
    <t>Macbook Air M4 15" 24/512 Starlinght Costco Online Pending Delivery</t>
  </si>
  <si>
    <t>Macbook Air M4 15" 24/512 Silver Costco Online Pending Delivery</t>
  </si>
  <si>
    <t>Macbook Air M4 13" 24/512 Sky Blue Costco Online Pending Delivery</t>
  </si>
  <si>
    <t>Meta RW4010 Transitins glasses Sunglass Hut Bankstown</t>
  </si>
  <si>
    <t>20 PK film paper Good Guys Auburn</t>
  </si>
  <si>
    <t>Osmo Action 5 pro Adventure Good Guys Auburn Pending Collection</t>
  </si>
  <si>
    <t>Osmo Pocket 3 Good Guys Auburn Pending Collection</t>
  </si>
  <si>
    <t>Osmo Mobile 7 P Good Guys Auburn Pending Collection</t>
  </si>
  <si>
    <t>RW4006  EYE CONCEPTS MerryLands</t>
  </si>
  <si>
    <t>RW4008 EYE CONCEPTS MerryLands</t>
  </si>
  <si>
    <t>RW4010 Transitions OPSM Parramatta</t>
  </si>
  <si>
    <t>RW4008 Transitions OPSM Parramatta</t>
  </si>
  <si>
    <t>RW 4008 Transitions Sunglass Hut Parramatta</t>
  </si>
  <si>
    <t>RW4006 Sunglass Hut Parramatta</t>
  </si>
  <si>
    <t>RW4010 Transitions Sunglass Hut Parramatta</t>
  </si>
  <si>
    <t>RW4006 Transitions Sunglass Hut Parramatta</t>
  </si>
  <si>
    <t>DJI OSMO Action 5 pro</t>
  </si>
  <si>
    <t>DJI OSMO Mobile 7 P</t>
  </si>
  <si>
    <t xml:space="preserve">   </t>
  </si>
  <si>
    <t>complementry entry 19-april</t>
  </si>
  <si>
    <t xml:space="preserve">Purchase from BZ </t>
  </si>
  <si>
    <t>Purchase cash in Dubai</t>
  </si>
  <si>
    <t>Purchase  best link</t>
  </si>
  <si>
    <t xml:space="preserve">Purchase BZone </t>
  </si>
  <si>
    <t>Meta RaybanTransitions Mix  Myer Sydney</t>
  </si>
  <si>
    <t>RW4006 Matte Dusty Blue  Myer Online Pending Delivery</t>
  </si>
  <si>
    <t>Osmo 7P  Good Guys Castle Hills</t>
  </si>
  <si>
    <t>DJI Mavic Pro3 RC Harvey Norman Castle Hills ($1200 Gift Card )</t>
  </si>
  <si>
    <t>Instax Film 20 Pack Harvey Norman Castle Hills</t>
  </si>
  <si>
    <t>Meta RaybanTransitions Mix  Sunglass Hut Castle Towers</t>
  </si>
  <si>
    <t>RW4006 Matte Dusty Blue 53 David Jones Castle hills</t>
  </si>
  <si>
    <t>Meta RaybanTransitions Mix  Myer Castle Hills</t>
  </si>
  <si>
    <t>Meta RaybanTransitions Mix  OPSM Castle Hills</t>
  </si>
  <si>
    <t>Macbook Air M4 13" 24/512 Sky Blue Costco Online</t>
  </si>
  <si>
    <t>Macbook Air M4 13" 24/512 MidnightCostco Online</t>
  </si>
  <si>
    <t>Airpods 4 ANC Office Works West Ryde</t>
  </si>
  <si>
    <t>Instac Mini12  Camera House Drummy One</t>
  </si>
  <si>
    <t>DJI Mavic Pro 3 RC Harvey Norman North Ryde</t>
  </si>
  <si>
    <t>DJI Mavic Pro 3 RC COMBO Harvey Norman North Ryde</t>
  </si>
  <si>
    <t>Macbook Air M4 15" 24/512 Sky Blue JB HIFI Top Macquare park</t>
  </si>
  <si>
    <t>Macbook Air M4 13" 24/512 Sky Blue JB HIFI Top Macquare park</t>
  </si>
  <si>
    <t>Airpods 4 ANC Office Works Aubrum</t>
  </si>
  <si>
    <t>Instac Mini12   Office Works Aubrum</t>
  </si>
  <si>
    <t>DJI Mavic Pro 3 RC Harvey Norman North Ryde $200 Gift Card</t>
  </si>
  <si>
    <t>DJI Mavic Pro 3 RC COMBO Harvey Norman North Ryde  $200 Gift Card</t>
  </si>
  <si>
    <t>Macbook M3 = 2 units (OLD)</t>
  </si>
  <si>
    <t>DJI Mavic 3 Pro RC Harvey Norman Morre Park</t>
  </si>
  <si>
    <t>DJI Mavic 3 Pro RC Combo Harvey Norman Morre Park</t>
  </si>
  <si>
    <t>Meta Ryban Transitions Harvey Norman Morre Park</t>
  </si>
  <si>
    <t>Instax film wide 10pk Harvey Norman Morre Park</t>
  </si>
  <si>
    <t>Instax film wide 20pk Harvey Norman Morre Park</t>
  </si>
  <si>
    <t>Instax film Square 10 PK Harvey Norman Morre Park</t>
  </si>
  <si>
    <t>Instax film Square 10 PK Black  Harvey Norman Morre Park</t>
  </si>
  <si>
    <t>Instax film Square 10 PK Monochorome Harvey Norman Morre Park</t>
  </si>
  <si>
    <t>Instax film Square 10 PK star Illuminate Harvey Norman Morre Park</t>
  </si>
  <si>
    <t>Instax film Square 10 PK star sunset Harvey Norman Morre Park</t>
  </si>
  <si>
    <t>Instax film Square 10 PK star Rainbow Harvey Norman Morre Park</t>
  </si>
  <si>
    <t>Intax mini link 3 Harvey Norman Morre Park</t>
  </si>
  <si>
    <t>instax Liplay Harvey Norman Morre Park</t>
  </si>
  <si>
    <t>Osmo Mobile 7 P Harvey Norman Morre Park</t>
  </si>
  <si>
    <t>Instax mini EVO  Harvey Norman Morre Park</t>
  </si>
  <si>
    <t>Meta Ryban Transitions  Harvey Norman Alexandria</t>
  </si>
  <si>
    <t>DJI Mavic 3 Pro RC Combo Harvey Norman Alexandria</t>
  </si>
  <si>
    <t>Macbook Air M4 13" 24/512 Sky Blue JBHIFI Moore Park</t>
  </si>
  <si>
    <t xml:space="preserve">INSTAX MINI LINK 3 </t>
  </si>
  <si>
    <t>INSTAX FLIM 10 PACK</t>
  </si>
  <si>
    <t>Meta Ryban Transitions Harvey Norman Broadway</t>
  </si>
  <si>
    <t>DJI Mavic 3 Pro RC Combo Harvey Norman Blacktown</t>
  </si>
  <si>
    <t>DJI Mavic 3 Pro RC  Harvey Norman Blacktown</t>
  </si>
  <si>
    <t>DJI Mavic 3 Pro RC Combo Harvey Norman Liverpool</t>
  </si>
  <si>
    <t>DJI Mavic 3 Pro RC  Harvey Norman Liverpool</t>
  </si>
  <si>
    <t>Meta Ryban Transitions Harvey Norman Liverpool</t>
  </si>
  <si>
    <t>11 piece macbook air 24/512 not purchases but shipped</t>
  </si>
  <si>
    <t>1 piece Extra macbook air 24/512 shipped but not purchased</t>
  </si>
  <si>
    <t>PS5 quantity Changed</t>
  </si>
  <si>
    <t>1 piece Ipad 11 pro 256 wifi short problem</t>
  </si>
  <si>
    <t>for balancing the problem</t>
  </si>
  <si>
    <t>1 piece added later</t>
  </si>
  <si>
    <t>Mac Book Air 13" M4 24/512 Sky Blue Costco Online</t>
  </si>
  <si>
    <t>Macbook Air M3 13" 24/512 Midnight (Exchange with 13 inch M4)</t>
  </si>
  <si>
    <t xml:space="preserve"> 5 solved 4 need to be purchased</t>
  </si>
  <si>
    <t>2 piece problem remeining</t>
  </si>
  <si>
    <t xml:space="preserve"> solved</t>
  </si>
  <si>
    <t>Australia GST received  @ 2.33</t>
  </si>
  <si>
    <t>Meta quest 3-512 Batman</t>
  </si>
  <si>
    <t>Income Statement For April-2025</t>
  </si>
  <si>
    <t>Commision Charges</t>
  </si>
  <si>
    <t>Carray Charges</t>
  </si>
  <si>
    <t>Received on 30-April</t>
  </si>
  <si>
    <t xml:space="preserve">MacBook Air 13 M4 24/512 GB </t>
  </si>
  <si>
    <t>17-april shipment extra piece shipped but not purcahses at that time</t>
  </si>
  <si>
    <t>Told by waheed bhai to purchase 4 units on April 29, 2025</t>
  </si>
  <si>
    <t>OLD remaining Units Told by Waheed Bhai 2 extra for balancing 2 extra unsolved entries</t>
  </si>
  <si>
    <t>Meta Rayban Transitions  Sunglass Hutt BanksTown</t>
  </si>
  <si>
    <t>Ipad 11 pro Wifi 256 =  1 unit (Missing)</t>
  </si>
  <si>
    <t>MacBook Air 15 M3 24/512 = 13 units</t>
  </si>
  <si>
    <t>PlayStation Portal = 3 units</t>
  </si>
  <si>
    <t>Complementary with PS5</t>
  </si>
  <si>
    <t>Game CDs = 78 Units</t>
  </si>
  <si>
    <t>NINJA BLAST BLENDER = 2 units</t>
  </si>
  <si>
    <t>INSTAX FLIM 20 PACK = 26 units</t>
  </si>
  <si>
    <t>RW4006 Matte Dusty Blue 50 - Sunglass Hutt Castle Hills</t>
  </si>
  <si>
    <t>Transitions Graphite Green - Sunglass Hutt Castle Hills</t>
  </si>
  <si>
    <t>RW4006 Matte Dusty Blue 50 - OPSM Castle Hills</t>
  </si>
  <si>
    <t>Wayfarer Shiny Black Clear 4006 - JBHIFI Castle hills</t>
  </si>
  <si>
    <t>IPHONE CABLE</t>
  </si>
  <si>
    <t>Purchased from Shehzad</t>
  </si>
  <si>
    <t>INSTAX FLIM 10 PACK = 37 units  in duabai 25 (12 short)</t>
  </si>
  <si>
    <t>MacBook Air 13 inch 24/512 = 35 units</t>
  </si>
  <si>
    <t>Macbook Air 15 M4 24/512 GB = 13 units</t>
  </si>
  <si>
    <t>Rayban Glasses = 39 units</t>
  </si>
  <si>
    <t>IPHONE 13 128 gb : 5 units (Purchased for karachi Office)</t>
  </si>
  <si>
    <t>IPHONE CABLE: 108 units</t>
  </si>
  <si>
    <t>Cancel</t>
  </si>
  <si>
    <t>returned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</si>
  <si>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</si>
  <si>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</si>
  <si>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</si>
  <si>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</si>
  <si>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</si>
  <si>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GOOGLE TV STREAMER</t>
  </si>
  <si>
    <t>Purchase in NZ</t>
  </si>
  <si>
    <t>Received on 13-May</t>
  </si>
  <si>
    <t>Purchase from BZ</t>
  </si>
  <si>
    <t>Canon Camera Noel Leeming</t>
  </si>
  <si>
    <t>Osmo Pocket 3 Noel Leeming</t>
  </si>
  <si>
    <t>Osmo Pocket 3 Creator Combo Noel Leeming</t>
  </si>
  <si>
    <t>CANON CAMERA</t>
  </si>
  <si>
    <t>DJI OSMO POCKET 3 COMBO</t>
  </si>
  <si>
    <t>RW4006 Matte Dusty Blue 53 David Jones Castle hills  (1 piece refund)</t>
  </si>
  <si>
    <r>
      <t>Macbook Air M4 13" 24/512 Sky Blue JB HIFI Top Ryde  (</t>
    </r>
    <r>
      <rPr>
        <b/>
        <sz val="11"/>
        <color theme="1"/>
        <rFont val="Aptos Narrow"/>
        <family val="2"/>
        <scheme val="minor"/>
      </rPr>
      <t>Refund)</t>
    </r>
  </si>
  <si>
    <t>Macbook Air M4 15" 24/512 Sky Blue JB HIFI Top Ryde Refund)</t>
  </si>
  <si>
    <t>Transitions Graphite Green Myer Parramatta</t>
  </si>
  <si>
    <t>Transitions Graphite Green JBHIFI Broadway</t>
  </si>
  <si>
    <t>Transitions mix Sunglass Hutt Parramatta</t>
  </si>
  <si>
    <t>Transitions Graphite Green Myer Macquarie Park</t>
  </si>
  <si>
    <t>Canon GX70 Digi Direct</t>
  </si>
  <si>
    <t>Canon SX740  Harvey norman Moore Park</t>
  </si>
  <si>
    <t>DJI Mavic 4 Pro RC Combo  Harvey norman Moore Park</t>
  </si>
  <si>
    <t>DJI Mavic 3 Pro RC Combo  Harvey norman Moore Park</t>
  </si>
  <si>
    <t>DJI Mavic 3 Pro RC  Harvey norman Moore Park</t>
  </si>
  <si>
    <t>Instax mini 12   Office Works Castle Hills</t>
  </si>
  <si>
    <t>10 pending</t>
  </si>
  <si>
    <t>DJI Mic 2  JBHIFI Merrylands</t>
  </si>
  <si>
    <t>DJI Mic 2   JBHIFI Castle hills</t>
  </si>
  <si>
    <t>DJI Mic 2  JBHIFI Castle hills</t>
  </si>
  <si>
    <t>Meta Transitions Wayfarer Sunglass Hutt Castle Hills</t>
  </si>
  <si>
    <t>Rayban Wayfarer   Sunglass Hutt Castle Hills</t>
  </si>
  <si>
    <t>DJI MIC 2</t>
  </si>
  <si>
    <t>Canon SX740  JB HIFI Parramatta</t>
  </si>
  <si>
    <t>DJI MIC 2   JB HIFI Parramatta</t>
  </si>
  <si>
    <t>DJI MIC 2  JB HIFI Macquarie Park</t>
  </si>
  <si>
    <t>DJI MIC 2 MobilieCiti</t>
  </si>
  <si>
    <t>Osmo Pocket 3 Combo  MobilieCiti</t>
  </si>
  <si>
    <t>Osmo Pocket 3 Combo  DJI Macquarie</t>
  </si>
  <si>
    <t>DJI MIC 2    DJI Macquarie</t>
  </si>
  <si>
    <t>CANON GX70</t>
  </si>
  <si>
    <t>CANON SX740</t>
  </si>
  <si>
    <t>DJI MAVIC 4 PRO COMBO</t>
  </si>
  <si>
    <t>RAYBAN WAYFARER</t>
  </si>
  <si>
    <t>Received on 22-May</t>
  </si>
  <si>
    <t>VR</t>
  </si>
  <si>
    <t>return</t>
  </si>
  <si>
    <t>2 return</t>
  </si>
  <si>
    <t>Sale Karachi</t>
  </si>
  <si>
    <t>IPHONE 16 PRO MAX 256 GB</t>
  </si>
  <si>
    <t>META QUEST 3 512 GB</t>
  </si>
  <si>
    <t xml:space="preserve">BEATS PRO 2 </t>
  </si>
  <si>
    <t>Purchased Owais Houston</t>
  </si>
  <si>
    <t>1 extra for adjustment</t>
  </si>
  <si>
    <t>1 extra for adj</t>
  </si>
  <si>
    <t>Purchased Shehzad Aslam</t>
  </si>
  <si>
    <t>Faisal Bhai Friend</t>
  </si>
  <si>
    <t>Purchase Shehzad Aslam</t>
  </si>
  <si>
    <t>gaming</t>
  </si>
  <si>
    <t>CS ,Fifa, takken, Chess</t>
  </si>
  <si>
    <t>brand ambassadors from each university</t>
  </si>
  <si>
    <t>ashar</t>
  </si>
  <si>
    <t xml:space="preserve">Hackaton </t>
  </si>
  <si>
    <t xml:space="preserve">speed coding </t>
  </si>
  <si>
    <t>top 5 will give HR interview</t>
  </si>
  <si>
    <t>Cyber Security</t>
  </si>
  <si>
    <t>hack the box</t>
  </si>
  <si>
    <t xml:space="preserve">Try Hack ME </t>
  </si>
  <si>
    <t>Quiz</t>
  </si>
  <si>
    <t>2nd competetion</t>
  </si>
  <si>
    <t>Final yar project representation</t>
  </si>
  <si>
    <t>ideas pitching competition</t>
  </si>
  <si>
    <t xml:space="preserve">kagggle </t>
  </si>
  <si>
    <t xml:space="preserve">single round </t>
  </si>
  <si>
    <t xml:space="preserve">judgment </t>
  </si>
  <si>
    <t>AI</t>
  </si>
  <si>
    <t xml:space="preserve">photography </t>
  </si>
  <si>
    <t>videography</t>
  </si>
  <si>
    <t xml:space="preserve">google form with points kis ko kia aata hay </t>
  </si>
  <si>
    <t xml:space="preserve">Dib Card entries </t>
  </si>
  <si>
    <t>Rehmey mamu entries for last 3 days</t>
  </si>
  <si>
    <t xml:space="preserve">owais houston  ledger </t>
  </si>
  <si>
    <t>waheed bhai entries</t>
  </si>
  <si>
    <t>Maaz</t>
  </si>
  <si>
    <t>Ashar</t>
  </si>
  <si>
    <t>Mock interviews with HRs  (Saim)</t>
  </si>
  <si>
    <t>Workshop for Linkedin Optimization  (Saim)</t>
  </si>
  <si>
    <t>Abdul rehman</t>
  </si>
  <si>
    <t>Bug Bounty (Khuzaima)</t>
  </si>
  <si>
    <t>Khuzaima</t>
  </si>
  <si>
    <t>wrong entry</t>
  </si>
  <si>
    <t>no Sale</t>
  </si>
  <si>
    <t xml:space="preserve">Starlink V4 200 * $492 </t>
  </si>
  <si>
    <t>Mini EVO 100 * $329</t>
  </si>
  <si>
    <t>Canon 740 qty 10* $745</t>
  </si>
  <si>
    <t>DJI Mic 2 Dual Microphone Combo</t>
  </si>
  <si>
    <t>Received on June-03</t>
  </si>
  <si>
    <t>Income Statement For May-2025</t>
  </si>
  <si>
    <t>Meta quest 3s 128 GB</t>
  </si>
  <si>
    <t>Google Streamer 250 * $149</t>
  </si>
  <si>
    <t>Received on June-11</t>
  </si>
  <si>
    <t>Purchased Hajvery</t>
  </si>
  <si>
    <t>Purchased K Phone</t>
  </si>
  <si>
    <t>Pakistan</t>
  </si>
  <si>
    <t>p</t>
  </si>
  <si>
    <t>Cash Purchase Dubai</t>
  </si>
  <si>
    <t>Jan</t>
  </si>
  <si>
    <t>NZ return</t>
  </si>
  <si>
    <t>refund to WB</t>
  </si>
  <si>
    <t>TOTAL</t>
  </si>
  <si>
    <t xml:space="preserve">Starlink V4  * $492 </t>
  </si>
  <si>
    <t>Details</t>
  </si>
  <si>
    <t>Amount</t>
  </si>
  <si>
    <t>Chemist WareHouse AUD 246.86</t>
  </si>
  <si>
    <t>Smart Care AUS 5.0 AUD</t>
  </si>
  <si>
    <t>Bunnings Group LTD 549 AUD</t>
  </si>
  <si>
    <t>Bunnings -9453(NZD 4.00)</t>
  </si>
  <si>
    <t>Waheed Bhai</t>
  </si>
  <si>
    <t>Dubai Electricity AE</t>
  </si>
  <si>
    <t>DU Apple Pay, AE</t>
  </si>
  <si>
    <t>Expense</t>
  </si>
  <si>
    <t>Office Works 0234(AUD 2089.99)</t>
  </si>
  <si>
    <t>The Good Guys AUD 2203</t>
  </si>
  <si>
    <t>AGODA.COM SOFITEL SH, GB</t>
  </si>
  <si>
    <t>TST* FILLI CAFÉ 2 USD 3.24</t>
  </si>
  <si>
    <t>ASHRAS KITCHEN USD 7.02</t>
  </si>
  <si>
    <t>ASHRAS KITCHEN USD 22.19</t>
  </si>
  <si>
    <t>COMFPRT INNS USD 134.79</t>
  </si>
  <si>
    <t>DU-MBA -DU</t>
  </si>
  <si>
    <t>UBER</t>
  </si>
  <si>
    <t>CAFÉ</t>
  </si>
  <si>
    <t>FLIX USD 46.97</t>
  </si>
  <si>
    <t>TIGER MART USD 7.56</t>
  </si>
  <si>
    <t>AGODA.COM COMFORT IN USD 249.39</t>
  </si>
  <si>
    <t>FLIX USD 50.97</t>
  </si>
  <si>
    <t>SHELL OIL</t>
  </si>
  <si>
    <t>EMIRATES AI USD 602.4</t>
  </si>
  <si>
    <t>FILLI CAFÉ</t>
  </si>
  <si>
    <t>WM SUPERCENTER USD 15.71</t>
  </si>
  <si>
    <t>STUDENT BIRWANI</t>
  </si>
  <si>
    <t>EMIRATES AI USD 200.00</t>
  </si>
  <si>
    <t>POS PURCHASE JB HIFI HILL ST AUCKLAND</t>
  </si>
  <si>
    <t>POS PURCHASE HARVEY NORMAN NORTH RYDE</t>
  </si>
  <si>
    <t>INHOUSE CHEQUE DEBIT</t>
  </si>
  <si>
    <t>CREDIT CARD DIB</t>
  </si>
  <si>
    <t>DIB</t>
  </si>
  <si>
    <t>Purchase Wajhat</t>
  </si>
  <si>
    <t>Purchase Turbo</t>
  </si>
  <si>
    <t xml:space="preserve"> Purchase Zeeshan</t>
  </si>
  <si>
    <t>Sale Ret from Zeeshan</t>
  </si>
  <si>
    <t>Canon SX740 Photo Warehouse online  Pending Delivery</t>
  </si>
  <si>
    <t>Osmo Pocket 3 Combo Harvey Norman Moorepark</t>
  </si>
  <si>
    <t>Osmo Pocket 3  Harvey Norman Moorepark</t>
  </si>
  <si>
    <t>Canon SX740 Harvey Norman Moorepark</t>
  </si>
  <si>
    <t>DJI Mic 2 Harvey Norman Moorepark</t>
  </si>
  <si>
    <t>Mavic 4 Pro Harvey Norman Moorepark</t>
  </si>
  <si>
    <t>Mavic 4 Pro combo Harvey Norman Moorepark</t>
  </si>
  <si>
    <t>Mavic 3 Pro Harvey Norman Moorepark</t>
  </si>
  <si>
    <t>Mavic 3 Pro combo Harvey Norman Moorepark</t>
  </si>
  <si>
    <t>Mavic 4 Pro combo Harvey Norman Broadway</t>
  </si>
  <si>
    <t>Mavic 4 Pro Harvey Norman Broadway</t>
  </si>
  <si>
    <t xml:space="preserve">DJI MAVIC 4 PRO </t>
  </si>
  <si>
    <t>PS5 Console COSTCO</t>
  </si>
  <si>
    <t>PS5 Controller COSTCO</t>
  </si>
  <si>
    <t>PS5 Console EB Games Merrylands Pending Collection</t>
  </si>
  <si>
    <t>PS5 Console JBHIFI Parramatta</t>
  </si>
  <si>
    <t>PS5 Console EB Games Parramatta</t>
  </si>
  <si>
    <t>Canon SX740 Digi Direct Parramatta</t>
  </si>
  <si>
    <t>GM II Lense Digi Direct Parramatta Pending Collection</t>
  </si>
  <si>
    <t>SONY GM II Lense</t>
  </si>
  <si>
    <t>DJI Mic 2 Mobile Citi</t>
  </si>
  <si>
    <t>PS5 Console EB Games Bankstown</t>
  </si>
  <si>
    <t>PS5 Console JBHIFI Bankstown Pending Collection Merrylands</t>
  </si>
  <si>
    <t>shipping</t>
  </si>
  <si>
    <t>647,000 PKR @80 from Ahsan to Raaz Pending</t>
  </si>
  <si>
    <t>For blancing two extra pieces to be corrected</t>
  </si>
  <si>
    <t>Income Statement For June-2025</t>
  </si>
  <si>
    <t>Meta Quest 3 512 GB</t>
  </si>
  <si>
    <t xml:space="preserve">Meta Quest 3 256 GB </t>
  </si>
  <si>
    <t>PS5 Pro</t>
  </si>
  <si>
    <t>PS5 Disc</t>
  </si>
  <si>
    <t>PS5 Digital</t>
  </si>
  <si>
    <t>Zeeshan Dubai Tower</t>
  </si>
  <si>
    <t>Canon SX740 Harvey Norman Tawoomba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</si>
  <si>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</si>
  <si>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</si>
  <si>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</si>
  <si>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</si>
  <si>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</si>
  <si>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</si>
  <si>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</si>
  <si>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</si>
  <si>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</si>
  <si>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</si>
  <si>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</si>
  <si>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</si>
  <si>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</si>
  <si>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</si>
  <si>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</si>
  <si>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</si>
  <si>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</si>
  <si>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</si>
  <si>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</si>
  <si>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</si>
  <si>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</si>
  <si>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</si>
  <si>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</si>
  <si>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NZ Visit Expense Noel Leeming </t>
  </si>
  <si>
    <t xml:space="preserve">starlink V4 Noel Leeming </t>
  </si>
  <si>
    <t xml:space="preserve">Instax Wide 400 Noel Leeming </t>
  </si>
  <si>
    <t>Delivery Noel Leeming delivery charges</t>
  </si>
  <si>
    <t>CANON G7X Mark II</t>
  </si>
  <si>
    <t>CANON G7X Mark III</t>
  </si>
  <si>
    <t>35 mm Lense</t>
  </si>
  <si>
    <t xml:space="preserve">Canon SX740 Photo Warehouse online </t>
  </si>
  <si>
    <t>received on 11-july-2025</t>
  </si>
  <si>
    <t xml:space="preserve">San Disk 64 GB SD card </t>
  </si>
  <si>
    <t>Skyline V2 Pouch</t>
  </si>
  <si>
    <t>Gift Account</t>
  </si>
  <si>
    <t xml:space="preserve">meta quest 3s 128 </t>
  </si>
  <si>
    <t xml:space="preserve">ps5 pro </t>
  </si>
  <si>
    <t>ps5 disc</t>
  </si>
  <si>
    <t xml:space="preserve"> 2 problem</t>
  </si>
  <si>
    <t>for Software matching (OLD missed Entry)</t>
  </si>
  <si>
    <t xml:space="preserve">Purchase Karachi PKR </t>
  </si>
  <si>
    <t>received on 15-july-2025</t>
  </si>
  <si>
    <t>loss</t>
  </si>
  <si>
    <t>meta quest 3s 512</t>
  </si>
  <si>
    <t>USA (Owais Houston)[882858587862]</t>
  </si>
  <si>
    <t>Meta Quest 3s 512</t>
  </si>
  <si>
    <t>DJI Mic 2 Dual Microphone Combo (refund)</t>
  </si>
  <si>
    <t>meta quest 3 512</t>
  </si>
  <si>
    <t>Canon SX740 Digi Direct Parramatta 3 collected 1 pending</t>
  </si>
  <si>
    <t>OLD Purchase</t>
  </si>
  <si>
    <t>purchase July 29</t>
  </si>
  <si>
    <t>Refunded 15/07/2025</t>
  </si>
  <si>
    <t>PS5 Console Noel Leeming</t>
  </si>
  <si>
    <t>PS5 Controller Noel Leeming</t>
  </si>
  <si>
    <t>CANON IXUS 285</t>
  </si>
  <si>
    <t>Mavic 3 Pro RC Harvey Norman Moorepark</t>
  </si>
  <si>
    <t>DJI mini 4K Fly more Combo Harvey Norman Moorepark</t>
  </si>
  <si>
    <t>DJI MINI 4 PRO RC Harvey Norman Moorepark</t>
  </si>
  <si>
    <t>CANON IXUS 285 Harvey Norman Moorepark</t>
  </si>
  <si>
    <t>CANON SX740 Harvey Norman Moorepark</t>
  </si>
  <si>
    <t>CANON SX740 Harvey Norman OSBORNE PARK</t>
  </si>
  <si>
    <t>MARK II  Harvey Norman OSBORNE PARK</t>
  </si>
  <si>
    <t>CANON SX740 Harvey Norman McGrath Hills</t>
  </si>
  <si>
    <t>DJI mini 4K Fly more Combo  Harvey Norman McGrath Hills</t>
  </si>
  <si>
    <t>PS5 Console Bundle Digital  EB Games Merrylands</t>
  </si>
  <si>
    <t>PS5 Console Bundle Disc  EB Games Parramatta</t>
  </si>
  <si>
    <t>PS5 Controller Wireless  JBHIFI Merrylands</t>
  </si>
  <si>
    <t>PS5 Console Bundle Disc JBHIFI Merrylands</t>
  </si>
  <si>
    <t>PS5 Console Bundle Disc JBHIFI Parramatta</t>
  </si>
  <si>
    <t>PS5 Console Bundle Digital JBHIFI Parramatta</t>
  </si>
  <si>
    <t>DJI MINI 4k FLY MORE COMBO</t>
  </si>
  <si>
    <t xml:space="preserve">DJI MINI 4 PRO </t>
  </si>
  <si>
    <t>received on 29 July-2025</t>
  </si>
  <si>
    <t>PS5 Bundle Digital Big W Macquarie Centre</t>
  </si>
  <si>
    <t>PS5 Bundle Digital EB Games Macquarie park</t>
  </si>
  <si>
    <t>PS5 Bundle Digital EB Games Rhodes</t>
  </si>
  <si>
    <t>PS5 Bundle Digital JBHIFI Top Ryde</t>
  </si>
  <si>
    <t>PS5 Bundle Digital Big W Top Ryde</t>
  </si>
  <si>
    <t>PS5 Bundle Digital JBHIFI Top Macquarie Park</t>
  </si>
  <si>
    <t>PS5 Bundle Digital EB Games Merrylands Pending Collection</t>
  </si>
  <si>
    <t>PS5 Bundle Digital EB Games Roselands  Pending Collection</t>
  </si>
  <si>
    <t>PS5 Bundle Digital Big W Top Ryde Online  Pending Collection</t>
  </si>
  <si>
    <t>PURCHASE MOONSTRIKE</t>
  </si>
  <si>
    <t>Lenses Canon Progear Pending Collection</t>
  </si>
  <si>
    <t>Mark III Rubber Monkey online Pending Delivery Abdul NL</t>
  </si>
  <si>
    <t>SX740 Noel Leeming  $4000 Deposit Paid</t>
  </si>
  <si>
    <t>G7X MARK III Black Progear Pending Collection</t>
  </si>
  <si>
    <t>G7X MARK III Silver Progear Pending Collection</t>
  </si>
  <si>
    <t>29/072025</t>
  </si>
  <si>
    <t>G7X MARK III Silver Auckland Camera centre</t>
  </si>
  <si>
    <t>CANON LENSE</t>
  </si>
  <si>
    <t>StarLink Mini</t>
  </si>
  <si>
    <t>NewZeland (OLD PURCHASING)</t>
  </si>
  <si>
    <t>StarLink Mini (OLD Purchsing)</t>
  </si>
  <si>
    <t>entry on 01,august</t>
  </si>
  <si>
    <t>OLD PURCHSING</t>
  </si>
  <si>
    <t>RECEIVE ON 1-08-2025</t>
  </si>
  <si>
    <t>RECEIVE ON 1-08-2026</t>
  </si>
  <si>
    <t>RECEIVE ON 1-08-2027</t>
  </si>
  <si>
    <t>RECEIVE ON 1-08-2028</t>
  </si>
  <si>
    <t>RECEIVE ON 1-08-2029</t>
  </si>
  <si>
    <t>RECEIVE ON 1-08-2030</t>
  </si>
  <si>
    <t>RECEIVE ON 1-08-2031</t>
  </si>
  <si>
    <t>RECEIVE ON 1-08-2032</t>
  </si>
  <si>
    <t>RECEIVE ON 1-08-2033</t>
  </si>
  <si>
    <t>RECEIVE ON 1-08-2034</t>
  </si>
  <si>
    <t>RECEIVE ON 1-08-2035</t>
  </si>
  <si>
    <t>RECEIVE ON 1-08-2036</t>
  </si>
  <si>
    <t>Ipad Pro 13" W+C Black 256gb</t>
  </si>
  <si>
    <t>Apple Watch Ultra 2 49mm</t>
  </si>
  <si>
    <t>Purchase Muadassir</t>
  </si>
  <si>
    <t>Invoice 08</t>
  </si>
  <si>
    <t>Ipad Pro 13" W+C Black 512gb</t>
  </si>
  <si>
    <t>Invoice 09</t>
  </si>
  <si>
    <t>Ipad Air M3 128gb</t>
  </si>
  <si>
    <t>Ipad Pro 13" W+C  2TB</t>
  </si>
  <si>
    <t>Iphone 16 Pro 1TB</t>
  </si>
  <si>
    <t>Iphone 16 PM 512 GB</t>
  </si>
  <si>
    <t>iPhone 16 256</t>
  </si>
  <si>
    <t xml:space="preserve">Iwatch Series 10 42mm </t>
  </si>
  <si>
    <t xml:space="preserve">Iwatch Series 10 46mm </t>
  </si>
  <si>
    <t>Samsung Galaxy S25 Ultra 256</t>
  </si>
  <si>
    <t>Invoice 10</t>
  </si>
  <si>
    <t>Samsung Galaxy S25 plus 256</t>
  </si>
  <si>
    <t>Income Statement For July-2025</t>
  </si>
  <si>
    <t>Newzealand Expense</t>
  </si>
  <si>
    <t>USA Expense</t>
  </si>
  <si>
    <t>Karachi Office Expense</t>
  </si>
  <si>
    <t>Samsung Galaxy S25 Ultra 512</t>
  </si>
  <si>
    <t>Iphone 16 PM 1TB</t>
  </si>
  <si>
    <t>pro max 256 DT</t>
  </si>
  <si>
    <t>pro max 256 BT</t>
  </si>
  <si>
    <t>pro max 256 NT</t>
  </si>
  <si>
    <t>16 plus 128 pink</t>
  </si>
  <si>
    <t>16 plus 128 white</t>
  </si>
  <si>
    <t>16 pro BT 128</t>
  </si>
  <si>
    <t>16 pro BT 256</t>
  </si>
  <si>
    <t>pro max 512 BT</t>
  </si>
  <si>
    <t>pro max 1tb DT</t>
  </si>
  <si>
    <t>pro max 512 DT</t>
  </si>
  <si>
    <t>16 pro NT 128</t>
  </si>
  <si>
    <t>16 pro WT 256</t>
  </si>
  <si>
    <t>16 128 TL</t>
  </si>
  <si>
    <t>16 128 UMR</t>
  </si>
  <si>
    <t>16 256 UMR</t>
  </si>
  <si>
    <t xml:space="preserve"> </t>
  </si>
  <si>
    <t>S25 ultra 256</t>
  </si>
  <si>
    <t>Watch ultra 2 49mm</t>
  </si>
  <si>
    <t>moin invoice in excel</t>
  </si>
  <si>
    <t>invoice 12 purchase</t>
  </si>
  <si>
    <t>Invoice 11</t>
  </si>
  <si>
    <t>Invoice 12</t>
  </si>
  <si>
    <t>Iphone 16 Plus 128gb</t>
  </si>
  <si>
    <t xml:space="preserve">Nintendo Mario </t>
  </si>
  <si>
    <t>Jbl vibe flex 2</t>
  </si>
  <si>
    <t>Jbl Vibe Flex 2</t>
  </si>
  <si>
    <t>XBOX SERIES X 1TB Black (Disc)</t>
  </si>
  <si>
    <t>Nintendo switch 2 (Mario)</t>
  </si>
  <si>
    <t>iPad 13 pro w+c 256</t>
  </si>
  <si>
    <t>IPad Air 11 M3 128 wifi </t>
  </si>
  <si>
    <t>AirPods Max</t>
  </si>
  <si>
    <t>3 iPad 13 pro w+c 256</t>
  </si>
  <si>
    <t xml:space="preserve">1 watch ultra 2 </t>
  </si>
  <si>
    <t>Shazad bhai</t>
  </si>
  <si>
    <t>Ipad pro 11,W+C 1TB</t>
  </si>
  <si>
    <t>iPhone 16 plus 512gb</t>
  </si>
  <si>
    <t>iPhone16 Pro 512</t>
  </si>
  <si>
    <t>Invoice 13</t>
  </si>
  <si>
    <t>Xbox X Series 1TB</t>
  </si>
  <si>
    <t>Ipad Air 11'' M3 128gb</t>
  </si>
  <si>
    <t>Airpods Max</t>
  </si>
  <si>
    <t>iPhone16 Pro 128gb</t>
  </si>
  <si>
    <t>iPhone16 Pro 256gb</t>
  </si>
  <si>
    <t>Invoice 8,9,10</t>
  </si>
  <si>
    <t>invoice 13</t>
  </si>
  <si>
    <t>iphone 16 pro max sold mubashir 232000</t>
  </si>
  <si>
    <t>iphone 16 pro max purchase ibs</t>
  </si>
  <si>
    <t xml:space="preserve">iphone 16 pro max purchase </t>
  </si>
  <si>
    <t>iphone 16 pro max sold Mobail Marchant 137 232000</t>
  </si>
  <si>
    <t>iphone 16 pro max sold waqas mt 232000</t>
  </si>
  <si>
    <t>iphone 16 pro max sold sumair pasta 215000</t>
  </si>
  <si>
    <t>iphone 16 pro max sold faizan ground 216000</t>
  </si>
  <si>
    <t>iphone 16 pro max sold faizan ground 226000</t>
  </si>
  <si>
    <t>iphone 16 pro max sold faizan thatta 224500</t>
  </si>
  <si>
    <t>iphone 16 pro max sold rana malir 235000</t>
  </si>
  <si>
    <t>iphone 16 pro max sold a,rehman customer 235000</t>
  </si>
  <si>
    <t>iphone 16 pro max sold owais customer 235000</t>
  </si>
  <si>
    <t>iphone 16 pro max sold hamza bawani 235000</t>
  </si>
  <si>
    <t>iphone 16 pro max sold sagar 459 214000</t>
  </si>
  <si>
    <t>iphone 16 pro max sold faizan ground 235000</t>
  </si>
  <si>
    <t>iphone 16 pro max sold bilal sumair pasta 225000</t>
  </si>
  <si>
    <t>iphone 16 pro max sold bilal sumair pasta 214000</t>
  </si>
  <si>
    <t>PS5 Console Bundle Digital</t>
  </si>
  <si>
    <t>PS5 Console Bundle Digital JBHIFI City Westfield</t>
  </si>
  <si>
    <t>PS5 Console Bundle Disc Big W Town Hall</t>
  </si>
  <si>
    <t>PS5 Console Bundle Digital EB Games City</t>
  </si>
  <si>
    <t>PS5 Console Bundle Digital EB Games Parramatta</t>
  </si>
  <si>
    <t>Instax mini 12 pack mini paper Good Guys</t>
  </si>
  <si>
    <t>Instax mini paper 60 pack Good Guys</t>
  </si>
  <si>
    <t>Instax 20 pack mini paper Good Guys</t>
  </si>
  <si>
    <t>SX740 JBHIFI City Westfield Pending Delivery</t>
  </si>
  <si>
    <t>Instax mini 12 Good Guys</t>
  </si>
  <si>
    <t>SX740 progear Deposit/ Pending Stock</t>
  </si>
  <si>
    <t>SX740 photogear Deposit/ Pending Stock</t>
  </si>
  <si>
    <t>PS5 Bundle Digital Big W Top Ryde Online  Pending Collection (2 Refund)</t>
  </si>
  <si>
    <t>Big W Top Ryde Online</t>
  </si>
  <si>
    <t>Refund</t>
  </si>
  <si>
    <t>REFUND</t>
  </si>
  <si>
    <t>Instax Mini EVO Office Works Auburn</t>
  </si>
  <si>
    <t>Starlink V4 Office Works Castle Hills</t>
  </si>
  <si>
    <t>Starlink V4 Bunnings Simithfield</t>
  </si>
  <si>
    <t>Starlink V4 Bunnings Lidcomb</t>
  </si>
  <si>
    <t>Starlink V4 JBHIFI Macquarie</t>
  </si>
  <si>
    <t>Starlink V4 Bunnings Sunshine Pending Delivery</t>
  </si>
  <si>
    <t>NZ Trip Expense</t>
  </si>
  <si>
    <t>G7x Mark III Black Auckland Camera</t>
  </si>
  <si>
    <t>G7x Mark III Black Photo Warehouse Online</t>
  </si>
  <si>
    <t>G7x Mark III Black Progear Online</t>
  </si>
  <si>
    <t>Starlink V4 Bunnings Manukau</t>
  </si>
  <si>
    <t>Starlink V4 Bunnings Westgate</t>
  </si>
  <si>
    <t>Starlink V4 Bunnings Mount Roskills</t>
  </si>
  <si>
    <t>Starlink V4 Bunnings New Lynn</t>
  </si>
  <si>
    <t>Starlink V4 Bunnings Glenfield</t>
  </si>
  <si>
    <t>Starlink V4 Bunnings Mt Wellington</t>
  </si>
  <si>
    <t>Starlink V4 Bunnings Botany</t>
  </si>
  <si>
    <t>Starlink V4 Bunnings North Shore</t>
  </si>
  <si>
    <t>Starlink V4 Harvey Norman Mount Roskills</t>
  </si>
  <si>
    <t>Instax mini EVO Black Noel Leeming Pending Delivery</t>
  </si>
  <si>
    <t>PURCHASE HAZARTO</t>
  </si>
  <si>
    <t>Purchased Hazarto</t>
  </si>
  <si>
    <t>30ok</t>
  </si>
  <si>
    <t xml:space="preserve">Return from Hazarto </t>
  </si>
  <si>
    <t>old purchase mudassir AR</t>
  </si>
  <si>
    <t>return from Hazrato old</t>
  </si>
  <si>
    <t xml:space="preserve">5- skyline v2 pouch </t>
  </si>
  <si>
    <t xml:space="preserve">78-cds dragonage </t>
  </si>
  <si>
    <t>65-wide 400</t>
  </si>
  <si>
    <t xml:space="preserve">13-Starlink high performance </t>
  </si>
  <si>
    <t xml:space="preserve">1-V4 active </t>
  </si>
  <si>
    <t>8-M3 Air 15 24-512</t>
  </si>
  <si>
    <t>2-M3 air 13 24-512</t>
  </si>
  <si>
    <t>9-M4 air 13 24-512</t>
  </si>
  <si>
    <t>2-Dyson</t>
  </si>
  <si>
    <t>31-Dji mini 4K</t>
  </si>
  <si>
    <t>28-dji mini 4k</t>
  </si>
  <si>
    <t xml:space="preserve">5-canon 740 hs </t>
  </si>
  <si>
    <t xml:space="preserve">3-dji Mavic 4 pro standard </t>
  </si>
  <si>
    <t>1-Sony lense FE-70-200mm</t>
  </si>
  <si>
    <t>4-ps5 slim Australia</t>
  </si>
  <si>
    <t xml:space="preserve">1-printer workforce </t>
  </si>
  <si>
    <t xml:space="preserve">2-ninja blender </t>
  </si>
  <si>
    <t>6- Nintendo switch 2</t>
  </si>
  <si>
    <t xml:space="preserve">6-Canon lense RF35 mm F1.8 macro </t>
  </si>
  <si>
    <t xml:space="preserve">1-airpod max </t>
  </si>
  <si>
    <t xml:space="preserve">3-2 tb 13 Pro m4 </t>
  </si>
  <si>
    <t xml:space="preserve">3-256 13 Pro m4 </t>
  </si>
  <si>
    <t xml:space="preserve">1-1 Tb Pro m4 11 </t>
  </si>
  <si>
    <t>1-128 pro m4 11</t>
  </si>
  <si>
    <t xml:space="preserve">1- series 10 46 mm jet black </t>
  </si>
  <si>
    <t>4-ultra 2 49mm NT</t>
  </si>
  <si>
    <t>8- ultra 2 49 mm BT</t>
  </si>
  <si>
    <t xml:space="preserve">1 - S25 ultra 256 </t>
  </si>
  <si>
    <t xml:space="preserve">1-S25 plus 256 </t>
  </si>
  <si>
    <t xml:space="preserve">1-Samsung At&amp;T GS25U </t>
  </si>
  <si>
    <t>1-16 plus 512 teal JV</t>
  </si>
  <si>
    <t>1-watch ultra 2 kit 49mm NT</t>
  </si>
  <si>
    <t xml:space="preserve">16 pm  256 Jv box </t>
  </si>
  <si>
    <t>August 01,2025</t>
  </si>
  <si>
    <t xml:space="preserve"> Purchase Old Mudassir </t>
  </si>
  <si>
    <t>1 extra</t>
  </si>
  <si>
    <t>1  less</t>
  </si>
  <si>
    <t>2 extra</t>
  </si>
  <si>
    <t>Starlink V4 Bunnings Seven Hills</t>
  </si>
  <si>
    <t>Starlink V4 Bunnings Carlingford</t>
  </si>
  <si>
    <t>Starlink V4 Bunnings Gladesville</t>
  </si>
  <si>
    <t>Starlink V4 Bunnings Smithfield</t>
  </si>
  <si>
    <t>Starlink V4 Bunnings Northmead</t>
  </si>
  <si>
    <t>Starlink V4 Bunnings Blacktown</t>
  </si>
  <si>
    <t>Starlink V4 Bunnings Minchinbury</t>
  </si>
  <si>
    <t>Starlink V4 Bunnings Castlehills</t>
  </si>
  <si>
    <t>Starlink V4 Bunnings Dural</t>
  </si>
  <si>
    <t>Starlink V4 Bunnings Thornleigh</t>
  </si>
  <si>
    <t>Starlink V4 Bunnings Pymbal</t>
  </si>
  <si>
    <t>Starlink V4 Bunnings Clyde Noth Melbourne Pending Delivery</t>
  </si>
  <si>
    <t>Starlink V4 Bunnings Port Melbourne Pending Delivery</t>
  </si>
  <si>
    <t>Starlink V4 Bunnings Vermont South Melbourne Pending Delivery</t>
  </si>
  <si>
    <t>Galaxy Tab S10+ 256gb</t>
  </si>
  <si>
    <t>Ipad A16 128gb</t>
  </si>
  <si>
    <t>Apple Watch SE Gen 2</t>
  </si>
  <si>
    <t>Samsung  Z Fold 7 256gb</t>
  </si>
  <si>
    <t xml:space="preserve"> invoice 14</t>
  </si>
  <si>
    <t>Invoice 15</t>
  </si>
  <si>
    <t>Invoice 14</t>
  </si>
  <si>
    <t>RECEIVE ON 15-08-2025</t>
  </si>
  <si>
    <t>invoice 8</t>
  </si>
  <si>
    <t>watch ultra 2</t>
  </si>
  <si>
    <t>invoice 9</t>
  </si>
  <si>
    <t>Galaxy S10+ Tab 256gb Gray</t>
  </si>
  <si>
    <t>invoice 10</t>
  </si>
  <si>
    <t>IPHONE 16 PLUS PNK 128GB (Not For Sale)</t>
  </si>
  <si>
    <t>non active</t>
  </si>
  <si>
    <t>invoice 12</t>
  </si>
  <si>
    <t xml:space="preserve">iphone 16 pro max 256 </t>
  </si>
  <si>
    <t>iphone 16 pro 128</t>
  </si>
  <si>
    <t>Ipad A16 128gb W+C Pink</t>
  </si>
  <si>
    <t>Non Active</t>
  </si>
  <si>
    <t>Ipad A16 128gb W+C blue</t>
  </si>
  <si>
    <t>Iphone 16 PM DT 256gb</t>
  </si>
  <si>
    <t>Non-Active</t>
  </si>
  <si>
    <t>16 pro max 512GB BT</t>
  </si>
  <si>
    <t>Iphone 16 Pro DT 256gb</t>
  </si>
  <si>
    <t>Iphone 16 Pro NT 256gb</t>
  </si>
  <si>
    <t>Iwatch Ultra 2</t>
  </si>
  <si>
    <t>Active</t>
  </si>
  <si>
    <t>Mudassir</t>
  </si>
  <si>
    <t>Swiss Tech</t>
  </si>
  <si>
    <t>Rate Difference</t>
  </si>
  <si>
    <t>PKR Cash</t>
  </si>
  <si>
    <t>PKR from AB MZN</t>
  </si>
  <si>
    <t>PKR from Haseeb M Merchant</t>
  </si>
  <si>
    <t>PKR from Shahnawaz 432</t>
  </si>
  <si>
    <t>PKR from Sumair Pasta</t>
  </si>
  <si>
    <t>RECEIVE ON 20-08-2025</t>
  </si>
  <si>
    <t>PURCHASE B SMART ASAD</t>
  </si>
  <si>
    <t>order cancelled</t>
  </si>
  <si>
    <t>order cancel</t>
  </si>
  <si>
    <t>Starlink V4 Bunnings Vermont South Melbourne Pending Delivery order cancel</t>
  </si>
  <si>
    <t>16/08/20225</t>
  </si>
  <si>
    <t>DJI Mavic 4 Pro Combo Harvey Norman Broadway</t>
  </si>
  <si>
    <t>CANON IXUS285 Harvey Norman Moorepark</t>
  </si>
  <si>
    <t>PS5 BUNDLE DIGITAL Harvey Norman Moorepark</t>
  </si>
  <si>
    <t>DJI MNI 4K FLY More Combo Harvey Norman Moorepark</t>
  </si>
  <si>
    <t>PS5 BUNDLE Disc Harvey Norman Moorepark</t>
  </si>
  <si>
    <t>Starlink V4 Harvey Norman Broadway Pending Dlivery</t>
  </si>
  <si>
    <t>DJI OSMO POCKET 3 Harvey Norman Moorepark collected 16/8/25</t>
  </si>
  <si>
    <t>Mavic 3 Pro RC Harvey Norman Moorepark collected 16/8/25</t>
  </si>
  <si>
    <t>DJI MINI 4 PRO RC Harvey Norman Moorepark collected 16/8/25</t>
  </si>
  <si>
    <t>meta quest 3s 128gb</t>
  </si>
  <si>
    <t xml:space="preserve">meta quest 3 elite strap with battery </t>
  </si>
  <si>
    <t xml:space="preserve"> MacBook M4 Pro Chip 16”24-512</t>
  </si>
  <si>
    <t>MacBook M4 14” 16-512</t>
  </si>
  <si>
    <t>MacBook M4 Pro 14” 24-512</t>
  </si>
  <si>
    <t>Ipad Pro 13" W+C Black 1TB</t>
  </si>
  <si>
    <t>iphone 14 128gb</t>
  </si>
  <si>
    <t>Ipad Air M3 13'' 128gb</t>
  </si>
  <si>
    <t>Canon SX740 JBHIFI Parramatta</t>
  </si>
  <si>
    <t>Starlink V4 Bunnings Packenham Melbourne</t>
  </si>
  <si>
    <t>Starlink V4 Bunnings Perth (Waleed)</t>
  </si>
  <si>
    <t>Starlink V4 Bunnings Sunshine Melbourne Pending Collection</t>
  </si>
  <si>
    <t>RECEIVE ON 26-08-2025</t>
  </si>
  <si>
    <t>Starlink V4 Bunnings Seven Hills Pending Delivery</t>
  </si>
  <si>
    <t>Canon SX740 Pro Gear Pending Collection</t>
  </si>
  <si>
    <t>Canon SX740 Progear Online Pending delivery</t>
  </si>
  <si>
    <t>Canon SX740 Photo Warehouse Online Pending delivery</t>
  </si>
  <si>
    <t>Canon SX740 Rubber Monkey Pending delivery</t>
  </si>
  <si>
    <t>Instax mini EVO Black Noel Leeming Pending delivery</t>
  </si>
  <si>
    <t>Instax mini EVO Brown Noel Leeming Pending delivery</t>
  </si>
  <si>
    <t>Double entry</t>
  </si>
  <si>
    <t>Canon SX740 Photo Warehouse Online Pending (delivered)</t>
  </si>
  <si>
    <t>Canon SX740 Progear Online Pending (delivered)</t>
  </si>
  <si>
    <t>Invoice 17</t>
  </si>
  <si>
    <t>Invoice 16</t>
  </si>
  <si>
    <t>RECEIVE ON 27-08-2025</t>
  </si>
  <si>
    <t>Starlink V4 Bunnings Clyde Noth Melbourne Pending (delivered)</t>
  </si>
  <si>
    <t>Starlink V4 Bunnings Port Melbourne Pending  (Delivered)</t>
  </si>
  <si>
    <t>RECEIVE ON 28-08-2026</t>
  </si>
  <si>
    <t>Onn Single Use Camera</t>
  </si>
  <si>
    <t xml:space="preserve">16 pm dt 1tb </t>
  </si>
  <si>
    <t>issue</t>
  </si>
  <si>
    <t>iPhone 16-E 256gb</t>
  </si>
  <si>
    <t>Invoice 18</t>
  </si>
  <si>
    <t>Invoice 17 remaining piece</t>
  </si>
  <si>
    <t>Invoice 17 rp</t>
  </si>
  <si>
    <t>PURCHASE SKYFITRONICS</t>
  </si>
  <si>
    <t>Return</t>
  </si>
  <si>
    <t>1sold 2 hold with shehzad</t>
  </si>
  <si>
    <t>Income Statement For August-2025</t>
  </si>
  <si>
    <t>Meta Quest Pro 256gb</t>
  </si>
  <si>
    <t>Meta Quest 3S 256gb</t>
  </si>
  <si>
    <t>Meta Quest 3S 512gb</t>
  </si>
  <si>
    <t>PlayStation Portal</t>
  </si>
  <si>
    <t>Macbbook Pro M3 14'' 18-512</t>
  </si>
  <si>
    <t>Starlink V4 Bunnings Multiple Stores</t>
  </si>
  <si>
    <t>Mavic 4 Pro RC DJI Macquarie Park Pending Collection</t>
  </si>
  <si>
    <t>DJI mini 4K Harvey Norman Moorepark $5000 Deposit Paid/ Pending Collection</t>
  </si>
  <si>
    <t>11-aug-25 sold shehzad</t>
  </si>
  <si>
    <t>return from adil 5-aug-25</t>
  </si>
  <si>
    <t>882190243917 (386$ @3.678)</t>
  </si>
  <si>
    <t>882247971323 (525$ @3.678)</t>
  </si>
  <si>
    <t>882279322688 (507$ @3.678)</t>
  </si>
  <si>
    <t>Clearing Charges 3 x 650</t>
  </si>
  <si>
    <t xml:space="preserve">882482082082780 (39$ @3.678) usa to usa </t>
  </si>
  <si>
    <t>882482082780 (500$ @3.678)</t>
  </si>
  <si>
    <t>882523663746 (500$ @3.678)</t>
  </si>
  <si>
    <t>882514974053 (350$ @3.678)</t>
  </si>
  <si>
    <t>Fadex Label Payment</t>
  </si>
  <si>
    <t>Fadex Label Payment (Till 17-aug-2025)</t>
  </si>
  <si>
    <t>RECEIVE ON 06-09-2026</t>
  </si>
  <si>
    <t>PURCHASE FROM WALLET</t>
  </si>
  <si>
    <t>Iphone 16 Plus 256gb</t>
  </si>
  <si>
    <t>Invoice 19</t>
  </si>
  <si>
    <t>Invoice 20</t>
  </si>
  <si>
    <t>Ipad A16 256gb</t>
  </si>
  <si>
    <t>skyfitronics</t>
  </si>
  <si>
    <t>shehzad mughal</t>
  </si>
  <si>
    <t>hmb ahmed</t>
  </si>
  <si>
    <t>cash</t>
  </si>
  <si>
    <t>icloud return</t>
  </si>
  <si>
    <t>3 icloud return</t>
  </si>
  <si>
    <t>cash saeed</t>
  </si>
  <si>
    <t>sumair icloud</t>
  </si>
  <si>
    <t>adil bk matrix</t>
  </si>
  <si>
    <t>Instax mini EVO Black Noel Leeming</t>
  </si>
  <si>
    <t xml:space="preserve">Starlink V4 Noel Leeming </t>
  </si>
  <si>
    <t>Ninja Slushi</t>
  </si>
  <si>
    <t>Ninja Delux Creami</t>
  </si>
  <si>
    <t>Ninja Slushi Good Guys Online</t>
  </si>
  <si>
    <t>Ninja Delux Creami Good Guys Online</t>
  </si>
  <si>
    <t>DJI Mini 4 Pro  DJI RC 2 DJI Macquarie Park</t>
  </si>
  <si>
    <t>DJI Mini 4 Pro Fly More Combo 35 MIN DJI Macquarie Park</t>
  </si>
  <si>
    <t>DJI Mini 4 Pro Fly More Combo 45 MIN DJI Macquarie Park</t>
  </si>
  <si>
    <t>DJI Mavic 4 Pro Fly More Combo DJI Macquarie Park</t>
  </si>
  <si>
    <t>DJI Mini 4 Pro  DJI RC 2 Harvey Norman Moorepark</t>
  </si>
  <si>
    <t>Canon IXUS 285 Harvey Norman Moorepark</t>
  </si>
  <si>
    <t>Ninja Blender</t>
  </si>
  <si>
    <t>Dji Mini 4 Pro FMC 35 MIN</t>
  </si>
  <si>
    <t>Dji Mini 4 Pro FMC 45 MIN</t>
  </si>
  <si>
    <t>Osmo Pocket 3 Harvey Norman Moorepark</t>
  </si>
  <si>
    <t>DJI Mavic 4 Pro RC Harvey Norman Moorepark</t>
  </si>
  <si>
    <t>DJI mini 4K Fly more combo Harvey Norman Moorepark</t>
  </si>
  <si>
    <t>DJI Mavic 4 Pro Fly More Combo Harvey Norman Moorepark</t>
  </si>
  <si>
    <t>harvey norman gift card</t>
  </si>
  <si>
    <t>CANON SX740 Camera Warehouse Drummoyne Ref: 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</si>
</sst>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_([$AUD]\ * #,##0.00_);_([$AUD]\ * \(#,##0.00\);_([$AUD]\ * &quot;-&quot;??_);_(@_)"/>
    <numFmt numFmtId="168" formatCode="&quot;$&quot;#,##0;[Red]\-&quot;$&quot;#,##0"/>
    <numFmt numFmtId="169" formatCode="_-[$NZD]\ * #,##0.00_-;\-[$NZD]\ * #,##0.00_-;_-[$NZD]\ * &quot;-&quot;??_-;_-@_-"/>
    <numFmt numFmtId="170" formatCode="&quot;$&quot;#,##0.00"/>
    <numFmt numFmtId="171" formatCode="0_ ;\-0\ "/>
    <numFmt numFmtId="172" formatCode="#,##0.0"/>
    <numFmt numFmtId="173" formatCode="&quot;$&quot;#,##0"/>
  </numFmts>
  <fonts count="43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family val="2"/>
    </font>
    <font>
      <sz val="16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" tint="0.34998626667073579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wrapText="1"/>
    </xf>
    <xf numFmtId="165" fontId="14" fillId="0" borderId="7" xfId="1" applyFont="1" applyFill="1" applyBorder="1" applyAlignment="1">
      <alignment horizontal="center" vertical="center"/>
    </xf>
    <xf numFmtId="166" fontId="4" fillId="7" borderId="0" xfId="0" applyNumberFormat="1" applyFont="1" applyFill="1" applyAlignment="1">
      <alignment horizontal="center"/>
    </xf>
    <xf numFmtId="166" fontId="0" fillId="0" borderId="7" xfId="0" applyNumberFormat="1" applyBorder="1"/>
    <xf numFmtId="166" fontId="0" fillId="0" borderId="0" xfId="0" applyNumberFormat="1"/>
    <xf numFmtId="0" fontId="0" fillId="0" borderId="0" xfId="0" quotePrefix="1"/>
    <xf numFmtId="0" fontId="12" fillId="0" borderId="0" xfId="0" applyFont="1"/>
    <xf numFmtId="0" fontId="12" fillId="10" borderId="0" xfId="0" applyFont="1" applyFill="1"/>
    <xf numFmtId="0" fontId="0" fillId="10" borderId="0" xfId="0" applyFill="1"/>
    <xf numFmtId="0" fontId="12" fillId="9" borderId="0" xfId="0" applyFont="1" applyFill="1"/>
    <xf numFmtId="0" fontId="0" fillId="9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16" fillId="0" borderId="0" xfId="0" applyFont="1"/>
    <xf numFmtId="14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7" fillId="0" borderId="0" xfId="0" applyFont="1"/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165" fontId="11" fillId="0" borderId="7" xfId="1" applyFont="1" applyBorder="1" applyAlignment="1">
      <alignment horizontal="center"/>
    </xf>
    <xf numFmtId="0" fontId="18" fillId="0" borderId="7" xfId="0" applyFont="1" applyBorder="1" applyAlignment="1">
      <alignment horizontal="left" vertical="top" wrapText="1"/>
    </xf>
    <xf numFmtId="14" fontId="10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165" fontId="11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167" fontId="4" fillId="8" borderId="1" xfId="0" applyNumberFormat="1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15" borderId="0" xfId="0" applyFont="1" applyFill="1"/>
    <xf numFmtId="167" fontId="3" fillId="8" borderId="0" xfId="0" applyNumberFormat="1" applyFont="1" applyFill="1"/>
    <xf numFmtId="164" fontId="4" fillId="8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4" fontId="0" fillId="0" borderId="7" xfId="0" applyNumberFormat="1" applyBorder="1"/>
    <xf numFmtId="168" fontId="0" fillId="0" borderId="7" xfId="0" applyNumberFormat="1" applyBorder="1"/>
    <xf numFmtId="20" fontId="0" fillId="0" borderId="0" xfId="0" applyNumberFormat="1"/>
    <xf numFmtId="0" fontId="0" fillId="0" borderId="9" xfId="0" applyBorder="1" applyAlignment="1">
      <alignment horizontal="center"/>
    </xf>
    <xf numFmtId="0" fontId="0" fillId="0" borderId="9" xfId="0" applyBorder="1"/>
    <xf numFmtId="168" fontId="0" fillId="0" borderId="9" xfId="0" applyNumberFormat="1" applyBorder="1"/>
    <xf numFmtId="14" fontId="0" fillId="0" borderId="0" xfId="0" applyNumberFormat="1"/>
    <xf numFmtId="0" fontId="15" fillId="16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9" fontId="3" fillId="8" borderId="0" xfId="0" applyNumberFormat="1" applyFont="1" applyFill="1"/>
    <xf numFmtId="0" fontId="3" fillId="0" borderId="7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0" fillId="17" borderId="7" xfId="0" applyFill="1" applyBorder="1"/>
    <xf numFmtId="0" fontId="0" fillId="0" borderId="0" xfId="0" applyAlignment="1">
      <alignment horizontal="left"/>
    </xf>
    <xf numFmtId="14" fontId="0" fillId="9" borderId="7" xfId="0" applyNumberForma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7" xfId="0" applyFill="1" applyBorder="1"/>
    <xf numFmtId="0" fontId="3" fillId="0" borderId="7" xfId="0" applyFont="1" applyBorder="1"/>
    <xf numFmtId="14" fontId="0" fillId="17" borderId="7" xfId="0" applyNumberForma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9" borderId="7" xfId="0" applyFont="1" applyFill="1" applyBorder="1" applyAlignment="1">
      <alignment horizontal="left"/>
    </xf>
    <xf numFmtId="0" fontId="0" fillId="9" borderId="7" xfId="0" applyFill="1" applyBorder="1"/>
    <xf numFmtId="0" fontId="3" fillId="10" borderId="7" xfId="0" applyFont="1" applyFill="1" applyBorder="1" applyAlignment="1">
      <alignment horizontal="center"/>
    </xf>
    <xf numFmtId="0" fontId="9" fillId="0" borderId="0" xfId="0" applyFont="1"/>
    <xf numFmtId="14" fontId="26" fillId="0" borderId="7" xfId="0" applyNumberFormat="1" applyFont="1" applyBorder="1"/>
    <xf numFmtId="0" fontId="26" fillId="0" borderId="7" xfId="0" applyFont="1" applyBorder="1"/>
    <xf numFmtId="0" fontId="26" fillId="0" borderId="7" xfId="0" applyFont="1" applyBorder="1" applyAlignment="1">
      <alignment horizontal="center"/>
    </xf>
    <xf numFmtId="0" fontId="28" fillId="0" borderId="7" xfId="0" applyFont="1" applyBorder="1"/>
    <xf numFmtId="0" fontId="3" fillId="0" borderId="7" xfId="0" applyFont="1" applyBorder="1" applyAlignment="1">
      <alignment vertical="center" wrapText="1"/>
    </xf>
    <xf numFmtId="0" fontId="0" fillId="19" borderId="0" xfId="0" applyFill="1"/>
    <xf numFmtId="0" fontId="4" fillId="8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3" fillId="17" borderId="7" xfId="0" applyFont="1" applyFill="1" applyBorder="1" applyAlignment="1">
      <alignment horizontal="left" vertical="center" wrapText="1"/>
    </xf>
    <xf numFmtId="44" fontId="0" fillId="0" borderId="0" xfId="0" applyNumberFormat="1"/>
    <xf numFmtId="44" fontId="29" fillId="0" borderId="0" xfId="0" applyNumberFormat="1" applyFont="1"/>
    <xf numFmtId="0" fontId="29" fillId="0" borderId="0" xfId="0" applyFont="1"/>
    <xf numFmtId="0" fontId="29" fillId="3" borderId="7" xfId="0" applyFont="1" applyFill="1" applyBorder="1"/>
    <xf numFmtId="44" fontId="29" fillId="3" borderId="7" xfId="0" applyNumberFormat="1" applyFont="1" applyFill="1" applyBorder="1"/>
    <xf numFmtId="0" fontId="0" fillId="20" borderId="7" xfId="0" applyFill="1" applyBorder="1"/>
    <xf numFmtId="44" fontId="0" fillId="20" borderId="7" xfId="0" applyNumberFormat="1" applyFill="1" applyBorder="1"/>
    <xf numFmtId="44" fontId="0" fillId="0" borderId="7" xfId="0" applyNumberFormat="1" applyBorder="1"/>
    <xf numFmtId="44" fontId="29" fillId="21" borderId="7" xfId="0" applyNumberFormat="1" applyFont="1" applyFill="1" applyBorder="1"/>
    <xf numFmtId="0" fontId="3" fillId="0" borderId="6" xfId="0" applyFont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3" fillId="17" borderId="7" xfId="0" applyFont="1" applyFill="1" applyBorder="1" applyAlignment="1">
      <alignment horizontal="left"/>
    </xf>
    <xf numFmtId="14" fontId="0" fillId="10" borderId="7" xfId="0" applyNumberFormat="1" applyFill="1" applyBorder="1" applyAlignment="1">
      <alignment horizontal="center"/>
    </xf>
    <xf numFmtId="0" fontId="0" fillId="10" borderId="7" xfId="0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0" fontId="3" fillId="0" borderId="11" xfId="0" applyFon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9" borderId="7" xfId="0" applyNumberForma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4" fontId="0" fillId="19" borderId="7" xfId="0" applyNumberFormat="1" applyFill="1" applyBorder="1" applyAlignment="1">
      <alignment horizontal="center"/>
    </xf>
    <xf numFmtId="0" fontId="0" fillId="19" borderId="7" xfId="0" applyFill="1" applyBorder="1" applyAlignment="1">
      <alignment horizontal="left"/>
    </xf>
    <xf numFmtId="0" fontId="0" fillId="19" borderId="7" xfId="0" applyFill="1" applyBorder="1" applyAlignment="1">
      <alignment horizontal="center"/>
    </xf>
    <xf numFmtId="0" fontId="0" fillId="19" borderId="7" xfId="0" applyFill="1" applyBorder="1"/>
    <xf numFmtId="1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170" fontId="0" fillId="19" borderId="7" xfId="0" applyNumberFormat="1" applyFill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4" fillId="0" borderId="0" xfId="0" applyFont="1"/>
    <xf numFmtId="0" fontId="30" fillId="0" borderId="0" xfId="0" applyFont="1"/>
    <xf numFmtId="0" fontId="31" fillId="22" borderId="0" xfId="0" applyFont="1" applyFill="1" applyAlignment="1">
      <alignment horizontal="center"/>
    </xf>
    <xf numFmtId="2" fontId="31" fillId="22" borderId="0" xfId="0" applyNumberFormat="1" applyFont="1" applyFill="1" applyAlignment="1">
      <alignment horizontal="center"/>
    </xf>
    <xf numFmtId="2" fontId="0" fillId="0" borderId="0" xfId="0" applyNumberFormat="1"/>
    <xf numFmtId="171" fontId="31" fillId="2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4" fontId="10" fillId="23" borderId="7" xfId="0" applyNumberFormat="1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 wrapText="1"/>
    </xf>
    <xf numFmtId="14" fontId="0" fillId="23" borderId="7" xfId="0" applyNumberForma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3" borderId="7" xfId="0" applyFont="1" applyFill="1" applyBorder="1"/>
    <xf numFmtId="0" fontId="3" fillId="23" borderId="7" xfId="0" applyFont="1" applyFill="1" applyBorder="1" applyAlignment="1">
      <alignment horizontal="left"/>
    </xf>
    <xf numFmtId="0" fontId="3" fillId="23" borderId="7" xfId="0" applyFont="1" applyFill="1" applyBorder="1" applyAlignment="1">
      <alignment vertical="center" wrapText="1"/>
    </xf>
    <xf numFmtId="42" fontId="31" fillId="22" borderId="0" xfId="0" applyNumberFormat="1" applyFont="1" applyFill="1" applyAlignment="1">
      <alignment horizontal="center"/>
    </xf>
    <xf numFmtId="42" fontId="0" fillId="0" borderId="0" xfId="0" applyNumberFormat="1"/>
    <xf numFmtId="2" fontId="0" fillId="0" borderId="7" xfId="0" applyNumberFormat="1" applyBorder="1"/>
    <xf numFmtId="42" fontId="0" fillId="0" borderId="7" xfId="0" applyNumberFormat="1" applyBorder="1"/>
    <xf numFmtId="0" fontId="0" fillId="23" borderId="7" xfId="0" applyFill="1" applyBorder="1" applyAlignment="1">
      <alignment horizontal="center"/>
    </xf>
    <xf numFmtId="2" fontId="0" fillId="23" borderId="7" xfId="0" applyNumberFormat="1" applyFill="1" applyBorder="1"/>
    <xf numFmtId="42" fontId="0" fillId="23" borderId="7" xfId="0" applyNumberFormat="1" applyFill="1" applyBorder="1"/>
    <xf numFmtId="44" fontId="0" fillId="23" borderId="7" xfId="0" applyNumberFormat="1" applyFill="1" applyBorder="1"/>
    <xf numFmtId="44" fontId="4" fillId="0" borderId="7" xfId="0" applyNumberFormat="1" applyFont="1" applyBorder="1"/>
    <xf numFmtId="0" fontId="30" fillId="0" borderId="7" xfId="0" applyFont="1" applyBorder="1"/>
    <xf numFmtId="44" fontId="33" fillId="20" borderId="0" xfId="0" applyNumberFormat="1" applyFont="1" applyFill="1"/>
    <xf numFmtId="0" fontId="32" fillId="20" borderId="0" xfId="0" applyFont="1" applyFill="1"/>
    <xf numFmtId="0" fontId="3" fillId="23" borderId="7" xfId="0" applyFont="1" applyFill="1" applyBorder="1" applyAlignment="1">
      <alignment horizontal="left" vertical="center" wrapText="1"/>
    </xf>
    <xf numFmtId="14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170" fontId="0" fillId="9" borderId="7" xfId="0" applyNumberFormat="1" applyFill="1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14" fontId="0" fillId="23" borderId="9" xfId="0" applyNumberFormat="1" applyFill="1" applyBorder="1" applyAlignment="1">
      <alignment horizontal="center"/>
    </xf>
    <xf numFmtId="0" fontId="3" fillId="23" borderId="9" xfId="0" applyFont="1" applyFill="1" applyBorder="1" applyAlignment="1">
      <alignment horizontal="left"/>
    </xf>
    <xf numFmtId="0" fontId="0" fillId="23" borderId="9" xfId="0" applyFill="1" applyBorder="1" applyAlignment="1">
      <alignment horizontal="center"/>
    </xf>
    <xf numFmtId="2" fontId="0" fillId="23" borderId="9" xfId="0" applyNumberFormat="1" applyFill="1" applyBorder="1"/>
    <xf numFmtId="44" fontId="0" fillId="23" borderId="9" xfId="0" applyNumberFormat="1" applyFill="1" applyBorder="1"/>
    <xf numFmtId="42" fontId="0" fillId="23" borderId="9" xfId="0" applyNumberFormat="1" applyFill="1" applyBorder="1"/>
    <xf numFmtId="44" fontId="29" fillId="3" borderId="0" xfId="0" applyNumberFormat="1" applyFont="1" applyFill="1"/>
    <xf numFmtId="42" fontId="29" fillId="3" borderId="0" xfId="0" applyNumberFormat="1" applyFont="1" applyFill="1"/>
    <xf numFmtId="14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37" fillId="7" borderId="0" xfId="0" applyFont="1" applyFill="1" applyAlignment="1">
      <alignment horizontal="center"/>
    </xf>
    <xf numFmtId="14" fontId="35" fillId="9" borderId="7" xfId="0" applyNumberFormat="1" applyFont="1" applyFill="1" applyBorder="1" applyAlignment="1">
      <alignment horizontal="center"/>
    </xf>
    <xf numFmtId="0" fontId="35" fillId="9" borderId="7" xfId="0" applyFont="1" applyFill="1" applyBorder="1"/>
    <xf numFmtId="0" fontId="35" fillId="9" borderId="7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7" xfId="0" applyFont="1" applyBorder="1"/>
    <xf numFmtId="0" fontId="35" fillId="0" borderId="0" xfId="0" applyFont="1" applyAlignment="1">
      <alignment horizontal="center"/>
    </xf>
    <xf numFmtId="0" fontId="35" fillId="0" borderId="0" xfId="0" applyFont="1"/>
    <xf numFmtId="14" fontId="35" fillId="0" borderId="7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14" fontId="0" fillId="9" borderId="7" xfId="0" applyNumberFormat="1" applyFill="1" applyBorder="1"/>
    <xf numFmtId="170" fontId="0" fillId="0" borderId="7" xfId="0" applyNumberFormat="1" applyBorder="1"/>
    <xf numFmtId="3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/>
    <xf numFmtId="14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14" fontId="0" fillId="24" borderId="7" xfId="0" applyNumberFormat="1" applyFill="1" applyBorder="1" applyAlignment="1">
      <alignment horizontal="center"/>
    </xf>
    <xf numFmtId="0" fontId="3" fillId="24" borderId="7" xfId="0" applyFont="1" applyFill="1" applyBorder="1" applyAlignment="1">
      <alignment vertical="center" wrapText="1"/>
    </xf>
    <xf numFmtId="0" fontId="3" fillId="24" borderId="7" xfId="0" applyFont="1" applyFill="1" applyBorder="1" applyAlignment="1">
      <alignment horizontal="center"/>
    </xf>
    <xf numFmtId="0" fontId="3" fillId="24" borderId="7" xfId="0" applyFont="1" applyFill="1" applyBorder="1"/>
    <xf numFmtId="0" fontId="3" fillId="24" borderId="7" xfId="0" applyFont="1" applyFill="1" applyBorder="1" applyAlignment="1">
      <alignment horizontal="left"/>
    </xf>
    <xf numFmtId="0" fontId="3" fillId="24" borderId="7" xfId="0" applyFont="1" applyFill="1" applyBorder="1" applyAlignment="1">
      <alignment horizontal="left" vertical="center"/>
    </xf>
    <xf numFmtId="0" fontId="3" fillId="2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172" fontId="0" fillId="0" borderId="7" xfId="0" applyNumberFormat="1" applyBorder="1" applyAlignment="1">
      <alignment horizontal="center"/>
    </xf>
    <xf numFmtId="0" fontId="0" fillId="0" borderId="11" xfId="0" applyBorder="1"/>
    <xf numFmtId="170" fontId="0" fillId="0" borderId="11" xfId="0" applyNumberFormat="1" applyBorder="1" applyAlignment="1">
      <alignment horizontal="center"/>
    </xf>
    <xf numFmtId="0" fontId="0" fillId="25" borderId="7" xfId="0" applyFill="1" applyBorder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3" fillId="17" borderId="7" xfId="0" applyFont="1" applyFill="1" applyBorder="1"/>
    <xf numFmtId="0" fontId="3" fillId="17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14" fontId="0" fillId="14" borderId="7" xfId="0" applyNumberFormat="1" applyFill="1" applyBorder="1" applyAlignment="1">
      <alignment horizontal="center"/>
    </xf>
    <xf numFmtId="0" fontId="3" fillId="14" borderId="7" xfId="0" applyFont="1" applyFill="1" applyBorder="1" applyAlignment="1">
      <alignment horizontal="left"/>
    </xf>
    <xf numFmtId="0" fontId="3" fillId="14" borderId="7" xfId="0" applyFont="1" applyFill="1" applyBorder="1" applyAlignment="1">
      <alignment horizontal="center"/>
    </xf>
    <xf numFmtId="0" fontId="0" fillId="14" borderId="7" xfId="0" applyFill="1" applyBorder="1"/>
    <xf numFmtId="0" fontId="3" fillId="14" borderId="7" xfId="0" applyFont="1" applyFill="1" applyBorder="1" applyAlignment="1">
      <alignment horizontal="left" vertical="center"/>
    </xf>
    <xf numFmtId="14" fontId="0" fillId="17" borderId="9" xfId="0" applyNumberFormat="1" applyFill="1" applyBorder="1" applyAlignment="1">
      <alignment horizontal="center"/>
    </xf>
    <xf numFmtId="0" fontId="3" fillId="17" borderId="9" xfId="0" applyFont="1" applyFill="1" applyBorder="1" applyAlignment="1">
      <alignment horizontal="left" vertical="center"/>
    </xf>
    <xf numFmtId="0" fontId="3" fillId="17" borderId="9" xfId="0" applyFont="1" applyFill="1" applyBorder="1" applyAlignment="1">
      <alignment horizontal="center"/>
    </xf>
    <xf numFmtId="0" fontId="0" fillId="17" borderId="9" xfId="0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horizontal="left"/>
    </xf>
    <xf numFmtId="14" fontId="0" fillId="9" borderId="9" xfId="0" applyNumberForma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70" fontId="0" fillId="9" borderId="9" xfId="0" applyNumberFormat="1" applyFill="1" applyBorder="1"/>
    <xf numFmtId="0" fontId="0" fillId="26" borderId="7" xfId="0" applyFill="1" applyBorder="1" applyAlignment="1">
      <alignment horizontal="left"/>
    </xf>
    <xf numFmtId="44" fontId="4" fillId="0" borderId="0" xfId="0" applyNumberFormat="1" applyFont="1"/>
    <xf numFmtId="14" fontId="0" fillId="27" borderId="7" xfId="0" applyNumberFormat="1" applyFill="1" applyBorder="1" applyAlignment="1">
      <alignment horizontal="center"/>
    </xf>
    <xf numFmtId="0" fontId="3" fillId="27" borderId="7" xfId="0" applyFont="1" applyFill="1" applyBorder="1" applyAlignment="1">
      <alignment horizontal="left" vertical="center"/>
    </xf>
    <xf numFmtId="0" fontId="0" fillId="27" borderId="7" xfId="0" applyFill="1" applyBorder="1"/>
    <xf numFmtId="0" fontId="3" fillId="27" borderId="7" xfId="0" applyFont="1" applyFill="1" applyBorder="1" applyAlignment="1">
      <alignment horizontal="center"/>
    </xf>
    <xf numFmtId="0" fontId="3" fillId="6" borderId="0" xfId="0" applyFont="1" applyFill="1"/>
    <xf numFmtId="14" fontId="0" fillId="28" borderId="7" xfId="0" applyNumberFormat="1" applyFill="1" applyBorder="1" applyAlignment="1">
      <alignment horizontal="center"/>
    </xf>
    <xf numFmtId="0" fontId="3" fillId="28" borderId="7" xfId="0" applyFont="1" applyFill="1" applyBorder="1" applyAlignment="1">
      <alignment horizontal="left" vertical="center" wrapText="1"/>
    </xf>
    <xf numFmtId="0" fontId="3" fillId="28" borderId="7" xfId="0" applyFont="1" applyFill="1" applyBorder="1" applyAlignment="1">
      <alignment horizontal="center"/>
    </xf>
    <xf numFmtId="0" fontId="3" fillId="28" borderId="7" xfId="0" applyFont="1" applyFill="1" applyBorder="1" applyAlignment="1">
      <alignment horizontal="left"/>
    </xf>
    <xf numFmtId="0" fontId="0" fillId="28" borderId="7" xfId="0" applyFill="1" applyBorder="1"/>
    <xf numFmtId="0" fontId="3" fillId="6" borderId="9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28" borderId="7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0" fillId="0" borderId="5" xfId="0" applyBorder="1"/>
    <xf numFmtId="14" fontId="0" fillId="20" borderId="7" xfId="0" applyNumberForma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3" fillId="17" borderId="7" xfId="0" applyNumberFormat="1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7" xfId="0" applyFill="1" applyBorder="1"/>
    <xf numFmtId="0" fontId="3" fillId="8" borderId="7" xfId="0" applyFont="1" applyFill="1" applyBorder="1"/>
    <xf numFmtId="14" fontId="3" fillId="0" borderId="9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14" xfId="0" applyBorder="1"/>
    <xf numFmtId="14" fontId="3" fillId="0" borderId="0" xfId="0" applyNumberFormat="1" applyFont="1" applyAlignment="1">
      <alignment horizontal="center"/>
    </xf>
    <xf numFmtId="14" fontId="3" fillId="29" borderId="7" xfId="0" applyNumberFormat="1" applyFont="1" applyFill="1" applyBorder="1" applyAlignment="1">
      <alignment horizontal="center"/>
    </xf>
    <xf numFmtId="0" fontId="3" fillId="29" borderId="7" xfId="0" applyFont="1" applyFill="1" applyBorder="1" applyAlignment="1">
      <alignment horizontal="left"/>
    </xf>
    <xf numFmtId="0" fontId="3" fillId="29" borderId="7" xfId="0" applyFont="1" applyFill="1" applyBorder="1" applyAlignment="1">
      <alignment horizontal="center"/>
    </xf>
    <xf numFmtId="0" fontId="0" fillId="29" borderId="7" xfId="0" applyFill="1" applyBorder="1"/>
    <xf numFmtId="0" fontId="3" fillId="8" borderId="7" xfId="0" applyFont="1" applyFill="1" applyBorder="1" applyAlignment="1">
      <alignment horizontal="left" vertical="center"/>
    </xf>
    <xf numFmtId="0" fontId="3" fillId="30" borderId="7" xfId="0" applyFont="1" applyFill="1" applyBorder="1" applyAlignment="1">
      <alignment horizontal="left" vertical="center" wrapText="1"/>
    </xf>
    <xf numFmtId="0" fontId="3" fillId="30" borderId="7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0" fillId="30" borderId="7" xfId="0" applyFill="1" applyBorder="1"/>
    <xf numFmtId="0" fontId="1" fillId="22" borderId="7" xfId="0" applyFont="1" applyFill="1" applyBorder="1" applyAlignment="1">
      <alignment horizontal="center"/>
    </xf>
    <xf numFmtId="0" fontId="0" fillId="22" borderId="7" xfId="0" applyFill="1" applyBorder="1"/>
    <xf numFmtId="0" fontId="0" fillId="0" borderId="0" xfId="0" applyAlignment="1">
      <alignment horizontal="right"/>
    </xf>
    <xf numFmtId="44" fontId="1" fillId="22" borderId="7" xfId="0" applyNumberFormat="1" applyFont="1" applyFill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6" borderId="7" xfId="0" applyFont="1" applyFill="1" applyBorder="1" applyAlignment="1">
      <alignment horizontal="left" vertical="center" wrapText="1"/>
    </xf>
    <xf numFmtId="0" fontId="3" fillId="29" borderId="7" xfId="0" applyFont="1" applyFill="1" applyBorder="1" applyAlignment="1">
      <alignment horizontal="left" vertical="center" wrapText="1"/>
    </xf>
    <xf numFmtId="0" fontId="3" fillId="29" borderId="0" xfId="0" applyFont="1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0" fontId="3" fillId="14" borderId="7" xfId="0" applyFont="1" applyFill="1" applyBorder="1"/>
    <xf numFmtId="0" fontId="0" fillId="32" borderId="7" xfId="0" applyFill="1" applyBorder="1"/>
    <xf numFmtId="0" fontId="0" fillId="32" borderId="7" xfId="0" applyFill="1" applyBorder="1" applyAlignment="1">
      <alignment horizontal="center"/>
    </xf>
    <xf numFmtId="14" fontId="3" fillId="31" borderId="7" xfId="0" applyNumberFormat="1" applyFont="1" applyFill="1" applyBorder="1" applyAlignment="1">
      <alignment horizontal="center"/>
    </xf>
    <xf numFmtId="0" fontId="3" fillId="31" borderId="7" xfId="0" applyFont="1" applyFill="1" applyBorder="1" applyAlignment="1">
      <alignment horizontal="left" vertical="center" wrapText="1"/>
    </xf>
    <xf numFmtId="0" fontId="3" fillId="31" borderId="7" xfId="0" applyFont="1" applyFill="1" applyBorder="1" applyAlignment="1">
      <alignment horizontal="center"/>
    </xf>
    <xf numFmtId="0" fontId="0" fillId="31" borderId="7" xfId="0" applyFill="1" applyBorder="1"/>
    <xf numFmtId="0" fontId="0" fillId="31" borderId="0" xfId="0" applyFill="1"/>
    <xf numFmtId="0" fontId="3" fillId="31" borderId="7" xfId="0" applyFont="1" applyFill="1" applyBorder="1" applyAlignment="1">
      <alignment horizontal="left" vertical="center"/>
    </xf>
    <xf numFmtId="14" fontId="3" fillId="7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0" fillId="12" borderId="7" xfId="0" applyFill="1" applyBorder="1"/>
    <xf numFmtId="0" fontId="3" fillId="12" borderId="7" xfId="0" applyFont="1" applyFill="1" applyBorder="1" applyAlignment="1">
      <alignment horizontal="center"/>
    </xf>
    <xf numFmtId="14" fontId="3" fillId="12" borderId="7" xfId="0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/>
    </xf>
    <xf numFmtId="0" fontId="35" fillId="31" borderId="7" xfId="0" applyFont="1" applyFill="1" applyBorder="1"/>
    <xf numFmtId="0" fontId="3" fillId="33" borderId="7" xfId="0" applyFont="1" applyFill="1" applyBorder="1" applyAlignment="1">
      <alignment horizontal="left" vertical="center" wrapText="1"/>
    </xf>
    <xf numFmtId="0" fontId="3" fillId="33" borderId="7" xfId="0" applyFont="1" applyFill="1" applyBorder="1" applyAlignment="1">
      <alignment horizontal="center"/>
    </xf>
    <xf numFmtId="0" fontId="3" fillId="33" borderId="7" xfId="0" applyFont="1" applyFill="1" applyBorder="1" applyAlignment="1">
      <alignment horizontal="left"/>
    </xf>
    <xf numFmtId="14" fontId="3" fillId="33" borderId="7" xfId="0" applyNumberFormat="1" applyFont="1" applyFill="1" applyBorder="1" applyAlignment="1">
      <alignment horizontal="center"/>
    </xf>
    <xf numFmtId="0" fontId="0" fillId="33" borderId="7" xfId="0" applyFill="1" applyBorder="1"/>
    <xf numFmtId="0" fontId="0" fillId="0" borderId="13" xfId="0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14" fontId="3" fillId="25" borderId="7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0" fontId="0" fillId="29" borderId="7" xfId="0" applyFill="1" applyBorder="1" applyAlignment="1">
      <alignment horizontal="center"/>
    </xf>
    <xf numFmtId="0" fontId="3" fillId="29" borderId="0" xfId="0" applyFont="1" applyFill="1" applyAlignment="1">
      <alignment horizontal="left"/>
    </xf>
    <xf numFmtId="0" fontId="0" fillId="29" borderId="11" xfId="0" applyFill="1" applyBorder="1" applyAlignment="1">
      <alignment horizontal="center"/>
    </xf>
    <xf numFmtId="0" fontId="3" fillId="25" borderId="7" xfId="0" applyFont="1" applyFill="1" applyBorder="1" applyAlignment="1">
      <alignment horizontal="left" vertical="center" wrapText="1"/>
    </xf>
    <xf numFmtId="0" fontId="3" fillId="25" borderId="7" xfId="0" applyFont="1" applyFill="1" applyBorder="1" applyAlignment="1">
      <alignment horizontal="left" vertical="center"/>
    </xf>
    <xf numFmtId="0" fontId="3" fillId="25" borderId="7" xfId="0" applyFont="1" applyFill="1" applyBorder="1" applyAlignment="1">
      <alignment horizontal="left"/>
    </xf>
    <xf numFmtId="0" fontId="3" fillId="25" borderId="7" xfId="0" applyFont="1" applyFill="1" applyBorder="1"/>
    <xf numFmtId="0" fontId="3" fillId="25" borderId="7" xfId="0" applyFont="1" applyFill="1" applyBorder="1" applyAlignment="1">
      <alignment horizontal="center"/>
    </xf>
    <xf numFmtId="14" fontId="3" fillId="16" borderId="7" xfId="0" applyNumberFormat="1" applyFont="1" applyFill="1" applyBorder="1" applyAlignment="1">
      <alignment horizontal="center"/>
    </xf>
    <xf numFmtId="0" fontId="3" fillId="16" borderId="7" xfId="0" applyFont="1" applyFill="1" applyBorder="1" applyAlignment="1">
      <alignment horizontal="left" vertical="center"/>
    </xf>
    <xf numFmtId="0" fontId="3" fillId="16" borderId="7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0" fontId="3" fillId="16" borderId="7" xfId="0" applyFont="1" applyFill="1" applyBorder="1" applyAlignment="1">
      <alignment vertical="center"/>
    </xf>
    <xf numFmtId="0" fontId="3" fillId="16" borderId="7" xfId="0" applyFont="1" applyFill="1" applyBorder="1"/>
    <xf numFmtId="0" fontId="3" fillId="16" borderId="11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left"/>
    </xf>
    <xf numFmtId="0" fontId="3" fillId="17" borderId="0" xfId="0" applyFont="1" applyFill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14" borderId="0" xfId="0" applyFont="1" applyFill="1" applyAlignment="1">
      <alignment horizontal="left"/>
    </xf>
    <xf numFmtId="0" fontId="0" fillId="24" borderId="7" xfId="0" applyFill="1" applyBorder="1" applyAlignment="1">
      <alignment horizontal="left"/>
    </xf>
    <xf numFmtId="0" fontId="0" fillId="24" borderId="7" xfId="0" applyFill="1" applyBorder="1" applyAlignment="1">
      <alignment horizontal="center"/>
    </xf>
    <xf numFmtId="0" fontId="0" fillId="24" borderId="7" xfId="0" applyFill="1" applyBorder="1" applyAlignment="1">
      <alignment horizontal="left" vertical="center"/>
    </xf>
    <xf numFmtId="0" fontId="0" fillId="16" borderId="7" xfId="0" applyFill="1" applyBorder="1"/>
    <xf numFmtId="0" fontId="3" fillId="25" borderId="0" xfId="0" applyFont="1" applyFill="1" applyAlignment="1">
      <alignment horizontal="center"/>
    </xf>
    <xf numFmtId="0" fontId="3" fillId="25" borderId="0" xfId="0" applyFont="1" applyFill="1" applyAlignment="1">
      <alignment horizontal="left"/>
    </xf>
    <xf numFmtId="0" fontId="0" fillId="25" borderId="0" xfId="0" applyFill="1"/>
    <xf numFmtId="0" fontId="3" fillId="25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70" fontId="35" fillId="9" borderId="7" xfId="0" applyNumberFormat="1" applyFont="1" applyFill="1" applyBorder="1" applyAlignment="1">
      <alignment horizontal="center"/>
    </xf>
    <xf numFmtId="170" fontId="0" fillId="20" borderId="7" xfId="0" applyNumberFormat="1" applyFill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4" fontId="0" fillId="17" borderId="7" xfId="0" applyNumberFormat="1" applyFill="1" applyBorder="1"/>
    <xf numFmtId="0" fontId="38" fillId="17" borderId="7" xfId="0" applyFont="1" applyFill="1" applyBorder="1"/>
    <xf numFmtId="0" fontId="0" fillId="25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18" borderId="7" xfId="0" applyNumberFormat="1" applyFill="1" applyBorder="1" applyAlignment="1">
      <alignment horizontal="center"/>
    </xf>
    <xf numFmtId="14" fontId="0" fillId="32" borderId="7" xfId="0" applyNumberFormat="1" applyFill="1" applyBorder="1" applyAlignment="1">
      <alignment horizontal="center"/>
    </xf>
    <xf numFmtId="164" fontId="12" fillId="0" borderId="0" xfId="0" applyNumberFormat="1" applyFont="1"/>
    <xf numFmtId="0" fontId="12" fillId="5" borderId="7" xfId="0" applyFont="1" applyFill="1" applyBorder="1" applyAlignment="1">
      <alignment horizontal="left"/>
    </xf>
    <xf numFmtId="14" fontId="35" fillId="34" borderId="7" xfId="0" applyNumberFormat="1" applyFont="1" applyFill="1" applyBorder="1"/>
    <xf numFmtId="0" fontId="35" fillId="34" borderId="7" xfId="0" applyFont="1" applyFill="1" applyBorder="1"/>
    <xf numFmtId="170" fontId="35" fillId="34" borderId="7" xfId="0" applyNumberFormat="1" applyFont="1" applyFill="1" applyBorder="1"/>
    <xf numFmtId="164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23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0" fillId="31" borderId="0" xfId="0" applyFill="1" applyAlignment="1">
      <alignment horizontal="center"/>
    </xf>
    <xf numFmtId="0" fontId="35" fillId="34" borderId="7" xfId="0" applyFont="1" applyFill="1" applyBorder="1" applyAlignment="1">
      <alignment horizontal="center"/>
    </xf>
    <xf numFmtId="14" fontId="3" fillId="23" borderId="9" xfId="0" applyNumberFormat="1" applyFont="1" applyFill="1" applyBorder="1" applyAlignment="1">
      <alignment horizontal="center"/>
    </xf>
    <xf numFmtId="0" fontId="3" fillId="23" borderId="9" xfId="0" applyFont="1" applyFill="1" applyBorder="1"/>
    <xf numFmtId="14" fontId="26" fillId="0" borderId="7" xfId="0" applyNumberFormat="1" applyFont="1" applyBorder="1" applyAlignment="1">
      <alignment horizontal="center"/>
    </xf>
    <xf numFmtId="14" fontId="3" fillId="17" borderId="0" xfId="0" applyNumberFormat="1" applyFont="1" applyFill="1" applyAlignment="1">
      <alignment horizontal="center"/>
    </xf>
    <xf numFmtId="0" fontId="40" fillId="23" borderId="17" xfId="0" applyFont="1" applyFill="1" applyBorder="1" applyAlignment="1">
      <alignment horizontal="center" wrapText="1"/>
    </xf>
    <xf numFmtId="0" fontId="3" fillId="1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41" fillId="23" borderId="17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42" fillId="0" borderId="7" xfId="0" applyNumberFormat="1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2" applyNumberFormat="1" applyFont="1" applyFill="1" applyBorder="1" applyAlignment="1">
      <alignment vertical="center"/>
    </xf>
    <xf numFmtId="0" fontId="38" fillId="0" borderId="7" xfId="0" applyFon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" fontId="0" fillId="0" borderId="7" xfId="0" applyNumberFormat="1" applyBorder="1" applyAlignment="1">
      <alignment horizontal="center"/>
    </xf>
    <xf numFmtId="1" fontId="38" fillId="0" borderId="7" xfId="0" applyNumberFormat="1" applyFont="1" applyBorder="1" applyAlignment="1">
      <alignment horizontal="center"/>
    </xf>
    <xf numFmtId="44" fontId="12" fillId="0" borderId="0" xfId="0" applyNumberFormat="1" applyFont="1"/>
    <xf numFmtId="0" fontId="0" fillId="23" borderId="7" xfId="0" applyFill="1" applyBorder="1"/>
    <xf numFmtId="170" fontId="0" fillId="23" borderId="7" xfId="0" applyNumberFormat="1" applyFill="1" applyBorder="1" applyAlignment="1">
      <alignment horizontal="center"/>
    </xf>
    <xf numFmtId="0" fontId="0" fillId="25" borderId="5" xfId="0" applyFill="1" applyBorder="1"/>
    <xf numFmtId="0" fontId="3" fillId="25" borderId="0" xfId="0" applyFont="1" applyFill="1" applyAlignment="1">
      <alignment horizontal="left" vertical="center"/>
    </xf>
    <xf numFmtId="170" fontId="0" fillId="18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vertical="center"/>
    </xf>
    <xf numFmtId="0" fontId="3" fillId="16" borderId="0" xfId="0" applyFont="1" applyFill="1" applyAlignment="1">
      <alignment horizontal="left"/>
    </xf>
    <xf numFmtId="14" fontId="0" fillId="25" borderId="7" xfId="0" applyNumberFormat="1" applyFill="1" applyBorder="1" applyAlignment="1">
      <alignment horizontal="center"/>
    </xf>
    <xf numFmtId="167" fontId="0" fillId="0" borderId="7" xfId="0" applyNumberFormat="1" applyBorder="1"/>
    <xf numFmtId="14" fontId="3" fillId="9" borderId="7" xfId="0" applyNumberFormat="1" applyFont="1" applyFill="1" applyBorder="1" applyAlignment="1">
      <alignment horizontal="center"/>
    </xf>
    <xf numFmtId="14" fontId="0" fillId="9" borderId="14" xfId="0" applyNumberFormat="1" applyFill="1" applyBorder="1" applyAlignment="1">
      <alignment horizontal="center"/>
    </xf>
    <xf numFmtId="0" fontId="0" fillId="9" borderId="14" xfId="0" applyFill="1" applyBorder="1"/>
    <xf numFmtId="0" fontId="0" fillId="9" borderId="14" xfId="0" applyFill="1" applyBorder="1" applyAlignment="1">
      <alignment horizontal="center"/>
    </xf>
    <xf numFmtId="164" fontId="0" fillId="0" borderId="7" xfId="0" applyNumberFormat="1" applyBorder="1"/>
    <xf numFmtId="14" fontId="3" fillId="23" borderId="7" xfId="0" applyNumberFormat="1" applyFont="1" applyFill="1" applyBorder="1" applyAlignment="1">
      <alignment horizontal="center"/>
    </xf>
    <xf numFmtId="0" fontId="3" fillId="23" borderId="7" xfId="0" applyFont="1" applyFill="1" applyBorder="1" applyAlignment="1">
      <alignment vertical="center"/>
    </xf>
    <xf numFmtId="170" fontId="0" fillId="10" borderId="7" xfId="0" applyNumberFormat="1" applyFill="1" applyBorder="1" applyAlignment="1">
      <alignment horizontal="center"/>
    </xf>
    <xf numFmtId="14" fontId="3" fillId="24" borderId="7" xfId="0" applyNumberFormat="1" applyFont="1" applyFill="1" applyBorder="1" applyAlignment="1">
      <alignment horizontal="center"/>
    </xf>
    <xf numFmtId="0" fontId="0" fillId="24" borderId="7" xfId="0" applyFill="1" applyBorder="1"/>
    <xf numFmtId="0" fontId="3" fillId="25" borderId="7" xfId="0" applyFont="1" applyFill="1" applyBorder="1" applyAlignment="1">
      <alignment vertical="center"/>
    </xf>
    <xf numFmtId="14" fontId="3" fillId="24" borderId="0" xfId="0" applyNumberFormat="1" applyFont="1" applyFill="1" applyAlignment="1">
      <alignment horizontal="center"/>
    </xf>
    <xf numFmtId="0" fontId="0" fillId="23" borderId="0" xfId="0" applyFill="1"/>
    <xf numFmtId="0" fontId="0" fillId="0" borderId="7" xfId="0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3" fillId="24" borderId="0" xfId="0" applyFont="1" applyFill="1" applyAlignment="1">
      <alignment horizontal="center"/>
    </xf>
    <xf numFmtId="0" fontId="0" fillId="25" borderId="7" xfId="0" applyFill="1" applyBorder="1" applyAlignment="1">
      <alignment horizontal="left"/>
    </xf>
    <xf numFmtId="0" fontId="3" fillId="25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0" fontId="3" fillId="12" borderId="5" xfId="0" applyFont="1" applyFill="1" applyBorder="1" applyAlignment="1">
      <alignment vertical="center"/>
    </xf>
    <xf numFmtId="0" fontId="3" fillId="25" borderId="5" xfId="0" applyFont="1" applyFill="1" applyBorder="1" applyAlignment="1">
      <alignment horizontal="left" vertical="center"/>
    </xf>
    <xf numFmtId="14" fontId="0" fillId="10" borderId="7" xfId="0" applyNumberFormat="1" applyFill="1" applyBorder="1"/>
    <xf numFmtId="173" fontId="0" fillId="25" borderId="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25" borderId="9" xfId="0" applyFont="1" applyFill="1" applyBorder="1" applyAlignment="1">
      <alignment horizontal="left"/>
    </xf>
    <xf numFmtId="0" fontId="15" fillId="0" borderId="1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12" borderId="9" xfId="0" applyFont="1" applyFill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3" fillId="25" borderId="14" xfId="0" applyFont="1" applyFill="1" applyBorder="1" applyAlignment="1">
      <alignment horizontal="left"/>
    </xf>
    <xf numFmtId="0" fontId="15" fillId="0" borderId="2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/>
    </xf>
    <xf numFmtId="0" fontId="3" fillId="9" borderId="14" xfId="0" applyFont="1" applyFill="1" applyBorder="1" applyAlignment="1">
      <alignment horizontal="left"/>
    </xf>
    <xf numFmtId="0" fontId="3" fillId="9" borderId="14" xfId="0" applyFont="1" applyFill="1" applyBorder="1" applyAlignment="1">
      <alignment horizontal="center"/>
    </xf>
    <xf numFmtId="1" fontId="0" fillId="0" borderId="7" xfId="3" applyNumberFormat="1" applyFon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170" fontId="0" fillId="25" borderId="7" xfId="0" applyNumberFormat="1" applyFill="1" applyBorder="1" applyAlignment="1">
      <alignment horizontal="center" vertical="center"/>
    </xf>
    <xf numFmtId="14" fontId="0" fillId="31" borderId="7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71" fontId="34" fillId="7" borderId="0" xfId="0" applyNumberFormat="1" applyFont="1" applyFill="1" applyAlignment="1">
      <alignment horizontal="center"/>
    </xf>
    <xf numFmtId="0" fontId="32" fillId="20" borderId="0" xfId="0" applyFont="1" applyFill="1" applyAlignment="1">
      <alignment horizontal="center"/>
    </xf>
    <xf numFmtId="0" fontId="31" fillId="2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1298"/>
  <sheetViews>
    <sheetView topLeftCell="A1272" zoomScale="80" zoomScaleNormal="80" workbookViewId="0">
      <selection activeCell="A1292" sqref="A1292:O1298"/>
    </sheetView>
  </sheetViews>
  <sheetFormatPr defaultRowHeight="14.4" x14ac:dyDescent="0.3"/>
  <cols>
    <col min="2" max="2" width="13.44140625" style="1" customWidth="1"/>
    <col min="3" max="3" width="79.21875" style="1" customWidth="1"/>
    <col min="4" max="4" width="21.77734375" style="1" customWidth="1"/>
    <col min="5" max="5" width="24.33203125" style="1" customWidth="1"/>
    <col min="6" max="6" width="16.44140625" style="1" customWidth="1"/>
    <col min="7" max="7" width="18.44140625" style="1" customWidth="1"/>
    <col min="8" max="8" width="15.88671875" style="1" customWidth="1"/>
    <col min="9" max="9" width="19.33203125" style="1" customWidth="1"/>
    <col min="10" max="10" width="21" style="25" customWidth="1"/>
    <col min="11" max="11" width="11.88671875" customWidth="1"/>
    <col min="12" max="12" width="16.33203125" customWidth="1"/>
    <col min="13" max="13" width="21.88671875" customWidth="1"/>
    <col min="14" max="14" width="21.21875" customWidth="1"/>
    <col min="15" max="15" width="14.109375" customWidth="1"/>
    <col min="19" max="19" width="23.77734375" customWidth="1"/>
    <col min="20" max="20" width="22" customWidth="1"/>
    <col min="21" max="21" width="20.109375" customWidth="1"/>
    <col min="22" max="22" width="23.77734375" customWidth="1"/>
    <col min="23" max="23" width="23.21875" customWidth="1"/>
    <col min="24" max="24" width="20.33203125" customWidth="1"/>
    <col min="25" max="25" width="21.88671875" customWidth="1"/>
    <col min="26" max="26" width="20.21875" customWidth="1"/>
  </cols>
  <sheetData>
    <row r="3" spans="1:10" ht="21" x14ac:dyDescent="0.4">
      <c r="A3">
        <v>1</v>
      </c>
      <c r="B3" s="492" t="s">
        <v>35</v>
      </c>
      <c r="C3" s="492"/>
      <c r="D3" s="492"/>
      <c r="E3" s="492"/>
      <c r="F3" s="492"/>
      <c r="G3" s="492"/>
      <c r="H3" s="492"/>
      <c r="I3" s="492"/>
      <c r="J3" s="492"/>
    </row>
    <row r="4" spans="1:10" ht="18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36</v>
      </c>
      <c r="G4" s="4" t="s">
        <v>5</v>
      </c>
      <c r="H4" s="4" t="s">
        <v>6</v>
      </c>
      <c r="I4" s="4" t="s">
        <v>7</v>
      </c>
      <c r="J4" s="23"/>
    </row>
    <row r="5" spans="1:10" x14ac:dyDescent="0.3">
      <c r="B5" s="20">
        <v>45672</v>
      </c>
      <c r="C5" s="21" t="s">
        <v>34</v>
      </c>
      <c r="D5" s="19">
        <v>19</v>
      </c>
      <c r="E5" s="19">
        <v>580</v>
      </c>
      <c r="F5" s="19">
        <f>E5*D5</f>
        <v>11020</v>
      </c>
      <c r="G5" s="22">
        <v>2.19</v>
      </c>
      <c r="H5" s="19">
        <f t="shared" ref="H5:H13" si="0">E5*G5</f>
        <v>1270.2</v>
      </c>
      <c r="I5" s="19">
        <f t="shared" ref="I5:I13" si="1">H5*D5</f>
        <v>24133.8</v>
      </c>
      <c r="J5" s="24">
        <f>J4+I5</f>
        <v>24133.8</v>
      </c>
    </row>
    <row r="6" spans="1:10" x14ac:dyDescent="0.3">
      <c r="B6" s="19"/>
      <c r="C6" s="19"/>
      <c r="D6" s="19"/>
      <c r="E6" s="19"/>
      <c r="F6" s="19"/>
      <c r="G6" s="19"/>
      <c r="H6" s="19">
        <f t="shared" si="0"/>
        <v>0</v>
      </c>
      <c r="I6" s="19">
        <f t="shared" si="1"/>
        <v>0</v>
      </c>
      <c r="J6" s="24">
        <f t="shared" ref="J6:J13" si="2">J5+I6</f>
        <v>24133.8</v>
      </c>
    </row>
    <row r="7" spans="1:10" ht="15.75" customHeight="1" x14ac:dyDescent="0.3">
      <c r="B7" s="19"/>
      <c r="C7" s="19"/>
      <c r="D7" s="19"/>
      <c r="E7" s="19"/>
      <c r="F7" s="19"/>
      <c r="G7" s="19"/>
      <c r="H7" s="19">
        <f t="shared" si="0"/>
        <v>0</v>
      </c>
      <c r="I7" s="19">
        <f t="shared" si="1"/>
        <v>0</v>
      </c>
      <c r="J7" s="24">
        <f t="shared" si="2"/>
        <v>24133.8</v>
      </c>
    </row>
    <row r="8" spans="1:10" x14ac:dyDescent="0.3">
      <c r="B8" s="19"/>
      <c r="C8" s="19"/>
      <c r="D8" s="19"/>
      <c r="E8" s="19"/>
      <c r="F8" s="19"/>
      <c r="G8" s="19"/>
      <c r="H8" s="19">
        <f t="shared" si="0"/>
        <v>0</v>
      </c>
      <c r="I8" s="19">
        <f t="shared" si="1"/>
        <v>0</v>
      </c>
      <c r="J8" s="24">
        <f t="shared" si="2"/>
        <v>24133.8</v>
      </c>
    </row>
    <row r="9" spans="1:10" x14ac:dyDescent="0.3">
      <c r="B9" s="19"/>
      <c r="C9" s="19"/>
      <c r="D9" s="19"/>
      <c r="E9" s="19"/>
      <c r="F9" s="19"/>
      <c r="G9" s="19"/>
      <c r="H9" s="19">
        <f t="shared" si="0"/>
        <v>0</v>
      </c>
      <c r="I9" s="19">
        <f t="shared" si="1"/>
        <v>0</v>
      </c>
      <c r="J9" s="24">
        <f t="shared" si="2"/>
        <v>24133.8</v>
      </c>
    </row>
    <row r="10" spans="1:10" x14ac:dyDescent="0.3">
      <c r="B10" s="19"/>
      <c r="C10" s="19"/>
      <c r="D10" s="19"/>
      <c r="E10" s="19"/>
      <c r="F10" s="19"/>
      <c r="G10" s="19"/>
      <c r="H10" s="19">
        <f t="shared" si="0"/>
        <v>0</v>
      </c>
      <c r="I10" s="19">
        <f t="shared" si="1"/>
        <v>0</v>
      </c>
      <c r="J10" s="24">
        <f t="shared" si="2"/>
        <v>24133.8</v>
      </c>
    </row>
    <row r="11" spans="1:10" x14ac:dyDescent="0.3">
      <c r="B11" s="19"/>
      <c r="C11" s="19"/>
      <c r="D11" s="19"/>
      <c r="E11" s="19"/>
      <c r="F11" s="19"/>
      <c r="G11" s="19"/>
      <c r="H11" s="19">
        <f t="shared" si="0"/>
        <v>0</v>
      </c>
      <c r="I11" s="19">
        <f t="shared" si="1"/>
        <v>0</v>
      </c>
      <c r="J11" s="24">
        <f t="shared" si="2"/>
        <v>24133.8</v>
      </c>
    </row>
    <row r="12" spans="1:10" x14ac:dyDescent="0.3">
      <c r="B12" s="19"/>
      <c r="C12" s="19"/>
      <c r="D12" s="19"/>
      <c r="E12" s="19"/>
      <c r="F12" s="19"/>
      <c r="G12" s="19"/>
      <c r="H12" s="19">
        <f t="shared" si="0"/>
        <v>0</v>
      </c>
      <c r="I12" s="19">
        <f t="shared" si="1"/>
        <v>0</v>
      </c>
      <c r="J12" s="24">
        <f t="shared" si="2"/>
        <v>24133.8</v>
      </c>
    </row>
    <row r="13" spans="1:10" x14ac:dyDescent="0.3">
      <c r="B13" s="19"/>
      <c r="C13" s="19"/>
      <c r="D13" s="19"/>
      <c r="E13" s="19"/>
      <c r="F13" s="19"/>
      <c r="G13" s="19"/>
      <c r="H13" s="19">
        <f t="shared" si="0"/>
        <v>0</v>
      </c>
      <c r="I13" s="19">
        <f t="shared" si="1"/>
        <v>0</v>
      </c>
      <c r="J13" s="24">
        <f t="shared" si="2"/>
        <v>24133.8</v>
      </c>
    </row>
    <row r="16" spans="1:10" ht="21" x14ac:dyDescent="0.4">
      <c r="A16">
        <v>2</v>
      </c>
      <c r="B16" s="492" t="s">
        <v>35</v>
      </c>
      <c r="C16" s="492"/>
      <c r="D16" s="492"/>
      <c r="E16" s="492"/>
      <c r="F16" s="492"/>
      <c r="G16" s="492"/>
      <c r="H16" s="492"/>
      <c r="I16" s="492"/>
      <c r="J16" s="492"/>
    </row>
    <row r="17" spans="1:27" ht="18" x14ac:dyDescent="0.35">
      <c r="B17" s="4" t="s">
        <v>1</v>
      </c>
      <c r="C17" s="4" t="s">
        <v>2</v>
      </c>
      <c r="D17" s="4" t="s">
        <v>3</v>
      </c>
      <c r="E17" s="4" t="s">
        <v>4</v>
      </c>
      <c r="F17" s="4" t="s">
        <v>36</v>
      </c>
      <c r="G17" s="4" t="s">
        <v>5</v>
      </c>
      <c r="H17" s="4" t="s">
        <v>6</v>
      </c>
      <c r="I17" s="4" t="s">
        <v>7</v>
      </c>
      <c r="J17" s="23"/>
      <c r="K17" t="s">
        <v>41</v>
      </c>
    </row>
    <row r="18" spans="1:27" ht="21" x14ac:dyDescent="0.4">
      <c r="B18" s="20">
        <v>45695</v>
      </c>
      <c r="C18" s="21" t="s">
        <v>37</v>
      </c>
      <c r="D18" s="19">
        <v>500</v>
      </c>
      <c r="E18" s="19">
        <v>630</v>
      </c>
      <c r="F18" s="19">
        <f t="shared" ref="F18:F26" si="3">E18*D18</f>
        <v>315000</v>
      </c>
      <c r="G18" s="22">
        <v>2.19</v>
      </c>
      <c r="H18" s="19">
        <f t="shared" ref="H18:H26" si="4">E18*G18</f>
        <v>1379.7</v>
      </c>
      <c r="I18" s="19">
        <f t="shared" ref="I18:I26" si="5">H18*D18</f>
        <v>689850</v>
      </c>
      <c r="J18" s="24">
        <f>J17+I18</f>
        <v>689850</v>
      </c>
      <c r="K18">
        <v>270000</v>
      </c>
      <c r="L18">
        <f>315000-270000</f>
        <v>45000</v>
      </c>
      <c r="N18" s="492" t="s">
        <v>35</v>
      </c>
      <c r="O18" s="492"/>
      <c r="P18" s="492"/>
      <c r="Q18" s="492"/>
      <c r="R18" s="492"/>
      <c r="S18" s="492"/>
      <c r="T18" s="492"/>
      <c r="U18" s="492"/>
      <c r="V18" s="492"/>
    </row>
    <row r="19" spans="1:27" ht="18" x14ac:dyDescent="0.35">
      <c r="B19" s="20">
        <v>45695</v>
      </c>
      <c r="C19" s="21" t="s">
        <v>38</v>
      </c>
      <c r="D19" s="19">
        <v>150</v>
      </c>
      <c r="E19" s="19">
        <v>148</v>
      </c>
      <c r="F19" s="19">
        <f t="shared" si="3"/>
        <v>22200</v>
      </c>
      <c r="G19" s="22">
        <v>2.19</v>
      </c>
      <c r="H19" s="19">
        <f t="shared" si="4"/>
        <v>324.12</v>
      </c>
      <c r="I19" s="19">
        <f t="shared" si="5"/>
        <v>48618</v>
      </c>
      <c r="J19" s="24">
        <f t="shared" ref="J19:J26" si="6">J18+I19</f>
        <v>738468</v>
      </c>
      <c r="N19" s="4" t="s">
        <v>1</v>
      </c>
      <c r="O19" s="4" t="s">
        <v>2</v>
      </c>
      <c r="P19" s="4" t="s">
        <v>3</v>
      </c>
      <c r="Q19" s="4" t="s">
        <v>4</v>
      </c>
      <c r="R19" s="4" t="s">
        <v>36</v>
      </c>
      <c r="S19" s="4" t="s">
        <v>5</v>
      </c>
      <c r="T19" s="4" t="s">
        <v>6</v>
      </c>
      <c r="U19" s="4" t="s">
        <v>7</v>
      </c>
      <c r="V19" s="4"/>
    </row>
    <row r="20" spans="1:27" x14ac:dyDescent="0.3">
      <c r="B20" s="20">
        <v>45695</v>
      </c>
      <c r="C20" s="21" t="s">
        <v>39</v>
      </c>
      <c r="D20" s="19">
        <v>50</v>
      </c>
      <c r="E20" s="19">
        <v>145</v>
      </c>
      <c r="F20" s="19">
        <f t="shared" si="3"/>
        <v>7250</v>
      </c>
      <c r="G20" s="22">
        <v>2.19</v>
      </c>
      <c r="H20" s="19">
        <f t="shared" si="4"/>
        <v>317.55</v>
      </c>
      <c r="I20" s="19">
        <f t="shared" si="5"/>
        <v>15877.5</v>
      </c>
      <c r="J20" s="24">
        <f t="shared" si="6"/>
        <v>754345.5</v>
      </c>
      <c r="N20" s="19"/>
      <c r="O20" s="19"/>
      <c r="P20" s="19"/>
      <c r="Q20" s="19"/>
      <c r="R20" s="19">
        <f>Q20*P20</f>
        <v>0</v>
      </c>
      <c r="S20" s="19"/>
      <c r="T20" s="19">
        <f>Q20*S20</f>
        <v>0</v>
      </c>
      <c r="U20" s="19">
        <f>T20*P20</f>
        <v>0</v>
      </c>
      <c r="V20" s="18">
        <f>V19+U20</f>
        <v>0</v>
      </c>
    </row>
    <row r="21" spans="1:27" x14ac:dyDescent="0.3">
      <c r="B21" s="20">
        <v>45695</v>
      </c>
      <c r="C21" s="21" t="s">
        <v>40</v>
      </c>
      <c r="D21" s="19">
        <v>250</v>
      </c>
      <c r="E21" s="19">
        <v>149</v>
      </c>
      <c r="F21" s="19">
        <f t="shared" si="3"/>
        <v>37250</v>
      </c>
      <c r="G21" s="22">
        <v>2.19</v>
      </c>
      <c r="H21" s="19">
        <f t="shared" si="4"/>
        <v>326.31</v>
      </c>
      <c r="I21" s="19">
        <f t="shared" si="5"/>
        <v>81577.5</v>
      </c>
      <c r="J21" s="24">
        <f t="shared" si="6"/>
        <v>835923</v>
      </c>
      <c r="N21" s="19"/>
      <c r="O21" s="19"/>
      <c r="P21" s="19"/>
      <c r="Q21" s="19"/>
      <c r="R21" s="19">
        <f t="shared" ref="R21:R28" si="7">Q21*P21</f>
        <v>0</v>
      </c>
      <c r="S21" s="19"/>
      <c r="T21" s="19">
        <f t="shared" ref="T21:T28" si="8">Q21*S21</f>
        <v>0</v>
      </c>
      <c r="U21" s="19">
        <f t="shared" ref="U21:U28" si="9">T21*P21</f>
        <v>0</v>
      </c>
      <c r="V21" s="18">
        <f t="shared" ref="V21:V28" si="10">V20+U21</f>
        <v>0</v>
      </c>
    </row>
    <row r="22" spans="1:27" x14ac:dyDescent="0.3">
      <c r="B22" s="19"/>
      <c r="C22" s="19"/>
      <c r="D22" s="19"/>
      <c r="E22" s="19"/>
      <c r="F22" s="19">
        <f t="shared" si="3"/>
        <v>0</v>
      </c>
      <c r="G22" s="19"/>
      <c r="H22" s="19">
        <f t="shared" si="4"/>
        <v>0</v>
      </c>
      <c r="I22" s="19">
        <f t="shared" si="5"/>
        <v>0</v>
      </c>
      <c r="J22" s="24">
        <f t="shared" si="6"/>
        <v>835923</v>
      </c>
      <c r="N22" s="19"/>
      <c r="O22" s="19"/>
      <c r="P22" s="19"/>
      <c r="Q22" s="19"/>
      <c r="R22" s="19">
        <f t="shared" si="7"/>
        <v>0</v>
      </c>
      <c r="S22" s="19"/>
      <c r="T22" s="19">
        <f t="shared" si="8"/>
        <v>0</v>
      </c>
      <c r="U22" s="19">
        <f t="shared" si="9"/>
        <v>0</v>
      </c>
      <c r="V22" s="18">
        <f t="shared" si="10"/>
        <v>0</v>
      </c>
    </row>
    <row r="23" spans="1:27" x14ac:dyDescent="0.3">
      <c r="B23" s="19"/>
      <c r="C23" s="19"/>
      <c r="D23" s="19"/>
      <c r="E23" s="19"/>
      <c r="F23" s="19">
        <f t="shared" si="3"/>
        <v>0</v>
      </c>
      <c r="G23" s="19"/>
      <c r="H23" s="19">
        <f t="shared" si="4"/>
        <v>0</v>
      </c>
      <c r="I23" s="19">
        <f t="shared" si="5"/>
        <v>0</v>
      </c>
      <c r="J23" s="24">
        <f t="shared" si="6"/>
        <v>835923</v>
      </c>
      <c r="N23" s="19"/>
      <c r="O23" s="19"/>
      <c r="P23" s="19"/>
      <c r="Q23" s="19"/>
      <c r="R23" s="19">
        <f t="shared" si="7"/>
        <v>0</v>
      </c>
      <c r="S23" s="19"/>
      <c r="T23" s="19">
        <f t="shared" si="8"/>
        <v>0</v>
      </c>
      <c r="U23" s="19">
        <f t="shared" si="9"/>
        <v>0</v>
      </c>
      <c r="V23" s="18">
        <f t="shared" si="10"/>
        <v>0</v>
      </c>
    </row>
    <row r="24" spans="1:27" x14ac:dyDescent="0.3">
      <c r="B24" s="19"/>
      <c r="C24" s="19"/>
      <c r="D24" s="19"/>
      <c r="E24" s="19"/>
      <c r="F24" s="19">
        <f t="shared" si="3"/>
        <v>0</v>
      </c>
      <c r="G24" s="19"/>
      <c r="H24" s="19">
        <f t="shared" si="4"/>
        <v>0</v>
      </c>
      <c r="I24" s="19">
        <f t="shared" si="5"/>
        <v>0</v>
      </c>
      <c r="J24" s="24">
        <f t="shared" si="6"/>
        <v>835923</v>
      </c>
      <c r="N24" s="19"/>
      <c r="O24" s="19"/>
      <c r="P24" s="19"/>
      <c r="Q24" s="19"/>
      <c r="R24" s="19">
        <f t="shared" si="7"/>
        <v>0</v>
      </c>
      <c r="S24" s="19"/>
      <c r="T24" s="19">
        <f t="shared" si="8"/>
        <v>0</v>
      </c>
      <c r="U24" s="19">
        <f t="shared" si="9"/>
        <v>0</v>
      </c>
      <c r="V24" s="18">
        <f t="shared" si="10"/>
        <v>0</v>
      </c>
    </row>
    <row r="25" spans="1:27" x14ac:dyDescent="0.3">
      <c r="B25" s="19"/>
      <c r="C25" s="19"/>
      <c r="D25" s="19"/>
      <c r="E25" s="19"/>
      <c r="F25" s="19">
        <f t="shared" si="3"/>
        <v>0</v>
      </c>
      <c r="G25" s="19"/>
      <c r="H25" s="19">
        <f t="shared" si="4"/>
        <v>0</v>
      </c>
      <c r="I25" s="19">
        <f t="shared" si="5"/>
        <v>0</v>
      </c>
      <c r="J25" s="24">
        <f t="shared" si="6"/>
        <v>835923</v>
      </c>
      <c r="N25" s="19"/>
      <c r="O25" s="19"/>
      <c r="P25" s="19"/>
      <c r="Q25" s="19"/>
      <c r="R25" s="19">
        <f t="shared" si="7"/>
        <v>0</v>
      </c>
      <c r="S25" s="19"/>
      <c r="T25" s="19">
        <f t="shared" si="8"/>
        <v>0</v>
      </c>
      <c r="U25" s="19">
        <f t="shared" si="9"/>
        <v>0</v>
      </c>
      <c r="V25" s="18">
        <f t="shared" si="10"/>
        <v>0</v>
      </c>
    </row>
    <row r="26" spans="1:27" x14ac:dyDescent="0.3">
      <c r="B26" s="19"/>
      <c r="C26" s="19"/>
      <c r="D26" s="19"/>
      <c r="E26" s="19"/>
      <c r="F26" s="19">
        <f t="shared" si="3"/>
        <v>0</v>
      </c>
      <c r="G26" s="19"/>
      <c r="H26" s="19">
        <f t="shared" si="4"/>
        <v>0</v>
      </c>
      <c r="I26" s="19">
        <f t="shared" si="5"/>
        <v>0</v>
      </c>
      <c r="J26" s="24">
        <f t="shared" si="6"/>
        <v>835923</v>
      </c>
      <c r="N26" s="19"/>
      <c r="O26" s="19"/>
      <c r="P26" s="19"/>
      <c r="Q26" s="19"/>
      <c r="R26" s="19">
        <f t="shared" si="7"/>
        <v>0</v>
      </c>
      <c r="S26" s="19"/>
      <c r="T26" s="19">
        <f t="shared" si="8"/>
        <v>0</v>
      </c>
      <c r="U26" s="19">
        <f t="shared" si="9"/>
        <v>0</v>
      </c>
      <c r="V26" s="18">
        <f t="shared" si="10"/>
        <v>0</v>
      </c>
    </row>
    <row r="27" spans="1:27" x14ac:dyDescent="0.3">
      <c r="N27" s="19"/>
      <c r="O27" s="19"/>
      <c r="P27" s="19"/>
      <c r="Q27" s="19"/>
      <c r="R27" s="19">
        <f t="shared" si="7"/>
        <v>0</v>
      </c>
      <c r="S27" s="19"/>
      <c r="T27" s="19">
        <f t="shared" si="8"/>
        <v>0</v>
      </c>
      <c r="U27" s="19">
        <f t="shared" si="9"/>
        <v>0</v>
      </c>
      <c r="V27" s="18">
        <f t="shared" si="10"/>
        <v>0</v>
      </c>
    </row>
    <row r="28" spans="1:27" x14ac:dyDescent="0.3">
      <c r="N28" s="19"/>
      <c r="O28" s="19"/>
      <c r="P28" s="19"/>
      <c r="Q28" s="19"/>
      <c r="R28" s="19">
        <f t="shared" si="7"/>
        <v>0</v>
      </c>
      <c r="S28" s="19"/>
      <c r="T28" s="19">
        <f t="shared" si="8"/>
        <v>0</v>
      </c>
      <c r="U28" s="19">
        <f t="shared" si="9"/>
        <v>0</v>
      </c>
      <c r="V28" s="18">
        <f t="shared" si="10"/>
        <v>0</v>
      </c>
    </row>
    <row r="29" spans="1:27" ht="21" x14ac:dyDescent="0.4">
      <c r="A29">
        <v>3</v>
      </c>
      <c r="B29" s="492" t="s">
        <v>20</v>
      </c>
      <c r="C29" s="492"/>
      <c r="D29" s="492"/>
      <c r="E29" s="492"/>
      <c r="F29" s="492"/>
      <c r="G29" s="492"/>
      <c r="H29" s="492"/>
      <c r="I29" s="492"/>
      <c r="J29" s="492"/>
    </row>
    <row r="30" spans="1:27" ht="18" x14ac:dyDescent="0.35">
      <c r="B30" s="4" t="s">
        <v>1</v>
      </c>
      <c r="C30" s="4" t="s">
        <v>2</v>
      </c>
      <c r="D30" s="4" t="s">
        <v>3</v>
      </c>
      <c r="E30" s="4" t="s">
        <v>4</v>
      </c>
      <c r="F30" s="4" t="s">
        <v>36</v>
      </c>
      <c r="G30" s="4" t="s">
        <v>5</v>
      </c>
      <c r="H30" s="4" t="s">
        <v>6</v>
      </c>
      <c r="I30" s="4" t="s">
        <v>7</v>
      </c>
      <c r="J30" s="23"/>
    </row>
    <row r="31" spans="1:27" x14ac:dyDescent="0.3">
      <c r="B31" s="20">
        <v>45701</v>
      </c>
      <c r="C31" s="21" t="s">
        <v>42</v>
      </c>
      <c r="D31" s="19">
        <v>5</v>
      </c>
      <c r="E31" s="19">
        <v>188</v>
      </c>
      <c r="F31" s="19">
        <f t="shared" ref="F31:F39" si="11">E31*D31</f>
        <v>940</v>
      </c>
      <c r="G31" s="22">
        <v>2.3199999999999998</v>
      </c>
      <c r="H31" s="19">
        <f t="shared" ref="H31:H39" si="12">E31*G31</f>
        <v>436.15999999999997</v>
      </c>
      <c r="I31" s="19">
        <f t="shared" ref="I31:I39" si="13">H31*D31</f>
        <v>2180.7999999999997</v>
      </c>
      <c r="J31" s="24">
        <f>J30+I31</f>
        <v>2180.7999999999997</v>
      </c>
    </row>
    <row r="32" spans="1:27" ht="21" x14ac:dyDescent="0.4">
      <c r="B32" s="20">
        <v>45701</v>
      </c>
      <c r="C32" s="21" t="s">
        <v>43</v>
      </c>
      <c r="D32" s="19">
        <v>125</v>
      </c>
      <c r="E32" s="19">
        <v>133.30000000000001</v>
      </c>
      <c r="F32" s="19">
        <f t="shared" si="11"/>
        <v>16662.5</v>
      </c>
      <c r="G32" s="22">
        <v>2.3199999999999998</v>
      </c>
      <c r="H32" s="19">
        <f t="shared" si="12"/>
        <v>309.25600000000003</v>
      </c>
      <c r="I32" s="19">
        <f t="shared" si="13"/>
        <v>38657</v>
      </c>
      <c r="J32" s="24">
        <f t="shared" ref="J32:J39" si="14">J31+I32</f>
        <v>40837.800000000003</v>
      </c>
      <c r="N32" s="493" t="s">
        <v>20</v>
      </c>
      <c r="O32" s="493"/>
      <c r="P32" s="493"/>
      <c r="Q32" s="493"/>
      <c r="R32" s="493"/>
      <c r="S32" s="493"/>
      <c r="T32" s="493"/>
      <c r="U32" s="493"/>
      <c r="V32" s="493"/>
      <c r="W32" s="493"/>
      <c r="X32" s="493"/>
      <c r="Y32" s="493"/>
      <c r="Z32" s="493"/>
      <c r="AA32" s="493"/>
    </row>
    <row r="33" spans="1:27" ht="18" x14ac:dyDescent="0.35">
      <c r="B33" s="19"/>
      <c r="C33" s="19"/>
      <c r="D33" s="19"/>
      <c r="E33" s="19"/>
      <c r="F33" s="19">
        <f t="shared" si="11"/>
        <v>0</v>
      </c>
      <c r="G33" s="19"/>
      <c r="H33" s="19">
        <f t="shared" si="12"/>
        <v>0</v>
      </c>
      <c r="I33" s="19">
        <f t="shared" si="13"/>
        <v>0</v>
      </c>
      <c r="J33" s="24">
        <f t="shared" si="14"/>
        <v>40837.800000000003</v>
      </c>
      <c r="N33" s="231" t="s">
        <v>1</v>
      </c>
      <c r="O33" s="231" t="s">
        <v>2</v>
      </c>
      <c r="P33" s="231" t="s">
        <v>459</v>
      </c>
      <c r="Q33" s="231" t="s">
        <v>33</v>
      </c>
      <c r="R33" s="231" t="s">
        <v>3</v>
      </c>
      <c r="S33" s="231" t="s">
        <v>460</v>
      </c>
      <c r="T33" s="231" t="s">
        <v>466</v>
      </c>
      <c r="U33" s="231" t="s">
        <v>461</v>
      </c>
      <c r="V33" s="231" t="s">
        <v>462</v>
      </c>
      <c r="W33" s="231" t="s">
        <v>463</v>
      </c>
      <c r="X33" s="231" t="s">
        <v>464</v>
      </c>
      <c r="Y33" s="231" t="s">
        <v>465</v>
      </c>
      <c r="Z33" s="231" t="s">
        <v>7</v>
      </c>
      <c r="AA33" s="29"/>
    </row>
    <row r="34" spans="1:27" x14ac:dyDescent="0.3">
      <c r="B34" s="19"/>
      <c r="C34" s="19"/>
      <c r="D34" s="19"/>
      <c r="E34" s="19"/>
      <c r="F34" s="19">
        <f t="shared" si="11"/>
        <v>0</v>
      </c>
      <c r="G34" s="19"/>
      <c r="H34" s="19">
        <f t="shared" si="12"/>
        <v>0</v>
      </c>
      <c r="I34" s="19">
        <f t="shared" si="13"/>
        <v>0</v>
      </c>
      <c r="J34" s="24">
        <f t="shared" si="14"/>
        <v>40837.800000000003</v>
      </c>
      <c r="N34" s="19"/>
      <c r="O34" s="19"/>
      <c r="P34" s="19"/>
      <c r="Q34" s="19"/>
      <c r="R34" s="19"/>
      <c r="S34" s="19"/>
      <c r="T34" s="19"/>
      <c r="U34" s="19">
        <f>S34*T34%</f>
        <v>0</v>
      </c>
      <c r="V34" s="18">
        <f>S34-U34</f>
        <v>0</v>
      </c>
      <c r="W34" s="18">
        <f>R34*V34</f>
        <v>0</v>
      </c>
      <c r="X34" s="18">
        <v>2.33</v>
      </c>
      <c r="Y34" s="18">
        <f>V34*X34</f>
        <v>0</v>
      </c>
      <c r="Z34" s="18">
        <f>R34*Y34</f>
        <v>0</v>
      </c>
      <c r="AA34" s="18">
        <f>AA33+Z34</f>
        <v>0</v>
      </c>
    </row>
    <row r="35" spans="1:27" x14ac:dyDescent="0.3">
      <c r="B35" s="19"/>
      <c r="C35" s="19"/>
      <c r="D35" s="19"/>
      <c r="E35" s="19"/>
      <c r="F35" s="19">
        <f t="shared" si="11"/>
        <v>0</v>
      </c>
      <c r="G35" s="19"/>
      <c r="H35" s="19">
        <f t="shared" si="12"/>
        <v>0</v>
      </c>
      <c r="I35" s="19">
        <f t="shared" si="13"/>
        <v>0</v>
      </c>
      <c r="J35" s="24">
        <f t="shared" si="14"/>
        <v>40837.800000000003</v>
      </c>
      <c r="N35" s="19"/>
      <c r="O35" s="19"/>
      <c r="P35" s="19"/>
      <c r="Q35" s="19"/>
      <c r="R35" s="19"/>
      <c r="S35" s="19"/>
      <c r="T35" s="19"/>
      <c r="U35" s="19">
        <f t="shared" ref="U35:U43" si="15">S35*T35%</f>
        <v>0</v>
      </c>
      <c r="V35" s="18">
        <f t="shared" ref="V35:V43" si="16">S35-U35</f>
        <v>0</v>
      </c>
      <c r="W35" s="18">
        <f t="shared" ref="W35:W43" si="17">R35*V35</f>
        <v>0</v>
      </c>
      <c r="X35" s="18"/>
      <c r="Y35" s="18">
        <f t="shared" ref="Y35:Y43" si="18">V35*X35</f>
        <v>0</v>
      </c>
      <c r="Z35" s="18">
        <f t="shared" ref="Z35:Z43" si="19">R35*Y35</f>
        <v>0</v>
      </c>
      <c r="AA35" s="18">
        <f t="shared" ref="AA35:AA43" si="20">AA34+Z35</f>
        <v>0</v>
      </c>
    </row>
    <row r="36" spans="1:27" x14ac:dyDescent="0.3">
      <c r="B36" s="19"/>
      <c r="C36" s="19"/>
      <c r="D36" s="19"/>
      <c r="E36" s="19"/>
      <c r="F36" s="19">
        <f t="shared" si="11"/>
        <v>0</v>
      </c>
      <c r="G36" s="19"/>
      <c r="H36" s="19">
        <f t="shared" si="12"/>
        <v>0</v>
      </c>
      <c r="I36" s="19">
        <f t="shared" si="13"/>
        <v>0</v>
      </c>
      <c r="J36" s="24">
        <f t="shared" si="14"/>
        <v>40837.800000000003</v>
      </c>
      <c r="N36" s="19"/>
      <c r="O36" s="19"/>
      <c r="P36" s="19"/>
      <c r="Q36" s="19"/>
      <c r="R36" s="19"/>
      <c r="S36" s="19"/>
      <c r="T36" s="19"/>
      <c r="U36" s="19">
        <f t="shared" si="15"/>
        <v>0</v>
      </c>
      <c r="V36" s="18">
        <f t="shared" si="16"/>
        <v>0</v>
      </c>
      <c r="W36" s="18">
        <f t="shared" si="17"/>
        <v>0</v>
      </c>
      <c r="X36" s="18"/>
      <c r="Y36" s="18">
        <f t="shared" si="18"/>
        <v>0</v>
      </c>
      <c r="Z36" s="18">
        <f t="shared" si="19"/>
        <v>0</v>
      </c>
      <c r="AA36" s="18">
        <f t="shared" si="20"/>
        <v>0</v>
      </c>
    </row>
    <row r="37" spans="1:27" x14ac:dyDescent="0.3">
      <c r="B37" s="19"/>
      <c r="C37" s="19"/>
      <c r="D37" s="19"/>
      <c r="E37" s="19"/>
      <c r="F37" s="19">
        <f t="shared" si="11"/>
        <v>0</v>
      </c>
      <c r="G37" s="19"/>
      <c r="H37" s="19">
        <f t="shared" si="12"/>
        <v>0</v>
      </c>
      <c r="I37" s="19">
        <f t="shared" si="13"/>
        <v>0</v>
      </c>
      <c r="J37" s="24">
        <f t="shared" si="14"/>
        <v>40837.800000000003</v>
      </c>
      <c r="N37" s="19"/>
      <c r="O37" s="19"/>
      <c r="P37" s="19"/>
      <c r="Q37" s="19"/>
      <c r="R37" s="19"/>
      <c r="S37" s="19"/>
      <c r="T37" s="19"/>
      <c r="U37" s="19">
        <f t="shared" si="15"/>
        <v>0</v>
      </c>
      <c r="V37" s="18">
        <f t="shared" si="16"/>
        <v>0</v>
      </c>
      <c r="W37" s="18">
        <f t="shared" si="17"/>
        <v>0</v>
      </c>
      <c r="X37" s="18"/>
      <c r="Y37" s="18">
        <f t="shared" si="18"/>
        <v>0</v>
      </c>
      <c r="Z37" s="18">
        <f t="shared" si="19"/>
        <v>0</v>
      </c>
      <c r="AA37" s="18">
        <f t="shared" si="20"/>
        <v>0</v>
      </c>
    </row>
    <row r="38" spans="1:27" x14ac:dyDescent="0.3">
      <c r="B38" s="19"/>
      <c r="C38" s="19"/>
      <c r="D38" s="19"/>
      <c r="E38" s="19"/>
      <c r="F38" s="19">
        <f t="shared" si="11"/>
        <v>0</v>
      </c>
      <c r="G38" s="19"/>
      <c r="H38" s="19">
        <f t="shared" si="12"/>
        <v>0</v>
      </c>
      <c r="I38" s="19">
        <f t="shared" si="13"/>
        <v>0</v>
      </c>
      <c r="J38" s="24">
        <f t="shared" si="14"/>
        <v>40837.800000000003</v>
      </c>
      <c r="N38" s="19"/>
      <c r="O38" s="19"/>
      <c r="P38" s="19"/>
      <c r="Q38" s="19"/>
      <c r="R38" s="19"/>
      <c r="S38" s="19"/>
      <c r="T38" s="19"/>
      <c r="U38" s="19">
        <f t="shared" si="15"/>
        <v>0</v>
      </c>
      <c r="V38" s="18">
        <f t="shared" si="16"/>
        <v>0</v>
      </c>
      <c r="W38" s="18">
        <f t="shared" si="17"/>
        <v>0</v>
      </c>
      <c r="X38" s="18"/>
      <c r="Y38" s="18">
        <f t="shared" si="18"/>
        <v>0</v>
      </c>
      <c r="Z38" s="18">
        <f t="shared" si="19"/>
        <v>0</v>
      </c>
      <c r="AA38" s="18">
        <f t="shared" si="20"/>
        <v>0</v>
      </c>
    </row>
    <row r="39" spans="1:27" x14ac:dyDescent="0.3">
      <c r="B39" s="19"/>
      <c r="C39" s="19"/>
      <c r="D39" s="19"/>
      <c r="E39" s="19"/>
      <c r="F39" s="19">
        <f t="shared" si="11"/>
        <v>0</v>
      </c>
      <c r="G39" s="19"/>
      <c r="H39" s="19">
        <f t="shared" si="12"/>
        <v>0</v>
      </c>
      <c r="I39" s="19">
        <f t="shared" si="13"/>
        <v>0</v>
      </c>
      <c r="J39" s="24">
        <f t="shared" si="14"/>
        <v>40837.800000000003</v>
      </c>
      <c r="N39" s="19"/>
      <c r="O39" s="19"/>
      <c r="P39" s="19"/>
      <c r="Q39" s="19"/>
      <c r="R39" s="19"/>
      <c r="S39" s="19"/>
      <c r="T39" s="19"/>
      <c r="U39" s="19">
        <f t="shared" si="15"/>
        <v>0</v>
      </c>
      <c r="V39" s="18">
        <f t="shared" si="16"/>
        <v>0</v>
      </c>
      <c r="W39" s="18">
        <f t="shared" si="17"/>
        <v>0</v>
      </c>
      <c r="X39" s="18"/>
      <c r="Y39" s="18">
        <f t="shared" si="18"/>
        <v>0</v>
      </c>
      <c r="Z39" s="18">
        <f t="shared" si="19"/>
        <v>0</v>
      </c>
      <c r="AA39" s="18">
        <f t="shared" si="20"/>
        <v>0</v>
      </c>
    </row>
    <row r="40" spans="1:27" x14ac:dyDescent="0.3">
      <c r="N40" s="19"/>
      <c r="O40" s="19"/>
      <c r="P40" s="19"/>
      <c r="Q40" s="19"/>
      <c r="R40" s="19"/>
      <c r="S40" s="19"/>
      <c r="T40" s="19"/>
      <c r="U40" s="19">
        <f t="shared" si="15"/>
        <v>0</v>
      </c>
      <c r="V40" s="18">
        <f t="shared" si="16"/>
        <v>0</v>
      </c>
      <c r="W40" s="18">
        <f t="shared" si="17"/>
        <v>0</v>
      </c>
      <c r="X40" s="18"/>
      <c r="Y40" s="18">
        <f t="shared" si="18"/>
        <v>0</v>
      </c>
      <c r="Z40" s="18">
        <f t="shared" si="19"/>
        <v>0</v>
      </c>
      <c r="AA40" s="18">
        <f t="shared" si="20"/>
        <v>0</v>
      </c>
    </row>
    <row r="41" spans="1:27" x14ac:dyDescent="0.3">
      <c r="N41" s="19"/>
      <c r="O41" s="19"/>
      <c r="P41" s="19"/>
      <c r="Q41" s="19"/>
      <c r="R41" s="19"/>
      <c r="S41" s="19"/>
      <c r="T41" s="19"/>
      <c r="U41" s="19">
        <f t="shared" si="15"/>
        <v>0</v>
      </c>
      <c r="V41" s="18">
        <f t="shared" si="16"/>
        <v>0</v>
      </c>
      <c r="W41" s="18">
        <f t="shared" si="17"/>
        <v>0</v>
      </c>
      <c r="X41" s="18"/>
      <c r="Y41" s="18">
        <f t="shared" si="18"/>
        <v>0</v>
      </c>
      <c r="Z41" s="18">
        <f t="shared" si="19"/>
        <v>0</v>
      </c>
      <c r="AA41" s="18">
        <f t="shared" si="20"/>
        <v>0</v>
      </c>
    </row>
    <row r="42" spans="1:27" ht="21" x14ac:dyDescent="0.4">
      <c r="A42">
        <v>4</v>
      </c>
      <c r="B42" s="492" t="s">
        <v>35</v>
      </c>
      <c r="C42" s="492"/>
      <c r="D42" s="492"/>
      <c r="E42" s="492"/>
      <c r="F42" s="492"/>
      <c r="G42" s="492"/>
      <c r="H42" s="492"/>
      <c r="I42" s="492"/>
      <c r="J42" s="492"/>
      <c r="N42" s="19"/>
      <c r="O42" s="19"/>
      <c r="P42" s="19"/>
      <c r="Q42" s="19"/>
      <c r="R42" s="19"/>
      <c r="S42" s="19"/>
      <c r="T42" s="19"/>
      <c r="U42" s="19">
        <f t="shared" si="15"/>
        <v>0</v>
      </c>
      <c r="V42" s="18">
        <f t="shared" si="16"/>
        <v>0</v>
      </c>
      <c r="W42" s="18">
        <f t="shared" si="17"/>
        <v>0</v>
      </c>
      <c r="X42" s="18"/>
      <c r="Y42" s="18">
        <f t="shared" si="18"/>
        <v>0</v>
      </c>
      <c r="Z42" s="18">
        <f t="shared" si="19"/>
        <v>0</v>
      </c>
      <c r="AA42" s="18">
        <f t="shared" si="20"/>
        <v>0</v>
      </c>
    </row>
    <row r="43" spans="1:27" ht="18" x14ac:dyDescent="0.35">
      <c r="B43" s="4" t="s">
        <v>1</v>
      </c>
      <c r="C43" s="4" t="s">
        <v>2</v>
      </c>
      <c r="D43" s="4" t="s">
        <v>3</v>
      </c>
      <c r="E43" s="4" t="s">
        <v>4</v>
      </c>
      <c r="F43" s="4" t="s">
        <v>36</v>
      </c>
      <c r="G43" s="4" t="s">
        <v>5</v>
      </c>
      <c r="H43" s="4" t="s">
        <v>6</v>
      </c>
      <c r="I43" s="4" t="s">
        <v>7</v>
      </c>
      <c r="J43" s="23"/>
      <c r="N43" s="19"/>
      <c r="O43" s="19"/>
      <c r="P43" s="19"/>
      <c r="Q43" s="19"/>
      <c r="R43" s="19"/>
      <c r="S43" s="19"/>
      <c r="T43" s="19"/>
      <c r="U43" s="19">
        <f t="shared" si="15"/>
        <v>0</v>
      </c>
      <c r="V43" s="18">
        <f t="shared" si="16"/>
        <v>0</v>
      </c>
      <c r="W43" s="18">
        <f t="shared" si="17"/>
        <v>0</v>
      </c>
      <c r="X43" s="18"/>
      <c r="Y43" s="18">
        <f t="shared" si="18"/>
        <v>0</v>
      </c>
      <c r="Z43" s="18">
        <f t="shared" si="19"/>
        <v>0</v>
      </c>
      <c r="AA43" s="18">
        <f t="shared" si="20"/>
        <v>0</v>
      </c>
    </row>
    <row r="44" spans="1:27" x14ac:dyDescent="0.3">
      <c r="B44" s="20">
        <v>45705</v>
      </c>
      <c r="C44" s="21" t="s">
        <v>40</v>
      </c>
      <c r="D44" s="19">
        <v>250</v>
      </c>
      <c r="E44" s="19">
        <v>149</v>
      </c>
      <c r="F44" s="19">
        <f t="shared" ref="F44:F52" si="21">E44*D44</f>
        <v>37250</v>
      </c>
      <c r="G44" s="19">
        <v>2.19</v>
      </c>
      <c r="H44" s="19">
        <f t="shared" ref="H44:H52" si="22">E44*G44</f>
        <v>326.31</v>
      </c>
      <c r="I44" s="19">
        <f t="shared" ref="I44:I52" si="23">H44*D44</f>
        <v>81577.5</v>
      </c>
      <c r="J44" s="24">
        <f t="shared" ref="J44:J52" si="24">J43+I44</f>
        <v>81577.5</v>
      </c>
    </row>
    <row r="45" spans="1:27" x14ac:dyDescent="0.3">
      <c r="B45" s="19"/>
      <c r="C45" s="19"/>
      <c r="D45" s="19"/>
      <c r="E45" s="19"/>
      <c r="F45" s="19">
        <f t="shared" si="21"/>
        <v>0</v>
      </c>
      <c r="G45" s="19"/>
      <c r="H45" s="19">
        <f t="shared" si="22"/>
        <v>0</v>
      </c>
      <c r="I45" s="19">
        <f t="shared" si="23"/>
        <v>0</v>
      </c>
      <c r="J45" s="24">
        <f t="shared" si="24"/>
        <v>81577.5</v>
      </c>
    </row>
    <row r="46" spans="1:27" x14ac:dyDescent="0.3">
      <c r="B46" s="19"/>
      <c r="C46" s="19"/>
      <c r="D46" s="19"/>
      <c r="E46" s="19"/>
      <c r="F46" s="19">
        <f t="shared" si="21"/>
        <v>0</v>
      </c>
      <c r="G46" s="19"/>
      <c r="H46" s="19">
        <f t="shared" si="22"/>
        <v>0</v>
      </c>
      <c r="I46" s="19">
        <f t="shared" si="23"/>
        <v>0</v>
      </c>
      <c r="J46" s="24">
        <f t="shared" si="24"/>
        <v>81577.5</v>
      </c>
    </row>
    <row r="47" spans="1:27" x14ac:dyDescent="0.3">
      <c r="B47" s="19"/>
      <c r="C47" s="19"/>
      <c r="D47" s="19"/>
      <c r="E47" s="19"/>
      <c r="F47" s="19">
        <f t="shared" si="21"/>
        <v>0</v>
      </c>
      <c r="G47" s="19"/>
      <c r="H47" s="19">
        <f t="shared" si="22"/>
        <v>0</v>
      </c>
      <c r="I47" s="19">
        <f t="shared" si="23"/>
        <v>0</v>
      </c>
      <c r="J47" s="24">
        <f t="shared" si="24"/>
        <v>81577.5</v>
      </c>
    </row>
    <row r="48" spans="1:27" x14ac:dyDescent="0.3">
      <c r="B48" s="19"/>
      <c r="C48" s="19"/>
      <c r="D48" s="19"/>
      <c r="E48" s="19"/>
      <c r="F48" s="19">
        <f t="shared" si="21"/>
        <v>0</v>
      </c>
      <c r="G48" s="19"/>
      <c r="H48" s="19">
        <f t="shared" si="22"/>
        <v>0</v>
      </c>
      <c r="I48" s="19">
        <f t="shared" si="23"/>
        <v>0</v>
      </c>
      <c r="J48" s="24">
        <f t="shared" si="24"/>
        <v>81577.5</v>
      </c>
    </row>
    <row r="49" spans="1:10" x14ac:dyDescent="0.3">
      <c r="B49" s="19"/>
      <c r="C49" s="19"/>
      <c r="D49" s="19"/>
      <c r="E49" s="19"/>
      <c r="F49" s="19">
        <f t="shared" si="21"/>
        <v>0</v>
      </c>
      <c r="G49" s="19"/>
      <c r="H49" s="19">
        <f t="shared" si="22"/>
        <v>0</v>
      </c>
      <c r="I49" s="19">
        <f t="shared" si="23"/>
        <v>0</v>
      </c>
      <c r="J49" s="24">
        <f t="shared" si="24"/>
        <v>81577.5</v>
      </c>
    </row>
    <row r="50" spans="1:10" x14ac:dyDescent="0.3">
      <c r="B50" s="19"/>
      <c r="C50" s="19"/>
      <c r="D50" s="19"/>
      <c r="E50" s="19"/>
      <c r="F50" s="19">
        <f t="shared" si="21"/>
        <v>0</v>
      </c>
      <c r="G50" s="19"/>
      <c r="H50" s="19">
        <f t="shared" si="22"/>
        <v>0</v>
      </c>
      <c r="I50" s="19">
        <f t="shared" si="23"/>
        <v>0</v>
      </c>
      <c r="J50" s="24">
        <f t="shared" si="24"/>
        <v>81577.5</v>
      </c>
    </row>
    <row r="51" spans="1:10" x14ac:dyDescent="0.3">
      <c r="B51" s="19"/>
      <c r="C51" s="19"/>
      <c r="D51" s="19"/>
      <c r="E51" s="19"/>
      <c r="F51" s="19">
        <f t="shared" si="21"/>
        <v>0</v>
      </c>
      <c r="G51" s="19"/>
      <c r="H51" s="19">
        <f t="shared" si="22"/>
        <v>0</v>
      </c>
      <c r="I51" s="19">
        <f t="shared" si="23"/>
        <v>0</v>
      </c>
      <c r="J51" s="24">
        <f t="shared" si="24"/>
        <v>81577.5</v>
      </c>
    </row>
    <row r="52" spans="1:10" x14ac:dyDescent="0.3">
      <c r="B52" s="19"/>
      <c r="C52" s="19"/>
      <c r="D52" s="19"/>
      <c r="E52" s="19"/>
      <c r="F52" s="19">
        <f t="shared" si="21"/>
        <v>0</v>
      </c>
      <c r="G52" s="19"/>
      <c r="H52" s="19">
        <f t="shared" si="22"/>
        <v>0</v>
      </c>
      <c r="I52" s="19">
        <f t="shared" si="23"/>
        <v>0</v>
      </c>
      <c r="J52" s="24">
        <f t="shared" si="24"/>
        <v>81577.5</v>
      </c>
    </row>
    <row r="55" spans="1:10" ht="21" x14ac:dyDescent="0.4">
      <c r="A55">
        <v>5</v>
      </c>
      <c r="B55" s="492" t="s">
        <v>35</v>
      </c>
      <c r="C55" s="492"/>
      <c r="D55" s="492"/>
      <c r="E55" s="492"/>
      <c r="F55" s="492"/>
      <c r="G55" s="492"/>
      <c r="H55" s="492"/>
      <c r="I55" s="492"/>
      <c r="J55" s="492"/>
    </row>
    <row r="56" spans="1:10" ht="18" x14ac:dyDescent="0.35">
      <c r="B56" s="4" t="s">
        <v>1</v>
      </c>
      <c r="C56" s="4" t="s">
        <v>2</v>
      </c>
      <c r="D56" s="4" t="s">
        <v>3</v>
      </c>
      <c r="E56" s="4" t="s">
        <v>4</v>
      </c>
      <c r="F56" s="4" t="s">
        <v>36</v>
      </c>
      <c r="G56" s="4" t="s">
        <v>5</v>
      </c>
      <c r="H56" s="4" t="s">
        <v>6</v>
      </c>
      <c r="I56" s="4" t="s">
        <v>7</v>
      </c>
      <c r="J56" s="23"/>
    </row>
    <row r="57" spans="1:10" x14ac:dyDescent="0.3">
      <c r="B57" s="20">
        <v>45706</v>
      </c>
      <c r="C57" s="21" t="s">
        <v>44</v>
      </c>
      <c r="D57" s="19">
        <v>200</v>
      </c>
      <c r="E57" s="19">
        <v>549</v>
      </c>
      <c r="F57" s="19">
        <f t="shared" ref="F57:F65" si="25">E57*D57</f>
        <v>109800</v>
      </c>
      <c r="G57" s="22">
        <v>2.19</v>
      </c>
      <c r="H57" s="19">
        <f t="shared" ref="H57:H65" si="26">E57*G57</f>
        <v>1202.31</v>
      </c>
      <c r="I57" s="19">
        <f t="shared" ref="I57:I65" si="27">H57*D57</f>
        <v>240462</v>
      </c>
      <c r="J57" s="24">
        <f t="shared" ref="J57:J65" si="28">J56+I57</f>
        <v>240462</v>
      </c>
    </row>
    <row r="58" spans="1:10" x14ac:dyDescent="0.3">
      <c r="B58" s="20">
        <v>45706</v>
      </c>
      <c r="C58" s="21" t="s">
        <v>45</v>
      </c>
      <c r="D58" s="19">
        <v>6</v>
      </c>
      <c r="E58" s="19">
        <v>145</v>
      </c>
      <c r="F58" s="19">
        <f t="shared" si="25"/>
        <v>870</v>
      </c>
      <c r="G58" s="22">
        <v>2.19</v>
      </c>
      <c r="H58" s="19">
        <f t="shared" si="26"/>
        <v>317.55</v>
      </c>
      <c r="I58" s="19">
        <f t="shared" si="27"/>
        <v>1905.3000000000002</v>
      </c>
      <c r="J58" s="24">
        <f t="shared" si="28"/>
        <v>242367.3</v>
      </c>
    </row>
    <row r="59" spans="1:10" x14ac:dyDescent="0.3">
      <c r="B59" s="20">
        <v>45706</v>
      </c>
      <c r="C59" s="21" t="s">
        <v>46</v>
      </c>
      <c r="D59" s="19">
        <v>15</v>
      </c>
      <c r="E59" s="19">
        <v>695</v>
      </c>
      <c r="F59" s="19">
        <f t="shared" si="25"/>
        <v>10425</v>
      </c>
      <c r="G59" s="22">
        <v>2.19</v>
      </c>
      <c r="H59" s="19">
        <f t="shared" si="26"/>
        <v>1522.05</v>
      </c>
      <c r="I59" s="19">
        <f t="shared" si="27"/>
        <v>22830.75</v>
      </c>
      <c r="J59" s="24">
        <f t="shared" si="28"/>
        <v>265198.05</v>
      </c>
    </row>
    <row r="60" spans="1:10" x14ac:dyDescent="0.3">
      <c r="B60" s="19"/>
      <c r="C60" s="19"/>
      <c r="D60" s="19"/>
      <c r="E60" s="19"/>
      <c r="F60" s="19">
        <f t="shared" si="25"/>
        <v>0</v>
      </c>
      <c r="G60" s="19"/>
      <c r="H60" s="19">
        <f t="shared" si="26"/>
        <v>0</v>
      </c>
      <c r="I60" s="19">
        <f t="shared" si="27"/>
        <v>0</v>
      </c>
      <c r="J60" s="24">
        <f t="shared" si="28"/>
        <v>265198.05</v>
      </c>
    </row>
    <row r="61" spans="1:10" x14ac:dyDescent="0.3">
      <c r="B61" s="19"/>
      <c r="C61" s="19"/>
      <c r="D61" s="19"/>
      <c r="E61" s="19"/>
      <c r="F61" s="19">
        <f t="shared" si="25"/>
        <v>0</v>
      </c>
      <c r="G61" s="19"/>
      <c r="H61" s="19">
        <f t="shared" si="26"/>
        <v>0</v>
      </c>
      <c r="I61" s="19">
        <f t="shared" si="27"/>
        <v>0</v>
      </c>
      <c r="J61" s="24">
        <f t="shared" si="28"/>
        <v>265198.05</v>
      </c>
    </row>
    <row r="62" spans="1:10" x14ac:dyDescent="0.3">
      <c r="B62" s="19"/>
      <c r="C62" s="19"/>
      <c r="D62" s="19"/>
      <c r="E62" s="19"/>
      <c r="F62" s="19">
        <f t="shared" si="25"/>
        <v>0</v>
      </c>
      <c r="G62" s="19"/>
      <c r="H62" s="19">
        <f t="shared" si="26"/>
        <v>0</v>
      </c>
      <c r="I62" s="19">
        <f t="shared" si="27"/>
        <v>0</v>
      </c>
      <c r="J62" s="24">
        <f t="shared" si="28"/>
        <v>265198.05</v>
      </c>
    </row>
    <row r="63" spans="1:10" x14ac:dyDescent="0.3">
      <c r="B63" s="19"/>
      <c r="C63" s="19"/>
      <c r="D63" s="19"/>
      <c r="E63" s="19"/>
      <c r="F63" s="19">
        <f t="shared" si="25"/>
        <v>0</v>
      </c>
      <c r="G63" s="19"/>
      <c r="H63" s="19">
        <f t="shared" si="26"/>
        <v>0</v>
      </c>
      <c r="I63" s="19">
        <f t="shared" si="27"/>
        <v>0</v>
      </c>
      <c r="J63" s="24">
        <f t="shared" si="28"/>
        <v>265198.05</v>
      </c>
    </row>
    <row r="64" spans="1:10" x14ac:dyDescent="0.3">
      <c r="B64" s="19"/>
      <c r="C64" s="19"/>
      <c r="D64" s="19"/>
      <c r="E64" s="19"/>
      <c r="F64" s="19">
        <f t="shared" si="25"/>
        <v>0</v>
      </c>
      <c r="G64" s="19"/>
      <c r="H64" s="19">
        <f t="shared" si="26"/>
        <v>0</v>
      </c>
      <c r="I64" s="19">
        <f t="shared" si="27"/>
        <v>0</v>
      </c>
      <c r="J64" s="24">
        <f t="shared" si="28"/>
        <v>265198.05</v>
      </c>
    </row>
    <row r="65" spans="1:10" x14ac:dyDescent="0.3">
      <c r="B65" s="19"/>
      <c r="C65" s="19"/>
      <c r="D65" s="19"/>
      <c r="E65" s="19"/>
      <c r="F65" s="19">
        <f t="shared" si="25"/>
        <v>0</v>
      </c>
      <c r="G65" s="19"/>
      <c r="H65" s="19">
        <f t="shared" si="26"/>
        <v>0</v>
      </c>
      <c r="I65" s="19">
        <f t="shared" si="27"/>
        <v>0</v>
      </c>
      <c r="J65" s="24">
        <f t="shared" si="28"/>
        <v>265198.05</v>
      </c>
    </row>
    <row r="70" spans="1:10" ht="21" x14ac:dyDescent="0.4">
      <c r="A70">
        <v>6</v>
      </c>
      <c r="B70" s="492" t="s">
        <v>0</v>
      </c>
      <c r="C70" s="492"/>
      <c r="D70" s="492"/>
      <c r="E70" s="492"/>
      <c r="F70" s="492"/>
      <c r="G70" s="492"/>
      <c r="H70" s="492"/>
      <c r="I70" s="492"/>
      <c r="J70" s="492"/>
    </row>
    <row r="71" spans="1:10" ht="18" x14ac:dyDescent="0.35">
      <c r="B71" s="4" t="s">
        <v>1</v>
      </c>
      <c r="C71" s="4" t="s">
        <v>2</v>
      </c>
      <c r="D71" s="4" t="s">
        <v>3</v>
      </c>
      <c r="E71" s="4" t="s">
        <v>4</v>
      </c>
      <c r="F71" s="4" t="s">
        <v>36</v>
      </c>
      <c r="G71" s="4" t="s">
        <v>5</v>
      </c>
      <c r="H71" s="4" t="s">
        <v>6</v>
      </c>
      <c r="I71" s="4" t="s">
        <v>7</v>
      </c>
      <c r="J71" s="23"/>
    </row>
    <row r="72" spans="1:10" x14ac:dyDescent="0.3">
      <c r="B72" s="5">
        <v>45709</v>
      </c>
      <c r="C72" s="11" t="s">
        <v>8</v>
      </c>
      <c r="D72" s="2">
        <v>1</v>
      </c>
      <c r="E72" s="2">
        <v>1919</v>
      </c>
      <c r="F72" s="2">
        <f t="shared" ref="F72:F81" si="29">E72*D72</f>
        <v>1919</v>
      </c>
      <c r="G72" s="2">
        <v>2.3250000000000002</v>
      </c>
      <c r="H72" s="2">
        <f t="shared" ref="H72:H81" si="30">E72*G72</f>
        <v>4461.6750000000002</v>
      </c>
      <c r="I72" s="16">
        <f t="shared" ref="I72:I81" si="31">H72*D72</f>
        <v>4461.6750000000002</v>
      </c>
      <c r="J72" s="24">
        <f>J71+I72</f>
        <v>4461.6750000000002</v>
      </c>
    </row>
    <row r="73" spans="1:10" x14ac:dyDescent="0.3">
      <c r="B73" s="5">
        <v>45709</v>
      </c>
      <c r="C73" s="11" t="s">
        <v>8</v>
      </c>
      <c r="D73" s="2">
        <v>1</v>
      </c>
      <c r="E73" s="2">
        <v>1934</v>
      </c>
      <c r="F73" s="2">
        <f t="shared" si="29"/>
        <v>1934</v>
      </c>
      <c r="G73" s="2">
        <v>2.3250000000000002</v>
      </c>
      <c r="H73" s="2">
        <f t="shared" si="30"/>
        <v>4496.55</v>
      </c>
      <c r="I73" s="16">
        <f t="shared" si="31"/>
        <v>4496.55</v>
      </c>
      <c r="J73" s="24">
        <f t="shared" ref="J73:J81" si="32">J72+I73</f>
        <v>8958.2250000000004</v>
      </c>
    </row>
    <row r="74" spans="1:10" x14ac:dyDescent="0.3">
      <c r="B74" s="5">
        <v>45709</v>
      </c>
      <c r="C74" s="11" t="s">
        <v>9</v>
      </c>
      <c r="D74" s="2">
        <v>7</v>
      </c>
      <c r="E74" s="2">
        <v>2349</v>
      </c>
      <c r="F74" s="2">
        <f t="shared" si="29"/>
        <v>16443</v>
      </c>
      <c r="G74" s="2">
        <v>2.3250000000000002</v>
      </c>
      <c r="H74" s="2">
        <f t="shared" si="30"/>
        <v>5461.4250000000002</v>
      </c>
      <c r="I74" s="16">
        <f t="shared" si="31"/>
        <v>38229.974999999999</v>
      </c>
      <c r="J74" s="24">
        <f t="shared" si="32"/>
        <v>47188.2</v>
      </c>
    </row>
    <row r="75" spans="1:10" x14ac:dyDescent="0.3">
      <c r="B75" s="5">
        <v>45709</v>
      </c>
      <c r="C75" s="11" t="s">
        <v>10</v>
      </c>
      <c r="D75" s="8">
        <v>1</v>
      </c>
      <c r="E75" s="8">
        <v>2349</v>
      </c>
      <c r="F75" s="2">
        <f t="shared" si="29"/>
        <v>2349</v>
      </c>
      <c r="G75" s="2">
        <v>2.3250000000000002</v>
      </c>
      <c r="H75" s="2">
        <f t="shared" si="30"/>
        <v>5461.4250000000002</v>
      </c>
      <c r="I75" s="16">
        <f t="shared" si="31"/>
        <v>5461.4250000000002</v>
      </c>
      <c r="J75" s="24">
        <f t="shared" si="32"/>
        <v>52649.625</v>
      </c>
    </row>
    <row r="76" spans="1:10" x14ac:dyDescent="0.3">
      <c r="B76" s="5">
        <v>45709</v>
      </c>
      <c r="C76" s="111" t="s">
        <v>11</v>
      </c>
      <c r="D76" s="2">
        <v>1</v>
      </c>
      <c r="E76" s="2">
        <v>2349</v>
      </c>
      <c r="F76" s="2">
        <f t="shared" si="29"/>
        <v>2349</v>
      </c>
      <c r="G76" s="2">
        <v>2.3250000000000002</v>
      </c>
      <c r="H76" s="3">
        <f t="shared" si="30"/>
        <v>5461.4250000000002</v>
      </c>
      <c r="I76" s="16">
        <f t="shared" si="31"/>
        <v>5461.4250000000002</v>
      </c>
      <c r="J76" s="24">
        <f t="shared" si="32"/>
        <v>58111.05</v>
      </c>
    </row>
    <row r="77" spans="1:10" ht="28.8" x14ac:dyDescent="0.3">
      <c r="B77" s="12">
        <v>45709</v>
      </c>
      <c r="C77" s="15" t="s">
        <v>12</v>
      </c>
      <c r="D77" s="13">
        <v>10</v>
      </c>
      <c r="E77" s="13">
        <v>188</v>
      </c>
      <c r="F77" s="2">
        <f t="shared" si="29"/>
        <v>1880</v>
      </c>
      <c r="G77" s="13">
        <v>2.3250000000000002</v>
      </c>
      <c r="H77" s="14">
        <f t="shared" si="30"/>
        <v>437.1</v>
      </c>
      <c r="I77" s="17">
        <f t="shared" si="31"/>
        <v>4371</v>
      </c>
      <c r="J77" s="24">
        <f t="shared" si="32"/>
        <v>62482.05</v>
      </c>
    </row>
    <row r="78" spans="1:10" x14ac:dyDescent="0.3">
      <c r="B78" s="5">
        <v>45709</v>
      </c>
      <c r="C78" s="9" t="s">
        <v>13</v>
      </c>
      <c r="D78" s="8">
        <v>1</v>
      </c>
      <c r="E78" s="8">
        <v>248</v>
      </c>
      <c r="F78" s="2">
        <f t="shared" si="29"/>
        <v>248</v>
      </c>
      <c r="G78" s="2">
        <v>2.3250000000000002</v>
      </c>
      <c r="H78" s="3">
        <f t="shared" si="30"/>
        <v>576.6</v>
      </c>
      <c r="I78" s="16">
        <f t="shared" si="31"/>
        <v>576.6</v>
      </c>
      <c r="J78" s="24">
        <f t="shared" si="32"/>
        <v>63058.65</v>
      </c>
    </row>
    <row r="79" spans="1:10" x14ac:dyDescent="0.3">
      <c r="B79" s="5">
        <v>45709</v>
      </c>
      <c r="C79" s="10" t="s">
        <v>14</v>
      </c>
      <c r="D79" s="2">
        <v>1</v>
      </c>
      <c r="E79" s="2">
        <v>203</v>
      </c>
      <c r="F79" s="2">
        <f t="shared" si="29"/>
        <v>203</v>
      </c>
      <c r="G79" s="2">
        <v>2.3250000000000002</v>
      </c>
      <c r="H79" s="3">
        <f t="shared" si="30"/>
        <v>471.97500000000002</v>
      </c>
      <c r="I79" s="16">
        <f t="shared" si="31"/>
        <v>471.97500000000002</v>
      </c>
      <c r="J79" s="24">
        <f t="shared" si="32"/>
        <v>63530.625</v>
      </c>
    </row>
    <row r="80" spans="1:10" x14ac:dyDescent="0.3">
      <c r="B80" s="5">
        <v>45709</v>
      </c>
      <c r="C80" s="10" t="s">
        <v>15</v>
      </c>
      <c r="D80" s="2">
        <v>1</v>
      </c>
      <c r="E80" s="2">
        <v>143</v>
      </c>
      <c r="F80" s="2">
        <f t="shared" si="29"/>
        <v>143</v>
      </c>
      <c r="G80" s="2">
        <v>2.3250000000000002</v>
      </c>
      <c r="H80" s="3">
        <f t="shared" si="30"/>
        <v>332.47500000000002</v>
      </c>
      <c r="I80" s="16">
        <f t="shared" si="31"/>
        <v>332.47500000000002</v>
      </c>
      <c r="J80" s="24">
        <f t="shared" si="32"/>
        <v>63863.1</v>
      </c>
    </row>
    <row r="81" spans="1:10" x14ac:dyDescent="0.3">
      <c r="A81" t="s">
        <v>127</v>
      </c>
      <c r="B81" s="5">
        <v>45709</v>
      </c>
      <c r="C81" s="10" t="s">
        <v>16</v>
      </c>
      <c r="D81" s="2">
        <v>1</v>
      </c>
      <c r="E81" s="2">
        <v>250</v>
      </c>
      <c r="F81" s="2">
        <f t="shared" si="29"/>
        <v>250</v>
      </c>
      <c r="G81" s="2">
        <v>2.3250000000000002</v>
      </c>
      <c r="H81" s="3">
        <f t="shared" si="30"/>
        <v>581.25</v>
      </c>
      <c r="I81" s="16">
        <f t="shared" si="31"/>
        <v>581.25</v>
      </c>
      <c r="J81" s="24">
        <f t="shared" si="32"/>
        <v>64444.35</v>
      </c>
    </row>
    <row r="83" spans="1:10" x14ac:dyDescent="0.3">
      <c r="B83" s="106"/>
      <c r="C83"/>
      <c r="E83" s="374"/>
      <c r="J83"/>
    </row>
    <row r="84" spans="1:10" x14ac:dyDescent="0.3">
      <c r="B84" s="106"/>
      <c r="C84"/>
      <c r="E84" s="374"/>
      <c r="J84"/>
    </row>
    <row r="85" spans="1:10" x14ac:dyDescent="0.3">
      <c r="B85" s="106"/>
      <c r="C85"/>
      <c r="E85" s="374"/>
      <c r="J85"/>
    </row>
    <row r="86" spans="1:10" x14ac:dyDescent="0.3">
      <c r="B86" s="106"/>
      <c r="C86"/>
      <c r="E86" s="374"/>
      <c r="J86"/>
    </row>
    <row r="87" spans="1:10" x14ac:dyDescent="0.3">
      <c r="B87" s="106"/>
      <c r="C87"/>
      <c r="E87" s="374"/>
      <c r="J87"/>
    </row>
    <row r="88" spans="1:10" x14ac:dyDescent="0.3">
      <c r="B88" s="106"/>
      <c r="C88"/>
      <c r="E88" s="374"/>
      <c r="J88"/>
    </row>
    <row r="92" spans="1:10" ht="21" x14ac:dyDescent="0.4">
      <c r="A92" t="s">
        <v>127</v>
      </c>
      <c r="B92" s="492" t="s">
        <v>20</v>
      </c>
      <c r="C92" s="492"/>
      <c r="D92" s="492"/>
      <c r="E92" s="492"/>
      <c r="F92" s="492"/>
      <c r="G92" s="492"/>
      <c r="H92" s="492"/>
      <c r="I92" s="492"/>
      <c r="J92" s="492"/>
    </row>
    <row r="93" spans="1:10" ht="18" x14ac:dyDescent="0.35">
      <c r="B93" s="4" t="s">
        <v>1</v>
      </c>
      <c r="C93" s="4" t="s">
        <v>2</v>
      </c>
      <c r="D93" s="4" t="s">
        <v>3</v>
      </c>
      <c r="E93" s="4" t="s">
        <v>4</v>
      </c>
      <c r="F93" s="4" t="s">
        <v>36</v>
      </c>
      <c r="G93" s="4" t="s">
        <v>5</v>
      </c>
      <c r="H93" s="4" t="s">
        <v>6</v>
      </c>
      <c r="I93" s="4" t="s">
        <v>7</v>
      </c>
      <c r="J93" s="4"/>
    </row>
    <row r="94" spans="1:10" x14ac:dyDescent="0.3">
      <c r="B94" s="82">
        <v>45710</v>
      </c>
      <c r="C94" s="18" t="s">
        <v>111</v>
      </c>
      <c r="D94" s="19">
        <v>1</v>
      </c>
      <c r="E94" s="375">
        <v>2364</v>
      </c>
      <c r="F94" s="19">
        <f t="shared" ref="F94:F110" si="33">E94*D94</f>
        <v>2364</v>
      </c>
      <c r="G94" s="2">
        <v>2.35</v>
      </c>
      <c r="H94" s="19">
        <f t="shared" ref="H94:H110" si="34">E94*G94</f>
        <v>5555.4000000000005</v>
      </c>
      <c r="I94" s="19">
        <f t="shared" ref="I94:I110" si="35">H94*D94</f>
        <v>5555.4000000000005</v>
      </c>
      <c r="J94" s="18">
        <f>J93+I94</f>
        <v>5555.4000000000005</v>
      </c>
    </row>
    <row r="95" spans="1:10" x14ac:dyDescent="0.3">
      <c r="B95" s="82">
        <v>45710</v>
      </c>
      <c r="C95" s="18" t="s">
        <v>112</v>
      </c>
      <c r="D95" s="19">
        <v>1</v>
      </c>
      <c r="E95" s="375">
        <v>2349</v>
      </c>
      <c r="F95" s="19">
        <f t="shared" si="33"/>
        <v>2349</v>
      </c>
      <c r="G95" s="2">
        <v>2.35</v>
      </c>
      <c r="H95" s="19">
        <f t="shared" si="34"/>
        <v>5520.1500000000005</v>
      </c>
      <c r="I95" s="19">
        <f t="shared" si="35"/>
        <v>5520.1500000000005</v>
      </c>
      <c r="J95" s="18">
        <f t="shared" ref="J95:J102" si="36">J94+I95</f>
        <v>11075.550000000001</v>
      </c>
    </row>
    <row r="96" spans="1:10" x14ac:dyDescent="0.3">
      <c r="B96" s="82">
        <v>45710</v>
      </c>
      <c r="C96" s="18" t="s">
        <v>113</v>
      </c>
      <c r="D96" s="19">
        <v>1</v>
      </c>
      <c r="E96" s="375">
        <v>2349</v>
      </c>
      <c r="F96" s="19">
        <f t="shared" si="33"/>
        <v>2349</v>
      </c>
      <c r="G96" s="2">
        <v>2.35</v>
      </c>
      <c r="H96" s="19">
        <f t="shared" si="34"/>
        <v>5520.1500000000005</v>
      </c>
      <c r="I96" s="19">
        <f t="shared" si="35"/>
        <v>5520.1500000000005</v>
      </c>
      <c r="J96" s="18">
        <f t="shared" si="36"/>
        <v>16595.7</v>
      </c>
    </row>
    <row r="97" spans="2:10" x14ac:dyDescent="0.3">
      <c r="B97" s="82">
        <v>45710</v>
      </c>
      <c r="C97" s="18" t="s">
        <v>114</v>
      </c>
      <c r="D97" s="19">
        <v>1</v>
      </c>
      <c r="E97" s="375">
        <v>2349</v>
      </c>
      <c r="F97" s="19">
        <f t="shared" si="33"/>
        <v>2349</v>
      </c>
      <c r="G97" s="2">
        <v>2.35</v>
      </c>
      <c r="H97" s="19">
        <f t="shared" si="34"/>
        <v>5520.1500000000005</v>
      </c>
      <c r="I97" s="19">
        <f t="shared" si="35"/>
        <v>5520.1500000000005</v>
      </c>
      <c r="J97" s="18">
        <f t="shared" si="36"/>
        <v>22115.850000000002</v>
      </c>
    </row>
    <row r="98" spans="2:10" x14ac:dyDescent="0.3">
      <c r="B98" s="82">
        <v>45710</v>
      </c>
      <c r="C98" s="18" t="s">
        <v>115</v>
      </c>
      <c r="D98" s="19">
        <v>1</v>
      </c>
      <c r="E98" s="375">
        <v>2349</v>
      </c>
      <c r="F98" s="19">
        <f t="shared" si="33"/>
        <v>2349</v>
      </c>
      <c r="G98" s="2">
        <v>2.35</v>
      </c>
      <c r="H98" s="19">
        <f t="shared" si="34"/>
        <v>5520.1500000000005</v>
      </c>
      <c r="I98" s="19">
        <f t="shared" si="35"/>
        <v>5520.1500000000005</v>
      </c>
      <c r="J98" s="18">
        <f t="shared" si="36"/>
        <v>27636.000000000004</v>
      </c>
    </row>
    <row r="99" spans="2:10" x14ac:dyDescent="0.3">
      <c r="B99" s="82">
        <v>45710</v>
      </c>
      <c r="C99" s="18" t="s">
        <v>116</v>
      </c>
      <c r="D99" s="19">
        <v>1</v>
      </c>
      <c r="E99" s="375">
        <v>2349</v>
      </c>
      <c r="F99" s="19">
        <f t="shared" si="33"/>
        <v>2349</v>
      </c>
      <c r="G99" s="2">
        <v>2.35</v>
      </c>
      <c r="H99" s="19">
        <f t="shared" si="34"/>
        <v>5520.1500000000005</v>
      </c>
      <c r="I99" s="19">
        <f t="shared" si="35"/>
        <v>5520.1500000000005</v>
      </c>
      <c r="J99" s="18">
        <f t="shared" si="36"/>
        <v>33156.15</v>
      </c>
    </row>
    <row r="100" spans="2:10" x14ac:dyDescent="0.3">
      <c r="B100" s="82">
        <v>45710</v>
      </c>
      <c r="C100" s="18" t="s">
        <v>117</v>
      </c>
      <c r="D100" s="19">
        <v>1</v>
      </c>
      <c r="E100" s="375">
        <v>2349</v>
      </c>
      <c r="F100" s="19">
        <f t="shared" si="33"/>
        <v>2349</v>
      </c>
      <c r="G100" s="2">
        <v>2.35</v>
      </c>
      <c r="H100" s="19">
        <f t="shared" si="34"/>
        <v>5520.1500000000005</v>
      </c>
      <c r="I100" s="19">
        <f t="shared" si="35"/>
        <v>5520.1500000000005</v>
      </c>
      <c r="J100" s="18">
        <f t="shared" si="36"/>
        <v>38676.300000000003</v>
      </c>
    </row>
    <row r="101" spans="2:10" x14ac:dyDescent="0.3">
      <c r="B101" s="82">
        <v>45711</v>
      </c>
      <c r="C101" s="18" t="s">
        <v>117</v>
      </c>
      <c r="D101" s="19">
        <v>1</v>
      </c>
      <c r="E101" s="375">
        <v>2349</v>
      </c>
      <c r="F101" s="19">
        <f t="shared" si="33"/>
        <v>2349</v>
      </c>
      <c r="G101" s="2">
        <v>2.35</v>
      </c>
      <c r="H101" s="19">
        <f t="shared" si="34"/>
        <v>5520.1500000000005</v>
      </c>
      <c r="I101" s="19">
        <f t="shared" si="35"/>
        <v>5520.1500000000005</v>
      </c>
      <c r="J101" s="18">
        <f t="shared" si="36"/>
        <v>44196.450000000004</v>
      </c>
    </row>
    <row r="102" spans="2:10" x14ac:dyDescent="0.3">
      <c r="B102" s="82">
        <v>45711</v>
      </c>
      <c r="C102" s="18" t="s">
        <v>118</v>
      </c>
      <c r="D102" s="19">
        <v>1</v>
      </c>
      <c r="E102" s="375">
        <v>2349</v>
      </c>
      <c r="F102" s="19">
        <f t="shared" si="33"/>
        <v>2349</v>
      </c>
      <c r="G102" s="2">
        <v>2.35</v>
      </c>
      <c r="H102" s="19">
        <f t="shared" si="34"/>
        <v>5520.1500000000005</v>
      </c>
      <c r="I102" s="19">
        <f t="shared" si="35"/>
        <v>5520.1500000000005</v>
      </c>
      <c r="J102" s="18">
        <f t="shared" si="36"/>
        <v>49716.600000000006</v>
      </c>
    </row>
    <row r="103" spans="2:10" x14ac:dyDescent="0.3">
      <c r="B103" s="82">
        <v>45711</v>
      </c>
      <c r="C103" s="18" t="s">
        <v>112</v>
      </c>
      <c r="D103" s="19">
        <v>1</v>
      </c>
      <c r="E103" s="375">
        <v>2349</v>
      </c>
      <c r="F103" s="19">
        <f t="shared" si="33"/>
        <v>2349</v>
      </c>
      <c r="G103" s="2">
        <v>2.35</v>
      </c>
      <c r="H103" s="19">
        <f t="shared" si="34"/>
        <v>5520.1500000000005</v>
      </c>
      <c r="I103" s="19">
        <f t="shared" si="35"/>
        <v>5520.1500000000005</v>
      </c>
      <c r="J103" s="18">
        <f t="shared" ref="J103:J110" si="37">J102+I103</f>
        <v>55236.750000000007</v>
      </c>
    </row>
    <row r="104" spans="2:10" x14ac:dyDescent="0.3">
      <c r="B104" s="82">
        <v>45711</v>
      </c>
      <c r="C104" s="18" t="s">
        <v>113</v>
      </c>
      <c r="D104" s="19">
        <v>1</v>
      </c>
      <c r="E104" s="375">
        <v>2349</v>
      </c>
      <c r="F104" s="19">
        <f t="shared" si="33"/>
        <v>2349</v>
      </c>
      <c r="G104" s="2">
        <v>2.35</v>
      </c>
      <c r="H104" s="19">
        <f t="shared" si="34"/>
        <v>5520.1500000000005</v>
      </c>
      <c r="I104" s="19">
        <f t="shared" si="35"/>
        <v>5520.1500000000005</v>
      </c>
      <c r="J104" s="18">
        <f t="shared" si="37"/>
        <v>60756.900000000009</v>
      </c>
    </row>
    <row r="105" spans="2:10" x14ac:dyDescent="0.3">
      <c r="B105" s="82">
        <v>45711</v>
      </c>
      <c r="C105" s="18" t="s">
        <v>111</v>
      </c>
      <c r="D105" s="19">
        <v>1</v>
      </c>
      <c r="E105" s="375">
        <v>2364</v>
      </c>
      <c r="F105" s="19">
        <f t="shared" si="33"/>
        <v>2364</v>
      </c>
      <c r="G105" s="2">
        <v>2.35</v>
      </c>
      <c r="H105" s="19">
        <f t="shared" si="34"/>
        <v>5555.4000000000005</v>
      </c>
      <c r="I105" s="19">
        <f t="shared" si="35"/>
        <v>5555.4000000000005</v>
      </c>
      <c r="J105" s="18">
        <f t="shared" si="37"/>
        <v>66312.3</v>
      </c>
    </row>
    <row r="106" spans="2:10" x14ac:dyDescent="0.3">
      <c r="B106" s="82">
        <v>45711</v>
      </c>
      <c r="C106" s="18" t="s">
        <v>119</v>
      </c>
      <c r="D106" s="19">
        <v>1</v>
      </c>
      <c r="E106" s="375">
        <v>2364</v>
      </c>
      <c r="F106" s="19">
        <f t="shared" si="33"/>
        <v>2364</v>
      </c>
      <c r="G106" s="2">
        <v>2.35</v>
      </c>
      <c r="H106" s="19">
        <f t="shared" si="34"/>
        <v>5555.4000000000005</v>
      </c>
      <c r="I106" s="19">
        <f t="shared" si="35"/>
        <v>5555.4000000000005</v>
      </c>
      <c r="J106" s="18">
        <f t="shared" si="37"/>
        <v>71867.7</v>
      </c>
    </row>
    <row r="107" spans="2:10" x14ac:dyDescent="0.3">
      <c r="F107" s="19">
        <f t="shared" si="33"/>
        <v>0</v>
      </c>
      <c r="H107" s="19">
        <f t="shared" si="34"/>
        <v>0</v>
      </c>
      <c r="I107" s="19">
        <f t="shared" si="35"/>
        <v>0</v>
      </c>
      <c r="J107" s="18">
        <f t="shared" si="37"/>
        <v>71867.7</v>
      </c>
    </row>
    <row r="108" spans="2:10" x14ac:dyDescent="0.3">
      <c r="B108" s="82">
        <v>45711</v>
      </c>
      <c r="C108" s="18" t="s">
        <v>110</v>
      </c>
      <c r="D108" s="19">
        <v>1</v>
      </c>
      <c r="E108" s="375">
        <v>2349</v>
      </c>
      <c r="F108" s="19">
        <f t="shared" si="33"/>
        <v>2349</v>
      </c>
      <c r="G108" s="2">
        <v>2.35</v>
      </c>
      <c r="H108" s="19">
        <f t="shared" si="34"/>
        <v>5520.1500000000005</v>
      </c>
      <c r="I108" s="19">
        <f t="shared" si="35"/>
        <v>5520.1500000000005</v>
      </c>
      <c r="J108" s="18">
        <f t="shared" si="37"/>
        <v>77387.849999999991</v>
      </c>
    </row>
    <row r="109" spans="2:10" x14ac:dyDescent="0.3">
      <c r="B109" s="82">
        <v>45711</v>
      </c>
      <c r="C109" s="18" t="s">
        <v>110</v>
      </c>
      <c r="D109" s="19">
        <v>1</v>
      </c>
      <c r="E109" s="376">
        <v>2349</v>
      </c>
      <c r="F109" s="76">
        <f t="shared" si="33"/>
        <v>2349</v>
      </c>
      <c r="G109" s="8">
        <v>2.35</v>
      </c>
      <c r="H109" s="76">
        <f t="shared" si="34"/>
        <v>5520.1500000000005</v>
      </c>
      <c r="I109" s="76">
        <f t="shared" si="35"/>
        <v>5520.1500000000005</v>
      </c>
      <c r="J109" s="77">
        <f t="shared" si="37"/>
        <v>82907.999999999985</v>
      </c>
    </row>
    <row r="110" spans="2:10" x14ac:dyDescent="0.3">
      <c r="B110" s="82">
        <v>45711</v>
      </c>
      <c r="C110" s="18" t="s">
        <v>120</v>
      </c>
      <c r="D110" s="19">
        <v>1</v>
      </c>
      <c r="E110" s="375">
        <v>1919</v>
      </c>
      <c r="F110" s="19">
        <f t="shared" si="33"/>
        <v>1919</v>
      </c>
      <c r="G110" s="19">
        <v>2.35</v>
      </c>
      <c r="H110" s="19">
        <f t="shared" si="34"/>
        <v>4509.6500000000005</v>
      </c>
      <c r="I110" s="19">
        <f t="shared" si="35"/>
        <v>4509.6500000000005</v>
      </c>
      <c r="J110" s="18">
        <f t="shared" si="37"/>
        <v>87417.64999999998</v>
      </c>
    </row>
    <row r="111" spans="2:10" x14ac:dyDescent="0.3">
      <c r="J111"/>
    </row>
    <row r="112" spans="2:10" x14ac:dyDescent="0.3">
      <c r="J112"/>
    </row>
    <row r="114" spans="1:10" ht="21" x14ac:dyDescent="0.4">
      <c r="A114" t="s">
        <v>127</v>
      </c>
      <c r="B114" s="492" t="s">
        <v>20</v>
      </c>
      <c r="C114" s="492"/>
      <c r="D114" s="492"/>
      <c r="E114" s="492"/>
      <c r="F114" s="492"/>
      <c r="G114" s="492"/>
      <c r="H114" s="492"/>
      <c r="I114" s="492"/>
      <c r="J114" s="492"/>
    </row>
    <row r="115" spans="1:10" ht="18" x14ac:dyDescent="0.35"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36</v>
      </c>
      <c r="G115" s="4" t="s">
        <v>5</v>
      </c>
      <c r="H115" s="4" t="s">
        <v>6</v>
      </c>
      <c r="I115" s="4" t="s">
        <v>7</v>
      </c>
      <c r="J115" s="4"/>
    </row>
    <row r="116" spans="1:10" x14ac:dyDescent="0.3">
      <c r="B116" s="82">
        <v>45714</v>
      </c>
      <c r="C116" s="18" t="s">
        <v>114</v>
      </c>
      <c r="D116" s="19">
        <v>1</v>
      </c>
      <c r="E116" s="19">
        <v>2349</v>
      </c>
      <c r="F116" s="19">
        <f t="shared" ref="F116:F122" si="38">E116*D116</f>
        <v>2349</v>
      </c>
      <c r="G116" s="19">
        <v>2.35</v>
      </c>
      <c r="H116" s="19">
        <f t="shared" ref="H116:H122" si="39">E116*G116</f>
        <v>5520.1500000000005</v>
      </c>
      <c r="I116" s="19">
        <f t="shared" ref="I116:I122" si="40">H116*D116</f>
        <v>5520.1500000000005</v>
      </c>
      <c r="J116" s="18">
        <f>J115+I116</f>
        <v>5520.1500000000005</v>
      </c>
    </row>
    <row r="117" spans="1:10" x14ac:dyDescent="0.3">
      <c r="B117" s="82">
        <v>45714</v>
      </c>
      <c r="C117" s="18" t="s">
        <v>112</v>
      </c>
      <c r="D117" s="19">
        <v>1</v>
      </c>
      <c r="E117" s="19">
        <v>2349</v>
      </c>
      <c r="F117" s="19">
        <f t="shared" si="38"/>
        <v>2349</v>
      </c>
      <c r="G117" s="19">
        <v>2.35</v>
      </c>
      <c r="H117" s="19">
        <f t="shared" si="39"/>
        <v>5520.1500000000005</v>
      </c>
      <c r="I117" s="19">
        <f t="shared" si="40"/>
        <v>5520.1500000000005</v>
      </c>
      <c r="J117" s="18">
        <f t="shared" ref="J117:J122" si="41">J116+I117</f>
        <v>11040.300000000001</v>
      </c>
    </row>
    <row r="118" spans="1:10" x14ac:dyDescent="0.3">
      <c r="B118" s="82">
        <v>45714</v>
      </c>
      <c r="C118" s="18" t="s">
        <v>111</v>
      </c>
      <c r="D118" s="19">
        <v>1</v>
      </c>
      <c r="E118" s="19">
        <v>2349</v>
      </c>
      <c r="F118" s="19">
        <f t="shared" si="38"/>
        <v>2349</v>
      </c>
      <c r="G118" s="19">
        <v>2.35</v>
      </c>
      <c r="H118" s="19">
        <f t="shared" si="39"/>
        <v>5520.1500000000005</v>
      </c>
      <c r="I118" s="19">
        <f t="shared" si="40"/>
        <v>5520.1500000000005</v>
      </c>
      <c r="J118" s="18">
        <f t="shared" si="41"/>
        <v>16560.45</v>
      </c>
    </row>
    <row r="119" spans="1:10" x14ac:dyDescent="0.3">
      <c r="B119" s="82">
        <v>45714</v>
      </c>
      <c r="C119" s="18" t="s">
        <v>113</v>
      </c>
      <c r="D119" s="19">
        <v>1</v>
      </c>
      <c r="E119" s="19">
        <v>2349</v>
      </c>
      <c r="F119" s="19">
        <f t="shared" si="38"/>
        <v>2349</v>
      </c>
      <c r="G119" s="19">
        <v>2.35</v>
      </c>
      <c r="H119" s="19">
        <f t="shared" si="39"/>
        <v>5520.1500000000005</v>
      </c>
      <c r="I119" s="19">
        <f t="shared" si="40"/>
        <v>5520.1500000000005</v>
      </c>
      <c r="J119" s="18">
        <f t="shared" si="41"/>
        <v>22080.600000000002</v>
      </c>
    </row>
    <row r="120" spans="1:10" x14ac:dyDescent="0.3">
      <c r="B120" s="82">
        <v>45714</v>
      </c>
      <c r="C120" s="18" t="s">
        <v>110</v>
      </c>
      <c r="D120" s="19">
        <v>1</v>
      </c>
      <c r="E120" s="19">
        <v>2349</v>
      </c>
      <c r="F120" s="19">
        <f t="shared" si="38"/>
        <v>2349</v>
      </c>
      <c r="G120" s="19">
        <v>2.35</v>
      </c>
      <c r="H120" s="19">
        <f t="shared" si="39"/>
        <v>5520.1500000000005</v>
      </c>
      <c r="I120" s="19">
        <f t="shared" si="40"/>
        <v>5520.1500000000005</v>
      </c>
      <c r="J120" s="18">
        <f t="shared" si="41"/>
        <v>27600.750000000004</v>
      </c>
    </row>
    <row r="121" spans="1:10" x14ac:dyDescent="0.3">
      <c r="B121" s="153">
        <v>45714</v>
      </c>
      <c r="C121" s="77" t="s">
        <v>110</v>
      </c>
      <c r="D121" s="76">
        <v>1</v>
      </c>
      <c r="E121" s="76">
        <v>2349</v>
      </c>
      <c r="F121" s="76">
        <f t="shared" si="38"/>
        <v>2349</v>
      </c>
      <c r="G121" s="19">
        <v>2.35</v>
      </c>
      <c r="H121" s="76">
        <f t="shared" si="39"/>
        <v>5520.1500000000005</v>
      </c>
      <c r="I121" s="76">
        <f t="shared" si="40"/>
        <v>5520.1500000000005</v>
      </c>
      <c r="J121" s="77">
        <f t="shared" si="41"/>
        <v>33120.9</v>
      </c>
    </row>
    <row r="122" spans="1:10" x14ac:dyDescent="0.3">
      <c r="B122" s="82">
        <v>45714</v>
      </c>
      <c r="C122" s="18" t="s">
        <v>110</v>
      </c>
      <c r="D122" s="19">
        <v>1</v>
      </c>
      <c r="E122" s="19">
        <v>2349</v>
      </c>
      <c r="F122" s="19">
        <f t="shared" si="38"/>
        <v>2349</v>
      </c>
      <c r="G122" s="19">
        <v>2.35</v>
      </c>
      <c r="H122" s="19">
        <f t="shared" si="39"/>
        <v>5520.1500000000005</v>
      </c>
      <c r="I122" s="19">
        <f t="shared" si="40"/>
        <v>5520.1500000000005</v>
      </c>
      <c r="J122" s="18">
        <f t="shared" si="41"/>
        <v>38641.050000000003</v>
      </c>
    </row>
    <row r="123" spans="1:10" x14ac:dyDescent="0.3">
      <c r="J123"/>
    </row>
    <row r="124" spans="1:10" x14ac:dyDescent="0.3">
      <c r="J124"/>
    </row>
    <row r="125" spans="1:10" x14ac:dyDescent="0.3">
      <c r="J125"/>
    </row>
    <row r="126" spans="1:10" ht="21" x14ac:dyDescent="0.4">
      <c r="A126" t="s">
        <v>26</v>
      </c>
      <c r="B126" s="492" t="s">
        <v>20</v>
      </c>
      <c r="C126" s="492"/>
      <c r="D126" s="492"/>
      <c r="E126" s="492"/>
      <c r="F126" s="492"/>
      <c r="G126" s="492"/>
      <c r="H126" s="492"/>
      <c r="I126" s="492"/>
      <c r="J126" s="492"/>
    </row>
    <row r="127" spans="1:10" ht="18" x14ac:dyDescent="0.35">
      <c r="A127" t="s">
        <v>127</v>
      </c>
      <c r="B127" s="4" t="s">
        <v>1</v>
      </c>
      <c r="C127" s="4" t="s">
        <v>2</v>
      </c>
      <c r="D127" s="4" t="s">
        <v>3</v>
      </c>
      <c r="E127" s="4" t="s">
        <v>4</v>
      </c>
      <c r="F127" s="4" t="s">
        <v>36</v>
      </c>
      <c r="G127" s="4" t="s">
        <v>5</v>
      </c>
      <c r="H127" s="4" t="s">
        <v>6</v>
      </c>
      <c r="I127" s="4" t="s">
        <v>7</v>
      </c>
      <c r="J127" s="4"/>
    </row>
    <row r="128" spans="1:10" x14ac:dyDescent="0.3">
      <c r="B128" s="82">
        <v>45715</v>
      </c>
      <c r="C128" s="18" t="s">
        <v>111</v>
      </c>
      <c r="D128" s="19">
        <v>1</v>
      </c>
      <c r="E128" s="19">
        <v>2349</v>
      </c>
      <c r="F128" s="19">
        <f t="shared" ref="F128:F140" si="42">E128*D128</f>
        <v>2349</v>
      </c>
      <c r="G128" s="19">
        <v>2.35</v>
      </c>
      <c r="H128" s="19">
        <f t="shared" ref="H128:H140" si="43">E128*G128</f>
        <v>5520.1500000000005</v>
      </c>
      <c r="I128" s="19">
        <f t="shared" ref="I128:I140" si="44">H128*D128</f>
        <v>5520.1500000000005</v>
      </c>
      <c r="J128" s="18">
        <f>J127+I128</f>
        <v>5520.1500000000005</v>
      </c>
    </row>
    <row r="129" spans="1:10" x14ac:dyDescent="0.3">
      <c r="B129" s="82">
        <v>45715</v>
      </c>
      <c r="C129" s="18" t="s">
        <v>113</v>
      </c>
      <c r="D129" s="19">
        <v>1</v>
      </c>
      <c r="E129" s="19">
        <v>2349</v>
      </c>
      <c r="F129" s="19">
        <f t="shared" si="42"/>
        <v>2349</v>
      </c>
      <c r="G129" s="19">
        <v>2.35</v>
      </c>
      <c r="H129" s="19">
        <f t="shared" si="43"/>
        <v>5520.1500000000005</v>
      </c>
      <c r="I129" s="19">
        <f t="shared" si="44"/>
        <v>5520.1500000000005</v>
      </c>
      <c r="J129" s="18">
        <f t="shared" ref="J129:J140" si="45">J128+I129</f>
        <v>11040.300000000001</v>
      </c>
    </row>
    <row r="130" spans="1:10" x14ac:dyDescent="0.3">
      <c r="B130" s="82">
        <v>45715</v>
      </c>
      <c r="C130" s="18" t="s">
        <v>114</v>
      </c>
      <c r="D130" s="19">
        <v>1</v>
      </c>
      <c r="E130" s="19">
        <v>2349</v>
      </c>
      <c r="F130" s="19">
        <f t="shared" si="42"/>
        <v>2349</v>
      </c>
      <c r="G130" s="19">
        <v>2.35</v>
      </c>
      <c r="H130" s="19">
        <f t="shared" si="43"/>
        <v>5520.1500000000005</v>
      </c>
      <c r="I130" s="19">
        <f t="shared" si="44"/>
        <v>5520.1500000000005</v>
      </c>
      <c r="J130" s="18">
        <f t="shared" si="45"/>
        <v>16560.45</v>
      </c>
    </row>
    <row r="131" spans="1:10" x14ac:dyDescent="0.3">
      <c r="B131" s="82">
        <v>45715</v>
      </c>
      <c r="C131" s="77" t="s">
        <v>110</v>
      </c>
      <c r="D131" s="19">
        <v>1</v>
      </c>
      <c r="E131" s="19">
        <v>2349</v>
      </c>
      <c r="F131" s="19">
        <f t="shared" si="42"/>
        <v>2349</v>
      </c>
      <c r="G131" s="19">
        <v>2.35</v>
      </c>
      <c r="H131" s="19">
        <f t="shared" si="43"/>
        <v>5520.1500000000005</v>
      </c>
      <c r="I131" s="19">
        <f t="shared" si="44"/>
        <v>5520.1500000000005</v>
      </c>
      <c r="J131" s="18">
        <f t="shared" si="45"/>
        <v>22080.600000000002</v>
      </c>
    </row>
    <row r="132" spans="1:10" x14ac:dyDescent="0.3">
      <c r="B132" s="82">
        <v>45715</v>
      </c>
      <c r="C132" s="77" t="s">
        <v>110</v>
      </c>
      <c r="D132" s="19">
        <v>1</v>
      </c>
      <c r="E132" s="19">
        <v>2349</v>
      </c>
      <c r="F132" s="19">
        <f t="shared" si="42"/>
        <v>2349</v>
      </c>
      <c r="G132" s="19">
        <v>2.35</v>
      </c>
      <c r="H132" s="19">
        <f t="shared" si="43"/>
        <v>5520.1500000000005</v>
      </c>
      <c r="I132" s="19">
        <f t="shared" si="44"/>
        <v>5520.1500000000005</v>
      </c>
      <c r="J132" s="18">
        <f t="shared" si="45"/>
        <v>27600.750000000004</v>
      </c>
    </row>
    <row r="133" spans="1:10" x14ac:dyDescent="0.3">
      <c r="B133" s="82">
        <v>45715</v>
      </c>
      <c r="C133" s="77" t="s">
        <v>110</v>
      </c>
      <c r="D133" s="19">
        <v>1</v>
      </c>
      <c r="E133" s="19">
        <v>2349</v>
      </c>
      <c r="F133" s="19">
        <f t="shared" si="42"/>
        <v>2349</v>
      </c>
      <c r="G133" s="19">
        <v>2.35</v>
      </c>
      <c r="H133" s="19">
        <f t="shared" si="43"/>
        <v>5520.1500000000005</v>
      </c>
      <c r="I133" s="19">
        <f t="shared" si="44"/>
        <v>5520.1500000000005</v>
      </c>
      <c r="J133" s="18">
        <f t="shared" si="45"/>
        <v>33120.9</v>
      </c>
    </row>
    <row r="134" spans="1:10" x14ac:dyDescent="0.3">
      <c r="B134" s="82">
        <v>45715</v>
      </c>
      <c r="C134" s="77" t="s">
        <v>110</v>
      </c>
      <c r="D134" s="19">
        <v>1</v>
      </c>
      <c r="E134" s="19">
        <v>2349</v>
      </c>
      <c r="F134" s="19">
        <f t="shared" si="42"/>
        <v>2349</v>
      </c>
      <c r="G134" s="19">
        <v>2.35</v>
      </c>
      <c r="H134" s="19">
        <f t="shared" si="43"/>
        <v>5520.1500000000005</v>
      </c>
      <c r="I134" s="19">
        <f t="shared" si="44"/>
        <v>5520.1500000000005</v>
      </c>
      <c r="J134" s="18">
        <f t="shared" si="45"/>
        <v>38641.050000000003</v>
      </c>
    </row>
    <row r="135" spans="1:10" x14ac:dyDescent="0.3">
      <c r="B135" s="82">
        <v>45715</v>
      </c>
      <c r="C135" s="77" t="s">
        <v>110</v>
      </c>
      <c r="D135" s="19">
        <v>1</v>
      </c>
      <c r="E135" s="19">
        <v>2349</v>
      </c>
      <c r="F135" s="19">
        <f t="shared" si="42"/>
        <v>2349</v>
      </c>
      <c r="G135" s="19">
        <v>2.35</v>
      </c>
      <c r="H135" s="19">
        <f t="shared" si="43"/>
        <v>5520.1500000000005</v>
      </c>
      <c r="I135" s="19">
        <f t="shared" si="44"/>
        <v>5520.1500000000005</v>
      </c>
      <c r="J135" s="18">
        <f t="shared" si="45"/>
        <v>44161.200000000004</v>
      </c>
    </row>
    <row r="136" spans="1:10" x14ac:dyDescent="0.3">
      <c r="B136" s="82">
        <v>45715</v>
      </c>
      <c r="C136" s="18" t="s">
        <v>110</v>
      </c>
      <c r="D136" s="19">
        <v>1</v>
      </c>
      <c r="E136" s="19">
        <v>2349</v>
      </c>
      <c r="F136" s="19">
        <f t="shared" si="42"/>
        <v>2349</v>
      </c>
      <c r="G136" s="19">
        <v>2.35</v>
      </c>
      <c r="H136" s="19">
        <f t="shared" si="43"/>
        <v>5520.1500000000005</v>
      </c>
      <c r="I136" s="19">
        <f t="shared" si="44"/>
        <v>5520.1500000000005</v>
      </c>
      <c r="J136" s="18">
        <f t="shared" si="45"/>
        <v>49681.350000000006</v>
      </c>
    </row>
    <row r="137" spans="1:10" x14ac:dyDescent="0.3">
      <c r="B137" s="82">
        <v>45715</v>
      </c>
      <c r="C137" s="18" t="s">
        <v>110</v>
      </c>
      <c r="D137" s="19">
        <v>1</v>
      </c>
      <c r="E137" s="19">
        <v>2349</v>
      </c>
      <c r="F137" s="19">
        <f t="shared" si="42"/>
        <v>2349</v>
      </c>
      <c r="G137" s="19">
        <v>2.35</v>
      </c>
      <c r="H137" s="19">
        <f t="shared" si="43"/>
        <v>5520.1500000000005</v>
      </c>
      <c r="I137" s="19">
        <f t="shared" si="44"/>
        <v>5520.1500000000005</v>
      </c>
      <c r="J137" s="18">
        <f t="shared" si="45"/>
        <v>55201.500000000007</v>
      </c>
    </row>
    <row r="138" spans="1:10" x14ac:dyDescent="0.3">
      <c r="B138" s="82">
        <v>45715</v>
      </c>
      <c r="C138" s="18" t="s">
        <v>110</v>
      </c>
      <c r="D138" s="19">
        <v>1</v>
      </c>
      <c r="E138" s="19">
        <v>2349</v>
      </c>
      <c r="F138" s="19">
        <f t="shared" si="42"/>
        <v>2349</v>
      </c>
      <c r="G138" s="19">
        <v>2.35</v>
      </c>
      <c r="H138" s="19">
        <f t="shared" si="43"/>
        <v>5520.1500000000005</v>
      </c>
      <c r="I138" s="19">
        <f t="shared" si="44"/>
        <v>5520.1500000000005</v>
      </c>
      <c r="J138" s="18">
        <f t="shared" si="45"/>
        <v>60721.650000000009</v>
      </c>
    </row>
    <row r="139" spans="1:10" x14ac:dyDescent="0.3">
      <c r="B139" s="82">
        <v>45715</v>
      </c>
      <c r="C139" s="18" t="s">
        <v>110</v>
      </c>
      <c r="D139" s="19">
        <v>1</v>
      </c>
      <c r="E139" s="19">
        <v>2349</v>
      </c>
      <c r="F139" s="19">
        <f t="shared" si="42"/>
        <v>2349</v>
      </c>
      <c r="G139" s="19">
        <v>2.35</v>
      </c>
      <c r="H139" s="19">
        <f t="shared" si="43"/>
        <v>5520.1500000000005</v>
      </c>
      <c r="I139" s="19">
        <f t="shared" si="44"/>
        <v>5520.1500000000005</v>
      </c>
      <c r="J139" s="18">
        <f t="shared" si="45"/>
        <v>66241.8</v>
      </c>
    </row>
    <row r="140" spans="1:10" x14ac:dyDescent="0.3">
      <c r="B140" s="82">
        <v>45715</v>
      </c>
      <c r="C140" s="18" t="s">
        <v>129</v>
      </c>
      <c r="D140" s="19">
        <v>1</v>
      </c>
      <c r="E140" s="19">
        <v>2349</v>
      </c>
      <c r="F140" s="19">
        <f t="shared" si="42"/>
        <v>2349</v>
      </c>
      <c r="G140" s="19">
        <v>2.35</v>
      </c>
      <c r="H140" s="19">
        <f t="shared" si="43"/>
        <v>5520.1500000000005</v>
      </c>
      <c r="I140" s="19">
        <f t="shared" si="44"/>
        <v>5520.1500000000005</v>
      </c>
      <c r="J140" s="18">
        <f t="shared" si="45"/>
        <v>71761.95</v>
      </c>
    </row>
    <row r="141" spans="1:10" x14ac:dyDescent="0.3">
      <c r="B141" s="106"/>
    </row>
    <row r="144" spans="1:10" ht="21" x14ac:dyDescent="0.4">
      <c r="A144" t="s">
        <v>127</v>
      </c>
      <c r="B144" s="492" t="s">
        <v>142</v>
      </c>
      <c r="C144" s="492"/>
      <c r="D144" s="492"/>
      <c r="E144" s="492"/>
      <c r="F144" s="492"/>
      <c r="G144" s="492"/>
      <c r="H144" s="492"/>
      <c r="I144" s="492"/>
      <c r="J144" s="492"/>
    </row>
    <row r="145" spans="1:10" ht="18" x14ac:dyDescent="0.35">
      <c r="B145" s="4" t="s">
        <v>1</v>
      </c>
      <c r="C145" s="4" t="s">
        <v>2</v>
      </c>
      <c r="D145" s="4" t="s">
        <v>3</v>
      </c>
      <c r="E145" s="4" t="s">
        <v>134</v>
      </c>
      <c r="F145" s="4" t="s">
        <v>135</v>
      </c>
      <c r="G145" s="4" t="s">
        <v>5</v>
      </c>
      <c r="H145" s="4" t="s">
        <v>6</v>
      </c>
      <c r="I145" s="4" t="s">
        <v>7</v>
      </c>
      <c r="J145" s="4"/>
    </row>
    <row r="146" spans="1:10" x14ac:dyDescent="0.3">
      <c r="B146" s="82">
        <v>45719</v>
      </c>
      <c r="C146" s="18" t="s">
        <v>167</v>
      </c>
      <c r="D146" s="19">
        <v>13</v>
      </c>
      <c r="E146" s="19">
        <v>425</v>
      </c>
      <c r="F146" s="19">
        <f t="shared" ref="F146:F154" si="46">E146*D146</f>
        <v>5525</v>
      </c>
      <c r="G146" s="19">
        <v>3.63</v>
      </c>
      <c r="H146" s="19">
        <f t="shared" ref="H146:H154" si="47">E146*G146</f>
        <v>1542.75</v>
      </c>
      <c r="I146" s="19">
        <f t="shared" ref="I146:I154" si="48">H146*D146</f>
        <v>20055.75</v>
      </c>
      <c r="J146" s="18">
        <f>J145+I146</f>
        <v>20055.75</v>
      </c>
    </row>
    <row r="147" spans="1:10" x14ac:dyDescent="0.3">
      <c r="B147" s="82">
        <v>45719</v>
      </c>
      <c r="C147" s="18" t="s">
        <v>136</v>
      </c>
      <c r="D147" s="19">
        <v>17</v>
      </c>
      <c r="E147" s="19">
        <v>762</v>
      </c>
      <c r="F147" s="19">
        <f t="shared" si="46"/>
        <v>12954</v>
      </c>
      <c r="G147" s="19">
        <v>3.63</v>
      </c>
      <c r="H147" s="19">
        <f t="shared" si="47"/>
        <v>2766.06</v>
      </c>
      <c r="I147" s="19">
        <f t="shared" si="48"/>
        <v>47023.02</v>
      </c>
      <c r="J147" s="18">
        <f t="shared" ref="J147:J154" si="49">J146+I147</f>
        <v>67078.76999999999</v>
      </c>
    </row>
    <row r="148" spans="1:10" x14ac:dyDescent="0.3">
      <c r="B148" s="82">
        <v>45719</v>
      </c>
      <c r="C148" s="18" t="s">
        <v>137</v>
      </c>
      <c r="D148" s="19">
        <v>4</v>
      </c>
      <c r="E148" s="19">
        <v>1000</v>
      </c>
      <c r="F148" s="19">
        <f t="shared" si="46"/>
        <v>4000</v>
      </c>
      <c r="G148" s="19">
        <v>3.63</v>
      </c>
      <c r="H148" s="19">
        <f t="shared" si="47"/>
        <v>3630</v>
      </c>
      <c r="I148" s="19">
        <f t="shared" si="48"/>
        <v>14520</v>
      </c>
      <c r="J148" s="18">
        <f t="shared" si="49"/>
        <v>81598.76999999999</v>
      </c>
    </row>
    <row r="149" spans="1:10" x14ac:dyDescent="0.3">
      <c r="B149" s="82">
        <v>45719</v>
      </c>
      <c r="C149" s="18" t="s">
        <v>138</v>
      </c>
      <c r="D149" s="19">
        <v>4</v>
      </c>
      <c r="E149" s="19">
        <v>130</v>
      </c>
      <c r="F149" s="19">
        <f t="shared" si="46"/>
        <v>520</v>
      </c>
      <c r="G149" s="19">
        <v>3.63</v>
      </c>
      <c r="H149" s="19">
        <f t="shared" si="47"/>
        <v>471.9</v>
      </c>
      <c r="I149" s="19">
        <f t="shared" si="48"/>
        <v>1887.6</v>
      </c>
      <c r="J149" s="18">
        <f t="shared" si="49"/>
        <v>83486.37</v>
      </c>
    </row>
    <row r="150" spans="1:10" x14ac:dyDescent="0.3">
      <c r="B150" s="82">
        <v>45719</v>
      </c>
      <c r="C150" s="18" t="s">
        <v>139</v>
      </c>
      <c r="D150" s="19">
        <v>14</v>
      </c>
      <c r="E150" s="19">
        <v>810</v>
      </c>
      <c r="F150" s="19">
        <f t="shared" si="46"/>
        <v>11340</v>
      </c>
      <c r="G150" s="19">
        <v>3.63</v>
      </c>
      <c r="H150" s="19">
        <f t="shared" si="47"/>
        <v>2940.2999999999997</v>
      </c>
      <c r="I150" s="19">
        <f t="shared" si="48"/>
        <v>41164.199999999997</v>
      </c>
      <c r="J150" s="18">
        <f t="shared" si="49"/>
        <v>124650.56999999999</v>
      </c>
    </row>
    <row r="151" spans="1:10" x14ac:dyDescent="0.3">
      <c r="B151" s="82">
        <v>45719</v>
      </c>
      <c r="C151" s="81" t="s">
        <v>140</v>
      </c>
      <c r="D151" s="19">
        <v>2</v>
      </c>
      <c r="E151" s="19">
        <v>650</v>
      </c>
      <c r="F151" s="19">
        <f t="shared" si="46"/>
        <v>1300</v>
      </c>
      <c r="G151" s="19">
        <v>3.63</v>
      </c>
      <c r="H151" s="19">
        <f t="shared" si="47"/>
        <v>2359.5</v>
      </c>
      <c r="I151" s="19">
        <f t="shared" si="48"/>
        <v>4719</v>
      </c>
      <c r="J151" s="18">
        <f t="shared" si="49"/>
        <v>129369.56999999999</v>
      </c>
    </row>
    <row r="152" spans="1:10" x14ac:dyDescent="0.3">
      <c r="B152" s="82">
        <v>45719</v>
      </c>
      <c r="C152" s="81" t="s">
        <v>141</v>
      </c>
      <c r="D152" s="19">
        <v>1</v>
      </c>
      <c r="E152" s="19">
        <v>750</v>
      </c>
      <c r="F152" s="19">
        <f t="shared" si="46"/>
        <v>750</v>
      </c>
      <c r="G152" s="19">
        <v>3.63</v>
      </c>
      <c r="H152" s="19">
        <f t="shared" si="47"/>
        <v>2722.5</v>
      </c>
      <c r="I152" s="19">
        <f t="shared" si="48"/>
        <v>2722.5</v>
      </c>
      <c r="J152" s="18">
        <f t="shared" si="49"/>
        <v>132092.07</v>
      </c>
    </row>
    <row r="153" spans="1:10" x14ac:dyDescent="0.3">
      <c r="B153" s="82">
        <v>45719</v>
      </c>
      <c r="C153" s="18" t="s">
        <v>175</v>
      </c>
      <c r="D153" s="19">
        <v>3</v>
      </c>
      <c r="E153" s="19">
        <v>747</v>
      </c>
      <c r="F153" s="19">
        <f t="shared" si="46"/>
        <v>2241</v>
      </c>
      <c r="G153" s="19">
        <v>3.63</v>
      </c>
      <c r="H153" s="19">
        <f t="shared" si="47"/>
        <v>2711.61</v>
      </c>
      <c r="I153" s="19">
        <f t="shared" si="48"/>
        <v>8134.83</v>
      </c>
      <c r="J153" s="18">
        <f t="shared" si="49"/>
        <v>140226.9</v>
      </c>
    </row>
    <row r="154" spans="1:10" x14ac:dyDescent="0.3">
      <c r="B154" s="19"/>
      <c r="C154" s="19"/>
      <c r="D154" s="19"/>
      <c r="E154" s="19"/>
      <c r="F154" s="19">
        <f t="shared" si="46"/>
        <v>0</v>
      </c>
      <c r="G154" s="19"/>
      <c r="H154" s="19">
        <f t="shared" si="47"/>
        <v>0</v>
      </c>
      <c r="I154" s="19">
        <f t="shared" si="48"/>
        <v>0</v>
      </c>
      <c r="J154" s="18">
        <f t="shared" si="49"/>
        <v>140226.9</v>
      </c>
    </row>
    <row r="157" spans="1:10" ht="21" x14ac:dyDescent="0.4">
      <c r="B157" s="492" t="s">
        <v>35</v>
      </c>
      <c r="C157" s="492"/>
      <c r="D157" s="492"/>
      <c r="E157" s="492"/>
      <c r="F157" s="492"/>
      <c r="G157" s="492"/>
      <c r="H157" s="492"/>
      <c r="I157" s="492"/>
      <c r="J157" s="492"/>
    </row>
    <row r="158" spans="1:10" ht="18" x14ac:dyDescent="0.35">
      <c r="A158" t="s">
        <v>127</v>
      </c>
      <c r="B158" s="4" t="s">
        <v>1</v>
      </c>
      <c r="C158" s="4" t="s">
        <v>2</v>
      </c>
      <c r="D158" s="4" t="s">
        <v>3</v>
      </c>
      <c r="E158" s="4" t="s">
        <v>148</v>
      </c>
      <c r="F158" s="4" t="s">
        <v>147</v>
      </c>
      <c r="G158" s="4" t="s">
        <v>5</v>
      </c>
      <c r="H158" s="4" t="s">
        <v>6</v>
      </c>
      <c r="I158" s="4" t="s">
        <v>7</v>
      </c>
      <c r="J158" s="4"/>
    </row>
    <row r="159" spans="1:10" x14ac:dyDescent="0.3">
      <c r="A159" t="s">
        <v>26</v>
      </c>
      <c r="B159" s="82">
        <v>45727</v>
      </c>
      <c r="C159" s="81" t="s">
        <v>149</v>
      </c>
      <c r="D159" s="19">
        <v>153</v>
      </c>
      <c r="E159" s="19">
        <f xml:space="preserve"> 520</f>
        <v>520</v>
      </c>
      <c r="F159" s="19">
        <f>E159*D159</f>
        <v>79560</v>
      </c>
      <c r="G159" s="19">
        <v>2.14</v>
      </c>
      <c r="H159" s="19">
        <f>E159*G159</f>
        <v>1112.8</v>
      </c>
      <c r="I159" s="19">
        <f>H159*D159</f>
        <v>170258.4</v>
      </c>
      <c r="J159" s="18">
        <f>J158+I159</f>
        <v>170258.4</v>
      </c>
    </row>
    <row r="160" spans="1:10" x14ac:dyDescent="0.3">
      <c r="B160" s="82">
        <v>45727</v>
      </c>
      <c r="C160" s="81" t="s">
        <v>150</v>
      </c>
      <c r="D160" s="19">
        <v>250</v>
      </c>
      <c r="E160" s="19">
        <f>149</f>
        <v>149</v>
      </c>
      <c r="F160" s="19">
        <f t="shared" ref="F160:F161" si="50">E160*D160</f>
        <v>37250</v>
      </c>
      <c r="G160" s="19">
        <v>2.14</v>
      </c>
      <c r="H160" s="19">
        <f t="shared" ref="H160:H161" si="51">E160*G160</f>
        <v>318.86</v>
      </c>
      <c r="I160" s="19">
        <f t="shared" ref="I160:I161" si="52">H160*D160</f>
        <v>79715</v>
      </c>
      <c r="J160" s="18">
        <f t="shared" ref="J160:J161" si="53">J159+I160</f>
        <v>249973.4</v>
      </c>
    </row>
    <row r="161" spans="1:10" x14ac:dyDescent="0.3">
      <c r="B161" s="82">
        <v>45727</v>
      </c>
      <c r="C161" s="81" t="s">
        <v>151</v>
      </c>
      <c r="D161" s="19">
        <v>1</v>
      </c>
      <c r="E161" s="19">
        <v>178</v>
      </c>
      <c r="F161" s="19">
        <f t="shared" si="50"/>
        <v>178</v>
      </c>
      <c r="G161" s="19">
        <v>2.14</v>
      </c>
      <c r="H161" s="19">
        <f t="shared" si="51"/>
        <v>380.92</v>
      </c>
      <c r="I161" s="19">
        <f t="shared" si="52"/>
        <v>380.92</v>
      </c>
      <c r="J161" s="18">
        <f t="shared" si="53"/>
        <v>250354.32</v>
      </c>
    </row>
    <row r="162" spans="1:10" x14ac:dyDescent="0.3">
      <c r="J162"/>
    </row>
    <row r="163" spans="1:10" x14ac:dyDescent="0.3">
      <c r="J163"/>
    </row>
    <row r="164" spans="1:10" x14ac:dyDescent="0.3">
      <c r="J164"/>
    </row>
    <row r="165" spans="1:10" ht="21" x14ac:dyDescent="0.4">
      <c r="A165" t="s">
        <v>127</v>
      </c>
      <c r="B165" s="492" t="s">
        <v>154</v>
      </c>
      <c r="C165" s="492"/>
      <c r="D165" s="492"/>
      <c r="E165" s="492"/>
      <c r="F165" s="492"/>
      <c r="G165" s="492"/>
      <c r="H165" s="492"/>
      <c r="I165" s="492"/>
      <c r="J165" s="492"/>
    </row>
    <row r="166" spans="1:10" ht="18" x14ac:dyDescent="0.35">
      <c r="B166" s="4" t="s">
        <v>1</v>
      </c>
      <c r="C166" s="4" t="s">
        <v>2</v>
      </c>
      <c r="D166" s="4" t="s">
        <v>3</v>
      </c>
      <c r="E166" s="4" t="s">
        <v>134</v>
      </c>
      <c r="F166" s="4" t="s">
        <v>135</v>
      </c>
      <c r="G166" s="4" t="s">
        <v>5</v>
      </c>
      <c r="H166" s="4" t="s">
        <v>6</v>
      </c>
      <c r="I166" s="4" t="s">
        <v>7</v>
      </c>
      <c r="J166" s="4"/>
    </row>
    <row r="167" spans="1:10" x14ac:dyDescent="0.3">
      <c r="B167" s="82">
        <v>45728</v>
      </c>
      <c r="C167" s="18" t="s">
        <v>158</v>
      </c>
      <c r="D167" s="19">
        <v>1</v>
      </c>
      <c r="E167" s="19">
        <v>630</v>
      </c>
      <c r="F167" s="19">
        <f>E167*D167</f>
        <v>630</v>
      </c>
      <c r="G167" s="19">
        <v>3.63</v>
      </c>
      <c r="H167" s="19">
        <f>E167*G167</f>
        <v>2286.9</v>
      </c>
      <c r="I167" s="19">
        <f>H167*D167</f>
        <v>2286.9</v>
      </c>
      <c r="J167" s="18">
        <f>J166+I167</f>
        <v>2286.9</v>
      </c>
    </row>
    <row r="168" spans="1:10" x14ac:dyDescent="0.3">
      <c r="B168" s="82">
        <v>45728</v>
      </c>
      <c r="C168" s="18" t="s">
        <v>159</v>
      </c>
      <c r="D168" s="19">
        <v>1</v>
      </c>
      <c r="E168" s="19">
        <v>630</v>
      </c>
      <c r="F168" s="19">
        <f t="shared" ref="F168:F179" si="54">E168*D168</f>
        <v>630</v>
      </c>
      <c r="G168" s="19">
        <v>3.63</v>
      </c>
      <c r="H168" s="19">
        <f t="shared" ref="H168:H175" si="55">E168*G168</f>
        <v>2286.9</v>
      </c>
      <c r="I168" s="19">
        <f t="shared" ref="I168:I175" si="56">H168*D168</f>
        <v>2286.9</v>
      </c>
      <c r="J168" s="18">
        <f t="shared" ref="J168:J175" si="57">J167+I168</f>
        <v>4573.8</v>
      </c>
    </row>
    <row r="169" spans="1:10" x14ac:dyDescent="0.3">
      <c r="B169" s="82">
        <v>45728</v>
      </c>
      <c r="C169" s="18" t="s">
        <v>160</v>
      </c>
      <c r="D169" s="19">
        <v>1</v>
      </c>
      <c r="E169" s="19">
        <v>550</v>
      </c>
      <c r="F169" s="19">
        <f t="shared" si="54"/>
        <v>550</v>
      </c>
      <c r="G169" s="19">
        <v>3.63</v>
      </c>
      <c r="H169" s="19">
        <f t="shared" si="55"/>
        <v>1996.5</v>
      </c>
      <c r="I169" s="19">
        <f t="shared" si="56"/>
        <v>1996.5</v>
      </c>
      <c r="J169" s="18">
        <f t="shared" si="57"/>
        <v>6570.3</v>
      </c>
    </row>
    <row r="170" spans="1:10" x14ac:dyDescent="0.3">
      <c r="B170" s="82">
        <v>45728</v>
      </c>
      <c r="C170" s="18" t="s">
        <v>155</v>
      </c>
      <c r="D170" s="19">
        <v>2</v>
      </c>
      <c r="E170" s="19">
        <v>420</v>
      </c>
      <c r="F170" s="19">
        <f t="shared" si="54"/>
        <v>840</v>
      </c>
      <c r="G170" s="19">
        <v>3.63</v>
      </c>
      <c r="H170" s="19">
        <f t="shared" si="55"/>
        <v>1524.6</v>
      </c>
      <c r="I170" s="19">
        <f t="shared" si="56"/>
        <v>3049.2</v>
      </c>
      <c r="J170" s="18">
        <f t="shared" si="57"/>
        <v>9619.5</v>
      </c>
    </row>
    <row r="171" spans="1:10" x14ac:dyDescent="0.3">
      <c r="B171" s="82">
        <v>45728</v>
      </c>
      <c r="C171" s="18" t="s">
        <v>467</v>
      </c>
      <c r="D171" s="19">
        <v>12</v>
      </c>
      <c r="E171" s="19">
        <v>45</v>
      </c>
      <c r="F171" s="19">
        <f t="shared" si="54"/>
        <v>540</v>
      </c>
      <c r="G171" s="19">
        <v>3.63</v>
      </c>
      <c r="H171" s="19">
        <f t="shared" si="55"/>
        <v>163.35</v>
      </c>
      <c r="I171" s="19">
        <f t="shared" si="56"/>
        <v>1960.1999999999998</v>
      </c>
      <c r="J171" s="18">
        <f t="shared" si="57"/>
        <v>11579.7</v>
      </c>
    </row>
    <row r="172" spans="1:10" x14ac:dyDescent="0.3">
      <c r="B172" s="82">
        <v>45728</v>
      </c>
      <c r="C172" s="81" t="s">
        <v>157</v>
      </c>
      <c r="D172" s="19">
        <v>17</v>
      </c>
      <c r="E172" s="19">
        <v>78</v>
      </c>
      <c r="F172" s="19">
        <f t="shared" si="54"/>
        <v>1326</v>
      </c>
      <c r="G172" s="19">
        <v>3.63</v>
      </c>
      <c r="H172" s="19">
        <f t="shared" si="55"/>
        <v>283.14</v>
      </c>
      <c r="I172" s="19">
        <f t="shared" si="56"/>
        <v>4813.38</v>
      </c>
      <c r="J172" s="18">
        <f t="shared" si="57"/>
        <v>16393.080000000002</v>
      </c>
    </row>
    <row r="173" spans="1:10" x14ac:dyDescent="0.3">
      <c r="B173" s="82">
        <v>45728</v>
      </c>
      <c r="C173" s="81" t="s">
        <v>161</v>
      </c>
      <c r="D173" s="19">
        <v>7</v>
      </c>
      <c r="E173" s="19">
        <v>48</v>
      </c>
      <c r="F173" s="19">
        <f t="shared" si="54"/>
        <v>336</v>
      </c>
      <c r="G173" s="19">
        <v>3.63</v>
      </c>
      <c r="H173" s="19">
        <f t="shared" si="55"/>
        <v>174.24</v>
      </c>
      <c r="I173" s="19">
        <f t="shared" si="56"/>
        <v>1219.68</v>
      </c>
      <c r="J173" s="18">
        <f t="shared" si="57"/>
        <v>17612.760000000002</v>
      </c>
    </row>
    <row r="174" spans="1:10" x14ac:dyDescent="0.3">
      <c r="B174" s="19"/>
      <c r="C174" s="19"/>
      <c r="D174" s="19"/>
      <c r="E174" s="19"/>
      <c r="F174" s="19">
        <f t="shared" si="54"/>
        <v>0</v>
      </c>
      <c r="G174" s="19"/>
      <c r="H174" s="19">
        <f t="shared" si="55"/>
        <v>0</v>
      </c>
      <c r="I174" s="19">
        <f t="shared" si="56"/>
        <v>0</v>
      </c>
      <c r="J174" s="18">
        <f t="shared" si="57"/>
        <v>17612.760000000002</v>
      </c>
    </row>
    <row r="175" spans="1:10" x14ac:dyDescent="0.3">
      <c r="B175" s="82">
        <v>45728</v>
      </c>
      <c r="C175" s="81" t="s">
        <v>162</v>
      </c>
      <c r="D175" s="19">
        <v>1</v>
      </c>
      <c r="E175" s="19">
        <v>400</v>
      </c>
      <c r="F175" s="19">
        <f t="shared" si="54"/>
        <v>400</v>
      </c>
      <c r="G175" s="19">
        <v>3.63</v>
      </c>
      <c r="H175" s="19">
        <f t="shared" si="55"/>
        <v>1452</v>
      </c>
      <c r="I175" s="19">
        <f t="shared" si="56"/>
        <v>1452</v>
      </c>
      <c r="J175" s="18">
        <f t="shared" si="57"/>
        <v>19064.760000000002</v>
      </c>
    </row>
    <row r="176" spans="1:10" x14ac:dyDescent="0.3">
      <c r="B176" s="82">
        <v>45728</v>
      </c>
      <c r="C176" s="81" t="s">
        <v>163</v>
      </c>
      <c r="D176" s="19">
        <v>1</v>
      </c>
      <c r="E176" s="19">
        <v>295</v>
      </c>
      <c r="F176" s="19">
        <f t="shared" si="54"/>
        <v>295</v>
      </c>
      <c r="G176" s="19">
        <v>3.63</v>
      </c>
      <c r="H176" s="19">
        <f t="shared" ref="H176:H179" si="58">E176*G176</f>
        <v>1070.8499999999999</v>
      </c>
      <c r="I176" s="19">
        <f t="shared" ref="I176:I179" si="59">H176*D176</f>
        <v>1070.8499999999999</v>
      </c>
      <c r="J176" s="18">
        <f t="shared" ref="J176:J179" si="60">J175+I176</f>
        <v>20135.61</v>
      </c>
    </row>
    <row r="177" spans="1:10" x14ac:dyDescent="0.3">
      <c r="B177" s="82">
        <v>45728</v>
      </c>
      <c r="C177" s="81" t="s">
        <v>164</v>
      </c>
      <c r="D177" s="19">
        <v>1</v>
      </c>
      <c r="E177" s="19">
        <v>635</v>
      </c>
      <c r="F177" s="19">
        <f t="shared" si="54"/>
        <v>635</v>
      </c>
      <c r="G177" s="19">
        <v>3.63</v>
      </c>
      <c r="H177" s="19">
        <f t="shared" si="58"/>
        <v>2305.0499999999997</v>
      </c>
      <c r="I177" s="19">
        <f t="shared" si="59"/>
        <v>2305.0499999999997</v>
      </c>
      <c r="J177" s="18">
        <f t="shared" si="60"/>
        <v>22440.66</v>
      </c>
    </row>
    <row r="178" spans="1:10" x14ac:dyDescent="0.3">
      <c r="B178" s="82">
        <v>45728</v>
      </c>
      <c r="C178" s="81" t="s">
        <v>165</v>
      </c>
      <c r="D178" s="19">
        <v>1</v>
      </c>
      <c r="E178" s="19">
        <v>400</v>
      </c>
      <c r="F178" s="19">
        <f t="shared" si="54"/>
        <v>400</v>
      </c>
      <c r="G178" s="19">
        <v>3.63</v>
      </c>
      <c r="H178" s="19">
        <f t="shared" si="58"/>
        <v>1452</v>
      </c>
      <c r="I178" s="19">
        <f t="shared" si="59"/>
        <v>1452</v>
      </c>
      <c r="J178" s="18">
        <f t="shared" si="60"/>
        <v>23892.66</v>
      </c>
    </row>
    <row r="179" spans="1:10" x14ac:dyDescent="0.3">
      <c r="B179" s="82">
        <v>45728</v>
      </c>
      <c r="C179" s="81" t="s">
        <v>166</v>
      </c>
      <c r="D179" s="19">
        <v>1</v>
      </c>
      <c r="E179" s="19">
        <v>320</v>
      </c>
      <c r="F179" s="19">
        <f t="shared" si="54"/>
        <v>320</v>
      </c>
      <c r="G179" s="19">
        <v>3.63</v>
      </c>
      <c r="H179" s="19">
        <f t="shared" si="58"/>
        <v>1161.5999999999999</v>
      </c>
      <c r="I179" s="19">
        <f t="shared" si="59"/>
        <v>1161.5999999999999</v>
      </c>
      <c r="J179" s="18">
        <f t="shared" si="60"/>
        <v>25054.26</v>
      </c>
    </row>
    <row r="180" spans="1:10" x14ac:dyDescent="0.3">
      <c r="C180" s="99"/>
    </row>
    <row r="184" spans="1:10" ht="21" x14ac:dyDescent="0.4">
      <c r="A184" t="s">
        <v>127</v>
      </c>
      <c r="B184" s="492" t="s">
        <v>20</v>
      </c>
      <c r="C184" s="492"/>
      <c r="D184" s="492"/>
      <c r="E184" s="492"/>
      <c r="F184" s="492"/>
      <c r="G184" s="492"/>
      <c r="H184" s="492"/>
      <c r="I184" s="492"/>
      <c r="J184" s="492"/>
    </row>
    <row r="185" spans="1:10" ht="18" x14ac:dyDescent="0.35">
      <c r="A185" t="s">
        <v>212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36</v>
      </c>
      <c r="G185" s="4" t="s">
        <v>5</v>
      </c>
      <c r="H185" s="4" t="s">
        <v>6</v>
      </c>
      <c r="I185" s="4" t="s">
        <v>7</v>
      </c>
      <c r="J185" s="4"/>
    </row>
    <row r="186" spans="1:10" x14ac:dyDescent="0.3">
      <c r="B186" s="403">
        <v>45718</v>
      </c>
      <c r="C186" s="113" t="s">
        <v>209</v>
      </c>
      <c r="D186" s="114">
        <v>1</v>
      </c>
      <c r="E186" s="114">
        <v>2349</v>
      </c>
      <c r="F186" s="114">
        <f>E186*D186</f>
        <v>2349</v>
      </c>
      <c r="G186" s="114">
        <v>2.35</v>
      </c>
      <c r="H186" s="114">
        <f>E186*G186</f>
        <v>5520.1500000000005</v>
      </c>
      <c r="I186" s="114">
        <f>H186*D186</f>
        <v>5520.1500000000005</v>
      </c>
      <c r="J186" s="113">
        <f>J185+I186</f>
        <v>5520.1500000000005</v>
      </c>
    </row>
    <row r="187" spans="1:10" x14ac:dyDescent="0.3">
      <c r="B187" s="403">
        <v>45718</v>
      </c>
      <c r="C187" s="113" t="s">
        <v>209</v>
      </c>
      <c r="D187" s="114">
        <v>1</v>
      </c>
      <c r="E187" s="114">
        <v>2364</v>
      </c>
      <c r="F187" s="114">
        <f t="shared" ref="F187:F192" si="61">E187*D187</f>
        <v>2364</v>
      </c>
      <c r="G187" s="114">
        <v>2.35</v>
      </c>
      <c r="H187" s="114">
        <f t="shared" ref="H187:H192" si="62">E187*G187</f>
        <v>5555.4000000000005</v>
      </c>
      <c r="I187" s="114">
        <f t="shared" ref="I187:I192" si="63">H187*D187</f>
        <v>5555.4000000000005</v>
      </c>
      <c r="J187" s="113">
        <f t="shared" ref="J187:J194" si="64">J186+I187</f>
        <v>11075.550000000001</v>
      </c>
    </row>
    <row r="188" spans="1:10" x14ac:dyDescent="0.3">
      <c r="B188" s="403">
        <v>45719</v>
      </c>
      <c r="C188" s="113" t="s">
        <v>209</v>
      </c>
      <c r="D188" s="114">
        <v>1</v>
      </c>
      <c r="E188" s="114">
        <v>2349</v>
      </c>
      <c r="F188" s="114">
        <f t="shared" si="61"/>
        <v>2349</v>
      </c>
      <c r="G188" s="114">
        <v>2.35</v>
      </c>
      <c r="H188" s="114">
        <f t="shared" si="62"/>
        <v>5520.1500000000005</v>
      </c>
      <c r="I188" s="114">
        <f t="shared" si="63"/>
        <v>5520.1500000000005</v>
      </c>
      <c r="J188" s="113">
        <f t="shared" si="64"/>
        <v>16595.7</v>
      </c>
    </row>
    <row r="189" spans="1:10" x14ac:dyDescent="0.3">
      <c r="B189" s="403">
        <v>45719</v>
      </c>
      <c r="C189" s="113" t="s">
        <v>209</v>
      </c>
      <c r="D189" s="114">
        <v>1</v>
      </c>
      <c r="E189" s="114">
        <v>2364</v>
      </c>
      <c r="F189" s="114">
        <f t="shared" si="61"/>
        <v>2364</v>
      </c>
      <c r="G189" s="114">
        <v>2.35</v>
      </c>
      <c r="H189" s="114">
        <f t="shared" si="62"/>
        <v>5555.4000000000005</v>
      </c>
      <c r="I189" s="114">
        <f t="shared" si="63"/>
        <v>5555.4000000000005</v>
      </c>
      <c r="J189" s="113">
        <f t="shared" si="64"/>
        <v>22151.100000000002</v>
      </c>
    </row>
    <row r="190" spans="1:10" x14ac:dyDescent="0.3">
      <c r="B190" s="403">
        <v>45720</v>
      </c>
      <c r="C190" s="113" t="s">
        <v>209</v>
      </c>
      <c r="D190" s="114">
        <v>2</v>
      </c>
      <c r="E190" s="114">
        <v>2349</v>
      </c>
      <c r="F190" s="114">
        <f t="shared" si="61"/>
        <v>4698</v>
      </c>
      <c r="G190" s="114">
        <v>2.35</v>
      </c>
      <c r="H190" s="114">
        <f t="shared" si="62"/>
        <v>5520.1500000000005</v>
      </c>
      <c r="I190" s="114">
        <f t="shared" si="63"/>
        <v>11040.300000000001</v>
      </c>
      <c r="J190" s="113">
        <f t="shared" si="64"/>
        <v>33191.4</v>
      </c>
    </row>
    <row r="191" spans="1:10" x14ac:dyDescent="0.3">
      <c r="B191" s="403">
        <v>45720</v>
      </c>
      <c r="C191" s="113" t="s">
        <v>209</v>
      </c>
      <c r="D191" s="114">
        <v>1</v>
      </c>
      <c r="E191" s="114">
        <v>2364</v>
      </c>
      <c r="F191" s="114">
        <f t="shared" si="61"/>
        <v>2364</v>
      </c>
      <c r="G191" s="114">
        <v>2.35</v>
      </c>
      <c r="H191" s="114">
        <f t="shared" si="62"/>
        <v>5555.4000000000005</v>
      </c>
      <c r="I191" s="114">
        <f t="shared" si="63"/>
        <v>5555.4000000000005</v>
      </c>
      <c r="J191" s="113">
        <f t="shared" si="64"/>
        <v>38746.800000000003</v>
      </c>
    </row>
    <row r="192" spans="1:10" x14ac:dyDescent="0.3">
      <c r="B192" s="403"/>
      <c r="C192" s="113"/>
      <c r="D192" s="114"/>
      <c r="E192" s="114"/>
      <c r="F192" s="114">
        <f t="shared" si="61"/>
        <v>0</v>
      </c>
      <c r="G192" s="114">
        <v>2.35</v>
      </c>
      <c r="H192" s="114">
        <f t="shared" si="62"/>
        <v>0</v>
      </c>
      <c r="I192" s="114">
        <f t="shared" si="63"/>
        <v>0</v>
      </c>
      <c r="J192" s="113">
        <f>J191+I192</f>
        <v>38746.800000000003</v>
      </c>
    </row>
    <row r="193" spans="2:10" x14ac:dyDescent="0.3">
      <c r="B193" s="403">
        <v>45720</v>
      </c>
      <c r="C193" s="113" t="s">
        <v>210</v>
      </c>
      <c r="D193" s="114">
        <v>5</v>
      </c>
      <c r="E193" s="114">
        <v>2349</v>
      </c>
      <c r="F193" s="114">
        <f>E193*D193</f>
        <v>11745</v>
      </c>
      <c r="G193" s="114">
        <v>2.35</v>
      </c>
      <c r="H193" s="114">
        <f>E193*G193</f>
        <v>5520.1500000000005</v>
      </c>
      <c r="I193" s="114">
        <f>H193*D193</f>
        <v>27600.750000000004</v>
      </c>
      <c r="J193" s="113">
        <f t="shared" si="64"/>
        <v>66347.55</v>
      </c>
    </row>
    <row r="194" spans="2:10" x14ac:dyDescent="0.3">
      <c r="B194" s="403"/>
      <c r="C194" s="113"/>
      <c r="D194" s="114"/>
      <c r="E194" s="114"/>
      <c r="F194" s="114">
        <f>E194*D194</f>
        <v>0</v>
      </c>
      <c r="G194" s="114">
        <v>2.35</v>
      </c>
      <c r="H194" s="114">
        <f>E194*G194</f>
        <v>0</v>
      </c>
      <c r="I194" s="114">
        <f>H194*D194</f>
        <v>0</v>
      </c>
      <c r="J194" s="113">
        <f t="shared" si="64"/>
        <v>66347.55</v>
      </c>
    </row>
    <row r="195" spans="2:10" x14ac:dyDescent="0.3">
      <c r="B195" s="403"/>
      <c r="C195" s="113"/>
      <c r="D195" s="114"/>
      <c r="E195" s="114"/>
      <c r="F195" s="114">
        <f>E195*D195</f>
        <v>0</v>
      </c>
      <c r="G195" s="114">
        <v>2.35</v>
      </c>
      <c r="H195" s="114">
        <f>E195*G195</f>
        <v>0</v>
      </c>
      <c r="I195" s="114">
        <f>H195*D195</f>
        <v>0</v>
      </c>
      <c r="J195" s="113">
        <f t="shared" ref="J195:J224" si="65">J194+I195</f>
        <v>66347.55</v>
      </c>
    </row>
    <row r="196" spans="2:10" x14ac:dyDescent="0.3">
      <c r="B196" s="403"/>
      <c r="C196" s="113"/>
      <c r="D196" s="114"/>
      <c r="E196" s="114"/>
      <c r="F196" s="114">
        <f>E196*D196</f>
        <v>0</v>
      </c>
      <c r="G196" s="114">
        <v>2.35</v>
      </c>
      <c r="H196" s="114">
        <f>E196*G196</f>
        <v>0</v>
      </c>
      <c r="I196" s="114">
        <f>H196*D196</f>
        <v>0</v>
      </c>
      <c r="J196" s="113">
        <f t="shared" si="65"/>
        <v>66347.55</v>
      </c>
    </row>
    <row r="197" spans="2:10" x14ac:dyDescent="0.3">
      <c r="B197" s="403"/>
      <c r="C197" s="113"/>
      <c r="D197" s="114"/>
      <c r="E197" s="114"/>
      <c r="F197" s="114">
        <f>E197*D197</f>
        <v>0</v>
      </c>
      <c r="G197" s="114">
        <v>2.35</v>
      </c>
      <c r="H197" s="114">
        <f>E197*G197</f>
        <v>0</v>
      </c>
      <c r="I197" s="114">
        <f>H197*D197</f>
        <v>0</v>
      </c>
      <c r="J197" s="113">
        <f t="shared" si="65"/>
        <v>66347.55</v>
      </c>
    </row>
    <row r="198" spans="2:10" ht="18" x14ac:dyDescent="0.35">
      <c r="B198" s="403">
        <v>45721</v>
      </c>
      <c r="C198" s="115" t="s">
        <v>182</v>
      </c>
      <c r="D198" s="114">
        <v>1</v>
      </c>
      <c r="E198" s="114">
        <v>2349</v>
      </c>
      <c r="F198" s="114">
        <f t="shared" ref="F198:F224" si="66">E198*D198</f>
        <v>2349</v>
      </c>
      <c r="G198" s="114">
        <v>2.35</v>
      </c>
      <c r="H198" s="114">
        <f t="shared" ref="H198:H224" si="67">E198*G198</f>
        <v>5520.1500000000005</v>
      </c>
      <c r="I198" s="114">
        <f t="shared" ref="I198:I224" si="68">H198*D198</f>
        <v>5520.1500000000005</v>
      </c>
      <c r="J198" s="113">
        <f t="shared" si="65"/>
        <v>71867.7</v>
      </c>
    </row>
    <row r="199" spans="2:10" x14ac:dyDescent="0.3">
      <c r="B199" s="403">
        <v>45721</v>
      </c>
      <c r="C199" s="113" t="s">
        <v>209</v>
      </c>
      <c r="D199" s="114">
        <v>3</v>
      </c>
      <c r="E199" s="114">
        <v>2349</v>
      </c>
      <c r="F199" s="114">
        <f t="shared" si="66"/>
        <v>7047</v>
      </c>
      <c r="G199" s="114">
        <v>2.35</v>
      </c>
      <c r="H199" s="114">
        <f t="shared" si="67"/>
        <v>5520.1500000000005</v>
      </c>
      <c r="I199" s="114">
        <f t="shared" si="68"/>
        <v>16560.45</v>
      </c>
      <c r="J199" s="113">
        <f t="shared" si="65"/>
        <v>88428.15</v>
      </c>
    </row>
    <row r="200" spans="2:10" x14ac:dyDescent="0.3">
      <c r="B200" s="403"/>
      <c r="C200" s="113"/>
      <c r="D200" s="114"/>
      <c r="E200" s="114"/>
      <c r="F200" s="114">
        <f>E200*D200</f>
        <v>0</v>
      </c>
      <c r="G200" s="114">
        <v>2.35</v>
      </c>
      <c r="H200" s="114">
        <f>E200*G200</f>
        <v>0</v>
      </c>
      <c r="I200" s="114">
        <f>H200*D200</f>
        <v>0</v>
      </c>
      <c r="J200" s="113">
        <f t="shared" si="65"/>
        <v>88428.15</v>
      </c>
    </row>
    <row r="201" spans="2:10" x14ac:dyDescent="0.3">
      <c r="B201" s="403"/>
      <c r="C201" s="113"/>
      <c r="D201" s="114"/>
      <c r="E201" s="114"/>
      <c r="F201" s="114">
        <f>E201*D201</f>
        <v>0</v>
      </c>
      <c r="G201" s="114">
        <v>2.35</v>
      </c>
      <c r="H201" s="114">
        <f>E201*G201</f>
        <v>0</v>
      </c>
      <c r="I201" s="114">
        <f>H201*D201</f>
        <v>0</v>
      </c>
      <c r="J201" s="113">
        <f t="shared" si="65"/>
        <v>88428.15</v>
      </c>
    </row>
    <row r="202" spans="2:10" x14ac:dyDescent="0.3">
      <c r="B202" s="403">
        <v>45722</v>
      </c>
      <c r="C202" s="113" t="s">
        <v>209</v>
      </c>
      <c r="D202" s="114">
        <v>3</v>
      </c>
      <c r="E202" s="114">
        <v>2364</v>
      </c>
      <c r="F202" s="114">
        <f>E202*D202</f>
        <v>7092</v>
      </c>
      <c r="G202" s="114">
        <v>2.35</v>
      </c>
      <c r="H202" s="114">
        <f>E202*G202</f>
        <v>5555.4000000000005</v>
      </c>
      <c r="I202" s="114">
        <f>H202*D202</f>
        <v>16666.2</v>
      </c>
      <c r="J202" s="113">
        <f t="shared" si="65"/>
        <v>105094.34999999999</v>
      </c>
    </row>
    <row r="203" spans="2:10" x14ac:dyDescent="0.3">
      <c r="B203" s="403"/>
      <c r="C203" s="113"/>
      <c r="D203" s="114"/>
      <c r="E203" s="114"/>
      <c r="F203" s="114">
        <f>E203*D203</f>
        <v>0</v>
      </c>
      <c r="G203" s="114">
        <v>2.35</v>
      </c>
      <c r="H203" s="114">
        <f>E203*G203</f>
        <v>0</v>
      </c>
      <c r="I203" s="114">
        <f>H203*D203</f>
        <v>0</v>
      </c>
      <c r="J203" s="113">
        <f t="shared" si="65"/>
        <v>105094.34999999999</v>
      </c>
    </row>
    <row r="204" spans="2:10" x14ac:dyDescent="0.3">
      <c r="B204" s="403"/>
      <c r="C204" s="113"/>
      <c r="D204" s="114"/>
      <c r="E204" s="114"/>
      <c r="F204" s="114">
        <f>E204*D204</f>
        <v>0</v>
      </c>
      <c r="G204" s="114">
        <v>2.35</v>
      </c>
      <c r="H204" s="114">
        <f>E204*G204</f>
        <v>0</v>
      </c>
      <c r="I204" s="114">
        <f>H204*D204</f>
        <v>0</v>
      </c>
      <c r="J204" s="113">
        <f t="shared" si="65"/>
        <v>105094.34999999999</v>
      </c>
    </row>
    <row r="205" spans="2:10" x14ac:dyDescent="0.3">
      <c r="B205" s="403">
        <v>45722</v>
      </c>
      <c r="C205" s="113" t="s">
        <v>210</v>
      </c>
      <c r="D205" s="114">
        <v>1</v>
      </c>
      <c r="E205" s="114">
        <v>2349</v>
      </c>
      <c r="F205" s="114">
        <f t="shared" si="66"/>
        <v>2349</v>
      </c>
      <c r="G205" s="114">
        <v>2.35</v>
      </c>
      <c r="H205" s="114">
        <f t="shared" si="67"/>
        <v>5520.1500000000005</v>
      </c>
      <c r="I205" s="114">
        <f t="shared" si="68"/>
        <v>5520.1500000000005</v>
      </c>
      <c r="J205" s="113">
        <f t="shared" si="65"/>
        <v>110614.49999999999</v>
      </c>
    </row>
    <row r="206" spans="2:10" x14ac:dyDescent="0.3">
      <c r="B206" s="403">
        <v>45723</v>
      </c>
      <c r="C206" s="113" t="s">
        <v>209</v>
      </c>
      <c r="D206" s="114">
        <v>2</v>
      </c>
      <c r="E206" s="114">
        <v>2364</v>
      </c>
      <c r="F206" s="114">
        <f t="shared" si="66"/>
        <v>4728</v>
      </c>
      <c r="G206" s="114">
        <v>2.35</v>
      </c>
      <c r="H206" s="114">
        <f t="shared" si="67"/>
        <v>5555.4000000000005</v>
      </c>
      <c r="I206" s="114">
        <f t="shared" si="68"/>
        <v>11110.800000000001</v>
      </c>
      <c r="J206" s="113">
        <f t="shared" si="65"/>
        <v>121725.29999999999</v>
      </c>
    </row>
    <row r="207" spans="2:10" x14ac:dyDescent="0.3">
      <c r="B207" s="403"/>
      <c r="C207" s="113"/>
      <c r="D207" s="114"/>
      <c r="E207" s="114"/>
      <c r="F207" s="114">
        <f t="shared" si="66"/>
        <v>0</v>
      </c>
      <c r="G207" s="114">
        <v>2.35</v>
      </c>
      <c r="H207" s="114">
        <f t="shared" si="67"/>
        <v>0</v>
      </c>
      <c r="I207" s="114">
        <f t="shared" si="68"/>
        <v>0</v>
      </c>
      <c r="J207" s="113">
        <f t="shared" si="65"/>
        <v>121725.29999999999</v>
      </c>
    </row>
    <row r="208" spans="2:10" ht="18" x14ac:dyDescent="0.35">
      <c r="B208" s="403">
        <v>45724</v>
      </c>
      <c r="C208" s="115" t="s">
        <v>183</v>
      </c>
      <c r="D208" s="114">
        <v>1</v>
      </c>
      <c r="E208" s="114">
        <v>2349</v>
      </c>
      <c r="F208" s="114">
        <f t="shared" si="66"/>
        <v>2349</v>
      </c>
      <c r="G208" s="114">
        <v>2.35</v>
      </c>
      <c r="H208" s="114">
        <f t="shared" si="67"/>
        <v>5520.1500000000005</v>
      </c>
      <c r="I208" s="114">
        <f t="shared" si="68"/>
        <v>5520.1500000000005</v>
      </c>
      <c r="J208" s="113">
        <f t="shared" si="65"/>
        <v>127245.44999999998</v>
      </c>
    </row>
    <row r="209" spans="2:10" x14ac:dyDescent="0.3">
      <c r="B209" s="403">
        <v>45724</v>
      </c>
      <c r="C209" s="113" t="s">
        <v>210</v>
      </c>
      <c r="D209" s="114">
        <v>5</v>
      </c>
      <c r="E209" s="114">
        <v>2349</v>
      </c>
      <c r="F209" s="114">
        <f t="shared" si="66"/>
        <v>11745</v>
      </c>
      <c r="G209" s="114">
        <v>2.35</v>
      </c>
      <c r="H209" s="114">
        <f t="shared" si="67"/>
        <v>5520.1500000000005</v>
      </c>
      <c r="I209" s="114">
        <f t="shared" si="68"/>
        <v>27600.750000000004</v>
      </c>
      <c r="J209" s="113">
        <f t="shared" si="65"/>
        <v>154846.19999999998</v>
      </c>
    </row>
    <row r="210" spans="2:10" x14ac:dyDescent="0.3">
      <c r="B210" s="403"/>
      <c r="C210" s="113"/>
      <c r="D210" s="114"/>
      <c r="E210" s="114"/>
      <c r="F210" s="114">
        <f t="shared" si="66"/>
        <v>0</v>
      </c>
      <c r="G210" s="114">
        <v>2.35</v>
      </c>
      <c r="H210" s="114">
        <f t="shared" si="67"/>
        <v>0</v>
      </c>
      <c r="I210" s="114">
        <f t="shared" si="68"/>
        <v>0</v>
      </c>
      <c r="J210" s="113">
        <f t="shared" si="65"/>
        <v>154846.19999999998</v>
      </c>
    </row>
    <row r="211" spans="2:10" x14ac:dyDescent="0.3">
      <c r="B211" s="403"/>
      <c r="C211" s="113"/>
      <c r="D211" s="114"/>
      <c r="E211" s="114"/>
      <c r="F211" s="114">
        <f t="shared" si="66"/>
        <v>0</v>
      </c>
      <c r="G211" s="114">
        <v>2.35</v>
      </c>
      <c r="H211" s="114">
        <f t="shared" si="67"/>
        <v>0</v>
      </c>
      <c r="I211" s="114">
        <f t="shared" si="68"/>
        <v>0</v>
      </c>
      <c r="J211" s="113">
        <f t="shared" si="65"/>
        <v>154846.19999999998</v>
      </c>
    </row>
    <row r="212" spans="2:10" x14ac:dyDescent="0.3">
      <c r="B212" s="403"/>
      <c r="C212" s="113"/>
      <c r="D212" s="114"/>
      <c r="E212" s="114"/>
      <c r="F212" s="114">
        <f t="shared" si="66"/>
        <v>0</v>
      </c>
      <c r="G212" s="114">
        <v>2.35</v>
      </c>
      <c r="H212" s="114">
        <f t="shared" si="67"/>
        <v>0</v>
      </c>
      <c r="I212" s="114">
        <f t="shared" si="68"/>
        <v>0</v>
      </c>
      <c r="J212" s="113">
        <f t="shared" si="65"/>
        <v>154846.19999999998</v>
      </c>
    </row>
    <row r="213" spans="2:10" x14ac:dyDescent="0.3">
      <c r="B213" s="403"/>
      <c r="C213" s="113"/>
      <c r="D213" s="114"/>
      <c r="E213" s="114"/>
      <c r="F213" s="114">
        <f t="shared" si="66"/>
        <v>0</v>
      </c>
      <c r="G213" s="114">
        <v>2.35</v>
      </c>
      <c r="H213" s="114">
        <f t="shared" si="67"/>
        <v>0</v>
      </c>
      <c r="I213" s="114">
        <f t="shared" si="68"/>
        <v>0</v>
      </c>
      <c r="J213" s="113">
        <f t="shared" si="65"/>
        <v>154846.19999999998</v>
      </c>
    </row>
    <row r="214" spans="2:10" x14ac:dyDescent="0.3">
      <c r="B214" s="403">
        <v>45727</v>
      </c>
      <c r="C214" s="113" t="s">
        <v>209</v>
      </c>
      <c r="D214" s="114">
        <v>2</v>
      </c>
      <c r="E214" s="114">
        <v>2349</v>
      </c>
      <c r="F214" s="114">
        <f t="shared" si="66"/>
        <v>4698</v>
      </c>
      <c r="G214" s="114">
        <v>2.35</v>
      </c>
      <c r="H214" s="114">
        <f t="shared" si="67"/>
        <v>5520.1500000000005</v>
      </c>
      <c r="I214" s="114">
        <f t="shared" si="68"/>
        <v>11040.300000000001</v>
      </c>
      <c r="J214" s="113">
        <f t="shared" si="65"/>
        <v>165886.49999999997</v>
      </c>
    </row>
    <row r="215" spans="2:10" x14ac:dyDescent="0.3">
      <c r="B215" s="403"/>
      <c r="C215" s="113"/>
      <c r="D215" s="114"/>
      <c r="E215" s="114"/>
      <c r="F215" s="114">
        <f t="shared" si="66"/>
        <v>0</v>
      </c>
      <c r="G215" s="114">
        <v>2.35</v>
      </c>
      <c r="H215" s="114">
        <f t="shared" si="67"/>
        <v>0</v>
      </c>
      <c r="I215" s="114">
        <f t="shared" si="68"/>
        <v>0</v>
      </c>
      <c r="J215" s="113">
        <f t="shared" si="65"/>
        <v>165886.49999999997</v>
      </c>
    </row>
    <row r="216" spans="2:10" x14ac:dyDescent="0.3">
      <c r="B216" s="403">
        <v>45727</v>
      </c>
      <c r="C216" s="113" t="s">
        <v>210</v>
      </c>
      <c r="D216" s="114">
        <v>2</v>
      </c>
      <c r="E216" s="114">
        <v>2349</v>
      </c>
      <c r="F216" s="114">
        <f t="shared" si="66"/>
        <v>4698</v>
      </c>
      <c r="G216" s="114">
        <v>2.35</v>
      </c>
      <c r="H216" s="114">
        <f t="shared" si="67"/>
        <v>5520.1500000000005</v>
      </c>
      <c r="I216" s="114">
        <f t="shared" si="68"/>
        <v>11040.300000000001</v>
      </c>
      <c r="J216" s="113">
        <f t="shared" si="65"/>
        <v>176926.79999999996</v>
      </c>
    </row>
    <row r="217" spans="2:10" x14ac:dyDescent="0.3">
      <c r="B217" s="403"/>
      <c r="C217" s="113"/>
      <c r="D217" s="114"/>
      <c r="E217" s="114"/>
      <c r="F217" s="114">
        <f t="shared" si="66"/>
        <v>0</v>
      </c>
      <c r="G217" s="114">
        <v>2.35</v>
      </c>
      <c r="H217" s="114">
        <f t="shared" si="67"/>
        <v>0</v>
      </c>
      <c r="I217" s="114">
        <f t="shared" si="68"/>
        <v>0</v>
      </c>
      <c r="J217" s="113">
        <f t="shared" si="65"/>
        <v>176926.79999999996</v>
      </c>
    </row>
    <row r="218" spans="2:10" x14ac:dyDescent="0.3">
      <c r="B218" s="403">
        <v>45728</v>
      </c>
      <c r="C218" s="113" t="s">
        <v>209</v>
      </c>
      <c r="D218" s="114">
        <v>2</v>
      </c>
      <c r="E218" s="114">
        <v>2349</v>
      </c>
      <c r="F218" s="114">
        <f t="shared" si="66"/>
        <v>4698</v>
      </c>
      <c r="G218" s="114">
        <v>2.35</v>
      </c>
      <c r="H218" s="114">
        <f t="shared" si="67"/>
        <v>5520.1500000000005</v>
      </c>
      <c r="I218" s="114">
        <f t="shared" si="68"/>
        <v>11040.300000000001</v>
      </c>
      <c r="J218" s="113">
        <f t="shared" si="65"/>
        <v>187967.09999999995</v>
      </c>
    </row>
    <row r="219" spans="2:10" x14ac:dyDescent="0.3">
      <c r="B219" s="403"/>
      <c r="C219" s="113"/>
      <c r="D219" s="114"/>
      <c r="E219" s="114"/>
      <c r="F219" s="114">
        <f t="shared" si="66"/>
        <v>0</v>
      </c>
      <c r="G219" s="114">
        <v>2.35</v>
      </c>
      <c r="H219" s="114">
        <f t="shared" si="67"/>
        <v>0</v>
      </c>
      <c r="I219" s="114">
        <f t="shared" si="68"/>
        <v>0</v>
      </c>
      <c r="J219" s="113">
        <f t="shared" si="65"/>
        <v>187967.09999999995</v>
      </c>
    </row>
    <row r="220" spans="2:10" x14ac:dyDescent="0.3">
      <c r="B220" s="403">
        <v>45729</v>
      </c>
      <c r="C220" s="113" t="s">
        <v>184</v>
      </c>
      <c r="D220" s="114">
        <v>9</v>
      </c>
      <c r="E220" s="114">
        <v>1549</v>
      </c>
      <c r="F220" s="114">
        <f t="shared" si="66"/>
        <v>13941</v>
      </c>
      <c r="G220" s="114">
        <v>2.35</v>
      </c>
      <c r="H220" s="114">
        <f t="shared" si="67"/>
        <v>3640.15</v>
      </c>
      <c r="I220" s="114">
        <f t="shared" si="68"/>
        <v>32761.350000000002</v>
      </c>
      <c r="J220" s="113">
        <f t="shared" si="65"/>
        <v>220728.44999999995</v>
      </c>
    </row>
    <row r="221" spans="2:10" x14ac:dyDescent="0.3">
      <c r="B221" s="403"/>
      <c r="C221" s="113"/>
      <c r="D221" s="114"/>
      <c r="E221" s="114"/>
      <c r="F221" s="114">
        <f t="shared" si="66"/>
        <v>0</v>
      </c>
      <c r="G221" s="114">
        <v>2.35</v>
      </c>
      <c r="H221" s="114">
        <f t="shared" si="67"/>
        <v>0</v>
      </c>
      <c r="I221" s="114">
        <f t="shared" si="68"/>
        <v>0</v>
      </c>
      <c r="J221" s="113">
        <f t="shared" si="65"/>
        <v>220728.44999999995</v>
      </c>
    </row>
    <row r="222" spans="2:10" x14ac:dyDescent="0.3">
      <c r="B222" s="403"/>
      <c r="C222" s="113"/>
      <c r="D222" s="114"/>
      <c r="E222" s="114"/>
      <c r="F222" s="114">
        <f t="shared" si="66"/>
        <v>0</v>
      </c>
      <c r="G222" s="114">
        <v>2.35</v>
      </c>
      <c r="H222" s="114">
        <f t="shared" si="67"/>
        <v>0</v>
      </c>
      <c r="I222" s="114">
        <f t="shared" si="68"/>
        <v>0</v>
      </c>
      <c r="J222" s="113">
        <f t="shared" si="65"/>
        <v>220728.44999999995</v>
      </c>
    </row>
    <row r="223" spans="2:10" x14ac:dyDescent="0.3">
      <c r="B223" s="403"/>
      <c r="C223" s="113"/>
      <c r="D223" s="114"/>
      <c r="E223" s="114"/>
      <c r="F223" s="114">
        <f t="shared" si="66"/>
        <v>0</v>
      </c>
      <c r="G223" s="114">
        <v>2.35</v>
      </c>
      <c r="H223" s="114">
        <f t="shared" si="67"/>
        <v>0</v>
      </c>
      <c r="I223" s="114">
        <f t="shared" si="68"/>
        <v>0</v>
      </c>
      <c r="J223" s="113">
        <f t="shared" si="65"/>
        <v>220728.44999999995</v>
      </c>
    </row>
    <row r="224" spans="2:10" x14ac:dyDescent="0.3">
      <c r="B224" s="403"/>
      <c r="C224" s="113"/>
      <c r="D224" s="114"/>
      <c r="E224" s="114"/>
      <c r="F224" s="114">
        <f t="shared" si="66"/>
        <v>0</v>
      </c>
      <c r="G224" s="114">
        <v>2.35</v>
      </c>
      <c r="H224" s="114">
        <f t="shared" si="67"/>
        <v>0</v>
      </c>
      <c r="I224" s="114">
        <f t="shared" si="68"/>
        <v>0</v>
      </c>
      <c r="J224" s="113">
        <f t="shared" si="65"/>
        <v>220728.44999999995</v>
      </c>
    </row>
    <row r="225" spans="1:10" x14ac:dyDescent="0.3">
      <c r="B225" s="403"/>
      <c r="C225" s="113"/>
      <c r="D225" s="114"/>
      <c r="E225" s="114"/>
      <c r="F225" s="114">
        <f t="shared" ref="F225:F231" si="69">E225*D225</f>
        <v>0</v>
      </c>
      <c r="G225" s="114">
        <v>2.35</v>
      </c>
      <c r="H225" s="114">
        <f t="shared" ref="H225:H230" si="70">E225*G225</f>
        <v>0</v>
      </c>
      <c r="I225" s="114">
        <f t="shared" ref="I225:I230" si="71">H225*D225</f>
        <v>0</v>
      </c>
      <c r="J225" s="113">
        <f t="shared" ref="J225:J230" si="72">J224+I225</f>
        <v>220728.44999999995</v>
      </c>
    </row>
    <row r="226" spans="1:10" ht="18" x14ac:dyDescent="0.35">
      <c r="B226" s="403">
        <v>45729</v>
      </c>
      <c r="C226" s="115" t="s">
        <v>185</v>
      </c>
      <c r="D226" s="114">
        <v>2</v>
      </c>
      <c r="E226" s="114">
        <v>1549</v>
      </c>
      <c r="F226" s="114">
        <f t="shared" si="69"/>
        <v>3098</v>
      </c>
      <c r="G226" s="114">
        <v>2.35</v>
      </c>
      <c r="H226" s="114">
        <f t="shared" si="70"/>
        <v>3640.15</v>
      </c>
      <c r="I226" s="114">
        <f t="shared" si="71"/>
        <v>7280.3</v>
      </c>
      <c r="J226" s="113">
        <f t="shared" si="72"/>
        <v>228008.74999999994</v>
      </c>
    </row>
    <row r="227" spans="1:10" ht="18" x14ac:dyDescent="0.35">
      <c r="B227" s="403"/>
      <c r="C227" s="115"/>
      <c r="D227" s="114"/>
      <c r="E227" s="114"/>
      <c r="F227" s="114">
        <f t="shared" si="69"/>
        <v>0</v>
      </c>
      <c r="G227" s="114">
        <v>2.35</v>
      </c>
      <c r="H227" s="114">
        <f t="shared" si="70"/>
        <v>0</v>
      </c>
      <c r="I227" s="114">
        <f t="shared" si="71"/>
        <v>0</v>
      </c>
      <c r="J227" s="113">
        <f t="shared" si="72"/>
        <v>228008.74999999994</v>
      </c>
    </row>
    <row r="228" spans="1:10" x14ac:dyDescent="0.3">
      <c r="B228" s="403"/>
      <c r="C228" s="113"/>
      <c r="D228" s="114"/>
      <c r="E228" s="114"/>
      <c r="F228" s="114">
        <f t="shared" si="69"/>
        <v>0</v>
      </c>
      <c r="G228" s="114">
        <v>2.35</v>
      </c>
      <c r="H228" s="114">
        <f t="shared" si="70"/>
        <v>0</v>
      </c>
      <c r="I228" s="114">
        <f t="shared" si="71"/>
        <v>0</v>
      </c>
      <c r="J228" s="113">
        <f t="shared" si="72"/>
        <v>228008.74999999994</v>
      </c>
    </row>
    <row r="229" spans="1:10" x14ac:dyDescent="0.3">
      <c r="B229" s="403"/>
      <c r="C229" s="113"/>
      <c r="D229" s="114"/>
      <c r="E229" s="114"/>
      <c r="F229" s="114">
        <f t="shared" si="69"/>
        <v>0</v>
      </c>
      <c r="G229" s="114">
        <v>2.35</v>
      </c>
      <c r="H229" s="114">
        <f t="shared" si="70"/>
        <v>0</v>
      </c>
      <c r="I229" s="114">
        <f t="shared" si="71"/>
        <v>0</v>
      </c>
      <c r="J229" s="113">
        <f t="shared" si="72"/>
        <v>228008.74999999994</v>
      </c>
    </row>
    <row r="230" spans="1:10" x14ac:dyDescent="0.3">
      <c r="B230" s="403"/>
      <c r="C230" s="113"/>
      <c r="D230" s="114"/>
      <c r="E230" s="114"/>
      <c r="F230" s="114">
        <f t="shared" si="69"/>
        <v>0</v>
      </c>
      <c r="G230" s="114">
        <v>2.35</v>
      </c>
      <c r="H230" s="114">
        <f t="shared" si="70"/>
        <v>0</v>
      </c>
      <c r="I230" s="114">
        <f t="shared" si="71"/>
        <v>0</v>
      </c>
      <c r="J230" s="113">
        <f t="shared" si="72"/>
        <v>228008.74999999994</v>
      </c>
    </row>
    <row r="231" spans="1:10" x14ac:dyDescent="0.3">
      <c r="B231" s="403">
        <v>45731</v>
      </c>
      <c r="C231" s="113" t="s">
        <v>211</v>
      </c>
      <c r="D231" s="114"/>
      <c r="E231" s="114"/>
      <c r="F231" s="114">
        <f t="shared" si="69"/>
        <v>0</v>
      </c>
      <c r="G231" s="114">
        <v>2.35</v>
      </c>
      <c r="H231" s="114">
        <f t="shared" ref="H231" si="73">E231*G231</f>
        <v>0</v>
      </c>
      <c r="I231" s="114">
        <f t="shared" ref="I231" si="74">H231*D231</f>
        <v>0</v>
      </c>
      <c r="J231" s="113">
        <f t="shared" ref="J231" si="75">J230+I231</f>
        <v>228008.74999999994</v>
      </c>
    </row>
    <row r="232" spans="1:10" x14ac:dyDescent="0.3">
      <c r="B232" s="19"/>
      <c r="C232" s="19"/>
      <c r="D232" s="19"/>
      <c r="E232" s="19"/>
      <c r="F232" s="19"/>
      <c r="G232" s="19"/>
      <c r="H232" s="19"/>
      <c r="I232" s="19"/>
      <c r="J232" s="24"/>
    </row>
    <row r="233" spans="1:10" x14ac:dyDescent="0.3">
      <c r="B233" s="19"/>
      <c r="C233" s="100" t="s">
        <v>191</v>
      </c>
      <c r="D233" s="19"/>
      <c r="E233" s="19"/>
      <c r="F233" s="19"/>
      <c r="G233" s="19"/>
      <c r="H233" s="19"/>
      <c r="I233" s="19"/>
      <c r="J233" s="24"/>
    </row>
    <row r="234" spans="1:10" x14ac:dyDescent="0.3">
      <c r="B234" s="19"/>
      <c r="C234" s="19"/>
      <c r="D234" s="19"/>
      <c r="E234" s="19"/>
      <c r="F234" s="19"/>
      <c r="G234" s="19"/>
      <c r="H234" s="19"/>
      <c r="I234" s="19"/>
      <c r="J234" s="24"/>
    </row>
    <row r="239" spans="1:10" ht="21" x14ac:dyDescent="0.4">
      <c r="A239" t="s">
        <v>127</v>
      </c>
      <c r="B239" s="492" t="s">
        <v>20</v>
      </c>
      <c r="C239" s="492"/>
      <c r="D239" s="492"/>
      <c r="E239" s="492"/>
      <c r="F239" s="492"/>
      <c r="G239" s="492"/>
      <c r="H239" s="492"/>
      <c r="I239" s="492"/>
      <c r="J239" s="492"/>
    </row>
    <row r="240" spans="1:10" ht="18" x14ac:dyDescent="0.35">
      <c r="A240" t="s">
        <v>212</v>
      </c>
      <c r="B240" s="4" t="s">
        <v>1</v>
      </c>
      <c r="C240" s="4" t="s">
        <v>2</v>
      </c>
      <c r="D240" s="4" t="s">
        <v>3</v>
      </c>
      <c r="E240" s="4" t="s">
        <v>4</v>
      </c>
      <c r="F240" s="4" t="s">
        <v>36</v>
      </c>
      <c r="G240" s="4" t="s">
        <v>5</v>
      </c>
      <c r="H240" s="4" t="s">
        <v>6</v>
      </c>
      <c r="I240" s="4" t="s">
        <v>7</v>
      </c>
      <c r="J240" s="4"/>
    </row>
    <row r="241" spans="1:10" x14ac:dyDescent="0.3">
      <c r="B241" s="82">
        <v>45730</v>
      </c>
      <c r="C241" s="19" t="s">
        <v>192</v>
      </c>
      <c r="D241" s="19">
        <v>5</v>
      </c>
      <c r="E241" s="19">
        <v>679</v>
      </c>
      <c r="F241" s="19">
        <f>E241*D241</f>
        <v>3395</v>
      </c>
      <c r="G241" s="19">
        <v>2.35</v>
      </c>
      <c r="H241" s="19">
        <f>E241*G241</f>
        <v>1595.65</v>
      </c>
      <c r="I241" s="19">
        <f>H241*D241</f>
        <v>7978.25</v>
      </c>
      <c r="J241" s="18">
        <f>J240+I241</f>
        <v>7978.25</v>
      </c>
    </row>
    <row r="242" spans="1:10" x14ac:dyDescent="0.3">
      <c r="B242" s="82">
        <v>45730</v>
      </c>
      <c r="C242" s="19" t="s">
        <v>206</v>
      </c>
      <c r="D242" s="19">
        <v>8</v>
      </c>
      <c r="E242" s="19">
        <v>229</v>
      </c>
      <c r="F242" s="19">
        <f t="shared" ref="F242:F249" si="76">E242*D242</f>
        <v>1832</v>
      </c>
      <c r="G242" s="19">
        <v>2.35</v>
      </c>
      <c r="H242" s="19">
        <f t="shared" ref="H242:H249" si="77">E242*G242</f>
        <v>538.15</v>
      </c>
      <c r="I242" s="19">
        <f t="shared" ref="I242:I249" si="78">H242*D242</f>
        <v>4305.2</v>
      </c>
      <c r="J242" s="18">
        <f t="shared" ref="J242:J249" si="79">J241+I242</f>
        <v>12283.45</v>
      </c>
    </row>
    <row r="243" spans="1:10" x14ac:dyDescent="0.3">
      <c r="B243" s="82">
        <v>45730</v>
      </c>
      <c r="C243" s="19" t="s">
        <v>193</v>
      </c>
      <c r="D243" s="19">
        <v>2</v>
      </c>
      <c r="E243" s="19">
        <v>679</v>
      </c>
      <c r="F243" s="19">
        <f t="shared" si="76"/>
        <v>1358</v>
      </c>
      <c r="G243" s="19">
        <v>2.35</v>
      </c>
      <c r="H243" s="19">
        <f t="shared" si="77"/>
        <v>1595.65</v>
      </c>
      <c r="I243" s="19">
        <f t="shared" si="78"/>
        <v>3191.3</v>
      </c>
      <c r="J243" s="18">
        <f t="shared" si="79"/>
        <v>15474.75</v>
      </c>
    </row>
    <row r="244" spans="1:10" x14ac:dyDescent="0.3">
      <c r="B244" s="82">
        <v>45730</v>
      </c>
      <c r="C244" s="19" t="s">
        <v>207</v>
      </c>
      <c r="D244" s="19">
        <v>6</v>
      </c>
      <c r="E244" s="19">
        <v>235</v>
      </c>
      <c r="F244" s="19">
        <f t="shared" si="76"/>
        <v>1410</v>
      </c>
      <c r="G244" s="19">
        <v>2.35</v>
      </c>
      <c r="H244" s="19">
        <f t="shared" si="77"/>
        <v>552.25</v>
      </c>
      <c r="I244" s="19">
        <f t="shared" si="78"/>
        <v>3313.5</v>
      </c>
      <c r="J244" s="18">
        <f t="shared" si="79"/>
        <v>18788.25</v>
      </c>
    </row>
    <row r="245" spans="1:10" x14ac:dyDescent="0.3">
      <c r="B245" s="82">
        <v>45731</v>
      </c>
      <c r="C245" s="19" t="s">
        <v>189</v>
      </c>
      <c r="D245" s="19">
        <v>3</v>
      </c>
      <c r="E245" s="19">
        <v>679</v>
      </c>
      <c r="F245" s="19">
        <f t="shared" si="76"/>
        <v>2037</v>
      </c>
      <c r="G245" s="19">
        <v>2.35</v>
      </c>
      <c r="H245" s="19">
        <f t="shared" si="77"/>
        <v>1595.65</v>
      </c>
      <c r="I245" s="19">
        <f t="shared" si="78"/>
        <v>4786.9500000000007</v>
      </c>
      <c r="J245" s="18">
        <f t="shared" si="79"/>
        <v>23575.200000000001</v>
      </c>
    </row>
    <row r="246" spans="1:10" x14ac:dyDescent="0.3">
      <c r="B246" s="82">
        <v>45731</v>
      </c>
      <c r="C246" s="19" t="s">
        <v>190</v>
      </c>
      <c r="D246" s="19">
        <v>2</v>
      </c>
      <c r="E246" s="19">
        <v>679</v>
      </c>
      <c r="F246" s="19">
        <f t="shared" si="76"/>
        <v>1358</v>
      </c>
      <c r="G246" s="19">
        <v>2.35</v>
      </c>
      <c r="H246" s="19">
        <f t="shared" si="77"/>
        <v>1595.65</v>
      </c>
      <c r="I246" s="19">
        <f t="shared" si="78"/>
        <v>3191.3</v>
      </c>
      <c r="J246" s="18">
        <f t="shared" si="79"/>
        <v>26766.5</v>
      </c>
    </row>
    <row r="247" spans="1:10" x14ac:dyDescent="0.3">
      <c r="B247" s="19"/>
      <c r="C247" s="19"/>
      <c r="D247" s="19"/>
      <c r="E247" s="19"/>
      <c r="F247" s="19">
        <f t="shared" si="76"/>
        <v>0</v>
      </c>
      <c r="G247" s="19">
        <v>2.35</v>
      </c>
      <c r="H247" s="19">
        <f t="shared" si="77"/>
        <v>0</v>
      </c>
      <c r="I247" s="19">
        <f t="shared" si="78"/>
        <v>0</v>
      </c>
      <c r="J247" s="18">
        <f t="shared" si="79"/>
        <v>26766.5</v>
      </c>
    </row>
    <row r="248" spans="1:10" x14ac:dyDescent="0.3">
      <c r="B248" s="19"/>
      <c r="C248" s="19"/>
      <c r="D248" s="19"/>
      <c r="E248" s="19"/>
      <c r="F248" s="19">
        <f t="shared" si="76"/>
        <v>0</v>
      </c>
      <c r="G248" s="19">
        <v>2.35</v>
      </c>
      <c r="H248" s="19">
        <f t="shared" si="77"/>
        <v>0</v>
      </c>
      <c r="I248" s="19">
        <f t="shared" si="78"/>
        <v>0</v>
      </c>
      <c r="J248" s="18">
        <f t="shared" si="79"/>
        <v>26766.5</v>
      </c>
    </row>
    <row r="249" spans="1:10" x14ac:dyDescent="0.3">
      <c r="B249" s="19"/>
      <c r="C249" s="19"/>
      <c r="D249" s="19"/>
      <c r="E249" s="19"/>
      <c r="F249" s="19">
        <f t="shared" si="76"/>
        <v>0</v>
      </c>
      <c r="G249" s="19">
        <v>2.35</v>
      </c>
      <c r="H249" s="19">
        <f t="shared" si="77"/>
        <v>0</v>
      </c>
      <c r="I249" s="19">
        <f t="shared" si="78"/>
        <v>0</v>
      </c>
      <c r="J249" s="18">
        <f t="shared" si="79"/>
        <v>26766.5</v>
      </c>
    </row>
    <row r="252" spans="1:10" ht="21" x14ac:dyDescent="0.4">
      <c r="A252" t="s">
        <v>127</v>
      </c>
      <c r="B252" s="492" t="s">
        <v>20</v>
      </c>
      <c r="C252" s="492"/>
      <c r="D252" s="492"/>
      <c r="E252" s="492"/>
      <c r="F252" s="492"/>
      <c r="G252" s="492"/>
      <c r="H252" s="492"/>
      <c r="I252" s="492"/>
      <c r="J252" s="492"/>
    </row>
    <row r="253" spans="1:10" ht="18" x14ac:dyDescent="0.35">
      <c r="A253" t="s">
        <v>212</v>
      </c>
      <c r="B253" s="4" t="s">
        <v>1</v>
      </c>
      <c r="C253" s="4" t="s">
        <v>2</v>
      </c>
      <c r="D253" s="4" t="s">
        <v>3</v>
      </c>
      <c r="E253" s="4" t="s">
        <v>4</v>
      </c>
      <c r="F253" s="4" t="s">
        <v>36</v>
      </c>
      <c r="G253" s="4" t="s">
        <v>5</v>
      </c>
      <c r="H253" s="4" t="s">
        <v>6</v>
      </c>
      <c r="I253" s="4" t="s">
        <v>7</v>
      </c>
      <c r="J253" s="4"/>
    </row>
    <row r="254" spans="1:10" x14ac:dyDescent="0.3">
      <c r="B254" s="82">
        <v>45733</v>
      </c>
      <c r="C254" s="19" t="s">
        <v>194</v>
      </c>
      <c r="D254" s="19">
        <v>5</v>
      </c>
      <c r="E254" s="19">
        <v>679</v>
      </c>
      <c r="F254" s="19">
        <f>E254*D254</f>
        <v>3395</v>
      </c>
      <c r="G254" s="19">
        <v>2.35</v>
      </c>
      <c r="H254" s="19">
        <f>E254*G254</f>
        <v>1595.65</v>
      </c>
      <c r="I254" s="19">
        <f>H254*D254</f>
        <v>7978.25</v>
      </c>
      <c r="J254" s="18">
        <f>J253+I254</f>
        <v>7978.25</v>
      </c>
    </row>
    <row r="255" spans="1:10" x14ac:dyDescent="0.3">
      <c r="B255" s="82">
        <v>45733</v>
      </c>
      <c r="C255" s="101" t="s">
        <v>195</v>
      </c>
      <c r="D255" s="101">
        <v>3</v>
      </c>
      <c r="E255" s="101">
        <v>235</v>
      </c>
      <c r="F255" s="101">
        <f t="shared" ref="F255:F262" si="80">E255*D255</f>
        <v>705</v>
      </c>
      <c r="G255" s="101">
        <v>2.35</v>
      </c>
      <c r="H255" s="101">
        <f t="shared" ref="H255:H262" si="81">E255*G255</f>
        <v>552.25</v>
      </c>
      <c r="I255" s="101">
        <f t="shared" ref="I255:I262" si="82">H255*D255</f>
        <v>1656.75</v>
      </c>
      <c r="J255" s="102">
        <f t="shared" ref="J255:J262" si="83">J254+I255</f>
        <v>9635</v>
      </c>
    </row>
    <row r="256" spans="1:10" x14ac:dyDescent="0.3">
      <c r="B256" s="82">
        <v>45733</v>
      </c>
      <c r="C256" s="19" t="s">
        <v>196</v>
      </c>
      <c r="D256" s="19">
        <v>1</v>
      </c>
      <c r="E256" s="19">
        <v>190</v>
      </c>
      <c r="F256" s="19">
        <f t="shared" si="80"/>
        <v>190</v>
      </c>
      <c r="G256" s="19">
        <v>2.35</v>
      </c>
      <c r="H256" s="19">
        <f t="shared" si="81"/>
        <v>446.5</v>
      </c>
      <c r="I256" s="19">
        <f t="shared" si="82"/>
        <v>446.5</v>
      </c>
      <c r="J256" s="18">
        <f t="shared" si="83"/>
        <v>10081.5</v>
      </c>
    </row>
    <row r="257" spans="1:10" x14ac:dyDescent="0.3">
      <c r="B257" s="82">
        <v>45733</v>
      </c>
      <c r="C257" s="19" t="s">
        <v>197</v>
      </c>
      <c r="D257" s="19">
        <v>3</v>
      </c>
      <c r="E257" s="19">
        <v>679</v>
      </c>
      <c r="F257" s="19">
        <f t="shared" si="80"/>
        <v>2037</v>
      </c>
      <c r="G257" s="19">
        <v>2.35</v>
      </c>
      <c r="H257" s="19">
        <f t="shared" si="81"/>
        <v>1595.65</v>
      </c>
      <c r="I257" s="19">
        <f t="shared" si="82"/>
        <v>4786.9500000000007</v>
      </c>
      <c r="J257" s="18">
        <f t="shared" si="83"/>
        <v>14868.45</v>
      </c>
    </row>
    <row r="258" spans="1:10" x14ac:dyDescent="0.3">
      <c r="B258" s="82">
        <v>45733</v>
      </c>
      <c r="C258" s="19" t="s">
        <v>198</v>
      </c>
      <c r="D258" s="19">
        <v>2</v>
      </c>
      <c r="E258" s="19">
        <v>229</v>
      </c>
      <c r="F258" s="19">
        <f t="shared" si="80"/>
        <v>458</v>
      </c>
      <c r="G258" s="19">
        <v>2.35</v>
      </c>
      <c r="H258" s="19">
        <f t="shared" si="81"/>
        <v>538.15</v>
      </c>
      <c r="I258" s="19">
        <f t="shared" si="82"/>
        <v>1076.3</v>
      </c>
      <c r="J258" s="18">
        <f t="shared" si="83"/>
        <v>15944.75</v>
      </c>
    </row>
    <row r="259" spans="1:10" x14ac:dyDescent="0.3">
      <c r="B259" s="82">
        <v>45733</v>
      </c>
      <c r="C259" s="19" t="s">
        <v>199</v>
      </c>
      <c r="D259" s="19">
        <v>17</v>
      </c>
      <c r="E259" s="19">
        <v>575</v>
      </c>
      <c r="F259" s="19">
        <f t="shared" si="80"/>
        <v>9775</v>
      </c>
      <c r="G259" s="19">
        <v>2.35</v>
      </c>
      <c r="H259" s="19">
        <f t="shared" si="81"/>
        <v>1351.25</v>
      </c>
      <c r="I259" s="19">
        <f t="shared" si="82"/>
        <v>22971.25</v>
      </c>
      <c r="J259" s="18">
        <f t="shared" si="83"/>
        <v>38916</v>
      </c>
    </row>
    <row r="260" spans="1:10" x14ac:dyDescent="0.3">
      <c r="B260" s="82">
        <v>45733</v>
      </c>
      <c r="C260" s="19" t="s">
        <v>196</v>
      </c>
      <c r="D260" s="19">
        <v>1</v>
      </c>
      <c r="E260" s="19">
        <v>190</v>
      </c>
      <c r="F260" s="19">
        <f t="shared" si="80"/>
        <v>190</v>
      </c>
      <c r="G260" s="19">
        <v>2.35</v>
      </c>
      <c r="H260" s="19">
        <f t="shared" si="81"/>
        <v>446.5</v>
      </c>
      <c r="I260" s="19">
        <f t="shared" si="82"/>
        <v>446.5</v>
      </c>
      <c r="J260" s="18">
        <f t="shared" si="83"/>
        <v>39362.5</v>
      </c>
    </row>
    <row r="261" spans="1:10" x14ac:dyDescent="0.3">
      <c r="B261" s="19"/>
      <c r="C261" s="19"/>
      <c r="D261" s="19"/>
      <c r="E261" s="19"/>
      <c r="F261" s="19">
        <f t="shared" si="80"/>
        <v>0</v>
      </c>
      <c r="G261" s="19"/>
      <c r="H261" s="19">
        <f t="shared" si="81"/>
        <v>0</v>
      </c>
      <c r="I261" s="19">
        <f t="shared" si="82"/>
        <v>0</v>
      </c>
      <c r="J261" s="18">
        <f t="shared" si="83"/>
        <v>39362.5</v>
      </c>
    </row>
    <row r="262" spans="1:10" x14ac:dyDescent="0.3">
      <c r="B262" s="19"/>
      <c r="C262" s="19"/>
      <c r="D262" s="19"/>
      <c r="E262" s="19"/>
      <c r="F262" s="19">
        <f t="shared" si="80"/>
        <v>0</v>
      </c>
      <c r="G262" s="19"/>
      <c r="H262" s="19">
        <f t="shared" si="81"/>
        <v>0</v>
      </c>
      <c r="I262" s="19">
        <f t="shared" si="82"/>
        <v>0</v>
      </c>
      <c r="J262" s="18">
        <f t="shared" si="83"/>
        <v>39362.5</v>
      </c>
    </row>
    <row r="265" spans="1:10" ht="21" x14ac:dyDescent="0.4">
      <c r="A265" t="s">
        <v>127</v>
      </c>
      <c r="B265" s="492" t="s">
        <v>20</v>
      </c>
      <c r="C265" s="492"/>
      <c r="D265" s="492"/>
      <c r="E265" s="492"/>
      <c r="F265" s="492"/>
      <c r="G265" s="492"/>
      <c r="H265" s="492"/>
      <c r="I265" s="492"/>
      <c r="J265" s="492"/>
    </row>
    <row r="266" spans="1:10" ht="18" x14ac:dyDescent="0.35">
      <c r="A266" t="s">
        <v>212</v>
      </c>
      <c r="B266" s="4" t="s">
        <v>1</v>
      </c>
      <c r="C266" s="4" t="s">
        <v>2</v>
      </c>
      <c r="D266" s="4" t="s">
        <v>3</v>
      </c>
      <c r="E266" s="4" t="s">
        <v>4</v>
      </c>
      <c r="F266" s="4" t="s">
        <v>36</v>
      </c>
      <c r="G266" s="4" t="s">
        <v>5</v>
      </c>
      <c r="H266" s="4" t="s">
        <v>6</v>
      </c>
      <c r="I266" s="4" t="s">
        <v>7</v>
      </c>
      <c r="J266" s="4"/>
    </row>
    <row r="267" spans="1:10" x14ac:dyDescent="0.3">
      <c r="B267" s="82">
        <v>45734</v>
      </c>
      <c r="C267" s="19" t="s">
        <v>208</v>
      </c>
      <c r="D267" s="19">
        <v>3</v>
      </c>
      <c r="E267" s="19">
        <v>679</v>
      </c>
      <c r="F267" s="19">
        <f>E267*D267</f>
        <v>2037</v>
      </c>
      <c r="G267" s="19">
        <v>2.35</v>
      </c>
      <c r="H267" s="19">
        <f>E267*G267</f>
        <v>1595.65</v>
      </c>
      <c r="I267" s="19">
        <f>H267*D267</f>
        <v>4786.9500000000007</v>
      </c>
      <c r="J267" s="18">
        <f>J266+I267</f>
        <v>4786.9500000000007</v>
      </c>
    </row>
    <row r="268" spans="1:10" x14ac:dyDescent="0.3">
      <c r="B268" s="19"/>
      <c r="C268" s="19"/>
      <c r="D268" s="19"/>
      <c r="E268" s="19"/>
      <c r="F268" s="19">
        <f t="shared" ref="F268:F269" si="84">E268*D268</f>
        <v>0</v>
      </c>
      <c r="G268" s="19"/>
      <c r="H268" s="19">
        <f t="shared" ref="H268:H269" si="85">E268*G268</f>
        <v>0</v>
      </c>
      <c r="I268" s="19">
        <f t="shared" ref="I268:I269" si="86">H268*D268</f>
        <v>0</v>
      </c>
      <c r="J268" s="18">
        <f t="shared" ref="J268:J269" si="87">J267+I268</f>
        <v>4786.9500000000007</v>
      </c>
    </row>
    <row r="269" spans="1:10" x14ac:dyDescent="0.3">
      <c r="B269" s="19"/>
      <c r="C269" s="19"/>
      <c r="D269" s="19"/>
      <c r="E269" s="19"/>
      <c r="F269" s="19">
        <f t="shared" si="84"/>
        <v>0</v>
      </c>
      <c r="G269" s="19"/>
      <c r="H269" s="19">
        <f t="shared" si="85"/>
        <v>0</v>
      </c>
      <c r="I269" s="19">
        <f t="shared" si="86"/>
        <v>0</v>
      </c>
      <c r="J269" s="18">
        <f t="shared" si="87"/>
        <v>4786.9500000000007</v>
      </c>
    </row>
    <row r="270" spans="1:10" x14ac:dyDescent="0.3">
      <c r="J270"/>
    </row>
    <row r="271" spans="1:10" x14ac:dyDescent="0.3">
      <c r="J271"/>
    </row>
    <row r="272" spans="1:10" ht="21" x14ac:dyDescent="0.4">
      <c r="A272" t="s">
        <v>127</v>
      </c>
      <c r="B272" s="492" t="s">
        <v>20</v>
      </c>
      <c r="C272" s="492"/>
      <c r="D272" s="492"/>
      <c r="E272" s="492"/>
      <c r="F272" s="492"/>
      <c r="G272" s="492"/>
      <c r="H272" s="492"/>
      <c r="I272" s="492"/>
      <c r="J272" s="492"/>
    </row>
    <row r="273" spans="1:10" ht="18" x14ac:dyDescent="0.35">
      <c r="A273" t="s">
        <v>212</v>
      </c>
      <c r="B273" s="4" t="s">
        <v>1</v>
      </c>
      <c r="C273" s="4" t="s">
        <v>2</v>
      </c>
      <c r="D273" s="4" t="s">
        <v>3</v>
      </c>
      <c r="E273" s="4" t="s">
        <v>4</v>
      </c>
      <c r="F273" s="4" t="s">
        <v>36</v>
      </c>
      <c r="G273" s="4" t="s">
        <v>5</v>
      </c>
      <c r="H273" s="4" t="s">
        <v>6</v>
      </c>
      <c r="I273" s="4" t="s">
        <v>7</v>
      </c>
      <c r="J273" s="4"/>
    </row>
    <row r="274" spans="1:10" x14ac:dyDescent="0.3">
      <c r="B274" s="82">
        <v>45735</v>
      </c>
      <c r="C274" s="19" t="s">
        <v>216</v>
      </c>
      <c r="D274" s="19">
        <v>2</v>
      </c>
      <c r="E274" s="19">
        <v>679</v>
      </c>
      <c r="F274" s="19">
        <f>E274*D274</f>
        <v>1358</v>
      </c>
      <c r="G274" s="19">
        <v>2.33</v>
      </c>
      <c r="H274" s="19">
        <f>E274*G274</f>
        <v>1582.07</v>
      </c>
      <c r="I274" s="19">
        <f>H274*D274</f>
        <v>3164.14</v>
      </c>
      <c r="J274" s="18">
        <f>J273+I274</f>
        <v>3164.14</v>
      </c>
    </row>
    <row r="275" spans="1:10" x14ac:dyDescent="0.3">
      <c r="B275" s="82">
        <v>45735</v>
      </c>
      <c r="C275" s="19" t="s">
        <v>217</v>
      </c>
      <c r="D275" s="19">
        <v>3</v>
      </c>
      <c r="E275" s="19">
        <v>679</v>
      </c>
      <c r="F275" s="19">
        <f t="shared" ref="F275:F282" si="88">E275*D275</f>
        <v>2037</v>
      </c>
      <c r="G275" s="19">
        <v>2.33</v>
      </c>
      <c r="H275" s="19">
        <f t="shared" ref="H275:H282" si="89">E275*G275</f>
        <v>1582.07</v>
      </c>
      <c r="I275" s="19">
        <f t="shared" ref="I275:I282" si="90">H275*D275</f>
        <v>4746.21</v>
      </c>
      <c r="J275" s="18">
        <f t="shared" ref="J275:J282" si="91">J274+I275</f>
        <v>7910.35</v>
      </c>
    </row>
    <row r="276" spans="1:10" x14ac:dyDescent="0.3">
      <c r="B276" s="82">
        <v>45735</v>
      </c>
      <c r="C276" s="19" t="s">
        <v>218</v>
      </c>
      <c r="D276" s="19">
        <v>3</v>
      </c>
      <c r="E276" s="19">
        <v>229</v>
      </c>
      <c r="F276" s="19">
        <f t="shared" si="88"/>
        <v>687</v>
      </c>
      <c r="G276" s="19">
        <v>2.33</v>
      </c>
      <c r="H276" s="19">
        <f t="shared" si="89"/>
        <v>533.57000000000005</v>
      </c>
      <c r="I276" s="19">
        <f t="shared" si="90"/>
        <v>1600.71</v>
      </c>
      <c r="J276" s="18">
        <f t="shared" si="91"/>
        <v>9511.0600000000013</v>
      </c>
    </row>
    <row r="277" spans="1:10" x14ac:dyDescent="0.3">
      <c r="B277" s="82">
        <v>45735</v>
      </c>
      <c r="C277" s="19" t="s">
        <v>219</v>
      </c>
      <c r="D277" s="19">
        <v>3</v>
      </c>
      <c r="E277" s="19">
        <v>679</v>
      </c>
      <c r="F277" s="19">
        <f t="shared" si="88"/>
        <v>2037</v>
      </c>
      <c r="G277" s="19">
        <v>2.33</v>
      </c>
      <c r="H277" s="19">
        <f t="shared" si="89"/>
        <v>1582.07</v>
      </c>
      <c r="I277" s="19">
        <f t="shared" si="90"/>
        <v>4746.21</v>
      </c>
      <c r="J277" s="18">
        <f t="shared" si="91"/>
        <v>14257.27</v>
      </c>
    </row>
    <row r="278" spans="1:10" x14ac:dyDescent="0.3">
      <c r="B278" s="82">
        <v>45735</v>
      </c>
      <c r="C278" s="19" t="s">
        <v>220</v>
      </c>
      <c r="D278" s="19">
        <v>2</v>
      </c>
      <c r="E278" s="19">
        <v>679</v>
      </c>
      <c r="F278" s="19">
        <f t="shared" si="88"/>
        <v>1358</v>
      </c>
      <c r="G278" s="19">
        <v>2.33</v>
      </c>
      <c r="H278" s="19">
        <f t="shared" si="89"/>
        <v>1582.07</v>
      </c>
      <c r="I278" s="19">
        <f t="shared" si="90"/>
        <v>3164.14</v>
      </c>
      <c r="J278" s="18">
        <f t="shared" si="91"/>
        <v>17421.41</v>
      </c>
    </row>
    <row r="279" spans="1:10" x14ac:dyDescent="0.3">
      <c r="B279" s="82">
        <v>45735</v>
      </c>
      <c r="C279" s="19" t="s">
        <v>218</v>
      </c>
      <c r="D279" s="19">
        <v>1</v>
      </c>
      <c r="E279" s="19">
        <v>229</v>
      </c>
      <c r="F279" s="19">
        <f t="shared" si="88"/>
        <v>229</v>
      </c>
      <c r="G279" s="19">
        <v>2.33</v>
      </c>
      <c r="H279" s="19">
        <f t="shared" si="89"/>
        <v>533.57000000000005</v>
      </c>
      <c r="I279" s="19">
        <f t="shared" si="90"/>
        <v>533.57000000000005</v>
      </c>
      <c r="J279" s="18">
        <f t="shared" si="91"/>
        <v>17954.98</v>
      </c>
    </row>
    <row r="280" spans="1:10" x14ac:dyDescent="0.3">
      <c r="B280" s="19"/>
      <c r="C280" s="19"/>
      <c r="D280" s="19"/>
      <c r="E280" s="19"/>
      <c r="F280" s="19">
        <f t="shared" si="88"/>
        <v>0</v>
      </c>
      <c r="G280" s="19"/>
      <c r="H280" s="19">
        <f t="shared" si="89"/>
        <v>0</v>
      </c>
      <c r="I280" s="19">
        <f t="shared" si="90"/>
        <v>0</v>
      </c>
      <c r="J280" s="18">
        <f t="shared" si="91"/>
        <v>17954.98</v>
      </c>
    </row>
    <row r="281" spans="1:10" x14ac:dyDescent="0.3">
      <c r="B281" s="19"/>
      <c r="C281" s="19"/>
      <c r="D281" s="19"/>
      <c r="E281" s="19"/>
      <c r="F281" s="19">
        <f t="shared" si="88"/>
        <v>0</v>
      </c>
      <c r="G281" s="19"/>
      <c r="H281" s="19">
        <f t="shared" si="89"/>
        <v>0</v>
      </c>
      <c r="I281" s="19">
        <f t="shared" si="90"/>
        <v>0</v>
      </c>
      <c r="J281" s="18">
        <f t="shared" si="91"/>
        <v>17954.98</v>
      </c>
    </row>
    <row r="282" spans="1:10" x14ac:dyDescent="0.3">
      <c r="B282" s="19"/>
      <c r="C282" s="19"/>
      <c r="D282" s="19"/>
      <c r="E282" s="19"/>
      <c r="F282" s="19">
        <f t="shared" si="88"/>
        <v>0</v>
      </c>
      <c r="G282" s="19"/>
      <c r="H282" s="19">
        <f t="shared" si="89"/>
        <v>0</v>
      </c>
      <c r="I282" s="19">
        <f t="shared" si="90"/>
        <v>0</v>
      </c>
      <c r="J282" s="18">
        <f t="shared" si="91"/>
        <v>17954.98</v>
      </c>
    </row>
    <row r="284" spans="1:10" ht="21" x14ac:dyDescent="0.4">
      <c r="A284" t="s">
        <v>127</v>
      </c>
      <c r="B284" s="492" t="s">
        <v>20</v>
      </c>
      <c r="C284" s="492"/>
      <c r="D284" s="492"/>
      <c r="E284" s="492"/>
      <c r="F284" s="492"/>
      <c r="G284" s="492"/>
      <c r="H284" s="492"/>
      <c r="I284" s="492"/>
      <c r="J284" s="492"/>
    </row>
    <row r="285" spans="1:10" ht="18" x14ac:dyDescent="0.35">
      <c r="A285" t="s">
        <v>212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36</v>
      </c>
      <c r="G285" s="4" t="s">
        <v>5</v>
      </c>
      <c r="H285" s="4" t="s">
        <v>6</v>
      </c>
      <c r="I285" s="4" t="s">
        <v>7</v>
      </c>
      <c r="J285" s="4"/>
    </row>
    <row r="286" spans="1:10" x14ac:dyDescent="0.3">
      <c r="B286" s="82">
        <v>45736</v>
      </c>
      <c r="C286" s="19" t="s">
        <v>221</v>
      </c>
      <c r="D286" s="19">
        <v>1</v>
      </c>
      <c r="E286" s="19">
        <v>679</v>
      </c>
      <c r="F286" s="19">
        <f>E286*D286</f>
        <v>679</v>
      </c>
      <c r="G286" s="19">
        <v>2.33</v>
      </c>
      <c r="H286" s="19">
        <f>E286*G286</f>
        <v>1582.07</v>
      </c>
      <c r="I286" s="19">
        <f>H286*D286</f>
        <v>1582.07</v>
      </c>
      <c r="J286" s="18">
        <f>J285+I286</f>
        <v>1582.07</v>
      </c>
    </row>
    <row r="287" spans="1:10" x14ac:dyDescent="0.3">
      <c r="B287" s="82">
        <v>45736</v>
      </c>
      <c r="C287" s="19" t="s">
        <v>222</v>
      </c>
      <c r="D287" s="19">
        <v>1</v>
      </c>
      <c r="E287" s="19">
        <v>163</v>
      </c>
      <c r="F287" s="19">
        <f t="shared" ref="F287:F289" si="92">E287*D287</f>
        <v>163</v>
      </c>
      <c r="G287" s="19">
        <v>2.33</v>
      </c>
      <c r="H287" s="19">
        <f t="shared" ref="H287:H289" si="93">E287*G287</f>
        <v>379.79</v>
      </c>
      <c r="I287" s="19">
        <f t="shared" ref="I287:I289" si="94">H287*D287</f>
        <v>379.79</v>
      </c>
      <c r="J287" s="18">
        <f t="shared" ref="J287:J289" si="95">J286+I287</f>
        <v>1961.86</v>
      </c>
    </row>
    <row r="288" spans="1:10" x14ac:dyDescent="0.3">
      <c r="B288" s="97">
        <v>45736</v>
      </c>
      <c r="C288" s="126" t="s">
        <v>257</v>
      </c>
      <c r="D288" s="126"/>
      <c r="E288" s="126"/>
      <c r="F288" s="126">
        <f t="shared" si="92"/>
        <v>0</v>
      </c>
      <c r="G288" s="126"/>
      <c r="H288" s="126">
        <f t="shared" si="93"/>
        <v>0</v>
      </c>
      <c r="I288" s="126">
        <f t="shared" si="94"/>
        <v>0</v>
      </c>
      <c r="J288" s="109">
        <f t="shared" si="95"/>
        <v>1961.86</v>
      </c>
    </row>
    <row r="289" spans="1:11" x14ac:dyDescent="0.3">
      <c r="B289" s="19"/>
      <c r="C289" s="19"/>
      <c r="D289" s="19"/>
      <c r="E289" s="19"/>
      <c r="F289" s="19">
        <f t="shared" si="92"/>
        <v>0</v>
      </c>
      <c r="G289" s="19"/>
      <c r="H289" s="19">
        <f t="shared" si="93"/>
        <v>0</v>
      </c>
      <c r="I289" s="19">
        <f t="shared" si="94"/>
        <v>0</v>
      </c>
      <c r="J289" s="18">
        <f t="shared" si="95"/>
        <v>1961.86</v>
      </c>
    </row>
    <row r="290" spans="1:11" x14ac:dyDescent="0.3">
      <c r="J290"/>
    </row>
    <row r="291" spans="1:11" x14ac:dyDescent="0.3">
      <c r="J291"/>
    </row>
    <row r="292" spans="1:11" x14ac:dyDescent="0.3">
      <c r="J292"/>
    </row>
    <row r="293" spans="1:11" ht="21" x14ac:dyDescent="0.4">
      <c r="A293" t="s">
        <v>127</v>
      </c>
      <c r="B293" s="492" t="s">
        <v>20</v>
      </c>
      <c r="C293" s="492"/>
      <c r="D293" s="492"/>
      <c r="E293" s="492"/>
      <c r="F293" s="492"/>
      <c r="G293" s="492"/>
      <c r="H293" s="492"/>
      <c r="I293" s="492"/>
      <c r="J293" s="492"/>
    </row>
    <row r="294" spans="1:11" ht="18" x14ac:dyDescent="0.35">
      <c r="A294" t="s">
        <v>212</v>
      </c>
      <c r="B294" s="4" t="s">
        <v>1</v>
      </c>
      <c r="C294" s="4" t="s">
        <v>2</v>
      </c>
      <c r="D294" s="4" t="s">
        <v>3</v>
      </c>
      <c r="E294" s="4" t="s">
        <v>4</v>
      </c>
      <c r="F294" s="4" t="s">
        <v>36</v>
      </c>
      <c r="G294" s="4" t="s">
        <v>5</v>
      </c>
      <c r="H294" s="4" t="s">
        <v>6</v>
      </c>
      <c r="I294" s="4" t="s">
        <v>7</v>
      </c>
      <c r="J294" s="4"/>
    </row>
    <row r="295" spans="1:11" x14ac:dyDescent="0.3">
      <c r="B295" s="82">
        <v>45739</v>
      </c>
      <c r="C295" s="81" t="s">
        <v>259</v>
      </c>
      <c r="D295" s="19">
        <v>1</v>
      </c>
      <c r="E295" s="19">
        <v>2149</v>
      </c>
      <c r="F295" s="19">
        <f>E295*D295</f>
        <v>2149</v>
      </c>
      <c r="G295" s="19">
        <v>2.33</v>
      </c>
      <c r="H295" s="19">
        <f>E295*G295</f>
        <v>5007.17</v>
      </c>
      <c r="I295" s="19">
        <f>H295*D295</f>
        <v>5007.17</v>
      </c>
      <c r="J295" s="18">
        <f>J294+I295</f>
        <v>5007.17</v>
      </c>
    </row>
    <row r="296" spans="1:11" x14ac:dyDescent="0.3">
      <c r="B296" s="82">
        <v>45739</v>
      </c>
      <c r="C296" s="81" t="s">
        <v>262</v>
      </c>
      <c r="D296" s="19">
        <v>1</v>
      </c>
      <c r="E296" s="19">
        <v>2042</v>
      </c>
      <c r="F296" s="19">
        <f t="shared" ref="F296:F303" si="96">E296*D296</f>
        <v>2042</v>
      </c>
      <c r="G296" s="19">
        <v>2.33</v>
      </c>
      <c r="H296" s="19">
        <f t="shared" ref="H296:H303" si="97">E296*G296</f>
        <v>4757.8600000000006</v>
      </c>
      <c r="I296" s="19">
        <f t="shared" ref="I296:I303" si="98">H296*D296</f>
        <v>4757.8600000000006</v>
      </c>
      <c r="J296" s="18">
        <f t="shared" ref="J296:J303" si="99">J295+I296</f>
        <v>9765.0300000000007</v>
      </c>
      <c r="K296" t="s">
        <v>305</v>
      </c>
    </row>
    <row r="297" spans="1:11" x14ac:dyDescent="0.3">
      <c r="B297" s="140">
        <v>45739</v>
      </c>
      <c r="C297" s="141" t="s">
        <v>260</v>
      </c>
      <c r="D297" s="142">
        <v>2</v>
      </c>
      <c r="E297" s="142">
        <v>2090</v>
      </c>
      <c r="F297" s="142">
        <f t="shared" si="96"/>
        <v>4180</v>
      </c>
      <c r="G297" s="142">
        <v>2.33</v>
      </c>
      <c r="H297" s="142">
        <f t="shared" si="97"/>
        <v>4869.7</v>
      </c>
      <c r="I297" s="142">
        <f t="shared" si="98"/>
        <v>9739.4</v>
      </c>
      <c r="J297" s="143">
        <f t="shared" si="99"/>
        <v>19504.43</v>
      </c>
    </row>
    <row r="298" spans="1:11" x14ac:dyDescent="0.3">
      <c r="B298" s="82">
        <v>45739</v>
      </c>
      <c r="C298" s="81" t="s">
        <v>261</v>
      </c>
      <c r="D298" s="19">
        <v>1</v>
      </c>
      <c r="E298" s="19">
        <v>275</v>
      </c>
      <c r="F298" s="19">
        <f t="shared" si="96"/>
        <v>275</v>
      </c>
      <c r="G298" s="19">
        <v>2.33</v>
      </c>
      <c r="H298" s="19">
        <f t="shared" si="97"/>
        <v>640.75</v>
      </c>
      <c r="I298" s="19">
        <f t="shared" si="98"/>
        <v>640.75</v>
      </c>
      <c r="J298" s="18">
        <f t="shared" si="99"/>
        <v>20145.18</v>
      </c>
    </row>
    <row r="299" spans="1:11" x14ac:dyDescent="0.3">
      <c r="B299" s="19"/>
      <c r="C299" s="19"/>
      <c r="D299" s="19"/>
      <c r="E299" s="19"/>
      <c r="F299" s="19">
        <f t="shared" si="96"/>
        <v>0</v>
      </c>
      <c r="G299" s="19"/>
      <c r="H299" s="19">
        <f t="shared" si="97"/>
        <v>0</v>
      </c>
      <c r="I299" s="19">
        <f t="shared" si="98"/>
        <v>0</v>
      </c>
      <c r="J299" s="18">
        <f t="shared" si="99"/>
        <v>20145.18</v>
      </c>
    </row>
    <row r="300" spans="1:11" x14ac:dyDescent="0.3">
      <c r="B300" s="140">
        <v>45740</v>
      </c>
      <c r="C300" s="141" t="s">
        <v>263</v>
      </c>
      <c r="D300" s="142">
        <v>2</v>
      </c>
      <c r="E300" s="142">
        <v>2090</v>
      </c>
      <c r="F300" s="142">
        <f t="shared" si="96"/>
        <v>4180</v>
      </c>
      <c r="G300" s="142">
        <v>2.33</v>
      </c>
      <c r="H300" s="142">
        <f t="shared" si="97"/>
        <v>4869.7</v>
      </c>
      <c r="I300" s="142">
        <f t="shared" si="98"/>
        <v>9739.4</v>
      </c>
      <c r="J300" s="143">
        <f t="shared" si="99"/>
        <v>29884.58</v>
      </c>
    </row>
    <row r="301" spans="1:11" x14ac:dyDescent="0.3">
      <c r="B301" s="140">
        <v>45740</v>
      </c>
      <c r="C301" s="141" t="s">
        <v>264</v>
      </c>
      <c r="D301" s="142">
        <v>2</v>
      </c>
      <c r="E301" s="142">
        <v>2090</v>
      </c>
      <c r="F301" s="142">
        <f t="shared" si="96"/>
        <v>4180</v>
      </c>
      <c r="G301" s="142">
        <v>2.33</v>
      </c>
      <c r="H301" s="142">
        <f t="shared" si="97"/>
        <v>4869.7</v>
      </c>
      <c r="I301" s="142">
        <f t="shared" si="98"/>
        <v>9739.4</v>
      </c>
      <c r="J301" s="143">
        <f t="shared" si="99"/>
        <v>39623.980000000003</v>
      </c>
    </row>
    <row r="302" spans="1:11" x14ac:dyDescent="0.3">
      <c r="B302" s="82">
        <v>45740</v>
      </c>
      <c r="C302" s="81" t="s">
        <v>265</v>
      </c>
      <c r="D302" s="19">
        <v>2</v>
      </c>
      <c r="E302" s="19">
        <v>695</v>
      </c>
      <c r="F302" s="19">
        <f t="shared" si="96"/>
        <v>1390</v>
      </c>
      <c r="G302" s="19">
        <v>2.33</v>
      </c>
      <c r="H302" s="19">
        <f t="shared" si="97"/>
        <v>1619.3500000000001</v>
      </c>
      <c r="I302" s="19">
        <f t="shared" si="98"/>
        <v>3238.7000000000003</v>
      </c>
      <c r="J302" s="18">
        <f t="shared" si="99"/>
        <v>42862.68</v>
      </c>
    </row>
    <row r="303" spans="1:11" x14ac:dyDescent="0.3">
      <c r="B303" s="19"/>
      <c r="C303" s="19"/>
      <c r="D303" s="19"/>
      <c r="E303" s="19"/>
      <c r="F303" s="19">
        <f t="shared" si="96"/>
        <v>0</v>
      </c>
      <c r="G303" s="19"/>
      <c r="H303" s="19">
        <f t="shared" si="97"/>
        <v>0</v>
      </c>
      <c r="I303" s="19">
        <f t="shared" si="98"/>
        <v>0</v>
      </c>
      <c r="J303" s="18">
        <f t="shared" si="99"/>
        <v>42862.68</v>
      </c>
    </row>
    <row r="306" spans="1:11" ht="21" x14ac:dyDescent="0.4">
      <c r="A306" t="s">
        <v>127</v>
      </c>
      <c r="B306" s="492" t="s">
        <v>20</v>
      </c>
      <c r="C306" s="492"/>
      <c r="D306" s="492"/>
      <c r="E306" s="492"/>
      <c r="F306" s="492"/>
      <c r="G306" s="492"/>
      <c r="H306" s="492"/>
      <c r="I306" s="492"/>
      <c r="J306" s="492"/>
    </row>
    <row r="307" spans="1:11" ht="18" x14ac:dyDescent="0.35">
      <c r="A307" t="s">
        <v>212</v>
      </c>
      <c r="B307" s="4" t="s">
        <v>1</v>
      </c>
      <c r="C307" s="4" t="s">
        <v>2</v>
      </c>
      <c r="D307" s="4" t="s">
        <v>3</v>
      </c>
      <c r="E307" s="4" t="s">
        <v>4</v>
      </c>
      <c r="F307" s="4" t="s">
        <v>36</v>
      </c>
      <c r="G307" s="4" t="s">
        <v>5</v>
      </c>
      <c r="H307" s="4" t="s">
        <v>6</v>
      </c>
      <c r="I307" s="4" t="s">
        <v>7</v>
      </c>
      <c r="J307" s="4"/>
    </row>
    <row r="308" spans="1:11" x14ac:dyDescent="0.3">
      <c r="B308" s="82">
        <v>45742</v>
      </c>
      <c r="C308" s="81" t="s">
        <v>260</v>
      </c>
      <c r="D308" s="19">
        <v>2</v>
      </c>
      <c r="E308" s="19">
        <v>2090</v>
      </c>
      <c r="F308" s="19">
        <f>E308*D308</f>
        <v>4180</v>
      </c>
      <c r="G308" s="19">
        <v>2.33</v>
      </c>
      <c r="H308" s="19">
        <f>E308*G308</f>
        <v>4869.7</v>
      </c>
      <c r="I308" s="19">
        <f>H308*D308</f>
        <v>9739.4</v>
      </c>
      <c r="J308" s="18">
        <f>J307+I308</f>
        <v>9739.4</v>
      </c>
    </row>
    <row r="309" spans="1:11" x14ac:dyDescent="0.3">
      <c r="B309" s="82">
        <v>45742</v>
      </c>
      <c r="C309" s="81" t="s">
        <v>268</v>
      </c>
      <c r="D309" s="19">
        <v>1</v>
      </c>
      <c r="E309" s="19">
        <v>2090</v>
      </c>
      <c r="F309" s="19">
        <f t="shared" ref="F309:F316" si="100">E309*D309</f>
        <v>2090</v>
      </c>
      <c r="G309" s="19">
        <v>2.33</v>
      </c>
      <c r="H309" s="19">
        <f t="shared" ref="H309:H316" si="101">E309*G309</f>
        <v>4869.7</v>
      </c>
      <c r="I309" s="19">
        <f t="shared" ref="I309:I316" si="102">H309*D309</f>
        <v>4869.7</v>
      </c>
      <c r="J309" s="18">
        <f t="shared" ref="J309:J316" si="103">J308+I309</f>
        <v>14609.099999999999</v>
      </c>
    </row>
    <row r="310" spans="1:11" x14ac:dyDescent="0.3">
      <c r="B310" s="82">
        <v>45742</v>
      </c>
      <c r="C310" s="81" t="s">
        <v>269</v>
      </c>
      <c r="D310" s="19">
        <v>1</v>
      </c>
      <c r="E310" s="19">
        <v>2090</v>
      </c>
      <c r="F310" s="19">
        <f t="shared" si="100"/>
        <v>2090</v>
      </c>
      <c r="G310" s="19">
        <v>2.33</v>
      </c>
      <c r="H310" s="19">
        <f t="shared" si="101"/>
        <v>4869.7</v>
      </c>
      <c r="I310" s="19">
        <f t="shared" si="102"/>
        <v>4869.7</v>
      </c>
      <c r="J310" s="18">
        <f t="shared" si="103"/>
        <v>19478.8</v>
      </c>
    </row>
    <row r="311" spans="1:11" x14ac:dyDescent="0.3">
      <c r="B311" s="82">
        <v>45742</v>
      </c>
      <c r="C311" s="81" t="s">
        <v>270</v>
      </c>
      <c r="D311" s="19">
        <v>2</v>
      </c>
      <c r="E311" s="19">
        <v>2090</v>
      </c>
      <c r="F311" s="19">
        <f t="shared" si="100"/>
        <v>4180</v>
      </c>
      <c r="G311" s="19">
        <v>2.33</v>
      </c>
      <c r="H311" s="19">
        <f t="shared" si="101"/>
        <v>4869.7</v>
      </c>
      <c r="I311" s="19">
        <f t="shared" si="102"/>
        <v>9739.4</v>
      </c>
      <c r="J311" s="18">
        <f t="shared" si="103"/>
        <v>29218.199999999997</v>
      </c>
    </row>
    <row r="312" spans="1:11" x14ac:dyDescent="0.3">
      <c r="B312" s="82">
        <v>45742</v>
      </c>
      <c r="C312" s="81" t="s">
        <v>271</v>
      </c>
      <c r="D312" s="19">
        <v>2</v>
      </c>
      <c r="E312" s="19">
        <v>2090</v>
      </c>
      <c r="F312" s="19">
        <f t="shared" si="100"/>
        <v>4180</v>
      </c>
      <c r="G312" s="19">
        <v>2.33</v>
      </c>
      <c r="H312" s="19">
        <f t="shared" si="101"/>
        <v>4869.7</v>
      </c>
      <c r="I312" s="19">
        <f t="shared" si="102"/>
        <v>9739.4</v>
      </c>
      <c r="J312" s="18">
        <f t="shared" si="103"/>
        <v>38957.599999999999</v>
      </c>
    </row>
    <row r="313" spans="1:11" x14ac:dyDescent="0.3">
      <c r="B313" s="82">
        <v>45742</v>
      </c>
      <c r="C313" s="81" t="s">
        <v>263</v>
      </c>
      <c r="D313" s="19">
        <v>2</v>
      </c>
      <c r="E313" s="19">
        <v>2090</v>
      </c>
      <c r="F313" s="19">
        <f t="shared" si="100"/>
        <v>4180</v>
      </c>
      <c r="G313" s="19">
        <v>2.33</v>
      </c>
      <c r="H313" s="19">
        <f t="shared" si="101"/>
        <v>4869.7</v>
      </c>
      <c r="I313" s="19">
        <f t="shared" si="102"/>
        <v>9739.4</v>
      </c>
      <c r="J313" s="18">
        <f t="shared" si="103"/>
        <v>48697</v>
      </c>
      <c r="K313" t="s">
        <v>305</v>
      </c>
    </row>
    <row r="314" spans="1:11" x14ac:dyDescent="0.3">
      <c r="B314" s="200">
        <v>45742</v>
      </c>
      <c r="C314" s="201" t="s">
        <v>386</v>
      </c>
      <c r="D314" s="202">
        <v>2</v>
      </c>
      <c r="E314" s="202">
        <v>669</v>
      </c>
      <c r="F314" s="202">
        <f t="shared" si="100"/>
        <v>1338</v>
      </c>
      <c r="G314" s="202">
        <v>2.33</v>
      </c>
      <c r="H314" s="202">
        <f t="shared" si="101"/>
        <v>1558.77</v>
      </c>
      <c r="I314" s="202">
        <f t="shared" si="102"/>
        <v>3117.54</v>
      </c>
      <c r="J314" s="203">
        <f t="shared" si="103"/>
        <v>51814.54</v>
      </c>
      <c r="K314" t="s">
        <v>306</v>
      </c>
    </row>
    <row r="315" spans="1:11" x14ac:dyDescent="0.3">
      <c r="B315" s="19"/>
      <c r="C315" s="19"/>
      <c r="D315" s="19"/>
      <c r="E315" s="19"/>
      <c r="F315" s="19">
        <f t="shared" si="100"/>
        <v>0</v>
      </c>
      <c r="G315" s="19"/>
      <c r="H315" s="19">
        <f t="shared" si="101"/>
        <v>0</v>
      </c>
      <c r="I315" s="19">
        <f t="shared" si="102"/>
        <v>0</v>
      </c>
      <c r="J315" s="18">
        <f t="shared" si="103"/>
        <v>51814.54</v>
      </c>
    </row>
    <row r="316" spans="1:11" x14ac:dyDescent="0.3">
      <c r="B316" s="19"/>
      <c r="C316" s="19"/>
      <c r="D316" s="19"/>
      <c r="E316" s="19"/>
      <c r="F316" s="19">
        <f t="shared" si="100"/>
        <v>0</v>
      </c>
      <c r="G316" s="19"/>
      <c r="H316" s="19">
        <f t="shared" si="101"/>
        <v>0</v>
      </c>
      <c r="I316" s="19">
        <f t="shared" si="102"/>
        <v>0</v>
      </c>
      <c r="J316" s="18">
        <f t="shared" si="103"/>
        <v>51814.54</v>
      </c>
    </row>
    <row r="320" spans="1:11" ht="21" x14ac:dyDescent="0.4">
      <c r="A320" t="s">
        <v>127</v>
      </c>
      <c r="B320" s="492" t="s">
        <v>20</v>
      </c>
      <c r="C320" s="492"/>
      <c r="D320" s="492"/>
      <c r="E320" s="492"/>
      <c r="F320" s="492"/>
      <c r="G320" s="492"/>
      <c r="H320" s="492"/>
      <c r="I320" s="492"/>
      <c r="J320" s="492"/>
    </row>
    <row r="321" spans="1:11" ht="18" x14ac:dyDescent="0.35">
      <c r="A321" t="s">
        <v>212</v>
      </c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36</v>
      </c>
      <c r="G321" s="4" t="s">
        <v>5</v>
      </c>
      <c r="H321" s="4" t="s">
        <v>6</v>
      </c>
      <c r="I321" s="4" t="s">
        <v>7</v>
      </c>
      <c r="J321" s="4"/>
    </row>
    <row r="322" spans="1:11" x14ac:dyDescent="0.3">
      <c r="B322" s="82">
        <v>45742</v>
      </c>
      <c r="C322" s="18" t="s">
        <v>278</v>
      </c>
      <c r="D322" s="19">
        <v>1</v>
      </c>
      <c r="E322" s="19">
        <v>699</v>
      </c>
      <c r="F322" s="19">
        <f>E322*D322</f>
        <v>699</v>
      </c>
      <c r="G322" s="19">
        <v>2.33</v>
      </c>
      <c r="H322" s="19">
        <f>E322*G322</f>
        <v>1628.67</v>
      </c>
      <c r="I322" s="19">
        <f>H322*D322</f>
        <v>1628.67</v>
      </c>
      <c r="J322" s="18">
        <f>J321+I322</f>
        <v>1628.67</v>
      </c>
    </row>
    <row r="323" spans="1:11" x14ac:dyDescent="0.3">
      <c r="B323" s="82">
        <v>45742</v>
      </c>
      <c r="C323" s="18" t="s">
        <v>280</v>
      </c>
      <c r="D323" s="19">
        <v>1</v>
      </c>
      <c r="E323" s="19">
        <v>2149</v>
      </c>
      <c r="F323" s="19">
        <f t="shared" ref="F323:F326" si="104">E323*D323</f>
        <v>2149</v>
      </c>
      <c r="G323" s="19">
        <v>2.33</v>
      </c>
      <c r="H323" s="19">
        <f t="shared" ref="H323:H326" si="105">E323*G323</f>
        <v>5007.17</v>
      </c>
      <c r="I323" s="19">
        <f t="shared" ref="I323:I326" si="106">H323*D323</f>
        <v>5007.17</v>
      </c>
      <c r="J323" s="18">
        <f t="shared" ref="J323:J326" si="107">J322+I323</f>
        <v>6635.84</v>
      </c>
    </row>
    <row r="324" spans="1:11" x14ac:dyDescent="0.3">
      <c r="B324" s="82">
        <v>45742</v>
      </c>
      <c r="C324" s="18" t="s">
        <v>279</v>
      </c>
      <c r="D324" s="19">
        <v>5</v>
      </c>
      <c r="E324" s="19">
        <v>2199</v>
      </c>
      <c r="F324" s="19">
        <f t="shared" si="104"/>
        <v>10995</v>
      </c>
      <c r="G324" s="19">
        <v>2.33</v>
      </c>
      <c r="H324" s="19">
        <f t="shared" si="105"/>
        <v>5123.67</v>
      </c>
      <c r="I324" s="19">
        <f t="shared" si="106"/>
        <v>25618.35</v>
      </c>
      <c r="J324" s="18">
        <f t="shared" si="107"/>
        <v>32254.19</v>
      </c>
    </row>
    <row r="325" spans="1:11" x14ac:dyDescent="0.3">
      <c r="B325" s="82">
        <v>45742</v>
      </c>
      <c r="C325" s="18" t="s">
        <v>281</v>
      </c>
      <c r="D325" s="19">
        <v>2</v>
      </c>
      <c r="E325" s="19">
        <v>1880.99</v>
      </c>
      <c r="F325" s="19">
        <f t="shared" si="104"/>
        <v>3761.98</v>
      </c>
      <c r="G325" s="19">
        <v>2.33</v>
      </c>
      <c r="H325" s="19">
        <f>E325*G325</f>
        <v>4382.7066999999997</v>
      </c>
      <c r="I325" s="19">
        <f t="shared" si="106"/>
        <v>8765.4133999999995</v>
      </c>
      <c r="J325" s="18">
        <f t="shared" si="107"/>
        <v>41019.6034</v>
      </c>
    </row>
    <row r="326" spans="1:11" x14ac:dyDescent="0.3">
      <c r="B326" s="19"/>
      <c r="C326" s="19"/>
      <c r="D326" s="19"/>
      <c r="E326" s="19"/>
      <c r="F326" s="19">
        <f t="shared" si="104"/>
        <v>0</v>
      </c>
      <c r="G326" s="19"/>
      <c r="H326" s="19">
        <f t="shared" si="105"/>
        <v>0</v>
      </c>
      <c r="I326" s="19">
        <f t="shared" si="106"/>
        <v>0</v>
      </c>
      <c r="J326" s="18">
        <f t="shared" si="107"/>
        <v>41019.6034</v>
      </c>
    </row>
    <row r="327" spans="1:11" x14ac:dyDescent="0.3">
      <c r="J327"/>
    </row>
    <row r="328" spans="1:11" x14ac:dyDescent="0.3">
      <c r="J328"/>
    </row>
    <row r="329" spans="1:11" ht="21" x14ac:dyDescent="0.4">
      <c r="A329" t="s">
        <v>127</v>
      </c>
      <c r="B329" s="492" t="s">
        <v>20</v>
      </c>
      <c r="C329" s="492"/>
      <c r="D329" s="492"/>
      <c r="E329" s="492"/>
      <c r="F329" s="492"/>
      <c r="G329" s="492"/>
      <c r="H329" s="492"/>
      <c r="I329" s="492"/>
      <c r="J329" s="492"/>
    </row>
    <row r="330" spans="1:11" ht="18" x14ac:dyDescent="0.35">
      <c r="A330" t="s">
        <v>212</v>
      </c>
      <c r="B330" s="4" t="s">
        <v>1</v>
      </c>
      <c r="C330" s="4" t="s">
        <v>2</v>
      </c>
      <c r="D330" s="4" t="s">
        <v>3</v>
      </c>
      <c r="E330" s="4" t="s">
        <v>4</v>
      </c>
      <c r="F330" s="4" t="s">
        <v>36</v>
      </c>
      <c r="G330" s="4" t="s">
        <v>5</v>
      </c>
      <c r="H330" s="4" t="s">
        <v>6</v>
      </c>
      <c r="I330" s="4" t="s">
        <v>7</v>
      </c>
      <c r="J330" s="4"/>
    </row>
    <row r="331" spans="1:11" x14ac:dyDescent="0.3">
      <c r="B331" s="149">
        <v>45743</v>
      </c>
      <c r="C331" s="152" t="s">
        <v>282</v>
      </c>
      <c r="D331" s="151">
        <v>2</v>
      </c>
      <c r="E331" s="151">
        <v>2089.4899999999998</v>
      </c>
      <c r="F331" s="151">
        <f>E331*D331</f>
        <v>4178.9799999999996</v>
      </c>
      <c r="G331" s="151">
        <v>2.33</v>
      </c>
      <c r="H331" s="151">
        <f>E331*G331</f>
        <v>4868.5117</v>
      </c>
      <c r="I331" s="151">
        <f>H331*D331</f>
        <v>9737.0234</v>
      </c>
      <c r="J331" s="152">
        <f>J330+I331</f>
        <v>9737.0234</v>
      </c>
      <c r="K331" t="s">
        <v>307</v>
      </c>
    </row>
    <row r="332" spans="1:11" x14ac:dyDescent="0.3">
      <c r="B332" s="149">
        <v>45743</v>
      </c>
      <c r="C332" s="152" t="s">
        <v>283</v>
      </c>
      <c r="D332" s="151">
        <v>2</v>
      </c>
      <c r="E332" s="151">
        <v>2089.4899999999998</v>
      </c>
      <c r="F332" s="151">
        <f t="shared" ref="F332:F339" si="108">E332*D332</f>
        <v>4178.9799999999996</v>
      </c>
      <c r="G332" s="151">
        <v>2.33</v>
      </c>
      <c r="H332" s="151">
        <f t="shared" ref="H332:H339" si="109">E332*G332</f>
        <v>4868.5117</v>
      </c>
      <c r="I332" s="151">
        <f t="shared" ref="I332:I339" si="110">H332*D332</f>
        <v>9737.0234</v>
      </c>
      <c r="J332" s="152">
        <f t="shared" ref="J332:J339" si="111">J331+I332</f>
        <v>19474.0468</v>
      </c>
    </row>
    <row r="333" spans="1:11" x14ac:dyDescent="0.3">
      <c r="B333" s="149">
        <v>45743</v>
      </c>
      <c r="C333" s="152" t="s">
        <v>284</v>
      </c>
      <c r="D333" s="151">
        <v>2</v>
      </c>
      <c r="E333" s="151">
        <v>2089.4899999999998</v>
      </c>
      <c r="F333" s="151">
        <f t="shared" si="108"/>
        <v>4178.9799999999996</v>
      </c>
      <c r="G333" s="151">
        <v>2.33</v>
      </c>
      <c r="H333" s="151">
        <f t="shared" si="109"/>
        <v>4868.5117</v>
      </c>
      <c r="I333" s="151">
        <f t="shared" si="110"/>
        <v>9737.0234</v>
      </c>
      <c r="J333" s="152">
        <f t="shared" si="111"/>
        <v>29211.070200000002</v>
      </c>
    </row>
    <row r="334" spans="1:11" x14ac:dyDescent="0.3">
      <c r="B334" s="149">
        <v>45743</v>
      </c>
      <c r="C334" s="152" t="s">
        <v>285</v>
      </c>
      <c r="D334" s="151">
        <v>2</v>
      </c>
      <c r="E334" s="151">
        <v>2089.4899999999998</v>
      </c>
      <c r="F334" s="151">
        <f t="shared" si="108"/>
        <v>4178.9799999999996</v>
      </c>
      <c r="G334" s="151">
        <v>2.33</v>
      </c>
      <c r="H334" s="151">
        <f t="shared" si="109"/>
        <v>4868.5117</v>
      </c>
      <c r="I334" s="151">
        <f t="shared" si="110"/>
        <v>9737.0234</v>
      </c>
      <c r="J334" s="152">
        <f t="shared" si="111"/>
        <v>38948.0936</v>
      </c>
    </row>
    <row r="335" spans="1:11" x14ac:dyDescent="0.3">
      <c r="B335" s="149">
        <v>45743</v>
      </c>
      <c r="C335" s="152" t="s">
        <v>286</v>
      </c>
      <c r="D335" s="151">
        <v>2</v>
      </c>
      <c r="E335" s="151">
        <v>2089.4899999999998</v>
      </c>
      <c r="F335" s="151">
        <f t="shared" si="108"/>
        <v>4178.9799999999996</v>
      </c>
      <c r="G335" s="151">
        <v>2.33</v>
      </c>
      <c r="H335" s="151">
        <f t="shared" si="109"/>
        <v>4868.5117</v>
      </c>
      <c r="I335" s="151">
        <f t="shared" si="110"/>
        <v>9737.0234</v>
      </c>
      <c r="J335" s="152">
        <f t="shared" si="111"/>
        <v>48685.116999999998</v>
      </c>
    </row>
    <row r="336" spans="1:11" x14ac:dyDescent="0.3">
      <c r="B336" s="19"/>
      <c r="C336" s="19"/>
      <c r="D336" s="19"/>
      <c r="E336" s="19"/>
      <c r="F336" s="19">
        <f t="shared" si="108"/>
        <v>0</v>
      </c>
      <c r="G336" s="19"/>
      <c r="H336" s="19">
        <f t="shared" si="109"/>
        <v>0</v>
      </c>
      <c r="I336" s="19">
        <f t="shared" si="110"/>
        <v>0</v>
      </c>
      <c r="J336" s="18">
        <f t="shared" si="111"/>
        <v>48685.116999999998</v>
      </c>
    </row>
    <row r="337" spans="1:11" x14ac:dyDescent="0.3">
      <c r="B337" s="149">
        <v>45743</v>
      </c>
      <c r="C337" s="152" t="s">
        <v>287</v>
      </c>
      <c r="D337" s="151">
        <v>2</v>
      </c>
      <c r="E337" s="151">
        <v>2204</v>
      </c>
      <c r="F337" s="151">
        <f t="shared" si="108"/>
        <v>4408</v>
      </c>
      <c r="G337" s="151">
        <v>2.33</v>
      </c>
      <c r="H337" s="151">
        <f t="shared" si="109"/>
        <v>5135.32</v>
      </c>
      <c r="I337" s="151">
        <f t="shared" si="110"/>
        <v>10270.64</v>
      </c>
      <c r="J337" s="152">
        <f t="shared" si="111"/>
        <v>58955.756999999998</v>
      </c>
      <c r="K337" t="s">
        <v>307</v>
      </c>
    </row>
    <row r="338" spans="1:11" x14ac:dyDescent="0.3">
      <c r="B338" s="19"/>
      <c r="C338" s="19"/>
      <c r="D338" s="19"/>
      <c r="E338" s="19"/>
      <c r="F338" s="19">
        <f t="shared" si="108"/>
        <v>0</v>
      </c>
      <c r="G338" s="19"/>
      <c r="H338" s="19">
        <f t="shared" si="109"/>
        <v>0</v>
      </c>
      <c r="I338" s="19">
        <f t="shared" si="110"/>
        <v>0</v>
      </c>
      <c r="J338" s="18">
        <f t="shared" si="111"/>
        <v>58955.756999999998</v>
      </c>
    </row>
    <row r="339" spans="1:11" x14ac:dyDescent="0.3">
      <c r="B339" s="19"/>
      <c r="C339" s="19"/>
      <c r="D339" s="19"/>
      <c r="E339" s="19"/>
      <c r="F339" s="19">
        <f t="shared" si="108"/>
        <v>0</v>
      </c>
      <c r="G339" s="19"/>
      <c r="H339" s="19">
        <f t="shared" si="109"/>
        <v>0</v>
      </c>
      <c r="I339" s="19">
        <f t="shared" si="110"/>
        <v>0</v>
      </c>
      <c r="J339" s="18">
        <f t="shared" si="111"/>
        <v>58955.756999999998</v>
      </c>
    </row>
    <row r="342" spans="1:11" ht="21" x14ac:dyDescent="0.4">
      <c r="A342" t="s">
        <v>127</v>
      </c>
      <c r="B342" s="492" t="s">
        <v>20</v>
      </c>
      <c r="C342" s="492"/>
      <c r="D342" s="492"/>
      <c r="E342" s="492"/>
      <c r="F342" s="492"/>
      <c r="G342" s="492"/>
      <c r="H342" s="492"/>
      <c r="I342" s="492"/>
      <c r="J342" s="492"/>
    </row>
    <row r="343" spans="1:11" ht="18" x14ac:dyDescent="0.35">
      <c r="A343" t="s">
        <v>212</v>
      </c>
      <c r="B343" s="4" t="s">
        <v>1</v>
      </c>
      <c r="C343" s="4" t="s">
        <v>2</v>
      </c>
      <c r="D343" s="4" t="s">
        <v>3</v>
      </c>
      <c r="E343" s="4" t="s">
        <v>4</v>
      </c>
      <c r="F343" s="4" t="s">
        <v>36</v>
      </c>
      <c r="G343" s="4" t="s">
        <v>5</v>
      </c>
      <c r="H343" s="4" t="s">
        <v>6</v>
      </c>
      <c r="I343" s="4" t="s">
        <v>7</v>
      </c>
      <c r="J343" s="4"/>
    </row>
    <row r="344" spans="1:11" x14ac:dyDescent="0.3">
      <c r="B344" s="149">
        <v>45744</v>
      </c>
      <c r="C344" s="152" t="s">
        <v>288</v>
      </c>
      <c r="D344" s="151">
        <v>2</v>
      </c>
      <c r="E344" s="151">
        <v>2089.4899999999998</v>
      </c>
      <c r="F344" s="151">
        <f>E344*D344</f>
        <v>4178.9799999999996</v>
      </c>
      <c r="G344" s="151">
        <v>2.33</v>
      </c>
      <c r="H344" s="151">
        <f>E344*G344</f>
        <v>4868.5117</v>
      </c>
      <c r="I344" s="151">
        <f>H344*D344</f>
        <v>9737.0234</v>
      </c>
      <c r="J344" s="152">
        <f>J343+I344</f>
        <v>9737.0234</v>
      </c>
      <c r="K344" t="s">
        <v>307</v>
      </c>
    </row>
    <row r="345" spans="1:11" x14ac:dyDescent="0.3">
      <c r="B345" s="149">
        <v>45744</v>
      </c>
      <c r="C345" s="152" t="s">
        <v>289</v>
      </c>
      <c r="D345" s="151">
        <v>1</v>
      </c>
      <c r="E345" s="151">
        <v>2204</v>
      </c>
      <c r="F345" s="151">
        <f t="shared" ref="F345:F358" si="112">E345*D345</f>
        <v>2204</v>
      </c>
      <c r="G345" s="151">
        <v>2.33</v>
      </c>
      <c r="H345" s="151">
        <f t="shared" ref="H345:H352" si="113">E345*G345</f>
        <v>5135.32</v>
      </c>
      <c r="I345" s="151">
        <f t="shared" ref="I345:I352" si="114">H345*D345</f>
        <v>5135.32</v>
      </c>
      <c r="J345" s="152">
        <f t="shared" ref="J345:J352" si="115">J344+I345</f>
        <v>14872.3434</v>
      </c>
      <c r="K345" t="s">
        <v>307</v>
      </c>
    </row>
    <row r="346" spans="1:11" x14ac:dyDescent="0.3">
      <c r="B346" s="19"/>
      <c r="C346" s="19"/>
      <c r="D346" s="19"/>
      <c r="E346" s="19"/>
      <c r="F346" s="19">
        <f t="shared" si="112"/>
        <v>0</v>
      </c>
      <c r="G346" s="19"/>
      <c r="H346" s="19">
        <f t="shared" si="113"/>
        <v>0</v>
      </c>
      <c r="I346" s="19">
        <f t="shared" si="114"/>
        <v>0</v>
      </c>
      <c r="J346" s="18">
        <f t="shared" si="115"/>
        <v>14872.3434</v>
      </c>
    </row>
    <row r="347" spans="1:11" x14ac:dyDescent="0.3">
      <c r="B347" s="82">
        <v>45744</v>
      </c>
      <c r="C347" s="18" t="s">
        <v>290</v>
      </c>
      <c r="D347" s="19">
        <v>2</v>
      </c>
      <c r="E347" s="145">
        <v>220</v>
      </c>
      <c r="F347" s="19">
        <f t="shared" si="112"/>
        <v>440</v>
      </c>
      <c r="G347" s="19">
        <v>2.33</v>
      </c>
      <c r="H347" s="19">
        <f t="shared" si="113"/>
        <v>512.6</v>
      </c>
      <c r="I347" s="19">
        <f t="shared" si="114"/>
        <v>1025.2</v>
      </c>
      <c r="J347" s="18">
        <f t="shared" si="115"/>
        <v>15897.5434</v>
      </c>
    </row>
    <row r="348" spans="1:11" x14ac:dyDescent="0.3">
      <c r="B348" s="82">
        <v>45744</v>
      </c>
      <c r="C348" s="18" t="s">
        <v>291</v>
      </c>
      <c r="D348" s="19">
        <v>2</v>
      </c>
      <c r="E348" s="145">
        <v>89</v>
      </c>
      <c r="F348" s="19">
        <f t="shared" si="112"/>
        <v>178</v>
      </c>
      <c r="G348" s="19">
        <v>2.33</v>
      </c>
      <c r="H348" s="19">
        <f t="shared" si="113"/>
        <v>207.37</v>
      </c>
      <c r="I348" s="19">
        <f t="shared" si="114"/>
        <v>414.74</v>
      </c>
      <c r="J348" s="18">
        <f t="shared" si="115"/>
        <v>16312.2834</v>
      </c>
    </row>
    <row r="349" spans="1:11" x14ac:dyDescent="0.3">
      <c r="B349" s="82">
        <v>45744</v>
      </c>
      <c r="C349" s="18" t="s">
        <v>292</v>
      </c>
      <c r="D349" s="19">
        <v>2</v>
      </c>
      <c r="E349" s="145">
        <v>89</v>
      </c>
      <c r="F349" s="19">
        <f t="shared" si="112"/>
        <v>178</v>
      </c>
      <c r="G349" s="19">
        <v>2.33</v>
      </c>
      <c r="H349" s="19">
        <f t="shared" si="113"/>
        <v>207.37</v>
      </c>
      <c r="I349" s="19">
        <f t="shared" si="114"/>
        <v>414.74</v>
      </c>
      <c r="J349" s="18">
        <f t="shared" si="115"/>
        <v>16727.023400000002</v>
      </c>
    </row>
    <row r="350" spans="1:11" x14ac:dyDescent="0.3">
      <c r="B350" s="82">
        <v>45744</v>
      </c>
      <c r="C350" s="18" t="s">
        <v>293</v>
      </c>
      <c r="D350" s="19">
        <v>2</v>
      </c>
      <c r="E350" s="145">
        <v>89</v>
      </c>
      <c r="F350" s="19">
        <f t="shared" si="112"/>
        <v>178</v>
      </c>
      <c r="G350" s="19">
        <v>2.33</v>
      </c>
      <c r="H350" s="19">
        <f t="shared" si="113"/>
        <v>207.37</v>
      </c>
      <c r="I350" s="19">
        <f t="shared" si="114"/>
        <v>414.74</v>
      </c>
      <c r="J350" s="18">
        <f t="shared" si="115"/>
        <v>17141.763400000003</v>
      </c>
    </row>
    <row r="351" spans="1:11" x14ac:dyDescent="0.3">
      <c r="B351" s="82">
        <v>45744</v>
      </c>
      <c r="C351" s="18" t="s">
        <v>294</v>
      </c>
      <c r="D351" s="19">
        <v>2</v>
      </c>
      <c r="E351" s="145">
        <v>55</v>
      </c>
      <c r="F351" s="19">
        <f t="shared" si="112"/>
        <v>110</v>
      </c>
      <c r="G351" s="19">
        <v>2.33</v>
      </c>
      <c r="H351" s="19">
        <f t="shared" si="113"/>
        <v>128.15</v>
      </c>
      <c r="I351" s="19">
        <f t="shared" si="114"/>
        <v>256.3</v>
      </c>
      <c r="J351" s="18">
        <f t="shared" si="115"/>
        <v>17398.063400000003</v>
      </c>
    </row>
    <row r="352" spans="1:11" x14ac:dyDescent="0.3">
      <c r="B352" s="19"/>
      <c r="C352" s="19"/>
      <c r="D352" s="19"/>
      <c r="E352" s="19"/>
      <c r="F352" s="19">
        <f t="shared" si="112"/>
        <v>0</v>
      </c>
      <c r="G352" s="19"/>
      <c r="H352" s="19">
        <f t="shared" si="113"/>
        <v>0</v>
      </c>
      <c r="I352" s="19">
        <f t="shared" si="114"/>
        <v>0</v>
      </c>
      <c r="J352" s="18">
        <f t="shared" si="115"/>
        <v>17398.063400000003</v>
      </c>
    </row>
    <row r="353" spans="1:10" x14ac:dyDescent="0.3">
      <c r="B353" s="149">
        <v>45744</v>
      </c>
      <c r="C353" s="152" t="s">
        <v>295</v>
      </c>
      <c r="D353" s="151">
        <v>2</v>
      </c>
      <c r="E353" s="155">
        <v>220</v>
      </c>
      <c r="F353" s="151">
        <f t="shared" si="112"/>
        <v>440</v>
      </c>
      <c r="G353" s="151">
        <v>2.33</v>
      </c>
      <c r="H353" s="151">
        <f t="shared" ref="H353:H358" si="116">E353*G353</f>
        <v>512.6</v>
      </c>
      <c r="I353" s="151">
        <f t="shared" ref="I353:I358" si="117">H353*D353</f>
        <v>1025.2</v>
      </c>
      <c r="J353" s="152">
        <f t="shared" ref="J353:J358" si="118">J352+I353</f>
        <v>18423.263400000003</v>
      </c>
    </row>
    <row r="354" spans="1:10" x14ac:dyDescent="0.3">
      <c r="B354" s="149">
        <v>45744</v>
      </c>
      <c r="C354" s="152" t="s">
        <v>308</v>
      </c>
      <c r="D354" s="151">
        <v>2</v>
      </c>
      <c r="E354" s="155">
        <v>220</v>
      </c>
      <c r="F354" s="151">
        <f t="shared" si="112"/>
        <v>440</v>
      </c>
      <c r="G354" s="151">
        <v>2.33</v>
      </c>
      <c r="H354" s="151">
        <f t="shared" si="116"/>
        <v>512.6</v>
      </c>
      <c r="I354" s="151">
        <f t="shared" si="117"/>
        <v>1025.2</v>
      </c>
      <c r="J354" s="152">
        <f t="shared" si="118"/>
        <v>19448.463400000004</v>
      </c>
    </row>
    <row r="355" spans="1:10" x14ac:dyDescent="0.3">
      <c r="B355" s="149">
        <v>45744</v>
      </c>
      <c r="C355" s="152" t="s">
        <v>309</v>
      </c>
      <c r="D355" s="151">
        <v>2</v>
      </c>
      <c r="E355" s="155">
        <v>89</v>
      </c>
      <c r="F355" s="151">
        <f t="shared" si="112"/>
        <v>178</v>
      </c>
      <c r="G355" s="151">
        <v>2.33</v>
      </c>
      <c r="H355" s="151">
        <f t="shared" si="116"/>
        <v>207.37</v>
      </c>
      <c r="I355" s="151">
        <f t="shared" si="117"/>
        <v>414.74</v>
      </c>
      <c r="J355" s="152">
        <f t="shared" si="118"/>
        <v>19863.203400000006</v>
      </c>
    </row>
    <row r="356" spans="1:10" x14ac:dyDescent="0.3">
      <c r="B356" s="149">
        <v>45744</v>
      </c>
      <c r="C356" s="152" t="s">
        <v>311</v>
      </c>
      <c r="D356" s="151">
        <v>1</v>
      </c>
      <c r="E356" s="155">
        <v>89</v>
      </c>
      <c r="F356" s="151">
        <f t="shared" si="112"/>
        <v>89</v>
      </c>
      <c r="G356" s="151">
        <v>2.33</v>
      </c>
      <c r="H356" s="151">
        <f t="shared" si="116"/>
        <v>207.37</v>
      </c>
      <c r="I356" s="151">
        <f t="shared" si="117"/>
        <v>207.37</v>
      </c>
      <c r="J356" s="152">
        <f t="shared" si="118"/>
        <v>20070.573400000005</v>
      </c>
    </row>
    <row r="357" spans="1:10" x14ac:dyDescent="0.3">
      <c r="B357" s="19"/>
      <c r="C357" s="19"/>
      <c r="D357" s="19"/>
      <c r="E357" s="19"/>
      <c r="F357" s="19">
        <f t="shared" si="112"/>
        <v>0</v>
      </c>
      <c r="G357" s="19"/>
      <c r="H357" s="19">
        <f t="shared" si="116"/>
        <v>0</v>
      </c>
      <c r="I357" s="19">
        <f t="shared" si="117"/>
        <v>0</v>
      </c>
      <c r="J357" s="18">
        <f t="shared" si="118"/>
        <v>20070.573400000005</v>
      </c>
    </row>
    <row r="358" spans="1:10" x14ac:dyDescent="0.3">
      <c r="B358" s="19"/>
      <c r="C358" s="19"/>
      <c r="D358" s="19"/>
      <c r="E358" s="19"/>
      <c r="F358" s="19">
        <f t="shared" si="112"/>
        <v>0</v>
      </c>
      <c r="G358" s="19"/>
      <c r="H358" s="19">
        <f t="shared" si="116"/>
        <v>0</v>
      </c>
      <c r="I358" s="19">
        <f t="shared" si="117"/>
        <v>0</v>
      </c>
      <c r="J358" s="18">
        <f t="shared" si="118"/>
        <v>20070.573400000005</v>
      </c>
    </row>
    <row r="361" spans="1:10" ht="21" x14ac:dyDescent="0.4">
      <c r="A361" t="s">
        <v>127</v>
      </c>
      <c r="B361" s="492" t="s">
        <v>20</v>
      </c>
      <c r="C361" s="492"/>
      <c r="D361" s="492"/>
      <c r="E361" s="492"/>
      <c r="F361" s="492"/>
      <c r="G361" s="492"/>
      <c r="H361" s="492"/>
      <c r="I361" s="492"/>
      <c r="J361" s="492"/>
    </row>
    <row r="362" spans="1:10" ht="18" x14ac:dyDescent="0.35">
      <c r="A362" t="s">
        <v>212</v>
      </c>
      <c r="B362" s="4" t="s">
        <v>1</v>
      </c>
      <c r="C362" s="4" t="s">
        <v>2</v>
      </c>
      <c r="D362" s="4" t="s">
        <v>3</v>
      </c>
      <c r="E362" s="4" t="s">
        <v>4</v>
      </c>
      <c r="F362" s="4" t="s">
        <v>36</v>
      </c>
      <c r="G362" s="4" t="s">
        <v>5</v>
      </c>
      <c r="H362" s="4" t="s">
        <v>6</v>
      </c>
      <c r="I362" s="4" t="s">
        <v>7</v>
      </c>
      <c r="J362" s="4"/>
    </row>
    <row r="363" spans="1:10" x14ac:dyDescent="0.3">
      <c r="B363" s="149">
        <v>45745</v>
      </c>
      <c r="C363" s="152" t="s">
        <v>310</v>
      </c>
      <c r="D363" s="151">
        <v>2</v>
      </c>
      <c r="E363" s="151">
        <v>2089.4899999999998</v>
      </c>
      <c r="F363" s="151">
        <f>E363*D363</f>
        <v>4178.9799999999996</v>
      </c>
      <c r="G363" s="151">
        <v>2.33</v>
      </c>
      <c r="H363" s="151">
        <f>E363*G363</f>
        <v>4868.5117</v>
      </c>
      <c r="I363" s="151">
        <f>H363*D363</f>
        <v>9737.0234</v>
      </c>
      <c r="J363" s="152">
        <f>J362+I363</f>
        <v>9737.0234</v>
      </c>
    </row>
    <row r="364" spans="1:10" x14ac:dyDescent="0.3">
      <c r="B364" s="149">
        <v>45745</v>
      </c>
      <c r="C364" s="150" t="s">
        <v>313</v>
      </c>
      <c r="D364" s="151">
        <v>2</v>
      </c>
      <c r="E364" s="151">
        <v>2204</v>
      </c>
      <c r="F364" s="151">
        <f t="shared" ref="F364:F366" si="119">E364*D364</f>
        <v>4408</v>
      </c>
      <c r="G364" s="151">
        <v>2.33</v>
      </c>
      <c r="H364" s="151">
        <f t="shared" ref="H364:H366" si="120">E364*G364</f>
        <v>5135.32</v>
      </c>
      <c r="I364" s="151">
        <f t="shared" ref="I364:I366" si="121">H364*D364</f>
        <v>10270.64</v>
      </c>
      <c r="J364" s="152">
        <f t="shared" ref="J364:J366" si="122">J363+I364</f>
        <v>20007.663399999998</v>
      </c>
    </row>
    <row r="365" spans="1:10" x14ac:dyDescent="0.3">
      <c r="B365" s="149">
        <v>45745</v>
      </c>
      <c r="C365" s="150" t="s">
        <v>312</v>
      </c>
      <c r="D365" s="151">
        <v>1</v>
      </c>
      <c r="E365" s="151">
        <v>669</v>
      </c>
      <c r="F365" s="151">
        <f t="shared" si="119"/>
        <v>669</v>
      </c>
      <c r="G365" s="151">
        <v>2.33</v>
      </c>
      <c r="H365" s="151">
        <f t="shared" si="120"/>
        <v>1558.77</v>
      </c>
      <c r="I365" s="151">
        <f t="shared" si="121"/>
        <v>1558.77</v>
      </c>
      <c r="J365" s="152">
        <f t="shared" si="122"/>
        <v>21566.433399999998</v>
      </c>
    </row>
    <row r="366" spans="1:10" x14ac:dyDescent="0.3">
      <c r="B366" s="19"/>
      <c r="C366" s="19"/>
      <c r="D366" s="19"/>
      <c r="E366" s="19"/>
      <c r="F366" s="19">
        <f t="shared" si="119"/>
        <v>0</v>
      </c>
      <c r="G366" s="19"/>
      <c r="H366" s="19">
        <f t="shared" si="120"/>
        <v>0</v>
      </c>
      <c r="I366" s="19">
        <f t="shared" si="121"/>
        <v>0</v>
      </c>
      <c r="J366" s="18">
        <f t="shared" si="122"/>
        <v>21566.433399999998</v>
      </c>
    </row>
    <row r="369" spans="1:10" ht="21" x14ac:dyDescent="0.4">
      <c r="A369" t="s">
        <v>127</v>
      </c>
      <c r="B369" s="492" t="s">
        <v>20</v>
      </c>
      <c r="C369" s="492"/>
      <c r="D369" s="492"/>
      <c r="E369" s="492"/>
      <c r="F369" s="492"/>
      <c r="G369" s="492"/>
      <c r="H369" s="492"/>
      <c r="I369" s="492"/>
      <c r="J369" s="492"/>
    </row>
    <row r="370" spans="1:10" ht="18" x14ac:dyDescent="0.35">
      <c r="A370" t="s">
        <v>212</v>
      </c>
      <c r="B370" s="4" t="s">
        <v>1</v>
      </c>
      <c r="C370" s="4" t="s">
        <v>2</v>
      </c>
      <c r="D370" s="4" t="s">
        <v>3</v>
      </c>
      <c r="E370" s="4" t="s">
        <v>4</v>
      </c>
      <c r="F370" s="4" t="s">
        <v>36</v>
      </c>
      <c r="G370" s="4" t="s">
        <v>5</v>
      </c>
      <c r="H370" s="4" t="s">
        <v>6</v>
      </c>
      <c r="I370" s="4" t="s">
        <v>7</v>
      </c>
      <c r="J370" s="4"/>
    </row>
    <row r="371" spans="1:10" x14ac:dyDescent="0.3">
      <c r="B371" s="82">
        <v>45747</v>
      </c>
      <c r="C371" s="81" t="s">
        <v>338</v>
      </c>
      <c r="D371" s="19">
        <v>2</v>
      </c>
      <c r="E371" s="19">
        <v>2089.9899999999998</v>
      </c>
      <c r="F371" s="19">
        <f>E371*D371</f>
        <v>4179.9799999999996</v>
      </c>
      <c r="G371" s="19">
        <v>2.33</v>
      </c>
      <c r="H371" s="19">
        <f>E371*G371</f>
        <v>4869.6767</v>
      </c>
      <c r="I371" s="19">
        <f>H371*D371</f>
        <v>9739.3534</v>
      </c>
      <c r="J371" s="18">
        <f>J370+I371</f>
        <v>9739.3534</v>
      </c>
    </row>
    <row r="372" spans="1:10" x14ac:dyDescent="0.3">
      <c r="B372" s="82">
        <v>45747</v>
      </c>
      <c r="C372" s="81" t="s">
        <v>339</v>
      </c>
      <c r="D372" s="19">
        <v>2</v>
      </c>
      <c r="E372" s="19">
        <v>2460.9899999999998</v>
      </c>
      <c r="F372" s="19">
        <f t="shared" ref="F372:F376" si="123">E372*D372</f>
        <v>4921.9799999999996</v>
      </c>
      <c r="G372" s="19">
        <v>2.33</v>
      </c>
      <c r="H372" s="19">
        <f t="shared" ref="H372:H376" si="124">E372*G372</f>
        <v>5734.1066999999994</v>
      </c>
      <c r="I372" s="19">
        <f t="shared" ref="I372:I376" si="125">H372*D372</f>
        <v>11468.213399999999</v>
      </c>
      <c r="J372" s="18">
        <f t="shared" ref="J372:J376" si="126">J371+I372</f>
        <v>21207.566800000001</v>
      </c>
    </row>
    <row r="373" spans="1:10" x14ac:dyDescent="0.3">
      <c r="B373" s="82">
        <v>45747</v>
      </c>
      <c r="C373" s="81" t="s">
        <v>340</v>
      </c>
      <c r="D373" s="19">
        <v>2</v>
      </c>
      <c r="E373" s="19">
        <v>2460.9899999999998</v>
      </c>
      <c r="F373" s="19">
        <f t="shared" si="123"/>
        <v>4921.9799999999996</v>
      </c>
      <c r="G373" s="19">
        <v>2.33</v>
      </c>
      <c r="H373" s="19">
        <f t="shared" si="124"/>
        <v>5734.1066999999994</v>
      </c>
      <c r="I373" s="19">
        <f t="shared" si="125"/>
        <v>11468.213399999999</v>
      </c>
      <c r="J373" s="18">
        <f t="shared" si="126"/>
        <v>32675.780200000001</v>
      </c>
    </row>
    <row r="374" spans="1:10" x14ac:dyDescent="0.3">
      <c r="B374" s="82">
        <v>45747</v>
      </c>
      <c r="C374" s="81" t="s">
        <v>341</v>
      </c>
      <c r="D374" s="19">
        <v>10</v>
      </c>
      <c r="E374" s="19">
        <v>213</v>
      </c>
      <c r="F374" s="19">
        <f t="shared" si="123"/>
        <v>2130</v>
      </c>
      <c r="G374" s="19">
        <v>2.33</v>
      </c>
      <c r="H374" s="19">
        <f t="shared" si="124"/>
        <v>496.29</v>
      </c>
      <c r="I374" s="19">
        <f t="shared" si="125"/>
        <v>4962.9000000000005</v>
      </c>
      <c r="J374" s="18">
        <f t="shared" si="126"/>
        <v>37638.680200000003</v>
      </c>
    </row>
    <row r="375" spans="1:10" x14ac:dyDescent="0.3">
      <c r="B375" s="82">
        <v>45747</v>
      </c>
      <c r="C375" s="81" t="s">
        <v>342</v>
      </c>
      <c r="D375" s="19">
        <v>10</v>
      </c>
      <c r="E375" s="19">
        <v>87</v>
      </c>
      <c r="F375" s="19">
        <f t="shared" si="123"/>
        <v>870</v>
      </c>
      <c r="G375" s="19">
        <v>2.33</v>
      </c>
      <c r="H375" s="19">
        <f t="shared" si="124"/>
        <v>202.71</v>
      </c>
      <c r="I375" s="19">
        <f t="shared" si="125"/>
        <v>2027.1000000000001</v>
      </c>
      <c r="J375" s="18">
        <f t="shared" si="126"/>
        <v>39665.780200000001</v>
      </c>
    </row>
    <row r="376" spans="1:10" x14ac:dyDescent="0.3">
      <c r="B376" s="19"/>
      <c r="C376" s="19"/>
      <c r="D376" s="19"/>
      <c r="E376" s="19"/>
      <c r="F376" s="19">
        <f t="shared" si="123"/>
        <v>0</v>
      </c>
      <c r="G376" s="19"/>
      <c r="H376" s="19">
        <f t="shared" si="124"/>
        <v>0</v>
      </c>
      <c r="I376" s="19">
        <f t="shared" si="125"/>
        <v>0</v>
      </c>
      <c r="J376" s="18">
        <f t="shared" si="126"/>
        <v>39665.780200000001</v>
      </c>
    </row>
    <row r="377" spans="1:10" x14ac:dyDescent="0.3">
      <c r="J377"/>
    </row>
    <row r="378" spans="1:10" x14ac:dyDescent="0.3">
      <c r="J378"/>
    </row>
    <row r="379" spans="1:10" x14ac:dyDescent="0.3">
      <c r="J379"/>
    </row>
    <row r="380" spans="1:10" ht="21" x14ac:dyDescent="0.4">
      <c r="A380" t="s">
        <v>127</v>
      </c>
      <c r="B380" s="492" t="s">
        <v>35</v>
      </c>
      <c r="C380" s="492"/>
      <c r="D380" s="492"/>
      <c r="E380" s="492"/>
      <c r="F380" s="492"/>
      <c r="G380" s="492"/>
      <c r="H380" s="492"/>
      <c r="I380" s="492"/>
      <c r="J380" s="492"/>
    </row>
    <row r="381" spans="1:10" ht="18" x14ac:dyDescent="0.35">
      <c r="A381" t="s">
        <v>212</v>
      </c>
      <c r="B381" s="4" t="s">
        <v>1</v>
      </c>
      <c r="C381" s="4" t="s">
        <v>2</v>
      </c>
      <c r="D381" s="4" t="s">
        <v>3</v>
      </c>
      <c r="E381" s="4" t="s">
        <v>148</v>
      </c>
      <c r="F381" s="4" t="s">
        <v>147</v>
      </c>
      <c r="G381" s="4" t="s">
        <v>5</v>
      </c>
      <c r="H381" s="4" t="s">
        <v>6</v>
      </c>
      <c r="I381" s="4" t="s">
        <v>7</v>
      </c>
      <c r="J381" s="4"/>
    </row>
    <row r="382" spans="1:10" x14ac:dyDescent="0.3">
      <c r="B382" s="82">
        <v>45750</v>
      </c>
      <c r="C382" s="19" t="s">
        <v>319</v>
      </c>
      <c r="D382" s="19">
        <v>10</v>
      </c>
      <c r="E382" s="19">
        <v>759</v>
      </c>
      <c r="F382" s="19">
        <f>E382*D382</f>
        <v>7590</v>
      </c>
      <c r="G382" s="19">
        <v>2.16</v>
      </c>
      <c r="H382" s="19">
        <f>E382*G382</f>
        <v>1639.44</v>
      </c>
      <c r="I382" s="19">
        <f>H382*D382</f>
        <v>16394.400000000001</v>
      </c>
      <c r="J382" s="18">
        <f>J381+I382</f>
        <v>16394.400000000001</v>
      </c>
    </row>
    <row r="383" spans="1:10" x14ac:dyDescent="0.3">
      <c r="B383" s="19"/>
      <c r="C383" s="19"/>
      <c r="D383" s="19"/>
      <c r="E383" s="19"/>
      <c r="F383" s="19">
        <f>E383*D383</f>
        <v>0</v>
      </c>
      <c r="G383" s="19"/>
      <c r="H383" s="19">
        <f>E383*G383</f>
        <v>0</v>
      </c>
      <c r="I383" s="19">
        <f>H383*D383</f>
        <v>0</v>
      </c>
      <c r="J383" s="18">
        <f t="shared" ref="J383" si="127">J382+I383</f>
        <v>16394.400000000001</v>
      </c>
    </row>
    <row r="384" spans="1:10" x14ac:dyDescent="0.3">
      <c r="J384"/>
    </row>
    <row r="385" spans="1:10" x14ac:dyDescent="0.3">
      <c r="J385"/>
    </row>
    <row r="386" spans="1:10" ht="21" x14ac:dyDescent="0.4">
      <c r="A386" t="s">
        <v>127</v>
      </c>
      <c r="B386" s="492" t="s">
        <v>20</v>
      </c>
      <c r="C386" s="492"/>
      <c r="D386" s="492"/>
      <c r="E386" s="492"/>
      <c r="F386" s="492"/>
      <c r="G386" s="492"/>
      <c r="H386" s="492"/>
      <c r="I386" s="492"/>
      <c r="J386" s="492"/>
    </row>
    <row r="387" spans="1:10" ht="18" x14ac:dyDescent="0.35">
      <c r="A387" t="s">
        <v>212</v>
      </c>
      <c r="B387" s="4" t="s">
        <v>1</v>
      </c>
      <c r="C387" s="4" t="s">
        <v>2</v>
      </c>
      <c r="D387" s="4" t="s">
        <v>3</v>
      </c>
      <c r="E387" s="4" t="s">
        <v>4</v>
      </c>
      <c r="F387" s="4" t="s">
        <v>36</v>
      </c>
      <c r="G387" s="4" t="s">
        <v>5</v>
      </c>
      <c r="H387" s="4" t="s">
        <v>6</v>
      </c>
      <c r="I387" s="4" t="s">
        <v>7</v>
      </c>
      <c r="J387" s="4"/>
    </row>
    <row r="388" spans="1:10" x14ac:dyDescent="0.3">
      <c r="B388" s="149">
        <v>45748</v>
      </c>
      <c r="C388" s="150" t="s">
        <v>322</v>
      </c>
      <c r="D388" s="151">
        <v>2</v>
      </c>
      <c r="E388" s="151">
        <v>2089.4899999999998</v>
      </c>
      <c r="F388" s="151">
        <f t="shared" ref="F388:F408" si="128">E388*D388</f>
        <v>4178.9799999999996</v>
      </c>
      <c r="G388" s="151">
        <v>2.33</v>
      </c>
      <c r="H388" s="151">
        <f t="shared" ref="H388:H408" si="129">E388*G388</f>
        <v>4868.5117</v>
      </c>
      <c r="I388" s="151">
        <f t="shared" ref="I388:I408" si="130">H388*D388</f>
        <v>9737.0234</v>
      </c>
      <c r="J388" s="152">
        <f>J387+I388</f>
        <v>9737.0234</v>
      </c>
    </row>
    <row r="389" spans="1:10" x14ac:dyDescent="0.3">
      <c r="B389" s="149">
        <v>45748</v>
      </c>
      <c r="C389" s="150" t="s">
        <v>323</v>
      </c>
      <c r="D389" s="151">
        <v>2</v>
      </c>
      <c r="E389" s="151">
        <v>2460.4899999999998</v>
      </c>
      <c r="F389" s="151">
        <f t="shared" si="128"/>
        <v>4920.9799999999996</v>
      </c>
      <c r="G389" s="151">
        <v>2.33</v>
      </c>
      <c r="H389" s="151">
        <f t="shared" si="129"/>
        <v>5732.9416999999994</v>
      </c>
      <c r="I389" s="151">
        <f t="shared" si="130"/>
        <v>11465.883399999999</v>
      </c>
      <c r="J389" s="152">
        <f t="shared" ref="J389:J396" si="131">J388+I389</f>
        <v>21202.906799999997</v>
      </c>
    </row>
    <row r="390" spans="1:10" x14ac:dyDescent="0.3">
      <c r="B390" s="19"/>
      <c r="C390" s="81"/>
      <c r="D390" s="19"/>
      <c r="E390" s="19"/>
      <c r="F390" s="19">
        <f t="shared" si="128"/>
        <v>0</v>
      </c>
      <c r="G390" s="19"/>
      <c r="H390" s="19">
        <f t="shared" si="129"/>
        <v>0</v>
      </c>
      <c r="I390" s="19">
        <f t="shared" si="130"/>
        <v>0</v>
      </c>
      <c r="J390" s="18">
        <f t="shared" si="131"/>
        <v>21202.906799999997</v>
      </c>
    </row>
    <row r="391" spans="1:10" x14ac:dyDescent="0.3">
      <c r="B391" s="149">
        <v>45749</v>
      </c>
      <c r="C391" s="150" t="s">
        <v>326</v>
      </c>
      <c r="D391" s="151">
        <v>2</v>
      </c>
      <c r="E391" s="151">
        <v>2517.4899999999998</v>
      </c>
      <c r="F391" s="151">
        <f t="shared" si="128"/>
        <v>5034.9799999999996</v>
      </c>
      <c r="G391" s="151">
        <v>2.33</v>
      </c>
      <c r="H391" s="151">
        <f t="shared" si="129"/>
        <v>5865.7516999999998</v>
      </c>
      <c r="I391" s="151">
        <f t="shared" si="130"/>
        <v>11731.5034</v>
      </c>
      <c r="J391" s="152">
        <f t="shared" si="131"/>
        <v>32934.410199999998</v>
      </c>
    </row>
    <row r="392" spans="1:10" x14ac:dyDescent="0.3">
      <c r="B392" s="149">
        <v>45749</v>
      </c>
      <c r="C392" s="150" t="s">
        <v>324</v>
      </c>
      <c r="D392" s="151">
        <v>2</v>
      </c>
      <c r="E392" s="151">
        <v>2089.4899999999998</v>
      </c>
      <c r="F392" s="151">
        <f t="shared" si="128"/>
        <v>4178.9799999999996</v>
      </c>
      <c r="G392" s="151">
        <v>2.33</v>
      </c>
      <c r="H392" s="151">
        <f t="shared" si="129"/>
        <v>4868.5117</v>
      </c>
      <c r="I392" s="151">
        <f t="shared" si="130"/>
        <v>9737.0234</v>
      </c>
      <c r="J392" s="152">
        <f t="shared" si="131"/>
        <v>42671.433599999997</v>
      </c>
    </row>
    <row r="393" spans="1:10" x14ac:dyDescent="0.3">
      <c r="B393" s="149">
        <v>45749</v>
      </c>
      <c r="C393" s="150" t="s">
        <v>325</v>
      </c>
      <c r="D393" s="151">
        <v>2</v>
      </c>
      <c r="E393" s="151">
        <v>2089.4899999999998</v>
      </c>
      <c r="F393" s="151">
        <f t="shared" si="128"/>
        <v>4178.9799999999996</v>
      </c>
      <c r="G393" s="151">
        <v>2.33</v>
      </c>
      <c r="H393" s="151">
        <f t="shared" si="129"/>
        <v>4868.5117</v>
      </c>
      <c r="I393" s="151">
        <f t="shared" si="130"/>
        <v>9737.0234</v>
      </c>
      <c r="J393" s="152">
        <f t="shared" si="131"/>
        <v>52408.456999999995</v>
      </c>
    </row>
    <row r="394" spans="1:10" x14ac:dyDescent="0.3">
      <c r="B394" s="149">
        <v>45749</v>
      </c>
      <c r="C394" s="150" t="s">
        <v>335</v>
      </c>
      <c r="D394" s="151">
        <v>1</v>
      </c>
      <c r="E394" s="151">
        <v>2089.9899999999998</v>
      </c>
      <c r="F394" s="151">
        <f t="shared" si="128"/>
        <v>2089.9899999999998</v>
      </c>
      <c r="G394" s="151">
        <v>2.33</v>
      </c>
      <c r="H394" s="151">
        <f t="shared" si="129"/>
        <v>4869.6767</v>
      </c>
      <c r="I394" s="151">
        <f t="shared" si="130"/>
        <v>4869.6767</v>
      </c>
      <c r="J394" s="152">
        <f t="shared" si="131"/>
        <v>57278.133699999991</v>
      </c>
    </row>
    <row r="395" spans="1:10" x14ac:dyDescent="0.3">
      <c r="B395" s="149">
        <v>45749</v>
      </c>
      <c r="C395" s="150" t="s">
        <v>336</v>
      </c>
      <c r="D395" s="151">
        <v>1</v>
      </c>
      <c r="E395" s="151">
        <v>2089.9899999999998</v>
      </c>
      <c r="F395" s="151">
        <f t="shared" si="128"/>
        <v>2089.9899999999998</v>
      </c>
      <c r="G395" s="151">
        <v>2.33</v>
      </c>
      <c r="H395" s="151">
        <f t="shared" si="129"/>
        <v>4869.6767</v>
      </c>
      <c r="I395" s="151">
        <f t="shared" si="130"/>
        <v>4869.6767</v>
      </c>
      <c r="J395" s="152">
        <f t="shared" si="131"/>
        <v>62147.810399999988</v>
      </c>
    </row>
    <row r="396" spans="1:10" x14ac:dyDescent="0.3">
      <c r="B396" s="19"/>
      <c r="C396" s="19"/>
      <c r="D396" s="19"/>
      <c r="E396" s="19"/>
      <c r="F396" s="19">
        <f t="shared" si="128"/>
        <v>0</v>
      </c>
      <c r="G396" s="19"/>
      <c r="H396" s="19">
        <f t="shared" si="129"/>
        <v>0</v>
      </c>
      <c r="I396" s="19">
        <f t="shared" si="130"/>
        <v>0</v>
      </c>
      <c r="J396" s="18">
        <f t="shared" si="131"/>
        <v>62147.810399999988</v>
      </c>
    </row>
    <row r="397" spans="1:10" x14ac:dyDescent="0.3">
      <c r="B397" s="149">
        <v>45749</v>
      </c>
      <c r="C397" s="151" t="s">
        <v>327</v>
      </c>
      <c r="D397" s="151">
        <v>8</v>
      </c>
      <c r="E397" s="151">
        <v>229</v>
      </c>
      <c r="F397" s="151">
        <f t="shared" si="128"/>
        <v>1832</v>
      </c>
      <c r="G397" s="151">
        <v>2.33</v>
      </c>
      <c r="H397" s="151">
        <f t="shared" si="129"/>
        <v>533.57000000000005</v>
      </c>
      <c r="I397" s="151">
        <f t="shared" si="130"/>
        <v>4268.5600000000004</v>
      </c>
      <c r="J397" s="152">
        <f t="shared" ref="J397:J408" si="132">J396+I397</f>
        <v>66416.370399999985</v>
      </c>
    </row>
    <row r="398" spans="1:10" x14ac:dyDescent="0.3">
      <c r="B398" s="149">
        <v>45749</v>
      </c>
      <c r="C398" s="151" t="s">
        <v>328</v>
      </c>
      <c r="D398" s="151">
        <v>1</v>
      </c>
      <c r="E398" s="151">
        <v>699</v>
      </c>
      <c r="F398" s="151">
        <f t="shared" si="128"/>
        <v>699</v>
      </c>
      <c r="G398" s="151">
        <v>2.33</v>
      </c>
      <c r="H398" s="151">
        <f t="shared" si="129"/>
        <v>1628.67</v>
      </c>
      <c r="I398" s="151">
        <f t="shared" si="130"/>
        <v>1628.67</v>
      </c>
      <c r="J398" s="152">
        <f t="shared" si="132"/>
        <v>68045.040399999983</v>
      </c>
    </row>
    <row r="399" spans="1:10" x14ac:dyDescent="0.3">
      <c r="B399" s="149">
        <v>45749</v>
      </c>
      <c r="C399" s="151" t="s">
        <v>329</v>
      </c>
      <c r="D399" s="151">
        <v>1</v>
      </c>
      <c r="E399" s="151">
        <v>799</v>
      </c>
      <c r="F399" s="151">
        <f t="shared" si="128"/>
        <v>799</v>
      </c>
      <c r="G399" s="151">
        <v>2.33</v>
      </c>
      <c r="H399" s="151">
        <f t="shared" si="129"/>
        <v>1861.67</v>
      </c>
      <c r="I399" s="151">
        <f t="shared" si="130"/>
        <v>1861.67</v>
      </c>
      <c r="J399" s="152">
        <f t="shared" si="132"/>
        <v>69906.710399999982</v>
      </c>
    </row>
    <row r="400" spans="1:10" x14ac:dyDescent="0.3">
      <c r="B400" s="19"/>
      <c r="C400" s="19"/>
      <c r="D400" s="19"/>
      <c r="E400" s="19"/>
      <c r="F400" s="19">
        <f t="shared" si="128"/>
        <v>0</v>
      </c>
      <c r="G400" s="19"/>
      <c r="H400" s="19">
        <f t="shared" si="129"/>
        <v>0</v>
      </c>
      <c r="I400" s="19">
        <f t="shared" si="130"/>
        <v>0</v>
      </c>
      <c r="J400" s="18">
        <f t="shared" si="132"/>
        <v>69906.710399999982</v>
      </c>
    </row>
    <row r="401" spans="1:10" x14ac:dyDescent="0.3">
      <c r="B401" s="149">
        <v>45749</v>
      </c>
      <c r="C401" s="150" t="s">
        <v>330</v>
      </c>
      <c r="D401" s="151">
        <v>1</v>
      </c>
      <c r="E401" s="151">
        <v>2149</v>
      </c>
      <c r="F401" s="151">
        <f t="shared" si="128"/>
        <v>2149</v>
      </c>
      <c r="G401" s="151">
        <v>2.33</v>
      </c>
      <c r="H401" s="151">
        <f t="shared" si="129"/>
        <v>5007.17</v>
      </c>
      <c r="I401" s="151">
        <f t="shared" si="130"/>
        <v>5007.17</v>
      </c>
      <c r="J401" s="152">
        <f t="shared" si="132"/>
        <v>74913.88039999998</v>
      </c>
    </row>
    <row r="402" spans="1:10" x14ac:dyDescent="0.3">
      <c r="B402" s="185">
        <v>45749</v>
      </c>
      <c r="C402" s="186" t="s">
        <v>373</v>
      </c>
      <c r="D402" s="187">
        <v>1</v>
      </c>
      <c r="E402" s="187">
        <v>2089.9899999999998</v>
      </c>
      <c r="F402" s="187">
        <f t="shared" si="128"/>
        <v>2089.9899999999998</v>
      </c>
      <c r="G402" s="187">
        <v>2.33</v>
      </c>
      <c r="H402" s="187">
        <f t="shared" si="129"/>
        <v>4869.6767</v>
      </c>
      <c r="I402" s="187">
        <f t="shared" si="130"/>
        <v>4869.6767</v>
      </c>
      <c r="J402" s="188">
        <f t="shared" si="132"/>
        <v>79783.557099999976</v>
      </c>
    </row>
    <row r="403" spans="1:10" x14ac:dyDescent="0.3">
      <c r="B403" s="185">
        <v>45749</v>
      </c>
      <c r="C403" s="186" t="s">
        <v>374</v>
      </c>
      <c r="D403" s="187">
        <v>2</v>
      </c>
      <c r="E403" s="187">
        <v>2089.9899999999998</v>
      </c>
      <c r="F403" s="187">
        <f t="shared" si="128"/>
        <v>4179.9799999999996</v>
      </c>
      <c r="G403" s="187">
        <v>2.33</v>
      </c>
      <c r="H403" s="187">
        <f t="shared" si="129"/>
        <v>4869.6767</v>
      </c>
      <c r="I403" s="187">
        <f t="shared" si="130"/>
        <v>9739.3534</v>
      </c>
      <c r="J403" s="188">
        <f t="shared" si="132"/>
        <v>89522.910499999969</v>
      </c>
    </row>
    <row r="404" spans="1:10" x14ac:dyDescent="0.3">
      <c r="B404" s="149">
        <v>45749</v>
      </c>
      <c r="C404" s="150" t="s">
        <v>331</v>
      </c>
      <c r="D404" s="151">
        <v>1</v>
      </c>
      <c r="E404" s="151">
        <v>2089.9899999999998</v>
      </c>
      <c r="F404" s="151">
        <f t="shared" si="128"/>
        <v>2089.9899999999998</v>
      </c>
      <c r="G404" s="151">
        <v>2.33</v>
      </c>
      <c r="H404" s="151">
        <f t="shared" si="129"/>
        <v>4869.6767</v>
      </c>
      <c r="I404" s="151">
        <f t="shared" si="130"/>
        <v>4869.6767</v>
      </c>
      <c r="J404" s="152">
        <f t="shared" si="132"/>
        <v>94392.587199999965</v>
      </c>
    </row>
    <row r="405" spans="1:10" x14ac:dyDescent="0.3">
      <c r="B405" s="149">
        <v>45749</v>
      </c>
      <c r="C405" s="150" t="s">
        <v>332</v>
      </c>
      <c r="D405" s="151">
        <v>1</v>
      </c>
      <c r="E405" s="151">
        <v>2089.9899999999998</v>
      </c>
      <c r="F405" s="151">
        <f t="shared" si="128"/>
        <v>2089.9899999999998</v>
      </c>
      <c r="G405" s="151">
        <v>2.33</v>
      </c>
      <c r="H405" s="151">
        <f t="shared" si="129"/>
        <v>4869.6767</v>
      </c>
      <c r="I405" s="151">
        <f t="shared" si="130"/>
        <v>4869.6767</v>
      </c>
      <c r="J405" s="152">
        <f t="shared" si="132"/>
        <v>99262.263899999962</v>
      </c>
    </row>
    <row r="406" spans="1:10" x14ac:dyDescent="0.3">
      <c r="B406" s="19"/>
      <c r="C406" s="19"/>
      <c r="D406" s="19"/>
      <c r="E406" s="19"/>
      <c r="F406" s="19">
        <f t="shared" si="128"/>
        <v>0</v>
      </c>
      <c r="G406" s="19"/>
      <c r="H406" s="19">
        <f t="shared" si="129"/>
        <v>0</v>
      </c>
      <c r="I406" s="19">
        <f t="shared" si="130"/>
        <v>0</v>
      </c>
      <c r="J406" s="18">
        <f t="shared" si="132"/>
        <v>99262.263899999962</v>
      </c>
    </row>
    <row r="407" spans="1:10" x14ac:dyDescent="0.3">
      <c r="B407" s="149">
        <v>45749</v>
      </c>
      <c r="C407" s="151" t="s">
        <v>333</v>
      </c>
      <c r="D407" s="151">
        <v>1</v>
      </c>
      <c r="E407" s="151">
        <v>39</v>
      </c>
      <c r="F407" s="151">
        <f t="shared" si="128"/>
        <v>39</v>
      </c>
      <c r="G407" s="151">
        <v>2.33</v>
      </c>
      <c r="H407" s="151">
        <f t="shared" si="129"/>
        <v>90.87</v>
      </c>
      <c r="I407" s="151">
        <f t="shared" si="130"/>
        <v>90.87</v>
      </c>
      <c r="J407" s="152">
        <f t="shared" si="132"/>
        <v>99353.133899999957</v>
      </c>
    </row>
    <row r="408" spans="1:10" x14ac:dyDescent="0.3">
      <c r="B408" s="19"/>
      <c r="C408" s="19"/>
      <c r="D408" s="19"/>
      <c r="E408" s="19"/>
      <c r="F408" s="19">
        <f t="shared" si="128"/>
        <v>0</v>
      </c>
      <c r="G408" s="19"/>
      <c r="H408" s="19">
        <f t="shared" si="129"/>
        <v>0</v>
      </c>
      <c r="I408" s="19">
        <f t="shared" si="130"/>
        <v>0</v>
      </c>
      <c r="J408" s="18">
        <f t="shared" si="132"/>
        <v>99353.133899999957</v>
      </c>
    </row>
    <row r="409" spans="1:10" x14ac:dyDescent="0.3">
      <c r="J409"/>
    </row>
    <row r="410" spans="1:10" x14ac:dyDescent="0.3">
      <c r="J410"/>
    </row>
    <row r="411" spans="1:10" ht="21" x14ac:dyDescent="0.4">
      <c r="A411" t="s">
        <v>127</v>
      </c>
      <c r="B411" s="492" t="s">
        <v>20</v>
      </c>
      <c r="C411" s="492"/>
      <c r="D411" s="492"/>
      <c r="E411" s="492"/>
      <c r="F411" s="492"/>
      <c r="G411" s="492"/>
      <c r="H411" s="492"/>
      <c r="I411" s="492"/>
      <c r="J411" s="492"/>
    </row>
    <row r="412" spans="1:10" ht="18" x14ac:dyDescent="0.35">
      <c r="A412" t="s">
        <v>212</v>
      </c>
      <c r="B412" s="4" t="s">
        <v>1</v>
      </c>
      <c r="C412" s="4" t="s">
        <v>2</v>
      </c>
      <c r="D412" s="4" t="s">
        <v>3</v>
      </c>
      <c r="E412" s="4" t="s">
        <v>4</v>
      </c>
      <c r="F412" s="4" t="s">
        <v>36</v>
      </c>
      <c r="G412" s="4" t="s">
        <v>5</v>
      </c>
      <c r="H412" s="4" t="s">
        <v>6</v>
      </c>
      <c r="I412" s="4" t="s">
        <v>7</v>
      </c>
      <c r="J412" s="4"/>
    </row>
    <row r="413" spans="1:10" x14ac:dyDescent="0.3">
      <c r="B413" s="82">
        <v>45750</v>
      </c>
      <c r="C413" s="19" t="s">
        <v>343</v>
      </c>
      <c r="D413" s="19">
        <v>1</v>
      </c>
      <c r="E413" s="19">
        <v>799</v>
      </c>
      <c r="F413" s="19">
        <f>E413*D413</f>
        <v>799</v>
      </c>
      <c r="G413" s="19">
        <v>2.33</v>
      </c>
      <c r="H413" s="19">
        <f>E413*G413</f>
        <v>1861.67</v>
      </c>
      <c r="I413" s="19">
        <f>H413*D413</f>
        <v>1861.67</v>
      </c>
      <c r="J413" s="18">
        <f>J412+I413</f>
        <v>1861.67</v>
      </c>
    </row>
    <row r="414" spans="1:10" x14ac:dyDescent="0.3">
      <c r="B414" s="200">
        <v>45750</v>
      </c>
      <c r="C414" s="202" t="s">
        <v>344</v>
      </c>
      <c r="D414" s="202">
        <v>1</v>
      </c>
      <c r="E414" s="202">
        <v>669</v>
      </c>
      <c r="F414" s="202">
        <f t="shared" ref="F414:F415" si="133">E414*D414</f>
        <v>669</v>
      </c>
      <c r="G414" s="202">
        <v>2.33</v>
      </c>
      <c r="H414" s="202">
        <f t="shared" ref="H414:H415" si="134">E414*G414</f>
        <v>1558.77</v>
      </c>
      <c r="I414" s="202">
        <f t="shared" ref="I414:I415" si="135">H414*D414</f>
        <v>1558.77</v>
      </c>
      <c r="J414" s="203">
        <f t="shared" ref="J414:J415" si="136">J413+I414</f>
        <v>3420.44</v>
      </c>
    </row>
    <row r="415" spans="1:10" x14ac:dyDescent="0.3">
      <c r="B415" s="19"/>
      <c r="C415" s="19"/>
      <c r="D415" s="19"/>
      <c r="E415" s="19"/>
      <c r="F415" s="19">
        <f t="shared" si="133"/>
        <v>0</v>
      </c>
      <c r="G415" s="19"/>
      <c r="H415" s="19">
        <f t="shared" si="134"/>
        <v>0</v>
      </c>
      <c r="I415" s="19">
        <f t="shared" si="135"/>
        <v>0</v>
      </c>
      <c r="J415" s="18">
        <f t="shared" si="136"/>
        <v>3420.44</v>
      </c>
    </row>
    <row r="416" spans="1:10" x14ac:dyDescent="0.3">
      <c r="J416"/>
    </row>
    <row r="417" spans="1:10" x14ac:dyDescent="0.3">
      <c r="J417"/>
    </row>
    <row r="418" spans="1:10" ht="21" x14ac:dyDescent="0.4">
      <c r="A418" t="s">
        <v>127</v>
      </c>
      <c r="B418" s="492" t="s">
        <v>20</v>
      </c>
      <c r="C418" s="492"/>
      <c r="D418" s="492"/>
      <c r="E418" s="492"/>
      <c r="F418" s="492"/>
      <c r="G418" s="492"/>
      <c r="H418" s="492"/>
      <c r="I418" s="492"/>
      <c r="J418" s="492"/>
    </row>
    <row r="419" spans="1:10" ht="18" x14ac:dyDescent="0.35">
      <c r="A419" t="s">
        <v>212</v>
      </c>
      <c r="B419" s="4" t="s">
        <v>1</v>
      </c>
      <c r="C419" s="4" t="s">
        <v>2</v>
      </c>
      <c r="D419" s="4" t="s">
        <v>3</v>
      </c>
      <c r="E419" s="4" t="s">
        <v>4</v>
      </c>
      <c r="F419" s="4" t="s">
        <v>36</v>
      </c>
      <c r="G419" s="4" t="s">
        <v>5</v>
      </c>
      <c r="H419" s="4" t="s">
        <v>6</v>
      </c>
      <c r="I419" s="4" t="s">
        <v>7</v>
      </c>
      <c r="J419" s="4"/>
    </row>
    <row r="420" spans="1:10" x14ac:dyDescent="0.3">
      <c r="B420" s="82">
        <v>45751</v>
      </c>
      <c r="C420" s="81" t="s">
        <v>345</v>
      </c>
      <c r="D420" s="19">
        <v>6</v>
      </c>
      <c r="E420" s="19">
        <v>87</v>
      </c>
      <c r="F420" s="19">
        <f>E420*D420</f>
        <v>522</v>
      </c>
      <c r="G420" s="19">
        <v>2.33</v>
      </c>
      <c r="H420" s="19">
        <f>E420*G420</f>
        <v>202.71</v>
      </c>
      <c r="I420" s="19">
        <f>H420*D420</f>
        <v>1216.26</v>
      </c>
      <c r="J420" s="18">
        <f>J419+I420</f>
        <v>1216.26</v>
      </c>
    </row>
    <row r="421" spans="1:10" x14ac:dyDescent="0.3">
      <c r="B421" s="149">
        <v>45751</v>
      </c>
      <c r="C421" s="150" t="s">
        <v>346</v>
      </c>
      <c r="D421" s="151">
        <v>1</v>
      </c>
      <c r="E421" s="151">
        <v>2204</v>
      </c>
      <c r="F421" s="151">
        <f t="shared" ref="F421:F424" si="137">E421*D421</f>
        <v>2204</v>
      </c>
      <c r="G421" s="151">
        <v>2.33</v>
      </c>
      <c r="H421" s="151">
        <f t="shared" ref="H421:H424" si="138">E421*G421</f>
        <v>5135.32</v>
      </c>
      <c r="I421" s="151">
        <f t="shared" ref="I421:I424" si="139">H421*D421</f>
        <v>5135.32</v>
      </c>
      <c r="J421" s="152">
        <f t="shared" ref="J421:J424" si="140">J420+I421</f>
        <v>6351.58</v>
      </c>
    </row>
    <row r="422" spans="1:10" x14ac:dyDescent="0.3">
      <c r="B422" s="82">
        <v>45751</v>
      </c>
      <c r="C422" s="81" t="s">
        <v>347</v>
      </c>
      <c r="D422" s="19">
        <v>1</v>
      </c>
      <c r="E422" s="19">
        <v>2089.9899999999998</v>
      </c>
      <c r="F422" s="19">
        <f t="shared" si="137"/>
        <v>2089.9899999999998</v>
      </c>
      <c r="G422" s="19">
        <v>2.33</v>
      </c>
      <c r="H422" s="19">
        <f t="shared" si="138"/>
        <v>4869.6767</v>
      </c>
      <c r="I422" s="19">
        <f t="shared" si="139"/>
        <v>4869.6767</v>
      </c>
      <c r="J422" s="18">
        <f t="shared" si="140"/>
        <v>11221.2567</v>
      </c>
    </row>
    <row r="423" spans="1:10" x14ac:dyDescent="0.3">
      <c r="B423" s="185">
        <v>45751</v>
      </c>
      <c r="C423" s="186" t="s">
        <v>389</v>
      </c>
      <c r="D423" s="187">
        <v>1</v>
      </c>
      <c r="E423" s="187">
        <v>2089.9899999999998</v>
      </c>
      <c r="F423" s="187">
        <f t="shared" si="137"/>
        <v>2089.9899999999998</v>
      </c>
      <c r="G423" s="187">
        <v>2.33</v>
      </c>
      <c r="H423" s="187">
        <f t="shared" si="138"/>
        <v>4869.6767</v>
      </c>
      <c r="I423" s="187">
        <f t="shared" si="139"/>
        <v>4869.6767</v>
      </c>
      <c r="J423" s="188">
        <f t="shared" si="140"/>
        <v>16090.9334</v>
      </c>
    </row>
    <row r="424" spans="1:10" x14ac:dyDescent="0.3">
      <c r="B424" s="19"/>
      <c r="C424" s="19"/>
      <c r="D424" s="19"/>
      <c r="E424" s="19"/>
      <c r="F424" s="19">
        <f t="shared" si="137"/>
        <v>0</v>
      </c>
      <c r="G424" s="19"/>
      <c r="H424" s="19">
        <f t="shared" si="138"/>
        <v>0</v>
      </c>
      <c r="I424" s="19">
        <f t="shared" si="139"/>
        <v>0</v>
      </c>
      <c r="J424" s="18">
        <f t="shared" si="140"/>
        <v>16090.9334</v>
      </c>
    </row>
    <row r="425" spans="1:10" x14ac:dyDescent="0.3">
      <c r="J425"/>
    </row>
    <row r="426" spans="1:10" x14ac:dyDescent="0.3">
      <c r="J426"/>
    </row>
    <row r="427" spans="1:10" ht="21" x14ac:dyDescent="0.4">
      <c r="A427" t="s">
        <v>127</v>
      </c>
      <c r="B427" s="492" t="s">
        <v>20</v>
      </c>
      <c r="C427" s="492"/>
      <c r="D427" s="492"/>
      <c r="E427" s="492"/>
      <c r="F427" s="492"/>
      <c r="G427" s="492"/>
      <c r="H427" s="492"/>
      <c r="I427" s="492"/>
      <c r="J427" s="492"/>
    </row>
    <row r="428" spans="1:10" ht="18" x14ac:dyDescent="0.35">
      <c r="A428" t="s">
        <v>212</v>
      </c>
      <c r="B428" s="4" t="s">
        <v>1</v>
      </c>
      <c r="C428" s="4" t="s">
        <v>2</v>
      </c>
      <c r="D428" s="4" t="s">
        <v>3</v>
      </c>
      <c r="E428" s="4" t="s">
        <v>4</v>
      </c>
      <c r="F428" s="4" t="s">
        <v>36</v>
      </c>
      <c r="G428" s="4" t="s">
        <v>5</v>
      </c>
      <c r="H428" s="4" t="s">
        <v>6</v>
      </c>
      <c r="I428" s="4" t="s">
        <v>7</v>
      </c>
      <c r="J428" s="4"/>
    </row>
    <row r="429" spans="1:10" x14ac:dyDescent="0.3">
      <c r="B429" s="82">
        <v>45752</v>
      </c>
      <c r="C429" s="18" t="s">
        <v>375</v>
      </c>
      <c r="D429" s="19">
        <v>1</v>
      </c>
      <c r="E429" s="19">
        <v>2089.9899999999998</v>
      </c>
      <c r="F429" s="19">
        <f>E429*D429</f>
        <v>2089.9899999999998</v>
      </c>
      <c r="G429" s="19">
        <v>2.33</v>
      </c>
      <c r="H429" s="19">
        <f>E429*G429</f>
        <v>4869.6767</v>
      </c>
      <c r="I429" s="19">
        <f>H429*D429</f>
        <v>4869.6767</v>
      </c>
      <c r="J429" s="18">
        <f>J428+I429</f>
        <v>4869.6767</v>
      </c>
    </row>
    <row r="430" spans="1:10" x14ac:dyDescent="0.3">
      <c r="B430" s="82">
        <v>45752</v>
      </c>
      <c r="C430" s="18" t="s">
        <v>376</v>
      </c>
      <c r="D430" s="19">
        <v>1</v>
      </c>
      <c r="E430" s="19">
        <v>149</v>
      </c>
      <c r="F430" s="19">
        <f t="shared" ref="F430:F432" si="141">E430*D430</f>
        <v>149</v>
      </c>
      <c r="G430" s="19">
        <v>2.33</v>
      </c>
      <c r="H430" s="19">
        <f t="shared" ref="H430:H432" si="142">E430*G430</f>
        <v>347.17</v>
      </c>
      <c r="I430" s="19">
        <f t="shared" ref="I430:I432" si="143">H430*D430</f>
        <v>347.17</v>
      </c>
      <c r="J430" s="18">
        <f t="shared" ref="J430:J432" si="144">J429+I430</f>
        <v>5216.8467000000001</v>
      </c>
    </row>
    <row r="431" spans="1:10" x14ac:dyDescent="0.3">
      <c r="B431" s="82">
        <v>45752</v>
      </c>
      <c r="C431" s="18" t="s">
        <v>377</v>
      </c>
      <c r="D431" s="19">
        <v>1</v>
      </c>
      <c r="E431" s="19">
        <v>2549</v>
      </c>
      <c r="F431" s="19">
        <f t="shared" si="141"/>
        <v>2549</v>
      </c>
      <c r="G431" s="19">
        <v>2.33</v>
      </c>
      <c r="H431" s="19">
        <f t="shared" si="142"/>
        <v>5939.17</v>
      </c>
      <c r="I431" s="19">
        <f t="shared" si="143"/>
        <v>5939.17</v>
      </c>
      <c r="J431" s="18">
        <f t="shared" si="144"/>
        <v>11156.0167</v>
      </c>
    </row>
    <row r="432" spans="1:10" x14ac:dyDescent="0.3">
      <c r="B432" s="19"/>
      <c r="C432" s="19"/>
      <c r="D432" s="19"/>
      <c r="E432" s="19"/>
      <c r="F432" s="19">
        <f t="shared" si="141"/>
        <v>0</v>
      </c>
      <c r="G432" s="19"/>
      <c r="H432" s="19">
        <f t="shared" si="142"/>
        <v>0</v>
      </c>
      <c r="I432" s="19">
        <f t="shared" si="143"/>
        <v>0</v>
      </c>
      <c r="J432" s="18">
        <f t="shared" si="144"/>
        <v>11156.0167</v>
      </c>
    </row>
    <row r="433" spans="1:10" x14ac:dyDescent="0.3">
      <c r="J433"/>
    </row>
    <row r="434" spans="1:10" x14ac:dyDescent="0.3">
      <c r="J434"/>
    </row>
    <row r="435" spans="1:10" ht="21" x14ac:dyDescent="0.4">
      <c r="B435" s="494" t="s">
        <v>387</v>
      </c>
      <c r="C435" s="494"/>
      <c r="D435" s="494"/>
      <c r="E435" s="494"/>
      <c r="F435" s="494"/>
      <c r="G435" s="494"/>
      <c r="H435" s="494"/>
      <c r="I435" s="494"/>
      <c r="J435" s="494"/>
    </row>
    <row r="436" spans="1:10" ht="18" x14ac:dyDescent="0.35">
      <c r="B436" s="204" t="s">
        <v>1</v>
      </c>
      <c r="C436" s="204" t="s">
        <v>2</v>
      </c>
      <c r="D436" s="204" t="s">
        <v>3</v>
      </c>
      <c r="E436" s="204" t="s">
        <v>4</v>
      </c>
      <c r="F436" s="204" t="s">
        <v>36</v>
      </c>
      <c r="G436" s="204" t="s">
        <v>5</v>
      </c>
      <c r="H436" s="204" t="s">
        <v>6</v>
      </c>
      <c r="I436" s="204" t="s">
        <v>7</v>
      </c>
      <c r="J436" s="204"/>
    </row>
    <row r="437" spans="1:10" x14ac:dyDescent="0.3">
      <c r="B437" s="205">
        <v>45755</v>
      </c>
      <c r="C437" s="206" t="s">
        <v>378</v>
      </c>
      <c r="D437" s="207">
        <v>1</v>
      </c>
      <c r="E437" s="377">
        <v>2089.9899999999998</v>
      </c>
      <c r="F437" s="207">
        <f>E437*D437</f>
        <v>2089.9899999999998</v>
      </c>
      <c r="G437" s="207">
        <v>2.33</v>
      </c>
      <c r="H437" s="207">
        <f>E437*G437</f>
        <v>4869.6767</v>
      </c>
      <c r="I437" s="207">
        <f>H437*D437</f>
        <v>4869.6767</v>
      </c>
      <c r="J437" s="206">
        <f>J436+I437</f>
        <v>4869.6767</v>
      </c>
    </row>
    <row r="438" spans="1:10" x14ac:dyDescent="0.3">
      <c r="B438" s="205">
        <v>45755</v>
      </c>
      <c r="C438" s="206" t="s">
        <v>379</v>
      </c>
      <c r="D438" s="207">
        <v>1</v>
      </c>
      <c r="E438" s="377">
        <v>2089.9899999999998</v>
      </c>
      <c r="F438" s="207">
        <f t="shared" ref="F438:F440" si="145">E438*D438</f>
        <v>2089.9899999999998</v>
      </c>
      <c r="G438" s="207">
        <v>2.33</v>
      </c>
      <c r="H438" s="207">
        <f t="shared" ref="H438:H440" si="146">E438*G438</f>
        <v>4869.6767</v>
      </c>
      <c r="I438" s="207">
        <f t="shared" ref="I438:I440" si="147">H438*D438</f>
        <v>4869.6767</v>
      </c>
      <c r="J438" s="206">
        <f t="shared" ref="J438:J440" si="148">J437+I438</f>
        <v>9739.3534</v>
      </c>
    </row>
    <row r="439" spans="1:10" x14ac:dyDescent="0.3">
      <c r="B439" s="205">
        <v>45755</v>
      </c>
      <c r="C439" s="206" t="s">
        <v>379</v>
      </c>
      <c r="D439" s="207">
        <v>1</v>
      </c>
      <c r="E439" s="377">
        <v>2089.9899999999998</v>
      </c>
      <c r="F439" s="207">
        <f t="shared" si="145"/>
        <v>2089.9899999999998</v>
      </c>
      <c r="G439" s="207">
        <v>2.33</v>
      </c>
      <c r="H439" s="207">
        <f t="shared" si="146"/>
        <v>4869.6767</v>
      </c>
      <c r="I439" s="207">
        <f t="shared" si="147"/>
        <v>4869.6767</v>
      </c>
      <c r="J439" s="206">
        <f t="shared" si="148"/>
        <v>14609.0301</v>
      </c>
    </row>
    <row r="440" spans="1:10" x14ac:dyDescent="0.3">
      <c r="B440" s="208"/>
      <c r="C440" s="208"/>
      <c r="D440" s="208"/>
      <c r="E440" s="208"/>
      <c r="F440" s="208">
        <f t="shared" si="145"/>
        <v>0</v>
      </c>
      <c r="G440" s="208"/>
      <c r="H440" s="208">
        <f t="shared" si="146"/>
        <v>0</v>
      </c>
      <c r="I440" s="208">
        <f t="shared" si="147"/>
        <v>0</v>
      </c>
      <c r="J440" s="209">
        <f t="shared" si="148"/>
        <v>14609.0301</v>
      </c>
    </row>
    <row r="441" spans="1:10" x14ac:dyDescent="0.3">
      <c r="B441" s="210"/>
      <c r="C441" s="210"/>
      <c r="D441" s="210"/>
      <c r="E441" s="210"/>
      <c r="F441" s="210"/>
      <c r="G441" s="210"/>
      <c r="H441" s="210"/>
      <c r="I441" s="210"/>
      <c r="J441" s="211"/>
    </row>
    <row r="443" spans="1:10" ht="21" x14ac:dyDescent="0.4">
      <c r="A443" t="s">
        <v>127</v>
      </c>
      <c r="B443" s="492" t="s">
        <v>20</v>
      </c>
      <c r="C443" s="492"/>
      <c r="D443" s="492"/>
      <c r="E443" s="492"/>
      <c r="F443" s="492"/>
      <c r="G443" s="492"/>
      <c r="H443" s="492"/>
      <c r="I443" s="492"/>
      <c r="J443" s="492"/>
    </row>
    <row r="444" spans="1:10" ht="18" x14ac:dyDescent="0.35">
      <c r="A444" t="s">
        <v>212</v>
      </c>
      <c r="B444" s="4" t="s">
        <v>1</v>
      </c>
      <c r="C444" s="4" t="s">
        <v>2</v>
      </c>
      <c r="D444" s="4" t="s">
        <v>3</v>
      </c>
      <c r="E444" s="4" t="s">
        <v>4</v>
      </c>
      <c r="F444" s="4" t="s">
        <v>36</v>
      </c>
      <c r="G444" s="4" t="s">
        <v>5</v>
      </c>
      <c r="H444" s="4" t="s">
        <v>6</v>
      </c>
      <c r="I444" s="4" t="s">
        <v>7</v>
      </c>
      <c r="J444" s="4"/>
    </row>
    <row r="445" spans="1:10" x14ac:dyDescent="0.3">
      <c r="B445" s="82">
        <v>45756</v>
      </c>
      <c r="C445" s="81" t="s">
        <v>405</v>
      </c>
      <c r="D445" s="19">
        <v>10</v>
      </c>
      <c r="E445" s="19">
        <v>724</v>
      </c>
      <c r="F445" s="19">
        <f>E445*D445</f>
        <v>7240</v>
      </c>
      <c r="G445" s="19">
        <v>2.29</v>
      </c>
      <c r="H445" s="19">
        <f>E445*G445</f>
        <v>1657.96</v>
      </c>
      <c r="I445" s="19">
        <f>H445*D445</f>
        <v>16579.599999999999</v>
      </c>
      <c r="J445" s="18">
        <f>J444+I445</f>
        <v>16579.599999999999</v>
      </c>
    </row>
    <row r="446" spans="1:10" x14ac:dyDescent="0.3">
      <c r="B446" s="82">
        <v>45756</v>
      </c>
      <c r="C446" s="81" t="s">
        <v>406</v>
      </c>
      <c r="D446" s="19">
        <v>2</v>
      </c>
      <c r="E446" s="19">
        <v>1749.99</v>
      </c>
      <c r="F446" s="19">
        <f t="shared" ref="F446:F453" si="149">E446*D446</f>
        <v>3499.98</v>
      </c>
      <c r="G446" s="19">
        <v>2.29</v>
      </c>
      <c r="H446" s="19">
        <f t="shared" ref="H446:H453" si="150">E446*G446</f>
        <v>4007.4771000000001</v>
      </c>
      <c r="I446" s="19">
        <f t="shared" ref="I446:I453" si="151">H446*D446</f>
        <v>8014.9542000000001</v>
      </c>
      <c r="J446" s="18">
        <f t="shared" ref="J446:J453" si="152">J445+I446</f>
        <v>24594.554199999999</v>
      </c>
    </row>
    <row r="447" spans="1:10" x14ac:dyDescent="0.3">
      <c r="B447" s="82">
        <v>45756</v>
      </c>
      <c r="C447" s="81" t="s">
        <v>407</v>
      </c>
      <c r="D447" s="19">
        <v>2</v>
      </c>
      <c r="E447" s="19">
        <v>1749.99</v>
      </c>
      <c r="F447" s="19">
        <f t="shared" si="149"/>
        <v>3499.98</v>
      </c>
      <c r="G447" s="19">
        <v>2.29</v>
      </c>
      <c r="H447" s="19">
        <f t="shared" si="150"/>
        <v>4007.4771000000001</v>
      </c>
      <c r="I447" s="19">
        <f t="shared" si="151"/>
        <v>8014.9542000000001</v>
      </c>
      <c r="J447" s="18">
        <f t="shared" si="152"/>
        <v>32609.508399999999</v>
      </c>
    </row>
    <row r="448" spans="1:10" x14ac:dyDescent="0.3">
      <c r="B448" s="82">
        <v>45756</v>
      </c>
      <c r="C448" s="81" t="s">
        <v>406</v>
      </c>
      <c r="D448" s="19">
        <v>3</v>
      </c>
      <c r="E448" s="19">
        <v>1749.99</v>
      </c>
      <c r="F448" s="19">
        <f t="shared" si="149"/>
        <v>5249.97</v>
      </c>
      <c r="G448" s="19">
        <v>2.29</v>
      </c>
      <c r="H448" s="19">
        <f t="shared" si="150"/>
        <v>4007.4771000000001</v>
      </c>
      <c r="I448" s="19">
        <f t="shared" si="151"/>
        <v>12022.4313</v>
      </c>
      <c r="J448" s="18">
        <f t="shared" si="152"/>
        <v>44631.939700000003</v>
      </c>
    </row>
    <row r="449" spans="1:10" x14ac:dyDescent="0.3">
      <c r="B449" s="82">
        <v>45756</v>
      </c>
      <c r="C449" s="81" t="s">
        <v>408</v>
      </c>
      <c r="D449" s="19">
        <v>6</v>
      </c>
      <c r="E449" s="19">
        <v>1749.99</v>
      </c>
      <c r="F449" s="19">
        <f t="shared" si="149"/>
        <v>10499.94</v>
      </c>
      <c r="G449" s="19">
        <v>2.29</v>
      </c>
      <c r="H449" s="19">
        <f t="shared" si="150"/>
        <v>4007.4771000000001</v>
      </c>
      <c r="I449" s="19">
        <f t="shared" si="151"/>
        <v>24044.8626</v>
      </c>
      <c r="J449" s="18">
        <f t="shared" si="152"/>
        <v>68676.80230000001</v>
      </c>
    </row>
    <row r="450" spans="1:10" x14ac:dyDescent="0.3">
      <c r="B450" s="19"/>
      <c r="C450" s="96"/>
      <c r="D450" s="19"/>
      <c r="E450" s="19"/>
      <c r="F450" s="19">
        <f t="shared" si="149"/>
        <v>0</v>
      </c>
      <c r="G450" s="19"/>
      <c r="H450" s="19">
        <f t="shared" si="150"/>
        <v>0</v>
      </c>
      <c r="I450" s="19">
        <f t="shared" si="151"/>
        <v>0</v>
      </c>
      <c r="J450" s="18">
        <f t="shared" si="152"/>
        <v>68676.80230000001</v>
      </c>
    </row>
    <row r="451" spans="1:10" x14ac:dyDescent="0.3">
      <c r="B451" s="82">
        <v>45756</v>
      </c>
      <c r="C451" s="258" t="s">
        <v>611</v>
      </c>
      <c r="D451" s="19">
        <v>5</v>
      </c>
      <c r="E451" s="19">
        <v>2199</v>
      </c>
      <c r="F451" s="19">
        <f t="shared" si="149"/>
        <v>10995</v>
      </c>
      <c r="G451" s="19">
        <v>2.29</v>
      </c>
      <c r="H451" s="19">
        <f t="shared" si="150"/>
        <v>5035.71</v>
      </c>
      <c r="I451" s="19">
        <f t="shared" si="151"/>
        <v>25178.55</v>
      </c>
      <c r="J451" s="18">
        <f t="shared" si="152"/>
        <v>93855.352300000013</v>
      </c>
    </row>
    <row r="452" spans="1:10" x14ac:dyDescent="0.3">
      <c r="B452" s="219">
        <v>45756</v>
      </c>
      <c r="C452" s="220" t="s">
        <v>524</v>
      </c>
      <c r="D452" s="221"/>
      <c r="E452" s="221"/>
      <c r="F452" s="221">
        <f t="shared" si="149"/>
        <v>0</v>
      </c>
      <c r="G452" s="221"/>
      <c r="H452" s="221">
        <f t="shared" si="150"/>
        <v>0</v>
      </c>
      <c r="I452" s="221">
        <f t="shared" si="151"/>
        <v>0</v>
      </c>
      <c r="J452" s="222">
        <f t="shared" si="152"/>
        <v>93855.352300000013</v>
      </c>
    </row>
    <row r="453" spans="1:10" x14ac:dyDescent="0.3">
      <c r="B453" s="19"/>
      <c r="C453" s="19"/>
      <c r="D453" s="19"/>
      <c r="E453" s="19"/>
      <c r="F453" s="19">
        <f t="shared" si="149"/>
        <v>0</v>
      </c>
      <c r="G453" s="19"/>
      <c r="H453" s="19">
        <f t="shared" si="150"/>
        <v>0</v>
      </c>
      <c r="I453" s="19">
        <f t="shared" si="151"/>
        <v>0</v>
      </c>
      <c r="J453" s="18">
        <f t="shared" si="152"/>
        <v>93855.352300000013</v>
      </c>
    </row>
    <row r="456" spans="1:10" ht="21" x14ac:dyDescent="0.4">
      <c r="A456" t="s">
        <v>127</v>
      </c>
      <c r="B456" s="492" t="s">
        <v>20</v>
      </c>
      <c r="C456" s="492"/>
      <c r="D456" s="492"/>
      <c r="E456" s="492"/>
      <c r="F456" s="492"/>
      <c r="G456" s="492"/>
      <c r="H456" s="492"/>
      <c r="I456" s="492"/>
      <c r="J456" s="492"/>
    </row>
    <row r="457" spans="1:10" ht="18" x14ac:dyDescent="0.35">
      <c r="A457" t="s">
        <v>212</v>
      </c>
      <c r="B457" s="4" t="s">
        <v>1</v>
      </c>
      <c r="C457" s="4" t="s">
        <v>2</v>
      </c>
      <c r="D457" s="4" t="s">
        <v>3</v>
      </c>
      <c r="E457" s="4" t="s">
        <v>4</v>
      </c>
      <c r="F457" s="4" t="s">
        <v>36</v>
      </c>
      <c r="G457" s="4" t="s">
        <v>5</v>
      </c>
      <c r="H457" s="4" t="s">
        <v>6</v>
      </c>
      <c r="I457" s="4" t="s">
        <v>7</v>
      </c>
      <c r="J457" s="4"/>
    </row>
    <row r="458" spans="1:10" x14ac:dyDescent="0.3">
      <c r="B458" s="82">
        <v>45757</v>
      </c>
      <c r="C458" s="18" t="s">
        <v>410</v>
      </c>
      <c r="D458" s="19">
        <v>1</v>
      </c>
      <c r="E458" s="145">
        <v>449</v>
      </c>
      <c r="F458" s="19">
        <f>E458*D458</f>
        <v>449</v>
      </c>
      <c r="G458" s="19">
        <v>2.29</v>
      </c>
      <c r="H458" s="19">
        <f>E458*G458</f>
        <v>1028.21</v>
      </c>
      <c r="I458" s="19">
        <f>H458*D458</f>
        <v>1028.21</v>
      </c>
      <c r="J458" s="18">
        <f>J457+I458</f>
        <v>1028.21</v>
      </c>
    </row>
    <row r="459" spans="1:10" x14ac:dyDescent="0.3">
      <c r="B459" s="97">
        <v>45757</v>
      </c>
      <c r="C459" s="109" t="s">
        <v>411</v>
      </c>
      <c r="D459" s="126">
        <v>2</v>
      </c>
      <c r="E459" s="146">
        <v>689</v>
      </c>
      <c r="F459" s="126">
        <f t="shared" ref="F459:F462" si="153">E459*D459</f>
        <v>1378</v>
      </c>
      <c r="G459" s="19">
        <v>2.29</v>
      </c>
      <c r="H459" s="126">
        <f t="shared" ref="H459:H462" si="154">E459*G459</f>
        <v>1577.81</v>
      </c>
      <c r="I459" s="126">
        <f t="shared" ref="I459:I462" si="155">H459*D459</f>
        <v>3155.62</v>
      </c>
      <c r="J459" s="109">
        <f t="shared" ref="J459:J462" si="156">J458+I459</f>
        <v>4183.83</v>
      </c>
    </row>
    <row r="460" spans="1:10" x14ac:dyDescent="0.3">
      <c r="B460" s="82">
        <v>45757</v>
      </c>
      <c r="C460" s="18" t="s">
        <v>412</v>
      </c>
      <c r="D460" s="19">
        <v>8</v>
      </c>
      <c r="E460" s="145">
        <v>724</v>
      </c>
      <c r="F460" s="19">
        <f t="shared" si="153"/>
        <v>5792</v>
      </c>
      <c r="G460" s="19">
        <v>2.29</v>
      </c>
      <c r="H460" s="19">
        <f t="shared" si="154"/>
        <v>1657.96</v>
      </c>
      <c r="I460" s="19">
        <f t="shared" si="155"/>
        <v>13263.68</v>
      </c>
      <c r="J460" s="18">
        <f t="shared" si="156"/>
        <v>17447.510000000002</v>
      </c>
    </row>
    <row r="461" spans="1:10" x14ac:dyDescent="0.3">
      <c r="B461" s="82">
        <v>45757</v>
      </c>
      <c r="C461" s="18" t="s">
        <v>413</v>
      </c>
      <c r="D461" s="19">
        <v>5</v>
      </c>
      <c r="E461" s="145">
        <v>724</v>
      </c>
      <c r="F461" s="19">
        <f t="shared" si="153"/>
        <v>3620</v>
      </c>
      <c r="G461" s="19">
        <v>2.29</v>
      </c>
      <c r="H461" s="19">
        <f t="shared" si="154"/>
        <v>1657.96</v>
      </c>
      <c r="I461" s="19">
        <f t="shared" si="155"/>
        <v>8289.7999999999993</v>
      </c>
      <c r="J461" s="18">
        <f t="shared" si="156"/>
        <v>25737.31</v>
      </c>
    </row>
    <row r="462" spans="1:10" x14ac:dyDescent="0.3">
      <c r="B462" s="19"/>
      <c r="C462" s="19"/>
      <c r="D462" s="19"/>
      <c r="E462" s="19"/>
      <c r="F462" s="19">
        <f t="shared" si="153"/>
        <v>0</v>
      </c>
      <c r="G462" s="19"/>
      <c r="H462" s="19">
        <f t="shared" si="154"/>
        <v>0</v>
      </c>
      <c r="I462" s="19">
        <f t="shared" si="155"/>
        <v>0</v>
      </c>
      <c r="J462" s="18">
        <f t="shared" si="156"/>
        <v>25737.31</v>
      </c>
    </row>
    <row r="463" spans="1:10" x14ac:dyDescent="0.3">
      <c r="J463"/>
    </row>
    <row r="464" spans="1:10" x14ac:dyDescent="0.3">
      <c r="J464"/>
    </row>
    <row r="465" spans="1:10" ht="21" x14ac:dyDescent="0.4">
      <c r="A465" t="s">
        <v>127</v>
      </c>
      <c r="B465" s="492" t="s">
        <v>20</v>
      </c>
      <c r="C465" s="492"/>
      <c r="D465" s="492"/>
      <c r="E465" s="492"/>
      <c r="F465" s="492"/>
      <c r="G465" s="492"/>
      <c r="H465" s="492"/>
      <c r="I465" s="492"/>
      <c r="J465" s="492"/>
    </row>
    <row r="466" spans="1:10" ht="18" x14ac:dyDescent="0.35">
      <c r="A466" t="s">
        <v>212</v>
      </c>
      <c r="B466" s="4" t="s">
        <v>1</v>
      </c>
      <c r="C466" s="4" t="s">
        <v>2</v>
      </c>
      <c r="D466" s="4" t="s">
        <v>3</v>
      </c>
      <c r="E466" s="4" t="s">
        <v>4</v>
      </c>
      <c r="F466" s="4" t="s">
        <v>36</v>
      </c>
      <c r="G466" s="4" t="s">
        <v>5</v>
      </c>
      <c r="H466" s="4" t="s">
        <v>6</v>
      </c>
      <c r="I466" s="4" t="s">
        <v>7</v>
      </c>
      <c r="J466" s="4"/>
    </row>
    <row r="467" spans="1:10" x14ac:dyDescent="0.3">
      <c r="B467" s="82">
        <v>45758</v>
      </c>
      <c r="C467" s="18" t="s">
        <v>413</v>
      </c>
      <c r="D467" s="19">
        <v>11</v>
      </c>
      <c r="E467" s="145">
        <v>724</v>
      </c>
      <c r="F467" s="19">
        <f>E467*D467</f>
        <v>7964</v>
      </c>
      <c r="G467" s="19">
        <v>2.29</v>
      </c>
      <c r="H467" s="19">
        <f>E467*G467</f>
        <v>1657.96</v>
      </c>
      <c r="I467" s="19">
        <f>H467*D467</f>
        <v>18237.560000000001</v>
      </c>
      <c r="J467" s="18">
        <f>J466+I467</f>
        <v>18237.560000000001</v>
      </c>
    </row>
    <row r="468" spans="1:10" x14ac:dyDescent="0.3">
      <c r="B468" s="82">
        <v>45758</v>
      </c>
      <c r="C468" s="18" t="s">
        <v>414</v>
      </c>
      <c r="D468" s="19">
        <v>3</v>
      </c>
      <c r="E468" s="145">
        <v>2549.9899999999998</v>
      </c>
      <c r="F468" s="19">
        <f t="shared" ref="F468:F470" si="157">E468*D468</f>
        <v>7649.9699999999993</v>
      </c>
      <c r="G468" s="19">
        <v>2.29</v>
      </c>
      <c r="H468" s="19">
        <f t="shared" ref="H468:H470" si="158">E468*G468</f>
        <v>5839.4770999999992</v>
      </c>
      <c r="I468" s="19">
        <f t="shared" ref="I468:I470" si="159">H468*D468</f>
        <v>17518.431299999997</v>
      </c>
      <c r="J468" s="18">
        <f t="shared" ref="J468:J470" si="160">J467+I468</f>
        <v>35755.991299999994</v>
      </c>
    </row>
    <row r="469" spans="1:10" x14ac:dyDescent="0.3">
      <c r="B469" s="82">
        <v>45758</v>
      </c>
      <c r="C469" s="18" t="s">
        <v>415</v>
      </c>
      <c r="D469" s="19">
        <v>1</v>
      </c>
      <c r="E469" s="145">
        <v>2549.9899999999998</v>
      </c>
      <c r="F469" s="19">
        <f t="shared" si="157"/>
        <v>2549.9899999999998</v>
      </c>
      <c r="G469" s="19">
        <v>2.29</v>
      </c>
      <c r="H469" s="19">
        <f t="shared" si="158"/>
        <v>5839.4770999999992</v>
      </c>
      <c r="I469" s="19">
        <f t="shared" si="159"/>
        <v>5839.4770999999992</v>
      </c>
      <c r="J469" s="18">
        <f t="shared" si="160"/>
        <v>41595.468399999991</v>
      </c>
    </row>
    <row r="470" spans="1:10" x14ac:dyDescent="0.3">
      <c r="B470" s="19"/>
      <c r="C470" s="19"/>
      <c r="D470" s="19"/>
      <c r="E470" s="19"/>
      <c r="F470" s="19">
        <f t="shared" si="157"/>
        <v>0</v>
      </c>
      <c r="G470" s="19"/>
      <c r="H470" s="19">
        <f t="shared" si="158"/>
        <v>0</v>
      </c>
      <c r="I470" s="19">
        <f t="shared" si="159"/>
        <v>0</v>
      </c>
      <c r="J470" s="18">
        <f t="shared" si="160"/>
        <v>41595.468399999991</v>
      </c>
    </row>
    <row r="471" spans="1:10" x14ac:dyDescent="0.3">
      <c r="J471"/>
    </row>
    <row r="472" spans="1:10" ht="21" x14ac:dyDescent="0.4">
      <c r="A472" t="s">
        <v>127</v>
      </c>
      <c r="B472" s="492" t="s">
        <v>420</v>
      </c>
      <c r="C472" s="492"/>
      <c r="D472" s="492"/>
      <c r="E472" s="492"/>
      <c r="F472" s="492"/>
      <c r="G472" s="492"/>
      <c r="H472" s="492"/>
      <c r="I472" s="492"/>
      <c r="J472" s="492"/>
    </row>
    <row r="473" spans="1:10" ht="18" x14ac:dyDescent="0.35">
      <c r="A473" t="s">
        <v>212</v>
      </c>
      <c r="B473" s="4" t="s">
        <v>1</v>
      </c>
      <c r="C473" s="4" t="s">
        <v>2</v>
      </c>
      <c r="D473" s="4" t="s">
        <v>3</v>
      </c>
      <c r="E473" s="4" t="s">
        <v>4</v>
      </c>
      <c r="F473" s="4" t="s">
        <v>36</v>
      </c>
      <c r="G473" s="4" t="s">
        <v>5</v>
      </c>
      <c r="H473" s="4" t="s">
        <v>6</v>
      </c>
      <c r="I473" s="4" t="s">
        <v>7</v>
      </c>
      <c r="J473" s="4"/>
    </row>
    <row r="474" spans="1:10" s="1" customFormat="1" x14ac:dyDescent="0.3">
      <c r="B474" s="82">
        <v>45752</v>
      </c>
      <c r="C474" s="19" t="s">
        <v>421</v>
      </c>
      <c r="D474" s="19">
        <v>6</v>
      </c>
      <c r="E474" s="19">
        <v>2089.9899999999998</v>
      </c>
      <c r="F474" s="19">
        <f>E474*D474</f>
        <v>12539.939999999999</v>
      </c>
      <c r="G474" s="19">
        <v>2.33</v>
      </c>
      <c r="H474" s="19">
        <f>E474*G474</f>
        <v>4869.6767</v>
      </c>
      <c r="I474" s="19">
        <f>H474*D474</f>
        <v>29218.0602</v>
      </c>
      <c r="J474" s="18">
        <f>J473+I474</f>
        <v>29218.0602</v>
      </c>
    </row>
    <row r="475" spans="1:10" s="1" customFormat="1" x14ac:dyDescent="0.3">
      <c r="B475" s="19"/>
      <c r="C475" s="19"/>
      <c r="D475" s="19"/>
      <c r="E475" s="19"/>
      <c r="F475" s="19">
        <f t="shared" ref="F475" si="161">E475*D475</f>
        <v>0</v>
      </c>
      <c r="G475" s="19"/>
      <c r="H475" s="19">
        <f t="shared" ref="H475" si="162">E475*G475</f>
        <v>0</v>
      </c>
      <c r="I475" s="19">
        <f t="shared" ref="I475" si="163">H475*D475</f>
        <v>0</v>
      </c>
      <c r="J475" s="18">
        <f t="shared" ref="J475" si="164">J474+I475</f>
        <v>29218.0602</v>
      </c>
    </row>
    <row r="476" spans="1:10" s="1" customFormat="1" x14ac:dyDescent="0.3">
      <c r="J476"/>
    </row>
    <row r="477" spans="1:10" x14ac:dyDescent="0.3">
      <c r="J477"/>
    </row>
    <row r="478" spans="1:10" x14ac:dyDescent="0.3">
      <c r="J478"/>
    </row>
    <row r="479" spans="1:10" ht="21" x14ac:dyDescent="0.4">
      <c r="A479" t="s">
        <v>127</v>
      </c>
      <c r="B479" s="492" t="s">
        <v>391</v>
      </c>
      <c r="C479" s="492"/>
      <c r="D479" s="492"/>
      <c r="E479" s="492"/>
      <c r="F479" s="492"/>
      <c r="G479" s="492"/>
      <c r="H479" s="492"/>
      <c r="I479" s="492"/>
      <c r="J479" s="492"/>
    </row>
    <row r="480" spans="1:10" ht="18" x14ac:dyDescent="0.35">
      <c r="B480" s="4" t="s">
        <v>1</v>
      </c>
      <c r="C480" s="4" t="s">
        <v>2</v>
      </c>
      <c r="D480" s="4" t="s">
        <v>3</v>
      </c>
      <c r="E480" s="4" t="s">
        <v>134</v>
      </c>
      <c r="F480" s="4" t="s">
        <v>135</v>
      </c>
      <c r="G480" s="4" t="s">
        <v>5</v>
      </c>
      <c r="H480" s="4" t="s">
        <v>6</v>
      </c>
      <c r="I480" s="4" t="s">
        <v>7</v>
      </c>
      <c r="J480" s="4"/>
    </row>
    <row r="481" spans="1:15" x14ac:dyDescent="0.3">
      <c r="B481" s="219">
        <v>45758</v>
      </c>
      <c r="C481" s="220" t="s">
        <v>617</v>
      </c>
      <c r="D481" s="221">
        <v>9</v>
      </c>
      <c r="E481" s="221">
        <v>425</v>
      </c>
      <c r="F481" s="221">
        <f t="shared" ref="F481:F489" si="165">E481*D481</f>
        <v>3825</v>
      </c>
      <c r="G481" s="221">
        <v>3.63</v>
      </c>
      <c r="H481" s="221">
        <f t="shared" ref="H481:H489" si="166">E481*G481</f>
        <v>1542.75</v>
      </c>
      <c r="I481" s="221">
        <f t="shared" ref="I481:I489" si="167">H481*D481</f>
        <v>13884.75</v>
      </c>
      <c r="J481" s="222">
        <f t="shared" ref="J481:J489" si="168">J480+I481</f>
        <v>13884.75</v>
      </c>
    </row>
    <row r="482" spans="1:15" x14ac:dyDescent="0.3">
      <c r="B482" s="19"/>
      <c r="C482" s="81"/>
      <c r="D482" s="19"/>
      <c r="E482" s="19"/>
      <c r="F482" s="19">
        <f t="shared" si="165"/>
        <v>0</v>
      </c>
      <c r="G482" s="19"/>
      <c r="H482" s="19">
        <f t="shared" si="166"/>
        <v>0</v>
      </c>
      <c r="I482" s="19">
        <f t="shared" si="167"/>
        <v>0</v>
      </c>
      <c r="J482" s="18">
        <f t="shared" si="168"/>
        <v>13884.75</v>
      </c>
    </row>
    <row r="483" spans="1:15" x14ac:dyDescent="0.3">
      <c r="B483" s="82">
        <v>45758</v>
      </c>
      <c r="C483" s="81" t="s">
        <v>392</v>
      </c>
      <c r="D483" s="19">
        <v>18</v>
      </c>
      <c r="E483" s="19">
        <v>133</v>
      </c>
      <c r="F483" s="19">
        <f t="shared" si="165"/>
        <v>2394</v>
      </c>
      <c r="G483" s="19">
        <v>3.63</v>
      </c>
      <c r="H483" s="19">
        <f t="shared" si="166"/>
        <v>482.78999999999996</v>
      </c>
      <c r="I483" s="19">
        <f t="shared" si="167"/>
        <v>8690.2199999999993</v>
      </c>
      <c r="J483" s="18">
        <f t="shared" si="168"/>
        <v>22574.97</v>
      </c>
    </row>
    <row r="484" spans="1:15" x14ac:dyDescent="0.3">
      <c r="B484" s="97">
        <v>45758</v>
      </c>
      <c r="C484" s="138" t="s">
        <v>396</v>
      </c>
      <c r="D484" s="126">
        <v>1</v>
      </c>
      <c r="E484" s="126"/>
      <c r="F484" s="126">
        <f t="shared" si="165"/>
        <v>0</v>
      </c>
      <c r="G484" s="126"/>
      <c r="H484" s="126">
        <f t="shared" si="166"/>
        <v>0</v>
      </c>
      <c r="I484" s="126">
        <f t="shared" si="167"/>
        <v>0</v>
      </c>
      <c r="J484" s="109">
        <f t="shared" si="168"/>
        <v>22574.97</v>
      </c>
    </row>
    <row r="485" spans="1:15" x14ac:dyDescent="0.3">
      <c r="B485" s="82">
        <v>45758</v>
      </c>
      <c r="C485" s="81" t="s">
        <v>393</v>
      </c>
      <c r="D485" s="19">
        <v>30</v>
      </c>
      <c r="E485" s="19">
        <v>143</v>
      </c>
      <c r="F485" s="19">
        <f t="shared" si="165"/>
        <v>4290</v>
      </c>
      <c r="G485" s="19">
        <v>3.63</v>
      </c>
      <c r="H485" s="19">
        <f t="shared" si="166"/>
        <v>519.09</v>
      </c>
      <c r="I485" s="19">
        <f t="shared" si="167"/>
        <v>15572.7</v>
      </c>
      <c r="J485" s="18">
        <f t="shared" si="168"/>
        <v>38147.67</v>
      </c>
    </row>
    <row r="486" spans="1:15" x14ac:dyDescent="0.3">
      <c r="B486" s="82">
        <v>45758</v>
      </c>
      <c r="C486" s="81" t="s">
        <v>394</v>
      </c>
      <c r="D486" s="19">
        <v>12</v>
      </c>
      <c r="E486" s="19">
        <v>160</v>
      </c>
      <c r="F486" s="19">
        <f t="shared" si="165"/>
        <v>1920</v>
      </c>
      <c r="G486" s="19">
        <v>3.63</v>
      </c>
      <c r="H486" s="19">
        <f t="shared" si="166"/>
        <v>580.79999999999995</v>
      </c>
      <c r="I486" s="19">
        <f t="shared" si="167"/>
        <v>6969.5999999999995</v>
      </c>
      <c r="J486" s="18">
        <f t="shared" si="168"/>
        <v>45117.27</v>
      </c>
    </row>
    <row r="487" spans="1:15" x14ac:dyDescent="0.3">
      <c r="B487" s="82">
        <v>45758</v>
      </c>
      <c r="C487" s="81" t="s">
        <v>395</v>
      </c>
      <c r="D487" s="19">
        <v>19</v>
      </c>
      <c r="E487" s="19">
        <v>144</v>
      </c>
      <c r="F487" s="19">
        <f t="shared" si="165"/>
        <v>2736</v>
      </c>
      <c r="G487" s="19">
        <v>3.63</v>
      </c>
      <c r="H487" s="19">
        <f t="shared" si="166"/>
        <v>522.72</v>
      </c>
      <c r="I487" s="19">
        <f t="shared" si="167"/>
        <v>9931.68</v>
      </c>
      <c r="J487" s="18">
        <f t="shared" si="168"/>
        <v>55048.95</v>
      </c>
    </row>
    <row r="488" spans="1:15" x14ac:dyDescent="0.3">
      <c r="B488" s="82">
        <v>45758</v>
      </c>
      <c r="C488" s="81" t="s">
        <v>426</v>
      </c>
      <c r="D488" s="19">
        <v>3</v>
      </c>
      <c r="E488" s="19">
        <v>100</v>
      </c>
      <c r="F488" s="19">
        <f t="shared" si="165"/>
        <v>300</v>
      </c>
      <c r="G488" s="19">
        <v>3.63</v>
      </c>
      <c r="H488" s="19">
        <f t="shared" si="166"/>
        <v>363</v>
      </c>
      <c r="I488" s="19">
        <f t="shared" si="167"/>
        <v>1089</v>
      </c>
      <c r="J488" s="18">
        <f t="shared" si="168"/>
        <v>56137.95</v>
      </c>
    </row>
    <row r="489" spans="1:15" x14ac:dyDescent="0.3">
      <c r="B489" s="19"/>
      <c r="C489" s="19" t="s">
        <v>427</v>
      </c>
      <c r="D489" s="19">
        <v>1</v>
      </c>
      <c r="E489" s="19">
        <v>480</v>
      </c>
      <c r="F489" s="19">
        <f t="shared" si="165"/>
        <v>480</v>
      </c>
      <c r="G489" s="19">
        <v>3.63</v>
      </c>
      <c r="H489" s="19">
        <f t="shared" si="166"/>
        <v>1742.3999999999999</v>
      </c>
      <c r="I489" s="19">
        <f t="shared" si="167"/>
        <v>1742.3999999999999</v>
      </c>
      <c r="J489" s="18">
        <f t="shared" si="168"/>
        <v>57880.35</v>
      </c>
    </row>
    <row r="493" spans="1:15" ht="21" x14ac:dyDescent="0.4">
      <c r="B493" s="230"/>
      <c r="C493" s="230"/>
      <c r="D493" s="230"/>
      <c r="E493" s="230"/>
      <c r="F493" s="230"/>
      <c r="G493" s="230"/>
      <c r="H493" s="230"/>
      <c r="I493" s="230" t="s">
        <v>514</v>
      </c>
      <c r="J493" s="230"/>
    </row>
    <row r="494" spans="1:15" ht="21" x14ac:dyDescent="0.4">
      <c r="B494" s="493" t="s">
        <v>20</v>
      </c>
      <c r="C494" s="493"/>
      <c r="D494" s="493"/>
      <c r="E494" s="493"/>
      <c r="F494" s="493"/>
      <c r="G494" s="493"/>
      <c r="H494" s="493"/>
      <c r="I494" s="493"/>
      <c r="J494" s="493"/>
      <c r="K494" s="493"/>
      <c r="L494" s="493"/>
      <c r="M494" s="493"/>
      <c r="N494" s="493"/>
      <c r="O494" s="493"/>
    </row>
    <row r="495" spans="1:15" ht="18" x14ac:dyDescent="0.35">
      <c r="B495" s="231" t="s">
        <v>1</v>
      </c>
      <c r="C495" s="231" t="s">
        <v>2</v>
      </c>
      <c r="D495" s="231" t="s">
        <v>459</v>
      </c>
      <c r="E495" s="231" t="s">
        <v>33</v>
      </c>
      <c r="F495" s="231" t="s">
        <v>3</v>
      </c>
      <c r="G495" s="231" t="s">
        <v>460</v>
      </c>
      <c r="H495" s="231" t="s">
        <v>466</v>
      </c>
      <c r="I495" s="231" t="s">
        <v>461</v>
      </c>
      <c r="J495" s="231" t="s">
        <v>462</v>
      </c>
      <c r="K495" s="231" t="s">
        <v>463</v>
      </c>
      <c r="L495" s="231" t="s">
        <v>464</v>
      </c>
      <c r="M495" s="231" t="s">
        <v>465</v>
      </c>
      <c r="N495" s="231" t="s">
        <v>7</v>
      </c>
      <c r="O495" s="29"/>
    </row>
    <row r="496" spans="1:15" x14ac:dyDescent="0.3">
      <c r="A496" t="s">
        <v>127</v>
      </c>
      <c r="B496" s="97">
        <v>45759</v>
      </c>
      <c r="C496" s="109" t="s">
        <v>458</v>
      </c>
      <c r="D496" s="126" t="s">
        <v>468</v>
      </c>
      <c r="E496" s="126" t="s">
        <v>470</v>
      </c>
      <c r="F496" s="126">
        <v>1</v>
      </c>
      <c r="G496" s="189">
        <v>2299</v>
      </c>
      <c r="H496" s="126">
        <v>10</v>
      </c>
      <c r="I496" s="126">
        <f>G496*H496%</f>
        <v>229.9</v>
      </c>
      <c r="J496" s="126">
        <f>G496-I496</f>
        <v>2069.1</v>
      </c>
      <c r="K496" s="109">
        <f>F496*J496</f>
        <v>2069.1</v>
      </c>
      <c r="L496" s="109">
        <v>2.29</v>
      </c>
      <c r="M496" s="109">
        <f>J496*L496</f>
        <v>4738.2389999999996</v>
      </c>
      <c r="N496" s="109">
        <f>F496*M496</f>
        <v>4738.2389999999996</v>
      </c>
      <c r="O496" s="109">
        <f>O495+N496</f>
        <v>4738.2389999999996</v>
      </c>
    </row>
    <row r="497" spans="1:19" x14ac:dyDescent="0.3">
      <c r="A497" t="s">
        <v>127</v>
      </c>
      <c r="B497" s="97">
        <v>45759</v>
      </c>
      <c r="C497" s="109" t="s">
        <v>469</v>
      </c>
      <c r="D497" s="126" t="s">
        <v>468</v>
      </c>
      <c r="E497" s="126" t="s">
        <v>470</v>
      </c>
      <c r="F497" s="126">
        <v>1</v>
      </c>
      <c r="G497" s="189">
        <v>2299</v>
      </c>
      <c r="H497" s="126">
        <v>10</v>
      </c>
      <c r="I497" s="126">
        <f t="shared" ref="I497:I505" si="169">G497*H497%</f>
        <v>229.9</v>
      </c>
      <c r="J497" s="126">
        <f t="shared" ref="J497:J505" si="170">G497-I497</f>
        <v>2069.1</v>
      </c>
      <c r="K497" s="109">
        <f t="shared" ref="K497:K505" si="171">F497*J497</f>
        <v>2069.1</v>
      </c>
      <c r="L497" s="109">
        <v>2.29</v>
      </c>
      <c r="M497" s="109">
        <f t="shared" ref="M497:M505" si="172">J497*L497</f>
        <v>4738.2389999999996</v>
      </c>
      <c r="N497" s="109">
        <f t="shared" ref="N497:N505" si="173">F497*M497</f>
        <v>4738.2389999999996</v>
      </c>
      <c r="O497" s="109">
        <f t="shared" ref="O497:O505" si="174">O496+N497</f>
        <v>9476.4779999999992</v>
      </c>
    </row>
    <row r="498" spans="1:19" x14ac:dyDescent="0.3">
      <c r="A498" t="s">
        <v>127</v>
      </c>
      <c r="B498" s="97">
        <v>45759</v>
      </c>
      <c r="C498" s="109" t="s">
        <v>471</v>
      </c>
      <c r="D498" s="126" t="s">
        <v>468</v>
      </c>
      <c r="E498" s="126" t="s">
        <v>470</v>
      </c>
      <c r="F498" s="126">
        <v>1</v>
      </c>
      <c r="G498" s="189">
        <v>724</v>
      </c>
      <c r="H498" s="126">
        <v>10</v>
      </c>
      <c r="I498" s="126">
        <f t="shared" si="169"/>
        <v>72.400000000000006</v>
      </c>
      <c r="J498" s="126">
        <f t="shared" si="170"/>
        <v>651.6</v>
      </c>
      <c r="K498" s="109">
        <f t="shared" si="171"/>
        <v>651.6</v>
      </c>
      <c r="L498" s="109">
        <v>2.29</v>
      </c>
      <c r="M498" s="109">
        <f t="shared" si="172"/>
        <v>1492.164</v>
      </c>
      <c r="N498" s="109">
        <f t="shared" si="173"/>
        <v>1492.164</v>
      </c>
      <c r="O498" s="109">
        <f t="shared" si="174"/>
        <v>10968.642</v>
      </c>
    </row>
    <row r="499" spans="1:19" x14ac:dyDescent="0.3">
      <c r="A499" t="s">
        <v>127</v>
      </c>
      <c r="B499" s="97">
        <v>45759</v>
      </c>
      <c r="C499" s="109" t="s">
        <v>472</v>
      </c>
      <c r="D499" s="126" t="s">
        <v>468</v>
      </c>
      <c r="E499" s="126" t="s">
        <v>470</v>
      </c>
      <c r="F499" s="126">
        <v>3</v>
      </c>
      <c r="G499" s="189">
        <v>328</v>
      </c>
      <c r="H499" s="126">
        <v>10</v>
      </c>
      <c r="I499" s="126">
        <f t="shared" si="169"/>
        <v>32.800000000000004</v>
      </c>
      <c r="J499" s="126">
        <f t="shared" si="170"/>
        <v>295.2</v>
      </c>
      <c r="K499" s="109">
        <f t="shared" si="171"/>
        <v>885.59999999999991</v>
      </c>
      <c r="L499" s="109">
        <v>2.29</v>
      </c>
      <c r="M499" s="109">
        <f t="shared" si="172"/>
        <v>676.00800000000004</v>
      </c>
      <c r="N499" s="109">
        <f t="shared" si="173"/>
        <v>2028.0240000000001</v>
      </c>
      <c r="O499" s="109">
        <f t="shared" si="174"/>
        <v>12996.665999999999</v>
      </c>
    </row>
    <row r="500" spans="1:19" x14ac:dyDescent="0.3">
      <c r="B500" s="19"/>
      <c r="C500" s="19"/>
      <c r="D500" s="19"/>
      <c r="E500" s="19"/>
      <c r="F500" s="19"/>
      <c r="G500" s="19"/>
      <c r="H500" s="19"/>
      <c r="I500" s="19">
        <f t="shared" si="169"/>
        <v>0</v>
      </c>
      <c r="J500" s="19">
        <f t="shared" si="170"/>
        <v>0</v>
      </c>
      <c r="K500" s="18">
        <f t="shared" si="171"/>
        <v>0</v>
      </c>
      <c r="L500" s="18"/>
      <c r="M500" s="18">
        <f t="shared" si="172"/>
        <v>0</v>
      </c>
      <c r="N500" s="18">
        <f t="shared" si="173"/>
        <v>0</v>
      </c>
      <c r="O500" s="18">
        <f t="shared" si="174"/>
        <v>12996.665999999999</v>
      </c>
    </row>
    <row r="501" spans="1:19" x14ac:dyDescent="0.3">
      <c r="A501" t="s">
        <v>127</v>
      </c>
      <c r="B501" s="97">
        <v>45759</v>
      </c>
      <c r="C501" s="109" t="s">
        <v>469</v>
      </c>
      <c r="D501" s="126" t="s">
        <v>476</v>
      </c>
      <c r="E501" s="126" t="s">
        <v>470</v>
      </c>
      <c r="F501" s="126">
        <v>15</v>
      </c>
      <c r="G501" s="189">
        <v>2299</v>
      </c>
      <c r="H501" s="126">
        <v>10</v>
      </c>
      <c r="I501" s="126">
        <f t="shared" si="169"/>
        <v>229.9</v>
      </c>
      <c r="J501" s="126">
        <f t="shared" si="170"/>
        <v>2069.1</v>
      </c>
      <c r="K501" s="109">
        <f t="shared" si="171"/>
        <v>31036.5</v>
      </c>
      <c r="L501" s="109">
        <v>2.29</v>
      </c>
      <c r="M501" s="109">
        <f t="shared" si="172"/>
        <v>4738.2389999999996</v>
      </c>
      <c r="N501" s="109">
        <f t="shared" si="173"/>
        <v>71073.584999999992</v>
      </c>
      <c r="O501" s="109">
        <f t="shared" si="174"/>
        <v>84070.250999999989</v>
      </c>
    </row>
    <row r="502" spans="1:19" x14ac:dyDescent="0.3">
      <c r="A502" t="s">
        <v>127</v>
      </c>
      <c r="B502" s="97">
        <v>45759</v>
      </c>
      <c r="C502" s="109" t="s">
        <v>458</v>
      </c>
      <c r="D502" s="126" t="s">
        <v>476</v>
      </c>
      <c r="E502" s="126" t="s">
        <v>470</v>
      </c>
      <c r="F502" s="126">
        <v>10</v>
      </c>
      <c r="G502" s="189">
        <v>2299</v>
      </c>
      <c r="H502" s="126">
        <v>10</v>
      </c>
      <c r="I502" s="126">
        <f t="shared" si="169"/>
        <v>229.9</v>
      </c>
      <c r="J502" s="126">
        <f t="shared" si="170"/>
        <v>2069.1</v>
      </c>
      <c r="K502" s="109">
        <f t="shared" si="171"/>
        <v>20691</v>
      </c>
      <c r="L502" s="109">
        <v>2.29</v>
      </c>
      <c r="M502" s="109">
        <f t="shared" si="172"/>
        <v>4738.2389999999996</v>
      </c>
      <c r="N502" s="109">
        <f t="shared" si="173"/>
        <v>47382.39</v>
      </c>
      <c r="O502" s="109">
        <f t="shared" si="174"/>
        <v>131452.641</v>
      </c>
    </row>
    <row r="503" spans="1:19" x14ac:dyDescent="0.3">
      <c r="A503" t="s">
        <v>127</v>
      </c>
      <c r="B503" s="97">
        <v>45759</v>
      </c>
      <c r="C503" s="109" t="s">
        <v>475</v>
      </c>
      <c r="D503" s="126" t="s">
        <v>476</v>
      </c>
      <c r="E503" s="126" t="s">
        <v>470</v>
      </c>
      <c r="F503" s="126">
        <v>5</v>
      </c>
      <c r="G503" s="189">
        <v>2299</v>
      </c>
      <c r="H503" s="126">
        <v>10</v>
      </c>
      <c r="I503" s="126">
        <f t="shared" si="169"/>
        <v>229.9</v>
      </c>
      <c r="J503" s="126">
        <f t="shared" si="170"/>
        <v>2069.1</v>
      </c>
      <c r="K503" s="109">
        <f t="shared" si="171"/>
        <v>10345.5</v>
      </c>
      <c r="L503" s="109">
        <v>2.29</v>
      </c>
      <c r="M503" s="109">
        <f t="shared" si="172"/>
        <v>4738.2389999999996</v>
      </c>
      <c r="N503" s="109">
        <f t="shared" si="173"/>
        <v>23691.195</v>
      </c>
      <c r="O503" s="109">
        <f t="shared" si="174"/>
        <v>155143.83600000001</v>
      </c>
    </row>
    <row r="504" spans="1:19" x14ac:dyDescent="0.3">
      <c r="B504" s="19"/>
      <c r="C504" s="19"/>
      <c r="D504" s="19"/>
      <c r="E504" s="19"/>
      <c r="F504" s="19"/>
      <c r="G504" s="19"/>
      <c r="H504" s="19"/>
      <c r="I504" s="19">
        <f t="shared" si="169"/>
        <v>0</v>
      </c>
      <c r="J504" s="19">
        <f t="shared" si="170"/>
        <v>0</v>
      </c>
      <c r="K504" s="18">
        <f t="shared" si="171"/>
        <v>0</v>
      </c>
      <c r="L504" s="18"/>
      <c r="M504" s="18">
        <f t="shared" si="172"/>
        <v>0</v>
      </c>
      <c r="N504" s="18">
        <f t="shared" si="173"/>
        <v>0</v>
      </c>
      <c r="O504" s="18">
        <f t="shared" si="174"/>
        <v>155143.83600000001</v>
      </c>
    </row>
    <row r="505" spans="1:19" x14ac:dyDescent="0.3">
      <c r="A505" t="s">
        <v>127</v>
      </c>
      <c r="B505" s="97">
        <v>45759</v>
      </c>
      <c r="C505" s="109" t="s">
        <v>477</v>
      </c>
      <c r="D505" s="126" t="s">
        <v>476</v>
      </c>
      <c r="E505" s="126" t="s">
        <v>470</v>
      </c>
      <c r="F505" s="126">
        <v>5</v>
      </c>
      <c r="G505" s="189">
        <v>2699</v>
      </c>
      <c r="H505" s="126">
        <v>10</v>
      </c>
      <c r="I505" s="126">
        <f t="shared" si="169"/>
        <v>269.90000000000003</v>
      </c>
      <c r="J505" s="126">
        <f t="shared" si="170"/>
        <v>2429.1</v>
      </c>
      <c r="K505" s="109">
        <f t="shared" si="171"/>
        <v>12145.5</v>
      </c>
      <c r="L505" s="109">
        <v>2.29</v>
      </c>
      <c r="M505" s="109">
        <f t="shared" si="172"/>
        <v>5562.6390000000001</v>
      </c>
      <c r="N505" s="109">
        <f t="shared" si="173"/>
        <v>27813.195</v>
      </c>
      <c r="O505" s="109">
        <f t="shared" si="174"/>
        <v>182957.03100000002</v>
      </c>
    </row>
    <row r="506" spans="1:19" x14ac:dyDescent="0.3">
      <c r="A506" t="s">
        <v>127</v>
      </c>
      <c r="B506" s="97">
        <v>45759</v>
      </c>
      <c r="C506" s="109" t="s">
        <v>478</v>
      </c>
      <c r="D506" s="126" t="s">
        <v>476</v>
      </c>
      <c r="E506" s="126" t="s">
        <v>470</v>
      </c>
      <c r="F506" s="126">
        <v>5</v>
      </c>
      <c r="G506" s="189">
        <v>2699</v>
      </c>
      <c r="H506" s="126">
        <v>10</v>
      </c>
      <c r="I506" s="126">
        <f t="shared" ref="I506:I525" si="175">G506*H506%</f>
        <v>269.90000000000003</v>
      </c>
      <c r="J506" s="126">
        <f t="shared" ref="J506:J517" si="176">G506-I506</f>
        <v>2429.1</v>
      </c>
      <c r="K506" s="109">
        <f t="shared" ref="K506:K517" si="177">F506*J506</f>
        <v>12145.5</v>
      </c>
      <c r="L506" s="109">
        <v>2.29</v>
      </c>
      <c r="M506" s="109">
        <f t="shared" ref="M506:M517" si="178">J506*L506</f>
        <v>5562.6390000000001</v>
      </c>
      <c r="N506" s="109">
        <f t="shared" ref="N506:N517" si="179">F506*M506</f>
        <v>27813.195</v>
      </c>
      <c r="O506" s="109">
        <f t="shared" ref="O506:O517" si="180">O505+N506</f>
        <v>210770.22600000002</v>
      </c>
    </row>
    <row r="507" spans="1:19" x14ac:dyDescent="0.3">
      <c r="B507" s="19"/>
      <c r="C507" s="19"/>
      <c r="D507" s="19"/>
      <c r="E507" s="19"/>
      <c r="F507" s="19"/>
      <c r="G507" s="19"/>
      <c r="H507" s="19"/>
      <c r="I507" s="19">
        <f t="shared" si="175"/>
        <v>0</v>
      </c>
      <c r="J507" s="19">
        <f t="shared" si="176"/>
        <v>0</v>
      </c>
      <c r="K507" s="18">
        <f t="shared" si="177"/>
        <v>0</v>
      </c>
      <c r="L507" s="18"/>
      <c r="M507" s="18">
        <f t="shared" si="178"/>
        <v>0</v>
      </c>
      <c r="N507" s="18">
        <f t="shared" si="179"/>
        <v>0</v>
      </c>
      <c r="O507" s="18">
        <f t="shared" si="180"/>
        <v>210770.22600000002</v>
      </c>
    </row>
    <row r="508" spans="1:19" x14ac:dyDescent="0.3">
      <c r="A508" t="s">
        <v>127</v>
      </c>
      <c r="B508" s="82">
        <v>45759</v>
      </c>
      <c r="C508" s="18" t="s">
        <v>458</v>
      </c>
      <c r="D508" s="19" t="s">
        <v>479</v>
      </c>
      <c r="E508" s="19" t="s">
        <v>480</v>
      </c>
      <c r="F508" s="19">
        <v>2</v>
      </c>
      <c r="G508" s="215">
        <v>2299</v>
      </c>
      <c r="H508" s="19">
        <v>10</v>
      </c>
      <c r="I508" s="19">
        <f t="shared" si="175"/>
        <v>229.9</v>
      </c>
      <c r="J508" s="19">
        <f t="shared" si="176"/>
        <v>2069.1</v>
      </c>
      <c r="K508" s="18">
        <f t="shared" si="177"/>
        <v>4138.2</v>
      </c>
      <c r="L508" s="18">
        <v>2.29</v>
      </c>
      <c r="M508" s="18">
        <f t="shared" si="178"/>
        <v>4738.2389999999996</v>
      </c>
      <c r="N508" s="18">
        <f t="shared" si="179"/>
        <v>9476.4779999999992</v>
      </c>
      <c r="O508" s="18">
        <f t="shared" si="180"/>
        <v>220246.70400000003</v>
      </c>
    </row>
    <row r="509" spans="1:19" x14ac:dyDescent="0.3">
      <c r="A509" t="s">
        <v>127</v>
      </c>
      <c r="B509" s="82">
        <v>45759</v>
      </c>
      <c r="C509" s="18" t="s">
        <v>469</v>
      </c>
      <c r="D509" s="19" t="s">
        <v>479</v>
      </c>
      <c r="E509" s="19" t="s">
        <v>480</v>
      </c>
      <c r="F509" s="19">
        <v>2</v>
      </c>
      <c r="G509" s="215">
        <v>2299</v>
      </c>
      <c r="H509" s="19">
        <v>10</v>
      </c>
      <c r="I509" s="19">
        <f t="shared" si="175"/>
        <v>229.9</v>
      </c>
      <c r="J509" s="19">
        <f t="shared" si="176"/>
        <v>2069.1</v>
      </c>
      <c r="K509" s="18">
        <f t="shared" si="177"/>
        <v>4138.2</v>
      </c>
      <c r="L509" s="18">
        <v>2.29</v>
      </c>
      <c r="M509" s="18">
        <f t="shared" si="178"/>
        <v>4738.2389999999996</v>
      </c>
      <c r="N509" s="18">
        <f t="shared" si="179"/>
        <v>9476.4779999999992</v>
      </c>
      <c r="O509" s="18">
        <f t="shared" si="180"/>
        <v>229723.18200000003</v>
      </c>
      <c r="Q509">
        <v>5562.6390000000001</v>
      </c>
      <c r="R509">
        <f>Q509/11</f>
        <v>505.69445454545456</v>
      </c>
      <c r="S509">
        <f>Q509-R509</f>
        <v>5056.9445454545457</v>
      </c>
    </row>
    <row r="510" spans="1:19" x14ac:dyDescent="0.3">
      <c r="A510" t="s">
        <v>127</v>
      </c>
      <c r="B510" s="82">
        <v>45759</v>
      </c>
      <c r="C510" s="18" t="s">
        <v>477</v>
      </c>
      <c r="D510" s="19" t="s">
        <v>479</v>
      </c>
      <c r="E510" s="19" t="s">
        <v>480</v>
      </c>
      <c r="F510" s="19">
        <v>1</v>
      </c>
      <c r="G510" s="215">
        <v>2699</v>
      </c>
      <c r="H510" s="19">
        <v>10</v>
      </c>
      <c r="I510" s="19">
        <f t="shared" si="175"/>
        <v>269.90000000000003</v>
      </c>
      <c r="J510" s="19">
        <f t="shared" si="176"/>
        <v>2429.1</v>
      </c>
      <c r="K510" s="18">
        <f t="shared" si="177"/>
        <v>2429.1</v>
      </c>
      <c r="L510" s="18">
        <v>2.29</v>
      </c>
      <c r="M510" s="18">
        <f t="shared" si="178"/>
        <v>5562.6390000000001</v>
      </c>
      <c r="N510" s="18">
        <f t="shared" si="179"/>
        <v>5562.6390000000001</v>
      </c>
      <c r="O510" s="18">
        <f t="shared" si="180"/>
        <v>235285.82100000003</v>
      </c>
      <c r="Q510" s="1">
        <v>5839.4769999999999</v>
      </c>
      <c r="R510">
        <f>Q510/11</f>
        <v>530.86154545454542</v>
      </c>
      <c r="S510">
        <f>Q510-R510</f>
        <v>5308.6154545454547</v>
      </c>
    </row>
    <row r="511" spans="1:19" x14ac:dyDescent="0.3">
      <c r="A511" t="s">
        <v>127</v>
      </c>
      <c r="B511" s="82">
        <v>45759</v>
      </c>
      <c r="C511" s="18" t="s">
        <v>478</v>
      </c>
      <c r="D511" s="19" t="s">
        <v>479</v>
      </c>
      <c r="E511" s="19" t="s">
        <v>480</v>
      </c>
      <c r="F511" s="19">
        <v>2</v>
      </c>
      <c r="G511" s="215">
        <v>2699</v>
      </c>
      <c r="H511" s="19">
        <v>10</v>
      </c>
      <c r="I511" s="19">
        <f t="shared" si="175"/>
        <v>269.90000000000003</v>
      </c>
      <c r="J511" s="19">
        <f t="shared" si="176"/>
        <v>2429.1</v>
      </c>
      <c r="K511" s="18">
        <f t="shared" si="177"/>
        <v>4858.2</v>
      </c>
      <c r="L511" s="18">
        <v>2.29</v>
      </c>
      <c r="M511" s="18">
        <f t="shared" si="178"/>
        <v>5562.6390000000001</v>
      </c>
      <c r="N511" s="18">
        <f t="shared" si="179"/>
        <v>11125.278</v>
      </c>
      <c r="O511" s="18">
        <f t="shared" si="180"/>
        <v>246411.09900000002</v>
      </c>
    </row>
    <row r="512" spans="1:19" x14ac:dyDescent="0.3">
      <c r="B512" s="19"/>
      <c r="C512" s="19"/>
      <c r="D512" s="19"/>
      <c r="E512" s="19"/>
      <c r="F512" s="19"/>
      <c r="G512" s="19"/>
      <c r="H512" s="19"/>
      <c r="I512" s="19">
        <f t="shared" si="175"/>
        <v>0</v>
      </c>
      <c r="J512" s="19">
        <f t="shared" si="176"/>
        <v>0</v>
      </c>
      <c r="K512" s="18">
        <f t="shared" si="177"/>
        <v>0</v>
      </c>
      <c r="L512" s="18"/>
      <c r="M512" s="18">
        <f t="shared" si="178"/>
        <v>0</v>
      </c>
      <c r="N512" s="18">
        <f t="shared" si="179"/>
        <v>0</v>
      </c>
      <c r="O512" s="18">
        <f t="shared" si="180"/>
        <v>246411.09900000002</v>
      </c>
    </row>
    <row r="513" spans="1:15" x14ac:dyDescent="0.3">
      <c r="A513" t="s">
        <v>127</v>
      </c>
      <c r="B513" s="82">
        <v>45759</v>
      </c>
      <c r="C513" s="18" t="s">
        <v>481</v>
      </c>
      <c r="D513" s="19" t="s">
        <v>479</v>
      </c>
      <c r="E513" s="19" t="s">
        <v>480</v>
      </c>
      <c r="F513" s="19">
        <v>5</v>
      </c>
      <c r="G513" s="215">
        <v>143</v>
      </c>
      <c r="H513" s="19">
        <v>10</v>
      </c>
      <c r="I513" s="19">
        <f t="shared" si="175"/>
        <v>14.3</v>
      </c>
      <c r="J513" s="19">
        <f t="shared" si="176"/>
        <v>128.69999999999999</v>
      </c>
      <c r="K513" s="18">
        <f t="shared" si="177"/>
        <v>643.5</v>
      </c>
      <c r="L513" s="18">
        <v>2.29</v>
      </c>
      <c r="M513" s="18">
        <f t="shared" si="178"/>
        <v>294.72299999999996</v>
      </c>
      <c r="N513" s="18">
        <f t="shared" si="179"/>
        <v>1473.6149999999998</v>
      </c>
      <c r="O513" s="18">
        <f t="shared" si="180"/>
        <v>247884.71400000001</v>
      </c>
    </row>
    <row r="514" spans="1:15" x14ac:dyDescent="0.3">
      <c r="A514" t="s">
        <v>127</v>
      </c>
      <c r="B514" s="82">
        <v>45759</v>
      </c>
      <c r="C514" s="18" t="s">
        <v>482</v>
      </c>
      <c r="D514" s="19" t="s">
        <v>479</v>
      </c>
      <c r="E514" s="19" t="s">
        <v>480</v>
      </c>
      <c r="F514" s="19">
        <v>6</v>
      </c>
      <c r="G514" s="215">
        <v>30</v>
      </c>
      <c r="H514" s="19">
        <v>10</v>
      </c>
      <c r="I514" s="19">
        <f t="shared" si="175"/>
        <v>3</v>
      </c>
      <c r="J514" s="19">
        <f t="shared" si="176"/>
        <v>27</v>
      </c>
      <c r="K514" s="18">
        <f t="shared" si="177"/>
        <v>162</v>
      </c>
      <c r="L514" s="18">
        <v>2.29</v>
      </c>
      <c r="M514" s="18">
        <f t="shared" si="178"/>
        <v>61.83</v>
      </c>
      <c r="N514" s="18">
        <f t="shared" si="179"/>
        <v>370.98</v>
      </c>
      <c r="O514" s="18">
        <f t="shared" si="180"/>
        <v>248255.69400000002</v>
      </c>
    </row>
    <row r="515" spans="1:15" x14ac:dyDescent="0.3">
      <c r="B515" s="19"/>
      <c r="C515" s="19"/>
      <c r="D515" s="19"/>
      <c r="E515" s="19"/>
      <c r="F515" s="19"/>
      <c r="G515" s="19"/>
      <c r="H515" s="19"/>
      <c r="I515" s="19">
        <f t="shared" si="175"/>
        <v>0</v>
      </c>
      <c r="J515" s="19">
        <f t="shared" si="176"/>
        <v>0</v>
      </c>
      <c r="K515" s="18">
        <f t="shared" si="177"/>
        <v>0</v>
      </c>
      <c r="L515" s="18"/>
      <c r="M515" s="18">
        <f t="shared" si="178"/>
        <v>0</v>
      </c>
      <c r="N515" s="18">
        <f t="shared" si="179"/>
        <v>0</v>
      </c>
      <c r="O515" s="18">
        <f t="shared" si="180"/>
        <v>248255.69400000002</v>
      </c>
    </row>
    <row r="516" spans="1:15" x14ac:dyDescent="0.3">
      <c r="A516" t="s">
        <v>127</v>
      </c>
      <c r="B516" s="97">
        <v>45759</v>
      </c>
      <c r="C516" s="109" t="s">
        <v>482</v>
      </c>
      <c r="D516" s="126" t="s">
        <v>479</v>
      </c>
      <c r="E516" s="126" t="s">
        <v>470</v>
      </c>
      <c r="F516" s="126">
        <v>20</v>
      </c>
      <c r="G516" s="189">
        <v>30</v>
      </c>
      <c r="H516" s="126">
        <v>10</v>
      </c>
      <c r="I516" s="126">
        <f t="shared" si="175"/>
        <v>3</v>
      </c>
      <c r="J516" s="126">
        <f t="shared" si="176"/>
        <v>27</v>
      </c>
      <c r="K516" s="109">
        <f t="shared" si="177"/>
        <v>540</v>
      </c>
      <c r="L516" s="109">
        <v>2.29</v>
      </c>
      <c r="M516" s="109">
        <f t="shared" si="178"/>
        <v>61.83</v>
      </c>
      <c r="N516" s="109">
        <f t="shared" si="179"/>
        <v>1236.5999999999999</v>
      </c>
      <c r="O516" s="109">
        <f t="shared" si="180"/>
        <v>249492.29400000002</v>
      </c>
    </row>
    <row r="517" spans="1:15" x14ac:dyDescent="0.3">
      <c r="B517" s="19"/>
      <c r="C517" s="19"/>
      <c r="D517" s="19"/>
      <c r="E517" s="19"/>
      <c r="F517" s="19"/>
      <c r="G517" s="19"/>
      <c r="H517" s="19"/>
      <c r="I517" s="19">
        <f t="shared" si="175"/>
        <v>0</v>
      </c>
      <c r="J517" s="19">
        <f t="shared" si="176"/>
        <v>0</v>
      </c>
      <c r="K517" s="18">
        <f t="shared" si="177"/>
        <v>0</v>
      </c>
      <c r="L517" s="18"/>
      <c r="M517" s="18">
        <f t="shared" si="178"/>
        <v>0</v>
      </c>
      <c r="N517" s="18">
        <f t="shared" si="179"/>
        <v>0</v>
      </c>
      <c r="O517" s="18">
        <f t="shared" si="180"/>
        <v>249492.29400000002</v>
      </c>
    </row>
    <row r="518" spans="1:15" x14ac:dyDescent="0.3">
      <c r="A518" t="s">
        <v>127</v>
      </c>
      <c r="B518" s="82">
        <v>45759</v>
      </c>
      <c r="C518" s="18" t="s">
        <v>482</v>
      </c>
      <c r="D518" s="19" t="s">
        <v>483</v>
      </c>
      <c r="E518" s="19" t="s">
        <v>480</v>
      </c>
      <c r="F518" s="19">
        <v>6</v>
      </c>
      <c r="G518" s="215">
        <v>30</v>
      </c>
      <c r="H518" s="19">
        <v>10</v>
      </c>
      <c r="I518" s="19">
        <f t="shared" si="175"/>
        <v>3</v>
      </c>
      <c r="J518" s="19">
        <f t="shared" ref="J518:J525" si="181">G518-I518</f>
        <v>27</v>
      </c>
      <c r="K518" s="18">
        <f t="shared" ref="K518:K525" si="182">F518*J518</f>
        <v>162</v>
      </c>
      <c r="L518" s="18">
        <v>2.29</v>
      </c>
      <c r="M518" s="18">
        <f t="shared" ref="M518:M525" si="183">J518*L518</f>
        <v>61.83</v>
      </c>
      <c r="N518" s="18">
        <f t="shared" ref="N518:N525" si="184">F518*M518</f>
        <v>370.98</v>
      </c>
      <c r="O518" s="18">
        <f t="shared" ref="O518:O525" si="185">O517+N518</f>
        <v>249863.27400000003</v>
      </c>
    </row>
    <row r="519" spans="1:15" x14ac:dyDescent="0.3">
      <c r="A519" t="s">
        <v>127</v>
      </c>
      <c r="B519" s="82">
        <v>45759</v>
      </c>
      <c r="C519" s="18" t="s">
        <v>471</v>
      </c>
      <c r="D519" s="19" t="s">
        <v>483</v>
      </c>
      <c r="E519" s="19" t="s">
        <v>480</v>
      </c>
      <c r="F519" s="19">
        <v>5</v>
      </c>
      <c r="G519" s="215">
        <v>715</v>
      </c>
      <c r="H519" s="19">
        <v>10</v>
      </c>
      <c r="I519" s="19">
        <f t="shared" si="175"/>
        <v>71.5</v>
      </c>
      <c r="J519" s="19">
        <f t="shared" si="181"/>
        <v>643.5</v>
      </c>
      <c r="K519" s="18">
        <f t="shared" si="182"/>
        <v>3217.5</v>
      </c>
      <c r="L519" s="18">
        <v>2.29</v>
      </c>
      <c r="M519" s="18">
        <f t="shared" si="183"/>
        <v>1473.615</v>
      </c>
      <c r="N519" s="18">
        <f t="shared" si="184"/>
        <v>7368.0749999999998</v>
      </c>
      <c r="O519" s="18">
        <f t="shared" si="185"/>
        <v>257231.34900000005</v>
      </c>
    </row>
    <row r="520" spans="1:15" x14ac:dyDescent="0.3">
      <c r="B520" s="19"/>
      <c r="C520" s="19"/>
      <c r="D520" s="19"/>
      <c r="E520" s="19"/>
      <c r="F520" s="19"/>
      <c r="G520" s="19"/>
      <c r="H520" s="19"/>
      <c r="I520" s="19">
        <f t="shared" si="175"/>
        <v>0</v>
      </c>
      <c r="J520" s="19">
        <f t="shared" si="181"/>
        <v>0</v>
      </c>
      <c r="K520" s="18">
        <f t="shared" si="182"/>
        <v>0</v>
      </c>
      <c r="L520" s="18"/>
      <c r="M520" s="18">
        <f t="shared" si="183"/>
        <v>0</v>
      </c>
      <c r="N520" s="18">
        <f t="shared" si="184"/>
        <v>0</v>
      </c>
      <c r="O520" s="18">
        <f t="shared" si="185"/>
        <v>257231.34900000005</v>
      </c>
    </row>
    <row r="521" spans="1:15" x14ac:dyDescent="0.3">
      <c r="A521" t="s">
        <v>127</v>
      </c>
      <c r="B521" s="82">
        <v>45759</v>
      </c>
      <c r="C521" s="18" t="s">
        <v>458</v>
      </c>
      <c r="D521" s="19" t="s">
        <v>483</v>
      </c>
      <c r="E521" s="19" t="s">
        <v>480</v>
      </c>
      <c r="F521" s="19">
        <v>1</v>
      </c>
      <c r="G521" s="215">
        <v>2299</v>
      </c>
      <c r="H521" s="19">
        <v>10</v>
      </c>
      <c r="I521" s="19">
        <f t="shared" si="175"/>
        <v>229.9</v>
      </c>
      <c r="J521" s="19">
        <f t="shared" si="181"/>
        <v>2069.1</v>
      </c>
      <c r="K521" s="18">
        <f t="shared" si="182"/>
        <v>2069.1</v>
      </c>
      <c r="L521" s="18">
        <v>2.29</v>
      </c>
      <c r="M521" s="18">
        <f t="shared" si="183"/>
        <v>4738.2389999999996</v>
      </c>
      <c r="N521" s="18">
        <f t="shared" si="184"/>
        <v>4738.2389999999996</v>
      </c>
      <c r="O521" s="18">
        <f t="shared" si="185"/>
        <v>261969.58800000005</v>
      </c>
    </row>
    <row r="522" spans="1:15" x14ac:dyDescent="0.3">
      <c r="A522" t="s">
        <v>127</v>
      </c>
      <c r="B522" s="82">
        <v>45759</v>
      </c>
      <c r="C522" s="18" t="s">
        <v>477</v>
      </c>
      <c r="D522" s="19" t="s">
        <v>483</v>
      </c>
      <c r="E522" s="19" t="s">
        <v>480</v>
      </c>
      <c r="F522" s="19">
        <v>1</v>
      </c>
      <c r="G522" s="215">
        <v>2699</v>
      </c>
      <c r="H522" s="19">
        <v>10</v>
      </c>
      <c r="I522" s="19">
        <f t="shared" si="175"/>
        <v>269.90000000000003</v>
      </c>
      <c r="J522" s="19">
        <f t="shared" si="181"/>
        <v>2429.1</v>
      </c>
      <c r="K522" s="18">
        <f t="shared" si="182"/>
        <v>2429.1</v>
      </c>
      <c r="L522" s="18">
        <v>2.29</v>
      </c>
      <c r="M522" s="18">
        <f t="shared" si="183"/>
        <v>5562.6390000000001</v>
      </c>
      <c r="N522" s="18">
        <f t="shared" si="184"/>
        <v>5562.6390000000001</v>
      </c>
      <c r="O522" s="18">
        <f t="shared" si="185"/>
        <v>267532.22700000007</v>
      </c>
    </row>
    <row r="523" spans="1:15" x14ac:dyDescent="0.3">
      <c r="B523" s="19"/>
      <c r="C523" s="19"/>
      <c r="D523" s="19"/>
      <c r="E523" s="19"/>
      <c r="F523" s="19"/>
      <c r="G523" s="19"/>
      <c r="H523" s="19"/>
      <c r="I523" s="19">
        <f t="shared" si="175"/>
        <v>0</v>
      </c>
      <c r="J523" s="19">
        <f t="shared" si="181"/>
        <v>0</v>
      </c>
      <c r="K523" s="18">
        <f t="shared" si="182"/>
        <v>0</v>
      </c>
      <c r="L523" s="18"/>
      <c r="M523" s="18">
        <f t="shared" si="183"/>
        <v>0</v>
      </c>
      <c r="N523" s="18">
        <f t="shared" si="184"/>
        <v>0</v>
      </c>
      <c r="O523" s="18">
        <f t="shared" si="185"/>
        <v>267532.22700000007</v>
      </c>
    </row>
    <row r="524" spans="1:15" x14ac:dyDescent="0.3">
      <c r="B524" s="19"/>
      <c r="C524" s="19"/>
      <c r="D524" s="19"/>
      <c r="E524" s="19"/>
      <c r="F524" s="19"/>
      <c r="G524" s="19"/>
      <c r="H524" s="19"/>
      <c r="I524" s="19">
        <f t="shared" si="175"/>
        <v>0</v>
      </c>
      <c r="J524" s="19">
        <f t="shared" si="181"/>
        <v>0</v>
      </c>
      <c r="K524" s="18">
        <f t="shared" si="182"/>
        <v>0</v>
      </c>
      <c r="L524" s="18"/>
      <c r="M524" s="18">
        <f t="shared" si="183"/>
        <v>0</v>
      </c>
      <c r="N524" s="18">
        <f t="shared" si="184"/>
        <v>0</v>
      </c>
      <c r="O524" s="18">
        <f t="shared" si="185"/>
        <v>267532.22700000007</v>
      </c>
    </row>
    <row r="525" spans="1:15" x14ac:dyDescent="0.3">
      <c r="B525" s="19"/>
      <c r="C525" s="19"/>
      <c r="D525" s="19"/>
      <c r="E525" s="19"/>
      <c r="F525" s="19"/>
      <c r="G525" s="19"/>
      <c r="H525" s="19"/>
      <c r="I525" s="19">
        <f t="shared" si="175"/>
        <v>0</v>
      </c>
      <c r="J525" s="19">
        <f t="shared" si="181"/>
        <v>0</v>
      </c>
      <c r="K525" s="18">
        <f t="shared" si="182"/>
        <v>0</v>
      </c>
      <c r="L525" s="18"/>
      <c r="M525" s="18">
        <f t="shared" si="183"/>
        <v>0</v>
      </c>
      <c r="N525" s="18">
        <f t="shared" si="184"/>
        <v>0</v>
      </c>
      <c r="O525" s="18">
        <f t="shared" si="185"/>
        <v>267532.22700000007</v>
      </c>
    </row>
    <row r="529" spans="1:15" ht="21" x14ac:dyDescent="0.4">
      <c r="B529" s="493" t="s">
        <v>20</v>
      </c>
      <c r="C529" s="493"/>
      <c r="D529" s="493"/>
      <c r="E529" s="493"/>
      <c r="F529" s="493"/>
      <c r="G529" s="493"/>
      <c r="H529" s="493"/>
      <c r="I529" s="493"/>
      <c r="J529" s="493"/>
      <c r="K529" s="493"/>
      <c r="L529" s="493"/>
      <c r="M529" s="493"/>
      <c r="N529" s="493"/>
      <c r="O529" s="493"/>
    </row>
    <row r="530" spans="1:15" ht="18" x14ac:dyDescent="0.35">
      <c r="B530" s="231" t="s">
        <v>1</v>
      </c>
      <c r="C530" s="231" t="s">
        <v>2</v>
      </c>
      <c r="D530" s="231" t="s">
        <v>459</v>
      </c>
      <c r="E530" s="231" t="s">
        <v>33</v>
      </c>
      <c r="F530" s="231" t="s">
        <v>3</v>
      </c>
      <c r="G530" s="231" t="s">
        <v>460</v>
      </c>
      <c r="H530" s="231" t="s">
        <v>466</v>
      </c>
      <c r="I530" s="231" t="s">
        <v>461</v>
      </c>
      <c r="J530" s="231" t="s">
        <v>462</v>
      </c>
      <c r="K530" s="231" t="s">
        <v>463</v>
      </c>
      <c r="L530" s="231" t="s">
        <v>464</v>
      </c>
      <c r="M530" s="231" t="s">
        <v>465</v>
      </c>
      <c r="N530" s="231" t="s">
        <v>7</v>
      </c>
      <c r="O530" s="29"/>
    </row>
    <row r="531" spans="1:15" x14ac:dyDescent="0.3">
      <c r="A531" t="s">
        <v>127</v>
      </c>
      <c r="B531" s="82">
        <v>45760</v>
      </c>
      <c r="C531" s="18" t="s">
        <v>471</v>
      </c>
      <c r="D531" s="19" t="s">
        <v>484</v>
      </c>
      <c r="E531" s="19" t="s">
        <v>485</v>
      </c>
      <c r="F531" s="19">
        <v>17</v>
      </c>
      <c r="G531" s="215">
        <v>699.99</v>
      </c>
      <c r="H531" s="19">
        <v>0</v>
      </c>
      <c r="I531" s="19">
        <f>G531*H531%</f>
        <v>0</v>
      </c>
      <c r="J531" s="19">
        <f>G531-I531</f>
        <v>699.99</v>
      </c>
      <c r="K531" s="18">
        <f>F531*J531</f>
        <v>11899.83</v>
      </c>
      <c r="L531" s="18">
        <v>2.29</v>
      </c>
      <c r="M531" s="18">
        <f>J531*L531</f>
        <v>1602.9771000000001</v>
      </c>
      <c r="N531" s="18">
        <f>F531*M531</f>
        <v>27250.610700000001</v>
      </c>
      <c r="O531" s="18">
        <f>O530+N531</f>
        <v>27250.610700000001</v>
      </c>
    </row>
    <row r="532" spans="1:15" x14ac:dyDescent="0.3">
      <c r="A532" t="s">
        <v>127</v>
      </c>
      <c r="B532" s="82">
        <v>45760</v>
      </c>
      <c r="C532" s="18" t="s">
        <v>471</v>
      </c>
      <c r="D532" s="19" t="s">
        <v>484</v>
      </c>
      <c r="E532" s="19" t="s">
        <v>485</v>
      </c>
      <c r="F532" s="19">
        <v>1</v>
      </c>
      <c r="G532" s="215">
        <v>699.99</v>
      </c>
      <c r="H532" s="19">
        <v>0</v>
      </c>
      <c r="I532" s="19">
        <f t="shared" ref="I532:I555" si="186">G532*H532%</f>
        <v>0</v>
      </c>
      <c r="J532" s="19">
        <f t="shared" ref="J532:J540" si="187">G532-I532</f>
        <v>699.99</v>
      </c>
      <c r="K532" s="18">
        <f t="shared" ref="K532:K540" si="188">F532*J532</f>
        <v>699.99</v>
      </c>
      <c r="L532" s="18">
        <v>2.29</v>
      </c>
      <c r="M532" s="18">
        <f t="shared" ref="M532:M540" si="189">J532*L532</f>
        <v>1602.9771000000001</v>
      </c>
      <c r="N532" s="18">
        <f t="shared" ref="N532:N540" si="190">F532*M532</f>
        <v>1602.9771000000001</v>
      </c>
      <c r="O532" s="18">
        <f t="shared" ref="O532:O540" si="191">O531+N532</f>
        <v>28853.587800000001</v>
      </c>
    </row>
    <row r="533" spans="1:15" x14ac:dyDescent="0.3">
      <c r="B533" s="19"/>
      <c r="C533" s="19"/>
      <c r="D533" s="19"/>
      <c r="E533" s="19"/>
      <c r="F533" s="19"/>
      <c r="G533" s="19"/>
      <c r="H533" s="19"/>
      <c r="I533" s="19">
        <f t="shared" si="186"/>
        <v>0</v>
      </c>
      <c r="J533" s="19">
        <f t="shared" si="187"/>
        <v>0</v>
      </c>
      <c r="K533" s="18">
        <f t="shared" si="188"/>
        <v>0</v>
      </c>
      <c r="L533" s="18"/>
      <c r="M533" s="18">
        <f t="shared" si="189"/>
        <v>0</v>
      </c>
      <c r="N533" s="18">
        <f t="shared" si="190"/>
        <v>0</v>
      </c>
      <c r="O533" s="18">
        <f t="shared" si="191"/>
        <v>28853.587800000001</v>
      </c>
    </row>
    <row r="534" spans="1:15" x14ac:dyDescent="0.3">
      <c r="A534" t="s">
        <v>127</v>
      </c>
      <c r="B534" s="97">
        <v>45760</v>
      </c>
      <c r="C534" s="109" t="s">
        <v>477</v>
      </c>
      <c r="D534" s="126" t="s">
        <v>484</v>
      </c>
      <c r="E534" s="126" t="s">
        <v>485</v>
      </c>
      <c r="F534" s="126">
        <v>3</v>
      </c>
      <c r="G534" s="189">
        <v>2549.9899999999998</v>
      </c>
      <c r="H534" s="126">
        <v>0</v>
      </c>
      <c r="I534" s="126">
        <f t="shared" si="186"/>
        <v>0</v>
      </c>
      <c r="J534" s="126">
        <f t="shared" si="187"/>
        <v>2549.9899999999998</v>
      </c>
      <c r="K534" s="109">
        <f t="shared" si="188"/>
        <v>7649.9699999999993</v>
      </c>
      <c r="L534" s="109">
        <v>2.29</v>
      </c>
      <c r="M534" s="109">
        <f t="shared" si="189"/>
        <v>5839.4770999999992</v>
      </c>
      <c r="N534" s="109">
        <f t="shared" si="190"/>
        <v>17518.431299999997</v>
      </c>
      <c r="O534" s="109">
        <f t="shared" si="191"/>
        <v>46372.019099999998</v>
      </c>
    </row>
    <row r="535" spans="1:15" x14ac:dyDescent="0.3">
      <c r="A535" t="s">
        <v>127</v>
      </c>
      <c r="B535" s="97">
        <v>45760</v>
      </c>
      <c r="C535" s="109" t="s">
        <v>486</v>
      </c>
      <c r="D535" s="126" t="s">
        <v>484</v>
      </c>
      <c r="E535" s="126" t="s">
        <v>485</v>
      </c>
      <c r="F535" s="126">
        <v>2</v>
      </c>
      <c r="G535" s="189">
        <v>2549.9899999999998</v>
      </c>
      <c r="H535" s="126">
        <v>0</v>
      </c>
      <c r="I535" s="126">
        <f t="shared" si="186"/>
        <v>0</v>
      </c>
      <c r="J535" s="126">
        <f t="shared" si="187"/>
        <v>2549.9899999999998</v>
      </c>
      <c r="K535" s="109">
        <f t="shared" si="188"/>
        <v>5099.9799999999996</v>
      </c>
      <c r="L535" s="109">
        <v>2.29</v>
      </c>
      <c r="M535" s="109">
        <f t="shared" si="189"/>
        <v>5839.4770999999992</v>
      </c>
      <c r="N535" s="109">
        <f t="shared" si="190"/>
        <v>11678.954199999998</v>
      </c>
      <c r="O535" s="109">
        <f t="shared" si="191"/>
        <v>58050.973299999998</v>
      </c>
    </row>
    <row r="536" spans="1:15" x14ac:dyDescent="0.3">
      <c r="B536" s="19"/>
      <c r="C536" s="19"/>
      <c r="D536" s="19"/>
      <c r="E536" s="19"/>
      <c r="F536" s="19"/>
      <c r="G536" s="19"/>
      <c r="H536" s="19"/>
      <c r="I536" s="19">
        <f t="shared" si="186"/>
        <v>0</v>
      </c>
      <c r="J536" s="19">
        <f t="shared" si="187"/>
        <v>0</v>
      </c>
      <c r="K536" s="18">
        <f t="shared" si="188"/>
        <v>0</v>
      </c>
      <c r="L536" s="18"/>
      <c r="M536" s="18">
        <f t="shared" si="189"/>
        <v>0</v>
      </c>
      <c r="N536" s="18">
        <f t="shared" si="190"/>
        <v>0</v>
      </c>
      <c r="O536" s="18">
        <f t="shared" si="191"/>
        <v>58050.973299999998</v>
      </c>
    </row>
    <row r="537" spans="1:15" x14ac:dyDescent="0.3">
      <c r="A537" t="s">
        <v>127</v>
      </c>
      <c r="B537" s="82">
        <v>45760</v>
      </c>
      <c r="C537" s="18" t="s">
        <v>487</v>
      </c>
      <c r="D537" s="19" t="s">
        <v>488</v>
      </c>
      <c r="E537" s="19" t="s">
        <v>480</v>
      </c>
      <c r="F537" s="19">
        <v>10</v>
      </c>
      <c r="G537" s="215">
        <v>724</v>
      </c>
      <c r="H537" s="19">
        <v>0</v>
      </c>
      <c r="I537" s="19">
        <f t="shared" si="186"/>
        <v>0</v>
      </c>
      <c r="J537" s="19">
        <f t="shared" si="187"/>
        <v>724</v>
      </c>
      <c r="K537" s="18">
        <f t="shared" si="188"/>
        <v>7240</v>
      </c>
      <c r="L537" s="18">
        <v>2.29</v>
      </c>
      <c r="M537" s="18">
        <f t="shared" si="189"/>
        <v>1657.96</v>
      </c>
      <c r="N537" s="18">
        <f t="shared" si="190"/>
        <v>16579.599999999999</v>
      </c>
      <c r="O537" s="18">
        <f t="shared" si="191"/>
        <v>74630.573299999989</v>
      </c>
    </row>
    <row r="538" spans="1:15" x14ac:dyDescent="0.3">
      <c r="B538" s="19"/>
      <c r="C538" s="19"/>
      <c r="D538" s="19"/>
      <c r="E538" s="19"/>
      <c r="F538" s="19"/>
      <c r="G538" s="19"/>
      <c r="H538" s="19"/>
      <c r="I538" s="19">
        <f t="shared" si="186"/>
        <v>0</v>
      </c>
      <c r="J538" s="19">
        <f t="shared" si="187"/>
        <v>0</v>
      </c>
      <c r="K538" s="18">
        <f t="shared" si="188"/>
        <v>0</v>
      </c>
      <c r="L538" s="18"/>
      <c r="M538" s="18">
        <f t="shared" si="189"/>
        <v>0</v>
      </c>
      <c r="N538" s="18">
        <f t="shared" si="190"/>
        <v>0</v>
      </c>
      <c r="O538" s="18">
        <f t="shared" si="191"/>
        <v>74630.573299999989</v>
      </c>
    </row>
    <row r="539" spans="1:15" x14ac:dyDescent="0.3">
      <c r="A539" t="s">
        <v>127</v>
      </c>
      <c r="B539" s="82">
        <v>45760</v>
      </c>
      <c r="C539" s="18" t="s">
        <v>489</v>
      </c>
      <c r="D539" s="19" t="s">
        <v>490</v>
      </c>
      <c r="E539" s="19" t="s">
        <v>480</v>
      </c>
      <c r="F539" s="19">
        <v>1</v>
      </c>
      <c r="G539" s="215">
        <v>713</v>
      </c>
      <c r="H539" s="19">
        <v>0</v>
      </c>
      <c r="I539" s="19">
        <f t="shared" si="186"/>
        <v>0</v>
      </c>
      <c r="J539" s="19">
        <f t="shared" si="187"/>
        <v>713</v>
      </c>
      <c r="K539" s="18">
        <f t="shared" si="188"/>
        <v>713</v>
      </c>
      <c r="L539" s="18">
        <v>2.29</v>
      </c>
      <c r="M539" s="18">
        <f t="shared" si="189"/>
        <v>1632.77</v>
      </c>
      <c r="N539" s="18">
        <f t="shared" si="190"/>
        <v>1632.77</v>
      </c>
      <c r="O539" s="18">
        <f t="shared" si="191"/>
        <v>76263.343299999993</v>
      </c>
    </row>
    <row r="540" spans="1:15" x14ac:dyDescent="0.3">
      <c r="B540" s="19"/>
      <c r="C540" s="19"/>
      <c r="D540" s="19"/>
      <c r="E540" s="19"/>
      <c r="F540" s="19"/>
      <c r="G540" s="19"/>
      <c r="H540" s="19"/>
      <c r="I540" s="19">
        <f t="shared" si="186"/>
        <v>0</v>
      </c>
      <c r="J540" s="19">
        <f t="shared" si="187"/>
        <v>0</v>
      </c>
      <c r="K540" s="18">
        <f t="shared" si="188"/>
        <v>0</v>
      </c>
      <c r="L540" s="18"/>
      <c r="M540" s="18">
        <f t="shared" si="189"/>
        <v>0</v>
      </c>
      <c r="N540" s="18">
        <f t="shared" si="190"/>
        <v>0</v>
      </c>
      <c r="O540" s="18">
        <f t="shared" si="191"/>
        <v>76263.343299999993</v>
      </c>
    </row>
    <row r="541" spans="1:15" x14ac:dyDescent="0.3">
      <c r="A541" t="s">
        <v>127</v>
      </c>
      <c r="B541" s="82">
        <v>45760</v>
      </c>
      <c r="C541" s="18" t="s">
        <v>493</v>
      </c>
      <c r="D541" s="19" t="s">
        <v>494</v>
      </c>
      <c r="E541" s="19" t="s">
        <v>480</v>
      </c>
      <c r="F541" s="19">
        <v>3</v>
      </c>
      <c r="G541" s="215">
        <v>213</v>
      </c>
      <c r="H541" s="19">
        <v>0</v>
      </c>
      <c r="I541" s="19">
        <f t="shared" si="186"/>
        <v>0</v>
      </c>
      <c r="J541" s="19">
        <f t="shared" ref="J541:J555" si="192">G541-I541</f>
        <v>213</v>
      </c>
      <c r="K541" s="18">
        <f t="shared" ref="K541:K555" si="193">F541*J541</f>
        <v>639</v>
      </c>
      <c r="L541" s="18">
        <v>2.29</v>
      </c>
      <c r="M541" s="18">
        <f t="shared" ref="M541:M555" si="194">J541*L541</f>
        <v>487.77</v>
      </c>
      <c r="N541" s="18">
        <f t="shared" ref="N541:N555" si="195">F541*M541</f>
        <v>1463.31</v>
      </c>
      <c r="O541" s="18">
        <f t="shared" ref="O541:O555" si="196">O540+N541</f>
        <v>77726.653299999991</v>
      </c>
    </row>
    <row r="542" spans="1:15" x14ac:dyDescent="0.3">
      <c r="A542" t="s">
        <v>127</v>
      </c>
      <c r="B542" s="82">
        <v>45760</v>
      </c>
      <c r="C542" s="18" t="s">
        <v>495</v>
      </c>
      <c r="D542" s="19" t="s">
        <v>494</v>
      </c>
      <c r="E542" s="19" t="s">
        <v>480</v>
      </c>
      <c r="F542" s="19">
        <v>2</v>
      </c>
      <c r="G542" s="215">
        <v>87</v>
      </c>
      <c r="H542" s="19">
        <v>0</v>
      </c>
      <c r="I542" s="19">
        <f t="shared" si="186"/>
        <v>0</v>
      </c>
      <c r="J542" s="19">
        <f t="shared" si="192"/>
        <v>87</v>
      </c>
      <c r="K542" s="18">
        <f t="shared" si="193"/>
        <v>174</v>
      </c>
      <c r="L542" s="18">
        <v>2.29</v>
      </c>
      <c r="M542" s="18">
        <f t="shared" si="194"/>
        <v>199.23</v>
      </c>
      <c r="N542" s="18">
        <f t="shared" si="195"/>
        <v>398.46</v>
      </c>
      <c r="O542" s="18">
        <f t="shared" si="196"/>
        <v>78125.113299999997</v>
      </c>
    </row>
    <row r="543" spans="1:15" x14ac:dyDescent="0.3">
      <c r="A543" t="s">
        <v>127</v>
      </c>
      <c r="B543" s="82">
        <v>45760</v>
      </c>
      <c r="C543" s="18" t="s">
        <v>496</v>
      </c>
      <c r="D543" s="19" t="s">
        <v>494</v>
      </c>
      <c r="E543" s="19" t="s">
        <v>480</v>
      </c>
      <c r="F543" s="19">
        <v>8</v>
      </c>
      <c r="G543" s="215">
        <v>19</v>
      </c>
      <c r="H543" s="19">
        <v>0</v>
      </c>
      <c r="I543" s="19">
        <f t="shared" si="186"/>
        <v>0</v>
      </c>
      <c r="J543" s="19">
        <f t="shared" si="192"/>
        <v>19</v>
      </c>
      <c r="K543" s="18">
        <f t="shared" si="193"/>
        <v>152</v>
      </c>
      <c r="L543" s="18">
        <v>2.29</v>
      </c>
      <c r="M543" s="18">
        <f t="shared" si="194"/>
        <v>43.51</v>
      </c>
      <c r="N543" s="18">
        <f t="shared" si="195"/>
        <v>348.08</v>
      </c>
      <c r="O543" s="18">
        <f t="shared" si="196"/>
        <v>78473.193299999999</v>
      </c>
    </row>
    <row r="544" spans="1:15" x14ac:dyDescent="0.3">
      <c r="B544" s="19"/>
      <c r="C544" s="19"/>
      <c r="D544" s="19"/>
      <c r="E544" s="19"/>
      <c r="F544" s="19"/>
      <c r="G544" s="19"/>
      <c r="H544" s="19"/>
      <c r="I544" s="19">
        <f t="shared" si="186"/>
        <v>0</v>
      </c>
      <c r="J544" s="19">
        <f t="shared" si="192"/>
        <v>0</v>
      </c>
      <c r="K544" s="18">
        <f t="shared" si="193"/>
        <v>0</v>
      </c>
      <c r="L544" s="18"/>
      <c r="M544" s="18">
        <f t="shared" si="194"/>
        <v>0</v>
      </c>
      <c r="N544" s="18">
        <f t="shared" si="195"/>
        <v>0</v>
      </c>
      <c r="O544" s="18">
        <f t="shared" si="196"/>
        <v>78473.193299999999</v>
      </c>
    </row>
    <row r="545" spans="1:15" x14ac:dyDescent="0.3">
      <c r="A545" t="s">
        <v>127</v>
      </c>
      <c r="B545" s="82">
        <v>45760</v>
      </c>
      <c r="C545" s="18" t="s">
        <v>482</v>
      </c>
      <c r="D545" s="19" t="s">
        <v>468</v>
      </c>
      <c r="E545" s="19" t="s">
        <v>480</v>
      </c>
      <c r="F545" s="19">
        <v>20</v>
      </c>
      <c r="G545" s="215">
        <v>30</v>
      </c>
      <c r="H545" s="19">
        <v>10</v>
      </c>
      <c r="I545" s="19">
        <f t="shared" si="186"/>
        <v>3</v>
      </c>
      <c r="J545" s="19">
        <f t="shared" si="192"/>
        <v>27</v>
      </c>
      <c r="K545" s="18">
        <f t="shared" si="193"/>
        <v>540</v>
      </c>
      <c r="L545" s="18">
        <v>2.29</v>
      </c>
      <c r="M545" s="18">
        <f t="shared" si="194"/>
        <v>61.83</v>
      </c>
      <c r="N545" s="18">
        <f t="shared" si="195"/>
        <v>1236.5999999999999</v>
      </c>
      <c r="O545" s="18">
        <f t="shared" si="196"/>
        <v>79709.793300000005</v>
      </c>
    </row>
    <row r="546" spans="1:15" x14ac:dyDescent="0.3">
      <c r="B546" s="19"/>
      <c r="C546" s="19"/>
      <c r="D546" s="19"/>
      <c r="E546" s="19"/>
      <c r="F546" s="19"/>
      <c r="G546" s="19"/>
      <c r="H546" s="19"/>
      <c r="I546" s="19">
        <f t="shared" si="186"/>
        <v>0</v>
      </c>
      <c r="J546" s="19">
        <f t="shared" si="192"/>
        <v>0</v>
      </c>
      <c r="K546" s="18">
        <f t="shared" si="193"/>
        <v>0</v>
      </c>
      <c r="L546" s="18"/>
      <c r="M546" s="18">
        <f t="shared" si="194"/>
        <v>0</v>
      </c>
      <c r="N546" s="18">
        <f t="shared" si="195"/>
        <v>0</v>
      </c>
      <c r="O546" s="18">
        <f t="shared" si="196"/>
        <v>79709.793300000005</v>
      </c>
    </row>
    <row r="547" spans="1:15" x14ac:dyDescent="0.3">
      <c r="A547" t="s">
        <v>127</v>
      </c>
      <c r="B547" s="82">
        <v>45760</v>
      </c>
      <c r="C547" s="18" t="s">
        <v>471</v>
      </c>
      <c r="D547" s="19" t="s">
        <v>499</v>
      </c>
      <c r="E547" s="19" t="s">
        <v>480</v>
      </c>
      <c r="F547" s="19">
        <v>4</v>
      </c>
      <c r="G547" s="215">
        <v>724</v>
      </c>
      <c r="H547" s="19">
        <v>10</v>
      </c>
      <c r="I547" s="19">
        <f t="shared" si="186"/>
        <v>72.400000000000006</v>
      </c>
      <c r="J547" s="19">
        <f t="shared" si="192"/>
        <v>651.6</v>
      </c>
      <c r="K547" s="18">
        <f t="shared" si="193"/>
        <v>2606.4</v>
      </c>
      <c r="L547" s="18">
        <v>2.29</v>
      </c>
      <c r="M547" s="18">
        <f t="shared" si="194"/>
        <v>1492.164</v>
      </c>
      <c r="N547" s="18">
        <f t="shared" si="195"/>
        <v>5968.6559999999999</v>
      </c>
      <c r="O547" s="18">
        <f t="shared" si="196"/>
        <v>85678.449300000007</v>
      </c>
    </row>
    <row r="548" spans="1:15" x14ac:dyDescent="0.3">
      <c r="B548" s="19"/>
      <c r="C548" s="19"/>
      <c r="D548" s="19"/>
      <c r="E548" s="19"/>
      <c r="F548" s="19"/>
      <c r="G548" s="19"/>
      <c r="H548" s="19"/>
      <c r="I548" s="19">
        <f t="shared" si="186"/>
        <v>0</v>
      </c>
      <c r="J548" s="19">
        <f t="shared" si="192"/>
        <v>0</v>
      </c>
      <c r="K548" s="18">
        <f t="shared" si="193"/>
        <v>0</v>
      </c>
      <c r="L548" s="18"/>
      <c r="M548" s="18">
        <f t="shared" si="194"/>
        <v>0</v>
      </c>
      <c r="N548" s="18">
        <f t="shared" si="195"/>
        <v>0</v>
      </c>
      <c r="O548" s="18">
        <f t="shared" si="196"/>
        <v>85678.449300000007</v>
      </c>
    </row>
    <row r="549" spans="1:15" x14ac:dyDescent="0.3">
      <c r="A549" t="s">
        <v>127</v>
      </c>
      <c r="B549" s="82">
        <v>45760</v>
      </c>
      <c r="C549" s="18" t="s">
        <v>612</v>
      </c>
      <c r="D549" s="19" t="s">
        <v>501</v>
      </c>
      <c r="E549" s="19" t="s">
        <v>480</v>
      </c>
      <c r="F549" s="19">
        <v>1</v>
      </c>
      <c r="G549" s="215">
        <v>2249</v>
      </c>
      <c r="H549" s="19">
        <v>10</v>
      </c>
      <c r="I549" s="19">
        <f t="shared" si="186"/>
        <v>224.9</v>
      </c>
      <c r="J549" s="19">
        <f t="shared" si="192"/>
        <v>2024.1</v>
      </c>
      <c r="K549" s="18">
        <f t="shared" si="193"/>
        <v>2024.1</v>
      </c>
      <c r="L549" s="18">
        <v>2.29</v>
      </c>
      <c r="M549" s="18">
        <f t="shared" si="194"/>
        <v>4635.1890000000003</v>
      </c>
      <c r="N549" s="18">
        <f t="shared" si="195"/>
        <v>4635.1890000000003</v>
      </c>
      <c r="O549" s="18">
        <f t="shared" si="196"/>
        <v>90313.638300000006</v>
      </c>
    </row>
    <row r="550" spans="1:15" x14ac:dyDescent="0.3">
      <c r="A550" t="s">
        <v>127</v>
      </c>
      <c r="B550" s="82">
        <v>45760</v>
      </c>
      <c r="C550" s="18" t="s">
        <v>477</v>
      </c>
      <c r="D550" s="19" t="s">
        <v>501</v>
      </c>
      <c r="E550" s="19" t="s">
        <v>480</v>
      </c>
      <c r="F550" s="19">
        <v>1</v>
      </c>
      <c r="G550" s="215">
        <v>2699</v>
      </c>
      <c r="H550" s="19">
        <v>10</v>
      </c>
      <c r="I550" s="19">
        <f t="shared" si="186"/>
        <v>269.90000000000003</v>
      </c>
      <c r="J550" s="19">
        <f t="shared" si="192"/>
        <v>2429.1</v>
      </c>
      <c r="K550" s="18">
        <f t="shared" si="193"/>
        <v>2429.1</v>
      </c>
      <c r="L550" s="18">
        <v>2.29</v>
      </c>
      <c r="M550" s="18">
        <f t="shared" si="194"/>
        <v>5562.6390000000001</v>
      </c>
      <c r="N550" s="18">
        <f t="shared" si="195"/>
        <v>5562.6390000000001</v>
      </c>
      <c r="O550" s="18">
        <f t="shared" si="196"/>
        <v>95876.277300000002</v>
      </c>
    </row>
    <row r="551" spans="1:15" x14ac:dyDescent="0.3">
      <c r="B551" s="19"/>
      <c r="C551" s="19"/>
      <c r="D551" s="19"/>
      <c r="E551" s="19"/>
      <c r="F551" s="19"/>
      <c r="G551" s="19"/>
      <c r="H551" s="19"/>
      <c r="I551" s="19">
        <f t="shared" si="186"/>
        <v>0</v>
      </c>
      <c r="J551" s="19">
        <f t="shared" si="192"/>
        <v>0</v>
      </c>
      <c r="K551" s="18">
        <f t="shared" si="193"/>
        <v>0</v>
      </c>
      <c r="L551" s="18"/>
      <c r="M551" s="18">
        <f t="shared" si="194"/>
        <v>0</v>
      </c>
      <c r="N551" s="18">
        <f t="shared" si="195"/>
        <v>0</v>
      </c>
      <c r="O551" s="18">
        <f t="shared" si="196"/>
        <v>95876.277300000002</v>
      </c>
    </row>
    <row r="552" spans="1:15" x14ac:dyDescent="0.3">
      <c r="A552" t="s">
        <v>127</v>
      </c>
      <c r="B552" s="82">
        <v>45760</v>
      </c>
      <c r="C552" s="18" t="s">
        <v>472</v>
      </c>
      <c r="D552" s="19" t="s">
        <v>505</v>
      </c>
      <c r="E552" s="19" t="s">
        <v>480</v>
      </c>
      <c r="F552" s="19">
        <v>2</v>
      </c>
      <c r="G552" s="215">
        <v>299</v>
      </c>
      <c r="H552" s="19">
        <v>10</v>
      </c>
      <c r="I552" s="19">
        <f t="shared" si="186"/>
        <v>29.900000000000002</v>
      </c>
      <c r="J552" s="19">
        <f t="shared" si="192"/>
        <v>269.10000000000002</v>
      </c>
      <c r="K552" s="18">
        <f t="shared" si="193"/>
        <v>538.20000000000005</v>
      </c>
      <c r="L552" s="18">
        <v>2.29</v>
      </c>
      <c r="M552" s="18">
        <f t="shared" si="194"/>
        <v>616.23900000000003</v>
      </c>
      <c r="N552" s="18">
        <f t="shared" si="195"/>
        <v>1232.4780000000001</v>
      </c>
      <c r="O552" s="18">
        <f t="shared" si="196"/>
        <v>97108.755300000004</v>
      </c>
    </row>
    <row r="553" spans="1:15" x14ac:dyDescent="0.3">
      <c r="B553" s="19"/>
      <c r="C553" s="19"/>
      <c r="D553" s="19"/>
      <c r="E553" s="19"/>
      <c r="F553" s="19"/>
      <c r="G553" s="19"/>
      <c r="H553" s="19"/>
      <c r="I553" s="19">
        <f t="shared" si="186"/>
        <v>0</v>
      </c>
      <c r="J553" s="19">
        <f t="shared" si="192"/>
        <v>0</v>
      </c>
      <c r="K553" s="18">
        <f t="shared" si="193"/>
        <v>0</v>
      </c>
      <c r="L553" s="18"/>
      <c r="M553" s="18">
        <f t="shared" si="194"/>
        <v>0</v>
      </c>
      <c r="N553" s="18">
        <f t="shared" si="195"/>
        <v>0</v>
      </c>
      <c r="O553" s="18">
        <f t="shared" si="196"/>
        <v>97108.755300000004</v>
      </c>
    </row>
    <row r="554" spans="1:15" x14ac:dyDescent="0.3">
      <c r="A554" t="s">
        <v>127</v>
      </c>
      <c r="B554" s="82">
        <v>45760</v>
      </c>
      <c r="C554" s="18" t="s">
        <v>496</v>
      </c>
      <c r="D554" s="19" t="s">
        <v>506</v>
      </c>
      <c r="E554" s="19" t="s">
        <v>480</v>
      </c>
      <c r="F554" s="19">
        <v>12</v>
      </c>
      <c r="G554" s="215">
        <v>19</v>
      </c>
      <c r="H554" s="19">
        <v>0</v>
      </c>
      <c r="I554" s="19">
        <f t="shared" si="186"/>
        <v>0</v>
      </c>
      <c r="J554" s="19">
        <f t="shared" si="192"/>
        <v>19</v>
      </c>
      <c r="K554" s="18">
        <f t="shared" si="193"/>
        <v>228</v>
      </c>
      <c r="L554" s="18">
        <v>2.29</v>
      </c>
      <c r="M554" s="18">
        <f t="shared" si="194"/>
        <v>43.51</v>
      </c>
      <c r="N554" s="18">
        <f t="shared" si="195"/>
        <v>522.12</v>
      </c>
      <c r="O554" s="18">
        <f t="shared" si="196"/>
        <v>97630.8753</v>
      </c>
    </row>
    <row r="555" spans="1:15" x14ac:dyDescent="0.3">
      <c r="A555" t="s">
        <v>127</v>
      </c>
      <c r="B555" s="82">
        <v>45760</v>
      </c>
      <c r="C555" s="18" t="s">
        <v>493</v>
      </c>
      <c r="D555" s="19" t="s">
        <v>506</v>
      </c>
      <c r="E555" s="19" t="s">
        <v>480</v>
      </c>
      <c r="F555" s="19">
        <v>1</v>
      </c>
      <c r="G555" s="215">
        <v>213</v>
      </c>
      <c r="H555" s="19">
        <v>0</v>
      </c>
      <c r="I555" s="19">
        <f t="shared" si="186"/>
        <v>0</v>
      </c>
      <c r="J555" s="19">
        <f t="shared" si="192"/>
        <v>213</v>
      </c>
      <c r="K555" s="18">
        <f t="shared" si="193"/>
        <v>213</v>
      </c>
      <c r="L555" s="18">
        <v>2.29</v>
      </c>
      <c r="M555" s="18">
        <f t="shared" si="194"/>
        <v>487.77</v>
      </c>
      <c r="N555" s="18">
        <f t="shared" si="195"/>
        <v>487.77</v>
      </c>
      <c r="O555" s="18">
        <f t="shared" si="196"/>
        <v>98118.645300000004</v>
      </c>
    </row>
    <row r="556" spans="1:15" x14ac:dyDescent="0.3">
      <c r="A556" t="s">
        <v>127</v>
      </c>
      <c r="B556" s="82">
        <v>45760</v>
      </c>
      <c r="C556" s="18" t="s">
        <v>495</v>
      </c>
      <c r="D556" s="19" t="s">
        <v>506</v>
      </c>
      <c r="E556" s="19" t="s">
        <v>480</v>
      </c>
      <c r="F556" s="19">
        <v>3</v>
      </c>
      <c r="G556" s="215">
        <v>87</v>
      </c>
      <c r="H556" s="19">
        <v>0</v>
      </c>
      <c r="I556" s="19">
        <f t="shared" ref="I556:I565" si="197">G556*H556%</f>
        <v>0</v>
      </c>
      <c r="J556" s="19">
        <f t="shared" ref="J556:J565" si="198">G556-I556</f>
        <v>87</v>
      </c>
      <c r="K556" s="18">
        <f t="shared" ref="K556:K565" si="199">F556*J556</f>
        <v>261</v>
      </c>
      <c r="L556" s="18">
        <v>2.29</v>
      </c>
      <c r="M556" s="18">
        <f t="shared" ref="M556:M565" si="200">J556*L556</f>
        <v>199.23</v>
      </c>
      <c r="N556" s="18">
        <f t="shared" ref="N556:N565" si="201">F556*M556</f>
        <v>597.68999999999994</v>
      </c>
      <c r="O556" s="18">
        <f t="shared" ref="O556:O565" si="202">O555+N556</f>
        <v>98716.335300000006</v>
      </c>
    </row>
    <row r="557" spans="1:15" x14ac:dyDescent="0.3">
      <c r="B557" s="19"/>
      <c r="C557" s="19"/>
      <c r="D557" s="19"/>
      <c r="E557" s="19"/>
      <c r="F557" s="19"/>
      <c r="G557" s="19"/>
      <c r="H557" s="19"/>
      <c r="I557" s="19">
        <f t="shared" si="197"/>
        <v>0</v>
      </c>
      <c r="J557" s="19">
        <f t="shared" si="198"/>
        <v>0</v>
      </c>
      <c r="K557" s="18">
        <f t="shared" si="199"/>
        <v>0</v>
      </c>
      <c r="L557" s="18"/>
      <c r="M557" s="18">
        <f t="shared" si="200"/>
        <v>0</v>
      </c>
      <c r="N557" s="18">
        <f t="shared" si="201"/>
        <v>0</v>
      </c>
      <c r="O557" s="18">
        <f t="shared" si="202"/>
        <v>98716.335300000006</v>
      </c>
    </row>
    <row r="558" spans="1:15" x14ac:dyDescent="0.3">
      <c r="A558" t="s">
        <v>127</v>
      </c>
      <c r="B558" s="82">
        <v>45760</v>
      </c>
      <c r="C558" s="18" t="s">
        <v>509</v>
      </c>
      <c r="D558" s="19" t="s">
        <v>479</v>
      </c>
      <c r="E558" s="19" t="s">
        <v>480</v>
      </c>
      <c r="F558" s="19">
        <v>6</v>
      </c>
      <c r="G558" s="215">
        <v>204</v>
      </c>
      <c r="H558" s="19">
        <v>10</v>
      </c>
      <c r="I558" s="19">
        <f t="shared" si="197"/>
        <v>20.400000000000002</v>
      </c>
      <c r="J558" s="19">
        <f t="shared" si="198"/>
        <v>183.6</v>
      </c>
      <c r="K558" s="18">
        <f t="shared" si="199"/>
        <v>1101.5999999999999</v>
      </c>
      <c r="L558" s="18">
        <v>2.29</v>
      </c>
      <c r="M558" s="18">
        <f t="shared" si="200"/>
        <v>420.44400000000002</v>
      </c>
      <c r="N558" s="18">
        <f t="shared" si="201"/>
        <v>2522.6640000000002</v>
      </c>
      <c r="O558" s="18">
        <f t="shared" si="202"/>
        <v>101238.99930000001</v>
      </c>
    </row>
    <row r="559" spans="1:15" x14ac:dyDescent="0.3">
      <c r="A559" t="s">
        <v>127</v>
      </c>
      <c r="B559" s="82">
        <v>45760</v>
      </c>
      <c r="C559" s="18" t="s">
        <v>510</v>
      </c>
      <c r="D559" s="19" t="s">
        <v>479</v>
      </c>
      <c r="E559" s="19" t="s">
        <v>480</v>
      </c>
      <c r="F559" s="19">
        <v>3</v>
      </c>
      <c r="G559" s="215">
        <v>200</v>
      </c>
      <c r="H559" s="19">
        <v>10</v>
      </c>
      <c r="I559" s="19">
        <f t="shared" si="197"/>
        <v>20</v>
      </c>
      <c r="J559" s="19">
        <f t="shared" si="198"/>
        <v>180</v>
      </c>
      <c r="K559" s="18">
        <f t="shared" si="199"/>
        <v>540</v>
      </c>
      <c r="L559" s="18">
        <v>2.29</v>
      </c>
      <c r="M559" s="18">
        <f t="shared" si="200"/>
        <v>412.2</v>
      </c>
      <c r="N559" s="18">
        <f t="shared" si="201"/>
        <v>1236.5999999999999</v>
      </c>
      <c r="O559" s="18">
        <f t="shared" si="202"/>
        <v>102475.59930000002</v>
      </c>
    </row>
    <row r="560" spans="1:15" x14ac:dyDescent="0.3">
      <c r="A560" t="s">
        <v>127</v>
      </c>
      <c r="B560" s="82">
        <v>45760</v>
      </c>
      <c r="C560" s="18" t="s">
        <v>496</v>
      </c>
      <c r="D560" s="19" t="s">
        <v>479</v>
      </c>
      <c r="E560" s="19" t="s">
        <v>480</v>
      </c>
      <c r="F560" s="19">
        <v>11</v>
      </c>
      <c r="G560" s="215">
        <v>21</v>
      </c>
      <c r="H560" s="19">
        <v>10</v>
      </c>
      <c r="I560" s="19">
        <f t="shared" si="197"/>
        <v>2.1</v>
      </c>
      <c r="J560" s="19">
        <f t="shared" si="198"/>
        <v>18.899999999999999</v>
      </c>
      <c r="K560" s="18">
        <f t="shared" si="199"/>
        <v>207.89999999999998</v>
      </c>
      <c r="L560" s="18">
        <v>2.29</v>
      </c>
      <c r="M560" s="18">
        <f t="shared" si="200"/>
        <v>43.280999999999999</v>
      </c>
      <c r="N560" s="18">
        <f t="shared" si="201"/>
        <v>476.09100000000001</v>
      </c>
      <c r="O560" s="18">
        <f t="shared" si="202"/>
        <v>102951.69030000002</v>
      </c>
    </row>
    <row r="561" spans="1:15" x14ac:dyDescent="0.3">
      <c r="B561" s="19"/>
      <c r="C561" s="19"/>
      <c r="D561" s="19"/>
      <c r="E561" s="19"/>
      <c r="F561" s="19"/>
      <c r="G561" s="19"/>
      <c r="H561" s="19"/>
      <c r="I561" s="19">
        <f t="shared" si="197"/>
        <v>0</v>
      </c>
      <c r="J561" s="19">
        <f t="shared" si="198"/>
        <v>0</v>
      </c>
      <c r="K561" s="18">
        <f t="shared" si="199"/>
        <v>0</v>
      </c>
      <c r="L561" s="18"/>
      <c r="M561" s="18">
        <f t="shared" si="200"/>
        <v>0</v>
      </c>
      <c r="N561" s="18">
        <f t="shared" si="201"/>
        <v>0</v>
      </c>
      <c r="O561" s="18">
        <f t="shared" si="202"/>
        <v>102951.69030000002</v>
      </c>
    </row>
    <row r="562" spans="1:15" x14ac:dyDescent="0.3">
      <c r="A562" t="s">
        <v>127</v>
      </c>
      <c r="B562" s="82">
        <v>45760</v>
      </c>
      <c r="C562" s="18" t="s">
        <v>507</v>
      </c>
      <c r="D562" s="19" t="s">
        <v>479</v>
      </c>
      <c r="E562" s="19" t="s">
        <v>480</v>
      </c>
      <c r="F562" s="19">
        <v>5</v>
      </c>
      <c r="G562" s="215">
        <v>2605</v>
      </c>
      <c r="H562" s="19">
        <v>10</v>
      </c>
      <c r="I562" s="19">
        <f t="shared" si="197"/>
        <v>260.5</v>
      </c>
      <c r="J562" s="232">
        <f>G562-I562-200</f>
        <v>2144.5</v>
      </c>
      <c r="K562" s="18">
        <f t="shared" si="199"/>
        <v>10722.5</v>
      </c>
      <c r="L562" s="18">
        <v>2.29</v>
      </c>
      <c r="M562" s="18">
        <f t="shared" si="200"/>
        <v>4910.9049999999997</v>
      </c>
      <c r="N562" s="18">
        <f t="shared" si="201"/>
        <v>24554.524999999998</v>
      </c>
      <c r="O562" s="18">
        <f t="shared" si="202"/>
        <v>127506.21530000001</v>
      </c>
    </row>
    <row r="563" spans="1:15" x14ac:dyDescent="0.3">
      <c r="A563" t="s">
        <v>127</v>
      </c>
      <c r="B563" s="82">
        <v>45760</v>
      </c>
      <c r="C563" s="18" t="s">
        <v>508</v>
      </c>
      <c r="D563" s="19" t="s">
        <v>479</v>
      </c>
      <c r="E563" s="19" t="s">
        <v>480</v>
      </c>
      <c r="F563" s="19">
        <v>1</v>
      </c>
      <c r="G563" s="215">
        <v>3535</v>
      </c>
      <c r="H563" s="19">
        <v>10</v>
      </c>
      <c r="I563" s="19">
        <f t="shared" si="197"/>
        <v>353.5</v>
      </c>
      <c r="J563" s="232">
        <f>G563-I563-200</f>
        <v>2981.5</v>
      </c>
      <c r="K563" s="18">
        <f t="shared" si="199"/>
        <v>2981.5</v>
      </c>
      <c r="L563" s="18">
        <v>2.29</v>
      </c>
      <c r="M563" s="18">
        <f t="shared" si="200"/>
        <v>6827.6350000000002</v>
      </c>
      <c r="N563" s="18">
        <f t="shared" si="201"/>
        <v>6827.6350000000002</v>
      </c>
      <c r="O563" s="18">
        <f t="shared" si="202"/>
        <v>134333.85030000002</v>
      </c>
    </row>
    <row r="564" spans="1:15" x14ac:dyDescent="0.3">
      <c r="B564" s="19"/>
      <c r="C564" s="19"/>
      <c r="D564" s="19"/>
      <c r="E564" s="19"/>
      <c r="F564" s="19"/>
      <c r="G564" s="19"/>
      <c r="H564" s="19"/>
      <c r="I564" s="19">
        <f t="shared" si="197"/>
        <v>0</v>
      </c>
      <c r="J564" s="19">
        <f t="shared" si="198"/>
        <v>0</v>
      </c>
      <c r="K564" s="18">
        <f t="shared" si="199"/>
        <v>0</v>
      </c>
      <c r="L564" s="18"/>
      <c r="M564" s="18">
        <f t="shared" si="200"/>
        <v>0</v>
      </c>
      <c r="N564" s="18">
        <f t="shared" si="201"/>
        <v>0</v>
      </c>
      <c r="O564" s="18">
        <f t="shared" si="202"/>
        <v>134333.85030000002</v>
      </c>
    </row>
    <row r="565" spans="1:15" x14ac:dyDescent="0.3">
      <c r="B565" s="19"/>
      <c r="C565" s="19"/>
      <c r="D565" s="19"/>
      <c r="E565" s="19"/>
      <c r="F565" s="19"/>
      <c r="G565" s="19"/>
      <c r="H565" s="19"/>
      <c r="I565" s="19">
        <f t="shared" si="197"/>
        <v>0</v>
      </c>
      <c r="J565" s="19">
        <f t="shared" si="198"/>
        <v>0</v>
      </c>
      <c r="K565" s="18">
        <f t="shared" si="199"/>
        <v>0</v>
      </c>
      <c r="L565" s="18"/>
      <c r="M565" s="18">
        <f t="shared" si="200"/>
        <v>0</v>
      </c>
      <c r="N565" s="18">
        <f t="shared" si="201"/>
        <v>0</v>
      </c>
      <c r="O565" s="18">
        <f t="shared" si="202"/>
        <v>134333.85030000002</v>
      </c>
    </row>
    <row r="569" spans="1:15" ht="21" x14ac:dyDescent="0.4">
      <c r="A569" t="s">
        <v>127</v>
      </c>
      <c r="B569" s="492" t="s">
        <v>20</v>
      </c>
      <c r="C569" s="492"/>
      <c r="D569" s="492"/>
      <c r="E569" s="492"/>
      <c r="F569" s="492"/>
      <c r="G569" s="492"/>
      <c r="H569" s="492"/>
      <c r="I569" s="492"/>
      <c r="J569" s="492"/>
    </row>
    <row r="570" spans="1:15" ht="18" x14ac:dyDescent="0.35">
      <c r="A570" t="s">
        <v>212</v>
      </c>
      <c r="B570" s="4" t="s">
        <v>1</v>
      </c>
      <c r="C570" s="4" t="s">
        <v>2</v>
      </c>
      <c r="D570" s="4" t="s">
        <v>3</v>
      </c>
      <c r="E570" s="4" t="s">
        <v>4</v>
      </c>
      <c r="F570" s="4" t="s">
        <v>36</v>
      </c>
      <c r="G570" s="4" t="s">
        <v>5</v>
      </c>
      <c r="H570" s="4" t="s">
        <v>6</v>
      </c>
      <c r="I570" s="4" t="s">
        <v>7</v>
      </c>
      <c r="J570" s="4"/>
    </row>
    <row r="571" spans="1:15" x14ac:dyDescent="0.3">
      <c r="B571" s="82">
        <v>45761</v>
      </c>
      <c r="C571" s="18" t="s">
        <v>532</v>
      </c>
      <c r="D571" s="19">
        <v>6</v>
      </c>
      <c r="E571" s="145">
        <v>724</v>
      </c>
      <c r="F571" s="19">
        <f>E571*D571</f>
        <v>4344</v>
      </c>
      <c r="G571" s="19">
        <v>2.33</v>
      </c>
      <c r="H571" s="19">
        <f>E571*G571</f>
        <v>1686.92</v>
      </c>
      <c r="I571" s="19">
        <f>H571*D571</f>
        <v>10121.52</v>
      </c>
      <c r="J571" s="18">
        <f>J570+I571</f>
        <v>10121.52</v>
      </c>
    </row>
    <row r="572" spans="1:15" x14ac:dyDescent="0.3">
      <c r="B572" s="82">
        <v>45762</v>
      </c>
      <c r="C572" s="18" t="s">
        <v>533</v>
      </c>
      <c r="D572" s="19">
        <v>2</v>
      </c>
      <c r="E572" s="145">
        <v>2549</v>
      </c>
      <c r="F572" s="19">
        <f t="shared" ref="F572:F592" si="203">E572*D572</f>
        <v>5098</v>
      </c>
      <c r="G572" s="19">
        <v>2.33</v>
      </c>
      <c r="H572" s="19">
        <f t="shared" ref="H572:H579" si="204">E572*G572</f>
        <v>5939.17</v>
      </c>
      <c r="I572" s="19">
        <f t="shared" ref="I572:I579" si="205">H572*D572</f>
        <v>11878.34</v>
      </c>
      <c r="J572" s="18">
        <f t="shared" ref="J572:J579" si="206">J571+I572</f>
        <v>21999.86</v>
      </c>
    </row>
    <row r="573" spans="1:15" x14ac:dyDescent="0.3">
      <c r="B573" s="82">
        <v>45762</v>
      </c>
      <c r="C573" s="18" t="s">
        <v>534</v>
      </c>
      <c r="D573" s="19">
        <v>1</v>
      </c>
      <c r="E573" s="145">
        <v>2549</v>
      </c>
      <c r="F573" s="19">
        <f t="shared" si="203"/>
        <v>2549</v>
      </c>
      <c r="G573" s="19">
        <v>2.33</v>
      </c>
      <c r="H573" s="19">
        <f t="shared" si="204"/>
        <v>5939.17</v>
      </c>
      <c r="I573" s="19">
        <f t="shared" si="205"/>
        <v>5939.17</v>
      </c>
      <c r="J573" s="18">
        <f t="shared" si="206"/>
        <v>27939.03</v>
      </c>
    </row>
    <row r="574" spans="1:15" x14ac:dyDescent="0.3">
      <c r="B574" s="82">
        <v>45762</v>
      </c>
      <c r="C574" s="18" t="s">
        <v>535</v>
      </c>
      <c r="D574" s="19">
        <v>2</v>
      </c>
      <c r="E574" s="145">
        <v>2199</v>
      </c>
      <c r="F574" s="19">
        <f t="shared" si="203"/>
        <v>4398</v>
      </c>
      <c r="G574" s="19">
        <v>2.33</v>
      </c>
      <c r="H574" s="19">
        <f t="shared" si="204"/>
        <v>5123.67</v>
      </c>
      <c r="I574" s="19">
        <f t="shared" si="205"/>
        <v>10247.34</v>
      </c>
      <c r="J574" s="18">
        <f t="shared" si="206"/>
        <v>38186.369999999995</v>
      </c>
    </row>
    <row r="575" spans="1:15" x14ac:dyDescent="0.3">
      <c r="B575" s="19"/>
      <c r="C575" s="19"/>
      <c r="D575" s="19"/>
      <c r="E575" s="19"/>
      <c r="F575" s="19">
        <f t="shared" si="203"/>
        <v>0</v>
      </c>
      <c r="G575" s="19"/>
      <c r="H575" s="19">
        <f t="shared" si="204"/>
        <v>0</v>
      </c>
      <c r="I575" s="19">
        <f t="shared" si="205"/>
        <v>0</v>
      </c>
      <c r="J575" s="18">
        <f t="shared" si="206"/>
        <v>38186.369999999995</v>
      </c>
    </row>
    <row r="576" spans="1:15" x14ac:dyDescent="0.3">
      <c r="B576" s="82">
        <v>45763</v>
      </c>
      <c r="C576" s="233" t="s">
        <v>536</v>
      </c>
      <c r="D576" s="19">
        <v>2</v>
      </c>
      <c r="E576" s="234">
        <v>539</v>
      </c>
      <c r="F576" s="19">
        <f t="shared" si="203"/>
        <v>1078</v>
      </c>
      <c r="G576" s="19">
        <v>2.33</v>
      </c>
      <c r="H576" s="19">
        <f t="shared" si="204"/>
        <v>1255.8700000000001</v>
      </c>
      <c r="I576" s="19">
        <f t="shared" si="205"/>
        <v>2511.7400000000002</v>
      </c>
      <c r="J576" s="18">
        <f t="shared" si="206"/>
        <v>40698.109999999993</v>
      </c>
    </row>
    <row r="577" spans="2:10" x14ac:dyDescent="0.3">
      <c r="B577" s="19"/>
      <c r="C577" s="19"/>
      <c r="D577" s="19"/>
      <c r="E577" s="19"/>
      <c r="F577" s="19">
        <f t="shared" si="203"/>
        <v>0</v>
      </c>
      <c r="G577" s="19"/>
      <c r="H577" s="19">
        <f t="shared" si="204"/>
        <v>0</v>
      </c>
      <c r="I577" s="19">
        <f t="shared" si="205"/>
        <v>0</v>
      </c>
      <c r="J577" s="18">
        <f t="shared" si="206"/>
        <v>40698.109999999993</v>
      </c>
    </row>
    <row r="578" spans="2:10" x14ac:dyDescent="0.3">
      <c r="B578" s="82">
        <v>45763</v>
      </c>
      <c r="C578" s="18" t="s">
        <v>290</v>
      </c>
      <c r="D578" s="19">
        <v>2</v>
      </c>
      <c r="E578" s="145">
        <v>213</v>
      </c>
      <c r="F578" s="19">
        <f t="shared" si="203"/>
        <v>426</v>
      </c>
      <c r="G578" s="19">
        <v>2.33</v>
      </c>
      <c r="H578" s="19">
        <f t="shared" si="204"/>
        <v>496.29</v>
      </c>
      <c r="I578" s="19">
        <f t="shared" si="205"/>
        <v>992.58</v>
      </c>
      <c r="J578" s="18">
        <f t="shared" si="206"/>
        <v>41690.689999999995</v>
      </c>
    </row>
    <row r="579" spans="2:10" x14ac:dyDescent="0.3">
      <c r="B579" s="82">
        <v>45763</v>
      </c>
      <c r="C579" s="18" t="s">
        <v>537</v>
      </c>
      <c r="D579" s="19">
        <v>6</v>
      </c>
      <c r="E579" s="145">
        <v>19</v>
      </c>
      <c r="F579" s="19">
        <f t="shared" si="203"/>
        <v>114</v>
      </c>
      <c r="G579" s="19">
        <v>2.33</v>
      </c>
      <c r="H579" s="19">
        <f t="shared" si="204"/>
        <v>44.27</v>
      </c>
      <c r="I579" s="19">
        <f t="shared" si="205"/>
        <v>265.62</v>
      </c>
      <c r="J579" s="18">
        <f t="shared" si="206"/>
        <v>41956.31</v>
      </c>
    </row>
    <row r="580" spans="2:10" x14ac:dyDescent="0.3">
      <c r="B580" s="19"/>
      <c r="C580" s="19"/>
      <c r="D580" s="19"/>
      <c r="E580" s="19"/>
      <c r="F580" s="19">
        <f t="shared" si="203"/>
        <v>0</v>
      </c>
      <c r="G580" s="19"/>
      <c r="H580" s="19">
        <f t="shared" ref="H580:H589" si="207">E580*G580</f>
        <v>0</v>
      </c>
      <c r="I580" s="19">
        <f t="shared" ref="I580:I589" si="208">H580*D580</f>
        <v>0</v>
      </c>
      <c r="J580" s="18">
        <f t="shared" ref="J580:J589" si="209">J579+I580</f>
        <v>41956.31</v>
      </c>
    </row>
    <row r="581" spans="2:10" x14ac:dyDescent="0.3">
      <c r="B581" s="97">
        <v>45763</v>
      </c>
      <c r="C581" s="109" t="s">
        <v>538</v>
      </c>
      <c r="D581" s="126">
        <v>2</v>
      </c>
      <c r="E581" s="146">
        <v>646</v>
      </c>
      <c r="F581" s="126">
        <f t="shared" si="203"/>
        <v>1292</v>
      </c>
      <c r="G581" s="126">
        <v>2.33</v>
      </c>
      <c r="H581" s="126">
        <f t="shared" si="207"/>
        <v>1505.18</v>
      </c>
      <c r="I581" s="126">
        <f t="shared" si="208"/>
        <v>3010.36</v>
      </c>
      <c r="J581" s="109">
        <f t="shared" si="209"/>
        <v>44966.67</v>
      </c>
    </row>
    <row r="582" spans="2:10" x14ac:dyDescent="0.3">
      <c r="B582" s="97">
        <v>45763</v>
      </c>
      <c r="C582" s="109" t="s">
        <v>539</v>
      </c>
      <c r="D582" s="126">
        <v>4</v>
      </c>
      <c r="E582" s="146">
        <v>713</v>
      </c>
      <c r="F582" s="126">
        <f t="shared" si="203"/>
        <v>2852</v>
      </c>
      <c r="G582" s="126">
        <v>2.33</v>
      </c>
      <c r="H582" s="126">
        <f t="shared" si="207"/>
        <v>1661.29</v>
      </c>
      <c r="I582" s="126">
        <f t="shared" si="208"/>
        <v>6645.16</v>
      </c>
      <c r="J582" s="109">
        <f t="shared" si="209"/>
        <v>51611.83</v>
      </c>
    </row>
    <row r="583" spans="2:10" x14ac:dyDescent="0.3">
      <c r="B583" s="97">
        <v>45763</v>
      </c>
      <c r="C583" s="109" t="s">
        <v>540</v>
      </c>
      <c r="D583" s="126">
        <v>2</v>
      </c>
      <c r="E583" s="146">
        <v>184</v>
      </c>
      <c r="F583" s="126">
        <f t="shared" si="203"/>
        <v>368</v>
      </c>
      <c r="G583" s="126">
        <v>2.33</v>
      </c>
      <c r="H583" s="126">
        <f t="shared" si="207"/>
        <v>428.72</v>
      </c>
      <c r="I583" s="126">
        <f t="shared" si="208"/>
        <v>857.44</v>
      </c>
      <c r="J583" s="109">
        <f t="shared" si="209"/>
        <v>52469.270000000004</v>
      </c>
    </row>
    <row r="584" spans="2:10" x14ac:dyDescent="0.3">
      <c r="B584" s="19"/>
      <c r="C584" s="19"/>
      <c r="D584" s="19"/>
      <c r="E584" s="19"/>
      <c r="F584" s="19">
        <f t="shared" si="203"/>
        <v>0</v>
      </c>
      <c r="G584" s="19"/>
      <c r="H584" s="19">
        <f t="shared" si="207"/>
        <v>0</v>
      </c>
      <c r="I584" s="19">
        <f t="shared" si="208"/>
        <v>0</v>
      </c>
      <c r="J584" s="18">
        <f t="shared" si="209"/>
        <v>52469.270000000004</v>
      </c>
    </row>
    <row r="585" spans="2:10" x14ac:dyDescent="0.3">
      <c r="B585" s="82">
        <v>45764</v>
      </c>
      <c r="C585" s="18" t="s">
        <v>541</v>
      </c>
      <c r="D585" s="19">
        <v>1</v>
      </c>
      <c r="E585" s="145">
        <v>489</v>
      </c>
      <c r="F585" s="19">
        <f t="shared" si="203"/>
        <v>489</v>
      </c>
      <c r="G585" s="19">
        <v>2.33</v>
      </c>
      <c r="H585" s="19">
        <f t="shared" si="207"/>
        <v>1139.3700000000001</v>
      </c>
      <c r="I585" s="19">
        <f t="shared" si="208"/>
        <v>1139.3700000000001</v>
      </c>
      <c r="J585" s="18">
        <f t="shared" si="209"/>
        <v>53608.640000000007</v>
      </c>
    </row>
    <row r="586" spans="2:10" x14ac:dyDescent="0.3">
      <c r="B586" s="82">
        <v>45764</v>
      </c>
      <c r="C586" s="18" t="s">
        <v>542</v>
      </c>
      <c r="D586" s="19">
        <v>1</v>
      </c>
      <c r="E586" s="145">
        <v>489</v>
      </c>
      <c r="F586" s="19">
        <f t="shared" si="203"/>
        <v>489</v>
      </c>
      <c r="G586" s="19">
        <v>2.33</v>
      </c>
      <c r="H586" s="19">
        <f t="shared" si="207"/>
        <v>1139.3700000000001</v>
      </c>
      <c r="I586" s="19">
        <f t="shared" si="208"/>
        <v>1139.3700000000001</v>
      </c>
      <c r="J586" s="18">
        <f t="shared" si="209"/>
        <v>54748.010000000009</v>
      </c>
    </row>
    <row r="587" spans="2:10" x14ac:dyDescent="0.3">
      <c r="B587" s="82">
        <v>45764</v>
      </c>
      <c r="C587" s="18" t="s">
        <v>543</v>
      </c>
      <c r="D587" s="19">
        <v>1</v>
      </c>
      <c r="E587" s="145">
        <v>539</v>
      </c>
      <c r="F587" s="19">
        <f t="shared" si="203"/>
        <v>539</v>
      </c>
      <c r="G587" s="19">
        <v>2.33</v>
      </c>
      <c r="H587" s="19">
        <f t="shared" si="207"/>
        <v>1255.8700000000001</v>
      </c>
      <c r="I587" s="19">
        <f t="shared" si="208"/>
        <v>1255.8700000000001</v>
      </c>
      <c r="J587" s="18">
        <f t="shared" si="209"/>
        <v>56003.880000000012</v>
      </c>
    </row>
    <row r="588" spans="2:10" x14ac:dyDescent="0.3">
      <c r="B588" s="82">
        <v>45764</v>
      </c>
      <c r="C588" s="18" t="s">
        <v>544</v>
      </c>
      <c r="D588" s="19">
        <v>1</v>
      </c>
      <c r="E588" s="145">
        <v>539</v>
      </c>
      <c r="F588" s="19">
        <f t="shared" si="203"/>
        <v>539</v>
      </c>
      <c r="G588" s="19">
        <v>2.33</v>
      </c>
      <c r="H588" s="19">
        <f t="shared" si="207"/>
        <v>1255.8700000000001</v>
      </c>
      <c r="I588" s="19">
        <f t="shared" si="208"/>
        <v>1255.8700000000001</v>
      </c>
      <c r="J588" s="18">
        <f t="shared" si="209"/>
        <v>57259.750000000015</v>
      </c>
    </row>
    <row r="589" spans="2:10" x14ac:dyDescent="0.3">
      <c r="B589" s="82">
        <v>45764</v>
      </c>
      <c r="C589" s="235" t="s">
        <v>545</v>
      </c>
      <c r="D589" s="19">
        <v>1</v>
      </c>
      <c r="E589" s="145">
        <v>539</v>
      </c>
      <c r="F589" s="19">
        <f t="shared" si="203"/>
        <v>539</v>
      </c>
      <c r="G589" s="19">
        <v>2.33</v>
      </c>
      <c r="H589" s="19">
        <f t="shared" si="207"/>
        <v>1255.8700000000001</v>
      </c>
      <c r="I589" s="19">
        <f t="shared" si="208"/>
        <v>1255.8700000000001</v>
      </c>
      <c r="J589" s="18">
        <f t="shared" si="209"/>
        <v>58515.620000000017</v>
      </c>
    </row>
    <row r="590" spans="2:10" x14ac:dyDescent="0.3">
      <c r="B590" s="82">
        <v>45764</v>
      </c>
      <c r="C590" s="235" t="s">
        <v>546</v>
      </c>
      <c r="D590" s="19">
        <v>1</v>
      </c>
      <c r="E590" s="145">
        <v>489</v>
      </c>
      <c r="F590" s="19">
        <f t="shared" si="203"/>
        <v>489</v>
      </c>
      <c r="G590" s="19">
        <v>2.33</v>
      </c>
      <c r="H590" s="19">
        <f t="shared" ref="H590:H592" si="210">E590*G590</f>
        <v>1139.3700000000001</v>
      </c>
      <c r="I590" s="19">
        <f t="shared" ref="I590:I592" si="211">H590*D590</f>
        <v>1139.3700000000001</v>
      </c>
      <c r="J590" s="18">
        <f t="shared" ref="J590:J592" si="212">J589+I590</f>
        <v>59654.99000000002</v>
      </c>
    </row>
    <row r="591" spans="2:10" x14ac:dyDescent="0.3">
      <c r="B591" s="82">
        <v>45764</v>
      </c>
      <c r="C591" s="235" t="s">
        <v>547</v>
      </c>
      <c r="D591" s="19">
        <v>5</v>
      </c>
      <c r="E591" s="145">
        <v>539</v>
      </c>
      <c r="F591" s="19">
        <f t="shared" si="203"/>
        <v>2695</v>
      </c>
      <c r="G591" s="19">
        <v>2.33</v>
      </c>
      <c r="H591" s="19">
        <f t="shared" si="210"/>
        <v>1255.8700000000001</v>
      </c>
      <c r="I591" s="19">
        <f t="shared" si="211"/>
        <v>6279.35</v>
      </c>
      <c r="J591" s="18">
        <f t="shared" si="212"/>
        <v>65934.340000000026</v>
      </c>
    </row>
    <row r="592" spans="2:10" x14ac:dyDescent="0.3">
      <c r="B592" s="82">
        <v>45764</v>
      </c>
      <c r="C592" s="18" t="s">
        <v>548</v>
      </c>
      <c r="D592" s="19">
        <v>4</v>
      </c>
      <c r="E592" s="145">
        <v>539</v>
      </c>
      <c r="F592" s="19">
        <f t="shared" si="203"/>
        <v>2156</v>
      </c>
      <c r="G592" s="19">
        <v>2.33</v>
      </c>
      <c r="H592" s="19">
        <f t="shared" si="210"/>
        <v>1255.8700000000001</v>
      </c>
      <c r="I592" s="19">
        <f t="shared" si="211"/>
        <v>5023.4800000000005</v>
      </c>
      <c r="J592" s="18">
        <f t="shared" si="212"/>
        <v>70957.820000000022</v>
      </c>
    </row>
    <row r="596" spans="1:10" ht="21" x14ac:dyDescent="0.4">
      <c r="A596" t="s">
        <v>127</v>
      </c>
      <c r="B596" s="492" t="s">
        <v>20</v>
      </c>
      <c r="C596" s="492"/>
      <c r="D596" s="492"/>
      <c r="E596" s="492"/>
      <c r="F596" s="492"/>
      <c r="G596" s="492"/>
      <c r="H596" s="492"/>
      <c r="I596" s="492"/>
      <c r="J596" s="492"/>
    </row>
    <row r="597" spans="1:10" ht="18" x14ac:dyDescent="0.35">
      <c r="A597" t="s">
        <v>212</v>
      </c>
      <c r="B597" s="4" t="s">
        <v>1</v>
      </c>
      <c r="C597" s="4" t="s">
        <v>2</v>
      </c>
      <c r="D597" s="4" t="s">
        <v>3</v>
      </c>
      <c r="E597" s="4" t="s">
        <v>4</v>
      </c>
      <c r="F597" s="4" t="s">
        <v>36</v>
      </c>
      <c r="G597" s="4" t="s">
        <v>5</v>
      </c>
      <c r="H597" s="4" t="s">
        <v>6</v>
      </c>
      <c r="I597" s="4" t="s">
        <v>7</v>
      </c>
      <c r="J597" s="4"/>
    </row>
    <row r="598" spans="1:10" x14ac:dyDescent="0.3">
      <c r="B598" s="82">
        <v>45767</v>
      </c>
      <c r="C598" s="235" t="s">
        <v>557</v>
      </c>
      <c r="D598" s="19">
        <v>9</v>
      </c>
      <c r="E598" s="145">
        <v>539</v>
      </c>
      <c r="F598" s="19">
        <f>E598*D598</f>
        <v>4851</v>
      </c>
      <c r="G598" s="19">
        <v>2.33</v>
      </c>
      <c r="H598" s="19">
        <f>E598*G598</f>
        <v>1255.8700000000001</v>
      </c>
      <c r="I598" s="19">
        <f>H598*D598</f>
        <v>11302.830000000002</v>
      </c>
      <c r="J598" s="18">
        <f>J597+I598</f>
        <v>11302.830000000002</v>
      </c>
    </row>
    <row r="599" spans="1:10" x14ac:dyDescent="0.3">
      <c r="B599" s="97">
        <v>45767</v>
      </c>
      <c r="C599" s="109" t="s">
        <v>558</v>
      </c>
      <c r="D599" s="126">
        <v>5</v>
      </c>
      <c r="E599" s="146">
        <v>489</v>
      </c>
      <c r="F599" s="126">
        <f t="shared" ref="F599:F613" si="213">E599*D599</f>
        <v>2445</v>
      </c>
      <c r="G599" s="126">
        <v>2.33</v>
      </c>
      <c r="H599" s="126">
        <f t="shared" ref="H599:H606" si="214">E599*G599</f>
        <v>1139.3700000000001</v>
      </c>
      <c r="I599" s="126">
        <f t="shared" ref="I599:I606" si="215">H599*D599</f>
        <v>5696.85</v>
      </c>
      <c r="J599" s="109">
        <f t="shared" ref="J599:J606" si="216">J598+I599</f>
        <v>16999.68</v>
      </c>
    </row>
    <row r="600" spans="1:10" x14ac:dyDescent="0.3">
      <c r="B600" s="19"/>
      <c r="C600" s="19"/>
      <c r="D600" s="19"/>
      <c r="E600" s="19"/>
      <c r="F600" s="19">
        <f t="shared" si="213"/>
        <v>0</v>
      </c>
      <c r="G600" s="19"/>
      <c r="H600" s="19">
        <f t="shared" si="214"/>
        <v>0</v>
      </c>
      <c r="I600" s="19">
        <f t="shared" si="215"/>
        <v>0</v>
      </c>
      <c r="J600" s="18">
        <f t="shared" si="216"/>
        <v>16999.68</v>
      </c>
    </row>
    <row r="601" spans="1:10" x14ac:dyDescent="0.3">
      <c r="B601" s="82">
        <v>45768</v>
      </c>
      <c r="C601" s="18" t="s">
        <v>559</v>
      </c>
      <c r="D601" s="19">
        <v>1</v>
      </c>
      <c r="E601" s="19">
        <v>184</v>
      </c>
      <c r="F601" s="19">
        <f t="shared" si="213"/>
        <v>184</v>
      </c>
      <c r="G601" s="19">
        <v>2.33</v>
      </c>
      <c r="H601" s="19">
        <f t="shared" si="214"/>
        <v>428.72</v>
      </c>
      <c r="I601" s="19">
        <f t="shared" si="215"/>
        <v>428.72</v>
      </c>
      <c r="J601" s="18">
        <f t="shared" si="216"/>
        <v>17428.400000000001</v>
      </c>
    </row>
    <row r="602" spans="1:10" x14ac:dyDescent="0.3">
      <c r="B602" s="82">
        <v>45768</v>
      </c>
      <c r="C602" s="18" t="s">
        <v>560</v>
      </c>
      <c r="D602" s="19">
        <v>6</v>
      </c>
      <c r="E602" s="19">
        <v>2390</v>
      </c>
      <c r="F602" s="19">
        <f t="shared" si="213"/>
        <v>14340</v>
      </c>
      <c r="G602" s="19">
        <v>2.33</v>
      </c>
      <c r="H602" s="19">
        <f t="shared" si="214"/>
        <v>5568.7</v>
      </c>
      <c r="I602" s="19">
        <f t="shared" si="215"/>
        <v>33412.199999999997</v>
      </c>
      <c r="J602" s="18">
        <f t="shared" si="216"/>
        <v>50840.6</v>
      </c>
    </row>
    <row r="603" spans="1:10" x14ac:dyDescent="0.3">
      <c r="B603" s="19"/>
      <c r="C603" s="19"/>
      <c r="D603" s="19"/>
      <c r="E603" s="19"/>
      <c r="F603" s="19">
        <f t="shared" si="213"/>
        <v>0</v>
      </c>
      <c r="G603" s="19"/>
      <c r="H603" s="19">
        <f t="shared" si="214"/>
        <v>0</v>
      </c>
      <c r="I603" s="19">
        <f t="shared" si="215"/>
        <v>0</v>
      </c>
      <c r="J603" s="18">
        <f t="shared" si="216"/>
        <v>50840.6</v>
      </c>
    </row>
    <row r="604" spans="1:10" x14ac:dyDescent="0.3">
      <c r="B604" s="82">
        <v>45768</v>
      </c>
      <c r="C604" s="18" t="s">
        <v>561</v>
      </c>
      <c r="D604" s="19">
        <v>5</v>
      </c>
      <c r="E604" s="19">
        <v>21</v>
      </c>
      <c r="F604" s="19">
        <f t="shared" si="213"/>
        <v>105</v>
      </c>
      <c r="G604" s="19">
        <v>2.33</v>
      </c>
      <c r="H604" s="19">
        <f t="shared" si="214"/>
        <v>48.93</v>
      </c>
      <c r="I604" s="19">
        <f t="shared" si="215"/>
        <v>244.65</v>
      </c>
      <c r="J604" s="18">
        <f t="shared" si="216"/>
        <v>51085.25</v>
      </c>
    </row>
    <row r="605" spans="1:10" x14ac:dyDescent="0.3">
      <c r="B605" s="19"/>
      <c r="C605" s="19"/>
      <c r="D605" s="19"/>
      <c r="E605" s="19"/>
      <c r="F605" s="19">
        <f t="shared" si="213"/>
        <v>0</v>
      </c>
      <c r="G605" s="19"/>
      <c r="H605" s="19">
        <f t="shared" si="214"/>
        <v>0</v>
      </c>
      <c r="I605" s="19">
        <f t="shared" si="215"/>
        <v>0</v>
      </c>
      <c r="J605" s="18">
        <f t="shared" si="216"/>
        <v>51085.25</v>
      </c>
    </row>
    <row r="606" spans="1:10" x14ac:dyDescent="0.3">
      <c r="B606" s="82">
        <v>45768</v>
      </c>
      <c r="C606" s="235" t="s">
        <v>562</v>
      </c>
      <c r="D606" s="19">
        <v>6</v>
      </c>
      <c r="E606" s="19">
        <v>539</v>
      </c>
      <c r="F606" s="19">
        <f t="shared" si="213"/>
        <v>3234</v>
      </c>
      <c r="G606" s="19">
        <v>2.33</v>
      </c>
      <c r="H606" s="19">
        <f t="shared" si="214"/>
        <v>1255.8700000000001</v>
      </c>
      <c r="I606" s="19">
        <f t="shared" si="215"/>
        <v>7535.2200000000012</v>
      </c>
      <c r="J606" s="18">
        <f t="shared" si="216"/>
        <v>58620.47</v>
      </c>
    </row>
    <row r="607" spans="1:10" x14ac:dyDescent="0.3">
      <c r="B607" s="275">
        <v>45768</v>
      </c>
      <c r="C607" s="133" t="s">
        <v>662</v>
      </c>
      <c r="D607" s="276">
        <v>1</v>
      </c>
      <c r="E607" s="378">
        <v>489</v>
      </c>
      <c r="F607" s="276">
        <f t="shared" si="213"/>
        <v>489</v>
      </c>
      <c r="G607" s="276">
        <v>2.33</v>
      </c>
      <c r="H607" s="276">
        <f t="shared" ref="H607:H613" si="217">E607*G607</f>
        <v>1139.3700000000001</v>
      </c>
      <c r="I607" s="276">
        <f t="shared" ref="I607:I613" si="218">H607*D607</f>
        <v>1139.3700000000001</v>
      </c>
      <c r="J607" s="133">
        <f t="shared" ref="J607:J613" si="219">J606+I607</f>
        <v>59759.840000000004</v>
      </c>
    </row>
    <row r="608" spans="1:10" x14ac:dyDescent="0.3">
      <c r="B608" s="82">
        <v>45768</v>
      </c>
      <c r="C608" s="235" t="s">
        <v>564</v>
      </c>
      <c r="D608" s="19">
        <v>4</v>
      </c>
      <c r="E608" s="19">
        <v>539</v>
      </c>
      <c r="F608" s="19">
        <f t="shared" si="213"/>
        <v>2156</v>
      </c>
      <c r="G608" s="19">
        <v>2.33</v>
      </c>
      <c r="H608" s="19">
        <f t="shared" si="217"/>
        <v>1255.8700000000001</v>
      </c>
      <c r="I608" s="19">
        <f t="shared" si="218"/>
        <v>5023.4800000000005</v>
      </c>
      <c r="J608" s="18">
        <f t="shared" si="219"/>
        <v>64783.320000000007</v>
      </c>
    </row>
    <row r="609" spans="1:10" x14ac:dyDescent="0.3">
      <c r="B609" s="82">
        <v>45768</v>
      </c>
      <c r="C609" s="235" t="s">
        <v>565</v>
      </c>
      <c r="D609" s="19">
        <v>4</v>
      </c>
      <c r="E609" s="19">
        <v>539</v>
      </c>
      <c r="F609" s="19">
        <f t="shared" si="213"/>
        <v>2156</v>
      </c>
      <c r="G609" s="19">
        <v>2.33</v>
      </c>
      <c r="H609" s="19">
        <f t="shared" si="217"/>
        <v>1255.8700000000001</v>
      </c>
      <c r="I609" s="19">
        <f t="shared" si="218"/>
        <v>5023.4800000000005</v>
      </c>
      <c r="J609" s="18">
        <f t="shared" si="219"/>
        <v>69806.8</v>
      </c>
    </row>
    <row r="610" spans="1:10" x14ac:dyDescent="0.3">
      <c r="B610" s="19"/>
      <c r="D610" s="19"/>
      <c r="E610" s="19"/>
      <c r="F610" s="19">
        <f t="shared" si="213"/>
        <v>0</v>
      </c>
      <c r="G610" s="19"/>
      <c r="H610" s="19">
        <f t="shared" si="217"/>
        <v>0</v>
      </c>
      <c r="I610" s="19">
        <f t="shared" si="218"/>
        <v>0</v>
      </c>
      <c r="J610" s="18">
        <f t="shared" si="219"/>
        <v>69806.8</v>
      </c>
    </row>
    <row r="611" spans="1:10" x14ac:dyDescent="0.3">
      <c r="B611" s="82">
        <v>45768</v>
      </c>
      <c r="C611" s="18" t="s">
        <v>566</v>
      </c>
      <c r="D611" s="19">
        <v>3</v>
      </c>
      <c r="E611" s="145">
        <v>2199</v>
      </c>
      <c r="F611" s="19">
        <f t="shared" si="213"/>
        <v>6597</v>
      </c>
      <c r="G611" s="19">
        <v>2.33</v>
      </c>
      <c r="H611" s="19">
        <f t="shared" si="217"/>
        <v>5123.67</v>
      </c>
      <c r="I611" s="19">
        <f t="shared" si="218"/>
        <v>15371.01</v>
      </c>
      <c r="J611" s="18">
        <f t="shared" si="219"/>
        <v>85177.81</v>
      </c>
    </row>
    <row r="612" spans="1:10" x14ac:dyDescent="0.3">
      <c r="B612" s="153">
        <v>45768</v>
      </c>
      <c r="C612" s="77" t="s">
        <v>567</v>
      </c>
      <c r="D612" s="76">
        <v>6</v>
      </c>
      <c r="E612" s="379">
        <v>2199</v>
      </c>
      <c r="F612" s="76">
        <f t="shared" si="213"/>
        <v>13194</v>
      </c>
      <c r="G612" s="76">
        <v>2.33</v>
      </c>
      <c r="H612" s="76">
        <f t="shared" si="217"/>
        <v>5123.67</v>
      </c>
      <c r="I612" s="76">
        <f t="shared" si="218"/>
        <v>30742.02</v>
      </c>
      <c r="J612" s="77">
        <f t="shared" si="219"/>
        <v>115919.83</v>
      </c>
    </row>
    <row r="613" spans="1:10" x14ac:dyDescent="0.3">
      <c r="B613" s="19"/>
      <c r="C613" s="19"/>
      <c r="D613" s="19"/>
      <c r="E613" s="19"/>
      <c r="F613" s="19">
        <f t="shared" si="213"/>
        <v>0</v>
      </c>
      <c r="G613" s="19"/>
      <c r="H613" s="19">
        <f t="shared" si="217"/>
        <v>0</v>
      </c>
      <c r="I613" s="19">
        <f t="shared" si="218"/>
        <v>0</v>
      </c>
      <c r="J613" s="18">
        <f t="shared" si="219"/>
        <v>115919.83</v>
      </c>
    </row>
    <row r="614" spans="1:10" x14ac:dyDescent="0.3">
      <c r="J614"/>
    </row>
    <row r="615" spans="1:10" x14ac:dyDescent="0.3">
      <c r="J615"/>
    </row>
    <row r="616" spans="1:10" x14ac:dyDescent="0.3">
      <c r="J616"/>
    </row>
    <row r="617" spans="1:10" ht="21" x14ac:dyDescent="0.4">
      <c r="A617" t="s">
        <v>127</v>
      </c>
      <c r="B617" s="492" t="s">
        <v>20</v>
      </c>
      <c r="C617" s="492"/>
      <c r="D617" s="492"/>
      <c r="E617" s="492"/>
      <c r="F617" s="492"/>
      <c r="G617" s="492"/>
      <c r="H617" s="492"/>
      <c r="I617" s="492"/>
      <c r="J617" s="492"/>
    </row>
    <row r="618" spans="1:10" ht="18" x14ac:dyDescent="0.35">
      <c r="A618" t="s">
        <v>212</v>
      </c>
      <c r="B618" s="4" t="s">
        <v>1</v>
      </c>
      <c r="C618" s="4" t="s">
        <v>2</v>
      </c>
      <c r="D618" s="4" t="s">
        <v>3</v>
      </c>
      <c r="E618" s="4" t="s">
        <v>4</v>
      </c>
      <c r="F618" s="4" t="s">
        <v>36</v>
      </c>
      <c r="G618" s="4" t="s">
        <v>5</v>
      </c>
      <c r="H618" s="4" t="s">
        <v>6</v>
      </c>
      <c r="I618" s="4" t="s">
        <v>7</v>
      </c>
      <c r="J618" s="4"/>
    </row>
    <row r="619" spans="1:10" x14ac:dyDescent="0.3">
      <c r="B619" s="82">
        <v>45769</v>
      </c>
      <c r="C619" s="81" t="s">
        <v>568</v>
      </c>
      <c r="D619" s="19">
        <v>2</v>
      </c>
      <c r="E619" s="19">
        <v>254.6</v>
      </c>
      <c r="F619" s="19">
        <f>E619*D619</f>
        <v>509.2</v>
      </c>
      <c r="G619" s="19">
        <v>2.33</v>
      </c>
      <c r="H619" s="19">
        <f>E619*G619</f>
        <v>593.21799999999996</v>
      </c>
      <c r="I619" s="19">
        <f>H619*D619</f>
        <v>1186.4359999999999</v>
      </c>
      <c r="J619" s="18">
        <f>J618+I619</f>
        <v>1186.4359999999999</v>
      </c>
    </row>
    <row r="620" spans="1:10" x14ac:dyDescent="0.3">
      <c r="B620" s="82">
        <v>45769</v>
      </c>
      <c r="C620" s="81" t="s">
        <v>569</v>
      </c>
      <c r="D620" s="19">
        <v>17</v>
      </c>
      <c r="E620" s="19">
        <v>98</v>
      </c>
      <c r="F620" s="19">
        <f t="shared" ref="F620:F631" si="220">E620*D620</f>
        <v>1666</v>
      </c>
      <c r="G620" s="19">
        <v>2.33</v>
      </c>
      <c r="H620" s="19">
        <f t="shared" ref="H620:H627" si="221">E620*G620</f>
        <v>228.34</v>
      </c>
      <c r="I620" s="19">
        <f t="shared" ref="I620:I627" si="222">H620*D620</f>
        <v>3881.78</v>
      </c>
      <c r="J620" s="18">
        <f t="shared" ref="J620:J627" si="223">J619+I620</f>
        <v>5068.2160000000003</v>
      </c>
    </row>
    <row r="621" spans="1:10" x14ac:dyDescent="0.3">
      <c r="B621" s="82">
        <v>45769</v>
      </c>
      <c r="C621" s="81" t="s">
        <v>576</v>
      </c>
      <c r="D621" s="19">
        <v>1</v>
      </c>
      <c r="E621" s="19">
        <v>2388</v>
      </c>
      <c r="F621" s="19">
        <f t="shared" si="220"/>
        <v>2388</v>
      </c>
      <c r="G621" s="19">
        <v>2.33</v>
      </c>
      <c r="H621" s="19">
        <f t="shared" si="221"/>
        <v>5564.04</v>
      </c>
      <c r="I621" s="19">
        <f t="shared" si="222"/>
        <v>5564.04</v>
      </c>
      <c r="J621" s="18">
        <f t="shared" si="223"/>
        <v>10632.256000000001</v>
      </c>
    </row>
    <row r="622" spans="1:10" x14ac:dyDescent="0.3">
      <c r="B622" s="82">
        <v>45769</v>
      </c>
      <c r="C622" s="81" t="s">
        <v>577</v>
      </c>
      <c r="D622" s="19">
        <v>1</v>
      </c>
      <c r="E622" s="19">
        <v>3318</v>
      </c>
      <c r="F622" s="19">
        <f t="shared" si="220"/>
        <v>3318</v>
      </c>
      <c r="G622" s="19">
        <v>2.33</v>
      </c>
      <c r="H622" s="19">
        <f t="shared" si="221"/>
        <v>7730.9400000000005</v>
      </c>
      <c r="I622" s="19">
        <f t="shared" si="222"/>
        <v>7730.9400000000005</v>
      </c>
      <c r="J622" s="18">
        <f t="shared" si="223"/>
        <v>18363.196000000004</v>
      </c>
    </row>
    <row r="623" spans="1:10" x14ac:dyDescent="0.3">
      <c r="B623" s="19"/>
      <c r="C623" s="81"/>
      <c r="D623" s="19"/>
      <c r="E623" s="19"/>
      <c r="F623" s="19">
        <f t="shared" si="220"/>
        <v>0</v>
      </c>
      <c r="G623" s="19"/>
      <c r="H623" s="19">
        <f t="shared" si="221"/>
        <v>0</v>
      </c>
      <c r="I623" s="19">
        <f t="shared" si="222"/>
        <v>0</v>
      </c>
      <c r="J623" s="18">
        <f t="shared" si="223"/>
        <v>18363.196000000004</v>
      </c>
    </row>
    <row r="624" spans="1:10" x14ac:dyDescent="0.3">
      <c r="B624" s="219">
        <v>45769</v>
      </c>
      <c r="C624" s="220" t="s">
        <v>663</v>
      </c>
      <c r="D624" s="221"/>
      <c r="E624" s="221"/>
      <c r="F624" s="221">
        <f t="shared" si="220"/>
        <v>0</v>
      </c>
      <c r="G624" s="221"/>
      <c r="H624" s="221">
        <f t="shared" si="221"/>
        <v>0</v>
      </c>
      <c r="I624" s="221">
        <f t="shared" si="222"/>
        <v>0</v>
      </c>
      <c r="J624" s="222">
        <f t="shared" si="223"/>
        <v>18363.196000000004</v>
      </c>
    </row>
    <row r="625" spans="1:10" x14ac:dyDescent="0.3">
      <c r="B625" s="219">
        <v>45769</v>
      </c>
      <c r="C625" s="220" t="s">
        <v>664</v>
      </c>
      <c r="D625" s="221"/>
      <c r="E625" s="221"/>
      <c r="F625" s="221">
        <f t="shared" si="220"/>
        <v>0</v>
      </c>
      <c r="G625" s="221"/>
      <c r="H625" s="221">
        <f t="shared" si="221"/>
        <v>0</v>
      </c>
      <c r="I625" s="221">
        <f t="shared" si="222"/>
        <v>0</v>
      </c>
      <c r="J625" s="222">
        <f t="shared" si="223"/>
        <v>18363.196000000004</v>
      </c>
    </row>
    <row r="626" spans="1:10" x14ac:dyDescent="0.3">
      <c r="B626" s="82">
        <v>45769</v>
      </c>
      <c r="C626" s="81" t="s">
        <v>572</v>
      </c>
      <c r="D626" s="19">
        <v>1</v>
      </c>
      <c r="E626" s="19">
        <v>2549</v>
      </c>
      <c r="F626" s="19">
        <f t="shared" si="220"/>
        <v>2549</v>
      </c>
      <c r="G626" s="19">
        <v>2.33</v>
      </c>
      <c r="H626" s="19">
        <f t="shared" si="221"/>
        <v>5939.17</v>
      </c>
      <c r="I626" s="19">
        <f t="shared" si="222"/>
        <v>5939.17</v>
      </c>
      <c r="J626" s="18">
        <f t="shared" si="223"/>
        <v>24302.366000000002</v>
      </c>
    </row>
    <row r="627" spans="1:10" x14ac:dyDescent="0.3">
      <c r="B627" s="82">
        <v>45769</v>
      </c>
      <c r="C627" s="81" t="s">
        <v>573</v>
      </c>
      <c r="D627" s="19">
        <v>3</v>
      </c>
      <c r="E627" s="19">
        <v>2197</v>
      </c>
      <c r="F627" s="19">
        <f t="shared" si="220"/>
        <v>6591</v>
      </c>
      <c r="G627" s="19">
        <v>2.33</v>
      </c>
      <c r="H627" s="19">
        <f t="shared" si="221"/>
        <v>5119.01</v>
      </c>
      <c r="I627" s="19">
        <f t="shared" si="222"/>
        <v>15357.03</v>
      </c>
      <c r="J627" s="18">
        <f t="shared" si="223"/>
        <v>39659.396000000001</v>
      </c>
    </row>
    <row r="628" spans="1:10" x14ac:dyDescent="0.3">
      <c r="B628" s="19"/>
      <c r="C628" s="19"/>
      <c r="D628" s="19"/>
      <c r="E628" s="19"/>
      <c r="F628" s="19">
        <f t="shared" si="220"/>
        <v>0</v>
      </c>
      <c r="G628" s="19"/>
      <c r="H628" s="19">
        <f t="shared" ref="H628:H631" si="224">E628*G628</f>
        <v>0</v>
      </c>
      <c r="I628" s="19">
        <f t="shared" ref="I628:I631" si="225">H628*D628</f>
        <v>0</v>
      </c>
      <c r="J628" s="18">
        <f t="shared" ref="J628:J631" si="226">J627+I628</f>
        <v>39659.396000000001</v>
      </c>
    </row>
    <row r="629" spans="1:10" x14ac:dyDescent="0.3">
      <c r="B629" s="82">
        <v>45769</v>
      </c>
      <c r="C629" s="81" t="s">
        <v>574</v>
      </c>
      <c r="D629" s="19">
        <v>3</v>
      </c>
      <c r="E629" s="19">
        <v>254.6</v>
      </c>
      <c r="F629" s="19">
        <f t="shared" si="220"/>
        <v>763.8</v>
      </c>
      <c r="G629" s="19">
        <v>2.33</v>
      </c>
      <c r="H629" s="19">
        <f t="shared" si="224"/>
        <v>593.21799999999996</v>
      </c>
      <c r="I629" s="19">
        <f t="shared" si="225"/>
        <v>1779.654</v>
      </c>
      <c r="J629" s="18">
        <f t="shared" si="226"/>
        <v>41439.050000000003</v>
      </c>
    </row>
    <row r="630" spans="1:10" x14ac:dyDescent="0.3">
      <c r="B630" s="19"/>
      <c r="C630" s="19"/>
      <c r="D630" s="19"/>
      <c r="E630" s="19"/>
      <c r="F630" s="19">
        <f t="shared" si="220"/>
        <v>0</v>
      </c>
      <c r="G630" s="19"/>
      <c r="H630" s="19">
        <f t="shared" si="224"/>
        <v>0</v>
      </c>
      <c r="I630" s="19">
        <f t="shared" si="225"/>
        <v>0</v>
      </c>
      <c r="J630" s="18">
        <f t="shared" si="226"/>
        <v>41439.050000000003</v>
      </c>
    </row>
    <row r="631" spans="1:10" x14ac:dyDescent="0.3">
      <c r="B631" s="82">
        <v>45769</v>
      </c>
      <c r="C631" s="81" t="s">
        <v>575</v>
      </c>
      <c r="D631" s="19">
        <v>1</v>
      </c>
      <c r="E631" s="19">
        <v>98</v>
      </c>
      <c r="F631" s="19">
        <f t="shared" si="220"/>
        <v>98</v>
      </c>
      <c r="G631" s="19">
        <v>2.33</v>
      </c>
      <c r="H631" s="19">
        <f t="shared" si="224"/>
        <v>228.34</v>
      </c>
      <c r="I631" s="19">
        <f t="shared" si="225"/>
        <v>228.34</v>
      </c>
      <c r="J631" s="18">
        <f t="shared" si="226"/>
        <v>41667.39</v>
      </c>
    </row>
    <row r="634" spans="1:10" ht="21" x14ac:dyDescent="0.4">
      <c r="A634" t="s">
        <v>127</v>
      </c>
      <c r="B634" s="492" t="s">
        <v>20</v>
      </c>
      <c r="C634" s="492"/>
      <c r="D634" s="492"/>
      <c r="E634" s="492"/>
      <c r="F634" s="492"/>
      <c r="G634" s="492"/>
      <c r="H634" s="492"/>
      <c r="I634" s="492"/>
      <c r="J634" s="492"/>
    </row>
    <row r="635" spans="1:10" ht="18" x14ac:dyDescent="0.35">
      <c r="A635" t="s">
        <v>212</v>
      </c>
      <c r="B635" s="4" t="s">
        <v>1</v>
      </c>
      <c r="C635" s="4" t="s">
        <v>2</v>
      </c>
      <c r="D635" s="4" t="s">
        <v>3</v>
      </c>
      <c r="E635" s="4" t="s">
        <v>4</v>
      </c>
      <c r="F635" s="4" t="s">
        <v>36</v>
      </c>
      <c r="G635" s="4" t="s">
        <v>5</v>
      </c>
      <c r="H635" s="4" t="s">
        <v>6</v>
      </c>
      <c r="I635" s="4" t="s">
        <v>7</v>
      </c>
      <c r="J635" s="4"/>
    </row>
    <row r="636" spans="1:10" x14ac:dyDescent="0.3">
      <c r="B636" s="82">
        <v>45771</v>
      </c>
      <c r="C636" s="18" t="s">
        <v>579</v>
      </c>
      <c r="D636" s="19">
        <v>4</v>
      </c>
      <c r="E636" s="145">
        <v>2330</v>
      </c>
      <c r="F636" s="19">
        <f>E636*D636</f>
        <v>9320</v>
      </c>
      <c r="G636" s="19">
        <v>2.33</v>
      </c>
      <c r="H636" s="19">
        <f>E636*G636</f>
        <v>5428.9000000000005</v>
      </c>
      <c r="I636" s="19">
        <f>H636*D636</f>
        <v>21715.600000000002</v>
      </c>
      <c r="J636" s="18">
        <f>J635+I636</f>
        <v>21715.600000000002</v>
      </c>
    </row>
    <row r="637" spans="1:10" x14ac:dyDescent="0.3">
      <c r="B637" s="82">
        <v>45771</v>
      </c>
      <c r="C637" s="18" t="s">
        <v>580</v>
      </c>
      <c r="D637" s="19">
        <v>4</v>
      </c>
      <c r="E637" s="145">
        <v>3250</v>
      </c>
      <c r="F637" s="19">
        <f t="shared" ref="F637:F656" si="227">E637*D637</f>
        <v>13000</v>
      </c>
      <c r="G637" s="19">
        <v>2.33</v>
      </c>
      <c r="H637" s="19">
        <f t="shared" ref="H637:H644" si="228">E637*G637</f>
        <v>7572.5</v>
      </c>
      <c r="I637" s="19">
        <f t="shared" ref="I637:I644" si="229">H637*D637</f>
        <v>30290</v>
      </c>
      <c r="J637" s="18">
        <f t="shared" ref="J637:J644" si="230">J636+I637</f>
        <v>52005.600000000006</v>
      </c>
    </row>
    <row r="638" spans="1:10" x14ac:dyDescent="0.3">
      <c r="B638" s="82">
        <v>45771</v>
      </c>
      <c r="C638" s="18" t="s">
        <v>581</v>
      </c>
      <c r="D638" s="19">
        <v>3</v>
      </c>
      <c r="E638" s="145">
        <v>521</v>
      </c>
      <c r="F638" s="19">
        <f t="shared" si="227"/>
        <v>1563</v>
      </c>
      <c r="G638" s="19">
        <v>2.33</v>
      </c>
      <c r="H638" s="19">
        <f t="shared" si="228"/>
        <v>1213.93</v>
      </c>
      <c r="I638" s="19">
        <f t="shared" si="229"/>
        <v>3641.79</v>
      </c>
      <c r="J638" s="18">
        <f t="shared" si="230"/>
        <v>55647.390000000007</v>
      </c>
    </row>
    <row r="639" spans="1:10" x14ac:dyDescent="0.3">
      <c r="B639" s="82">
        <v>45771</v>
      </c>
      <c r="C639" s="18" t="s">
        <v>582</v>
      </c>
      <c r="D639" s="19">
        <v>12</v>
      </c>
      <c r="E639" s="145">
        <v>14.5</v>
      </c>
      <c r="F639" s="19">
        <f t="shared" si="227"/>
        <v>174</v>
      </c>
      <c r="G639" s="19">
        <v>2.33</v>
      </c>
      <c r="H639" s="19">
        <f t="shared" si="228"/>
        <v>33.785000000000004</v>
      </c>
      <c r="I639" s="19">
        <f t="shared" si="229"/>
        <v>405.42000000000007</v>
      </c>
      <c r="J639" s="18">
        <f t="shared" si="230"/>
        <v>56052.810000000005</v>
      </c>
    </row>
    <row r="640" spans="1:10" x14ac:dyDescent="0.3">
      <c r="B640" s="82">
        <v>45771</v>
      </c>
      <c r="C640" s="18" t="s">
        <v>583</v>
      </c>
      <c r="D640" s="19">
        <v>15</v>
      </c>
      <c r="E640" s="145">
        <v>26.5</v>
      </c>
      <c r="F640" s="19">
        <f t="shared" si="227"/>
        <v>397.5</v>
      </c>
      <c r="G640" s="19">
        <v>2.33</v>
      </c>
      <c r="H640" s="19">
        <f t="shared" si="228"/>
        <v>61.745000000000005</v>
      </c>
      <c r="I640" s="19">
        <f t="shared" si="229"/>
        <v>926.17500000000007</v>
      </c>
      <c r="J640" s="18">
        <f t="shared" si="230"/>
        <v>56978.985000000008</v>
      </c>
    </row>
    <row r="641" spans="2:10" x14ac:dyDescent="0.3">
      <c r="B641" s="82">
        <v>45771</v>
      </c>
      <c r="C641" s="18" t="s">
        <v>584</v>
      </c>
      <c r="D641" s="19">
        <v>23</v>
      </c>
      <c r="E641" s="145">
        <v>12</v>
      </c>
      <c r="F641" s="19">
        <f t="shared" si="227"/>
        <v>276</v>
      </c>
      <c r="G641" s="19">
        <v>2.33</v>
      </c>
      <c r="H641" s="19">
        <f t="shared" si="228"/>
        <v>27.96</v>
      </c>
      <c r="I641" s="19">
        <f t="shared" si="229"/>
        <v>643.08000000000004</v>
      </c>
      <c r="J641" s="18">
        <f t="shared" si="230"/>
        <v>57622.06500000001</v>
      </c>
    </row>
    <row r="642" spans="2:10" x14ac:dyDescent="0.3">
      <c r="B642" s="82">
        <v>45771</v>
      </c>
      <c r="C642" s="18" t="s">
        <v>585</v>
      </c>
      <c r="D642" s="19">
        <v>3</v>
      </c>
      <c r="E642" s="145">
        <v>18</v>
      </c>
      <c r="F642" s="19">
        <f t="shared" si="227"/>
        <v>54</v>
      </c>
      <c r="G642" s="19">
        <v>2.33</v>
      </c>
      <c r="H642" s="19">
        <f t="shared" si="228"/>
        <v>41.94</v>
      </c>
      <c r="I642" s="19">
        <f t="shared" si="229"/>
        <v>125.82</v>
      </c>
      <c r="J642" s="18">
        <f t="shared" si="230"/>
        <v>57747.885000000009</v>
      </c>
    </row>
    <row r="643" spans="2:10" x14ac:dyDescent="0.3">
      <c r="B643" s="82">
        <v>45771</v>
      </c>
      <c r="C643" s="18" t="s">
        <v>586</v>
      </c>
      <c r="D643" s="19">
        <v>3</v>
      </c>
      <c r="E643" s="145">
        <v>18</v>
      </c>
      <c r="F643" s="19">
        <f t="shared" si="227"/>
        <v>54</v>
      </c>
      <c r="G643" s="19">
        <v>2.33</v>
      </c>
      <c r="H643" s="19">
        <f t="shared" si="228"/>
        <v>41.94</v>
      </c>
      <c r="I643" s="19">
        <f t="shared" si="229"/>
        <v>125.82</v>
      </c>
      <c r="J643" s="18">
        <f t="shared" si="230"/>
        <v>57873.705000000009</v>
      </c>
    </row>
    <row r="644" spans="2:10" x14ac:dyDescent="0.3">
      <c r="B644" s="82">
        <v>45771</v>
      </c>
      <c r="C644" s="18" t="s">
        <v>587</v>
      </c>
      <c r="D644" s="19">
        <v>2</v>
      </c>
      <c r="E644" s="145">
        <v>18</v>
      </c>
      <c r="F644" s="19">
        <f t="shared" si="227"/>
        <v>36</v>
      </c>
      <c r="G644" s="19">
        <v>2.33</v>
      </c>
      <c r="H644" s="19">
        <f t="shared" si="228"/>
        <v>41.94</v>
      </c>
      <c r="I644" s="19">
        <f t="shared" si="229"/>
        <v>83.88</v>
      </c>
      <c r="J644" s="18">
        <f t="shared" si="230"/>
        <v>57957.585000000006</v>
      </c>
    </row>
    <row r="645" spans="2:10" x14ac:dyDescent="0.3">
      <c r="B645" s="82">
        <v>45771</v>
      </c>
      <c r="C645" s="18" t="s">
        <v>588</v>
      </c>
      <c r="D645" s="19">
        <v>2</v>
      </c>
      <c r="E645" s="145">
        <v>18</v>
      </c>
      <c r="F645" s="19">
        <f t="shared" si="227"/>
        <v>36</v>
      </c>
      <c r="G645" s="19">
        <v>2.33</v>
      </c>
      <c r="H645" s="19">
        <f t="shared" ref="H645:H656" si="231">E645*G645</f>
        <v>41.94</v>
      </c>
      <c r="I645" s="19">
        <f t="shared" ref="I645:I656" si="232">H645*D645</f>
        <v>83.88</v>
      </c>
      <c r="J645" s="18">
        <f t="shared" ref="J645:J656" si="233">J644+I645</f>
        <v>58041.465000000004</v>
      </c>
    </row>
    <row r="646" spans="2:10" x14ac:dyDescent="0.3">
      <c r="B646" s="82">
        <v>45771</v>
      </c>
      <c r="C646" s="18" t="s">
        <v>589</v>
      </c>
      <c r="D646" s="19">
        <v>2</v>
      </c>
      <c r="E646" s="145">
        <v>18</v>
      </c>
      <c r="F646" s="19">
        <f t="shared" si="227"/>
        <v>36</v>
      </c>
      <c r="G646" s="19">
        <v>2.33</v>
      </c>
      <c r="H646" s="19">
        <f t="shared" si="231"/>
        <v>41.94</v>
      </c>
      <c r="I646" s="19">
        <f t="shared" si="232"/>
        <v>83.88</v>
      </c>
      <c r="J646" s="18">
        <f t="shared" si="233"/>
        <v>58125.345000000001</v>
      </c>
    </row>
    <row r="647" spans="2:10" x14ac:dyDescent="0.3">
      <c r="B647" s="82">
        <v>45771</v>
      </c>
      <c r="C647" s="18" t="s">
        <v>590</v>
      </c>
      <c r="D647" s="19">
        <v>1</v>
      </c>
      <c r="E647" s="145">
        <v>136</v>
      </c>
      <c r="F647" s="19">
        <f t="shared" si="227"/>
        <v>136</v>
      </c>
      <c r="G647" s="19">
        <v>2.33</v>
      </c>
      <c r="H647" s="19">
        <f t="shared" si="231"/>
        <v>316.88</v>
      </c>
      <c r="I647" s="19">
        <f t="shared" si="232"/>
        <v>316.88</v>
      </c>
      <c r="J647" s="18">
        <f t="shared" si="233"/>
        <v>58442.224999999999</v>
      </c>
    </row>
    <row r="648" spans="2:10" x14ac:dyDescent="0.3">
      <c r="B648" s="82">
        <v>45771</v>
      </c>
      <c r="C648" s="18" t="s">
        <v>591</v>
      </c>
      <c r="D648" s="19">
        <v>2</v>
      </c>
      <c r="E648" s="145">
        <v>191</v>
      </c>
      <c r="F648" s="19">
        <f t="shared" si="227"/>
        <v>382</v>
      </c>
      <c r="G648" s="19">
        <v>2.33</v>
      </c>
      <c r="H648" s="19">
        <f t="shared" si="231"/>
        <v>445.03000000000003</v>
      </c>
      <c r="I648" s="19">
        <f t="shared" si="232"/>
        <v>890.06000000000006</v>
      </c>
      <c r="J648" s="18">
        <f t="shared" si="233"/>
        <v>59332.284999999996</v>
      </c>
    </row>
    <row r="649" spans="2:10" x14ac:dyDescent="0.3">
      <c r="B649" s="82">
        <v>45771</v>
      </c>
      <c r="C649" s="18" t="s">
        <v>592</v>
      </c>
      <c r="D649" s="19">
        <v>4</v>
      </c>
      <c r="E649" s="145">
        <v>184</v>
      </c>
      <c r="F649" s="19">
        <f t="shared" si="227"/>
        <v>736</v>
      </c>
      <c r="G649" s="19">
        <v>2.33</v>
      </c>
      <c r="H649" s="19">
        <f t="shared" si="231"/>
        <v>428.72</v>
      </c>
      <c r="I649" s="19">
        <f t="shared" si="232"/>
        <v>1714.88</v>
      </c>
      <c r="J649" s="18">
        <f t="shared" si="233"/>
        <v>61047.164999999994</v>
      </c>
    </row>
    <row r="650" spans="2:10" x14ac:dyDescent="0.3">
      <c r="B650" s="82">
        <v>45771</v>
      </c>
      <c r="C650" s="18" t="s">
        <v>593</v>
      </c>
      <c r="D650" s="19">
        <v>4</v>
      </c>
      <c r="E650" s="145">
        <v>238</v>
      </c>
      <c r="F650" s="19">
        <f t="shared" si="227"/>
        <v>952</v>
      </c>
      <c r="G650" s="19">
        <v>2.33</v>
      </c>
      <c r="H650" s="19">
        <f t="shared" si="231"/>
        <v>554.54</v>
      </c>
      <c r="I650" s="19">
        <f t="shared" si="232"/>
        <v>2218.16</v>
      </c>
      <c r="J650" s="18">
        <f t="shared" si="233"/>
        <v>63265.324999999997</v>
      </c>
    </row>
    <row r="651" spans="2:10" x14ac:dyDescent="0.3">
      <c r="B651" s="82">
        <v>45771</v>
      </c>
      <c r="C651" s="18" t="s">
        <v>594</v>
      </c>
      <c r="D651" s="19">
        <v>3</v>
      </c>
      <c r="E651" s="145">
        <v>510</v>
      </c>
      <c r="F651" s="19">
        <f t="shared" si="227"/>
        <v>1530</v>
      </c>
      <c r="G651" s="19">
        <v>2.33</v>
      </c>
      <c r="H651" s="19">
        <f t="shared" si="231"/>
        <v>1188.3</v>
      </c>
      <c r="I651" s="19">
        <f t="shared" si="232"/>
        <v>3564.8999999999996</v>
      </c>
      <c r="J651" s="18">
        <f t="shared" si="233"/>
        <v>66830.224999999991</v>
      </c>
    </row>
    <row r="652" spans="2:10" x14ac:dyDescent="0.3">
      <c r="B652" s="82">
        <v>45771</v>
      </c>
      <c r="C652" s="18" t="s">
        <v>595</v>
      </c>
      <c r="D652" s="19">
        <v>2</v>
      </c>
      <c r="E652" s="145">
        <v>3300</v>
      </c>
      <c r="F652" s="19">
        <f t="shared" si="227"/>
        <v>6600</v>
      </c>
      <c r="G652" s="19">
        <v>2.33</v>
      </c>
      <c r="H652" s="19">
        <f t="shared" si="231"/>
        <v>7689</v>
      </c>
      <c r="I652" s="19">
        <f t="shared" si="232"/>
        <v>15378</v>
      </c>
      <c r="J652" s="18">
        <f t="shared" si="233"/>
        <v>82208.224999999991</v>
      </c>
    </row>
    <row r="653" spans="2:10" x14ac:dyDescent="0.3">
      <c r="B653" s="82">
        <v>45771</v>
      </c>
      <c r="C653" s="18" t="s">
        <v>596</v>
      </c>
      <c r="D653" s="19">
        <v>2</v>
      </c>
      <c r="E653" s="145">
        <v>2149</v>
      </c>
      <c r="F653" s="19">
        <f t="shared" si="227"/>
        <v>4298</v>
      </c>
      <c r="G653" s="19">
        <v>2.33</v>
      </c>
      <c r="H653" s="19">
        <f t="shared" si="231"/>
        <v>5007.17</v>
      </c>
      <c r="I653" s="19">
        <f t="shared" si="232"/>
        <v>10014.34</v>
      </c>
      <c r="J653" s="18">
        <f t="shared" si="233"/>
        <v>92222.564999999988</v>
      </c>
    </row>
    <row r="654" spans="2:10" x14ac:dyDescent="0.3">
      <c r="B654" s="19"/>
      <c r="C654" s="19"/>
      <c r="D654" s="19"/>
      <c r="E654" s="19"/>
      <c r="F654" s="19">
        <f t="shared" si="227"/>
        <v>0</v>
      </c>
      <c r="G654" s="19"/>
      <c r="H654" s="19">
        <f t="shared" si="231"/>
        <v>0</v>
      </c>
      <c r="I654" s="19">
        <f t="shared" si="232"/>
        <v>0</v>
      </c>
      <c r="J654" s="18">
        <f t="shared" si="233"/>
        <v>92222.564999999988</v>
      </c>
    </row>
    <row r="655" spans="2:10" x14ac:dyDescent="0.3">
      <c r="B655" s="19"/>
      <c r="C655" s="19"/>
      <c r="D655" s="19"/>
      <c r="E655" s="19"/>
      <c r="F655" s="19">
        <f t="shared" si="227"/>
        <v>0</v>
      </c>
      <c r="G655" s="19"/>
      <c r="H655" s="19">
        <f t="shared" si="231"/>
        <v>0</v>
      </c>
      <c r="I655" s="19">
        <f t="shared" si="232"/>
        <v>0</v>
      </c>
      <c r="J655" s="18">
        <f t="shared" si="233"/>
        <v>92222.564999999988</v>
      </c>
    </row>
    <row r="656" spans="2:10" x14ac:dyDescent="0.3">
      <c r="B656" s="19"/>
      <c r="C656" s="19"/>
      <c r="D656" s="19"/>
      <c r="E656" s="19"/>
      <c r="F656" s="19">
        <f t="shared" si="227"/>
        <v>0</v>
      </c>
      <c r="G656" s="19"/>
      <c r="H656" s="19">
        <f t="shared" si="231"/>
        <v>0</v>
      </c>
      <c r="I656" s="19">
        <f t="shared" si="232"/>
        <v>0</v>
      </c>
      <c r="J656" s="18">
        <f t="shared" si="233"/>
        <v>92222.564999999988</v>
      </c>
    </row>
    <row r="661" spans="1:10" ht="21" x14ac:dyDescent="0.4">
      <c r="A661" t="s">
        <v>127</v>
      </c>
      <c r="B661" s="492" t="s">
        <v>20</v>
      </c>
      <c r="C661" s="492"/>
      <c r="D661" s="492"/>
      <c r="E661" s="492"/>
      <c r="F661" s="492"/>
      <c r="G661" s="492"/>
      <c r="H661" s="492"/>
      <c r="I661" s="492"/>
      <c r="J661" s="492"/>
    </row>
    <row r="662" spans="1:10" ht="18" x14ac:dyDescent="0.35">
      <c r="A662" t="s">
        <v>212</v>
      </c>
      <c r="B662" s="4" t="s">
        <v>1</v>
      </c>
      <c r="C662" s="4" t="s">
        <v>2</v>
      </c>
      <c r="D662" s="4" t="s">
        <v>3</v>
      </c>
      <c r="E662" s="4" t="s">
        <v>4</v>
      </c>
      <c r="F662" s="4" t="s">
        <v>36</v>
      </c>
      <c r="G662" s="4" t="s">
        <v>5</v>
      </c>
      <c r="H662" s="4" t="s">
        <v>6</v>
      </c>
      <c r="I662" s="4" t="s">
        <v>7</v>
      </c>
      <c r="J662" s="4"/>
    </row>
    <row r="663" spans="1:10" x14ac:dyDescent="0.3">
      <c r="B663" s="82">
        <v>45773</v>
      </c>
      <c r="C663" s="18" t="s">
        <v>599</v>
      </c>
      <c r="D663" s="19">
        <v>3</v>
      </c>
      <c r="E663" s="145">
        <v>520</v>
      </c>
      <c r="F663" s="19">
        <f>E663*D663</f>
        <v>1560</v>
      </c>
      <c r="G663" s="19">
        <v>2.33</v>
      </c>
      <c r="H663" s="19">
        <f>E663*G663</f>
        <v>1211.6000000000001</v>
      </c>
      <c r="I663" s="19">
        <f>H663*D663</f>
        <v>3634.8</v>
      </c>
      <c r="J663" s="18">
        <f>J662+I663</f>
        <v>3634.8</v>
      </c>
    </row>
    <row r="664" spans="1:10" x14ac:dyDescent="0.3">
      <c r="B664" s="82">
        <v>45774</v>
      </c>
      <c r="C664" s="18" t="s">
        <v>600</v>
      </c>
      <c r="D664" s="19">
        <v>2</v>
      </c>
      <c r="E664" s="145">
        <v>3220</v>
      </c>
      <c r="F664" s="19">
        <f t="shared" ref="F664:F671" si="234">E664*D664</f>
        <v>6440</v>
      </c>
      <c r="G664" s="19">
        <v>2.33</v>
      </c>
      <c r="H664" s="19">
        <f t="shared" ref="H664:H671" si="235">E664*G664</f>
        <v>7502.6</v>
      </c>
      <c r="I664" s="19">
        <f t="shared" ref="I664:I671" si="236">H664*D664</f>
        <v>15005.2</v>
      </c>
      <c r="J664" s="18">
        <f t="shared" ref="J664:J671" si="237">J663+I664</f>
        <v>18640</v>
      </c>
    </row>
    <row r="665" spans="1:10" x14ac:dyDescent="0.3">
      <c r="B665" s="82">
        <v>45774</v>
      </c>
      <c r="C665" s="18" t="s">
        <v>601</v>
      </c>
      <c r="D665" s="19">
        <v>1</v>
      </c>
      <c r="E665" s="145">
        <v>2315</v>
      </c>
      <c r="F665" s="19">
        <f t="shared" si="234"/>
        <v>2315</v>
      </c>
      <c r="G665" s="19">
        <v>2.33</v>
      </c>
      <c r="H665" s="19">
        <f t="shared" si="235"/>
        <v>5393.95</v>
      </c>
      <c r="I665" s="19">
        <f t="shared" si="236"/>
        <v>5393.95</v>
      </c>
      <c r="J665" s="18">
        <f t="shared" si="237"/>
        <v>24033.95</v>
      </c>
    </row>
    <row r="666" spans="1:10" x14ac:dyDescent="0.3">
      <c r="B666" s="82">
        <v>45774</v>
      </c>
      <c r="C666" s="18" t="s">
        <v>602</v>
      </c>
      <c r="D666" s="19">
        <v>2</v>
      </c>
      <c r="E666" s="145">
        <v>3300</v>
      </c>
      <c r="F666" s="19">
        <f t="shared" si="234"/>
        <v>6600</v>
      </c>
      <c r="G666" s="19">
        <v>2.33</v>
      </c>
      <c r="H666" s="19">
        <f t="shared" si="235"/>
        <v>7689</v>
      </c>
      <c r="I666" s="19">
        <f t="shared" si="236"/>
        <v>15378</v>
      </c>
      <c r="J666" s="18">
        <f t="shared" si="237"/>
        <v>39411.949999999997</v>
      </c>
    </row>
    <row r="667" spans="1:10" x14ac:dyDescent="0.3">
      <c r="B667" s="82">
        <v>45774</v>
      </c>
      <c r="C667" s="18" t="s">
        <v>603</v>
      </c>
      <c r="D667" s="19">
        <v>2</v>
      </c>
      <c r="E667" s="145">
        <v>2380</v>
      </c>
      <c r="F667" s="19">
        <f t="shared" si="234"/>
        <v>4760</v>
      </c>
      <c r="G667" s="19">
        <v>2.33</v>
      </c>
      <c r="H667" s="19">
        <f t="shared" si="235"/>
        <v>5545.4000000000005</v>
      </c>
      <c r="I667" s="19">
        <f t="shared" si="236"/>
        <v>11090.800000000001</v>
      </c>
      <c r="J667" s="18">
        <f t="shared" si="237"/>
        <v>50502.75</v>
      </c>
    </row>
    <row r="668" spans="1:10" x14ac:dyDescent="0.3">
      <c r="B668" s="82">
        <v>45774</v>
      </c>
      <c r="C668" s="18" t="s">
        <v>604</v>
      </c>
      <c r="D668" s="19">
        <v>1</v>
      </c>
      <c r="E668" s="145">
        <v>520</v>
      </c>
      <c r="F668" s="19">
        <f t="shared" si="234"/>
        <v>520</v>
      </c>
      <c r="G668" s="19">
        <v>2.33</v>
      </c>
      <c r="H668" s="19">
        <f t="shared" si="235"/>
        <v>1211.6000000000001</v>
      </c>
      <c r="I668" s="19">
        <f t="shared" si="236"/>
        <v>1211.6000000000001</v>
      </c>
      <c r="J668" s="18">
        <f t="shared" si="237"/>
        <v>51714.35</v>
      </c>
    </row>
    <row r="669" spans="1:10" x14ac:dyDescent="0.3">
      <c r="B669" s="19"/>
      <c r="C669" s="19"/>
      <c r="D669" s="19"/>
      <c r="E669" s="19"/>
      <c r="F669" s="19">
        <f t="shared" si="234"/>
        <v>0</v>
      </c>
      <c r="G669" s="19"/>
      <c r="H669" s="19">
        <f t="shared" si="235"/>
        <v>0</v>
      </c>
      <c r="I669" s="19">
        <f t="shared" si="236"/>
        <v>0</v>
      </c>
      <c r="J669" s="18">
        <f t="shared" si="237"/>
        <v>51714.35</v>
      </c>
    </row>
    <row r="670" spans="1:10" x14ac:dyDescent="0.3">
      <c r="B670" s="19"/>
      <c r="C670" s="19"/>
      <c r="D670" s="19"/>
      <c r="E670" s="19"/>
      <c r="F670" s="19">
        <f t="shared" si="234"/>
        <v>0</v>
      </c>
      <c r="G670" s="19"/>
      <c r="H670" s="19">
        <f t="shared" si="235"/>
        <v>0</v>
      </c>
      <c r="I670" s="19">
        <f t="shared" si="236"/>
        <v>0</v>
      </c>
      <c r="J670" s="18">
        <f t="shared" si="237"/>
        <v>51714.35</v>
      </c>
    </row>
    <row r="671" spans="1:10" x14ac:dyDescent="0.3">
      <c r="B671" s="19"/>
      <c r="C671" s="19"/>
      <c r="D671" s="19"/>
      <c r="E671" s="19"/>
      <c r="F671" s="19">
        <f t="shared" si="234"/>
        <v>0</v>
      </c>
      <c r="G671" s="19"/>
      <c r="H671" s="19">
        <f t="shared" si="235"/>
        <v>0</v>
      </c>
      <c r="I671" s="19">
        <f t="shared" si="236"/>
        <v>0</v>
      </c>
      <c r="J671" s="18">
        <f t="shared" si="237"/>
        <v>51714.35</v>
      </c>
    </row>
    <row r="674" spans="1:10" ht="21" x14ac:dyDescent="0.4">
      <c r="A674" t="s">
        <v>127</v>
      </c>
      <c r="B674" s="492" t="s">
        <v>20</v>
      </c>
      <c r="C674" s="492"/>
      <c r="D674" s="492"/>
      <c r="E674" s="492"/>
      <c r="F674" s="492"/>
      <c r="G674" s="492"/>
      <c r="H674" s="492"/>
      <c r="I674" s="492"/>
      <c r="J674" s="492"/>
    </row>
    <row r="675" spans="1:10" ht="18" x14ac:dyDescent="0.35">
      <c r="A675" t="s">
        <v>212</v>
      </c>
      <c r="B675" s="4" t="s">
        <v>1</v>
      </c>
      <c r="C675" s="4" t="s">
        <v>2</v>
      </c>
      <c r="D675" s="4" t="s">
        <v>3</v>
      </c>
      <c r="E675" s="4" t="s">
        <v>4</v>
      </c>
      <c r="F675" s="4" t="s">
        <v>36</v>
      </c>
      <c r="G675" s="4" t="s">
        <v>5</v>
      </c>
      <c r="H675" s="4" t="s">
        <v>6</v>
      </c>
      <c r="I675" s="4" t="s">
        <v>7</v>
      </c>
      <c r="J675" s="4"/>
    </row>
    <row r="676" spans="1:10" x14ac:dyDescent="0.3">
      <c r="B676" s="82">
        <v>45776</v>
      </c>
      <c r="C676" s="81" t="s">
        <v>622</v>
      </c>
      <c r="D676" s="19">
        <v>4</v>
      </c>
      <c r="E676" s="19">
        <v>2159</v>
      </c>
      <c r="F676" s="19">
        <f>E676*D676</f>
        <v>8636</v>
      </c>
      <c r="G676" s="19">
        <v>2.33</v>
      </c>
      <c r="H676" s="19">
        <f>E676*G676</f>
        <v>5030.47</v>
      </c>
      <c r="I676" s="19">
        <f>H676*D676</f>
        <v>20121.88</v>
      </c>
      <c r="J676" s="18">
        <f>J675+I676</f>
        <v>20121.88</v>
      </c>
    </row>
    <row r="677" spans="1:10" x14ac:dyDescent="0.3">
      <c r="B677" s="19"/>
      <c r="C677" s="81" t="s">
        <v>623</v>
      </c>
      <c r="D677" s="19"/>
      <c r="E677" s="19"/>
      <c r="F677" s="19">
        <f t="shared" ref="F677:F679" si="238">E677*D677</f>
        <v>0</v>
      </c>
      <c r="G677" s="19"/>
      <c r="H677" s="19">
        <f t="shared" ref="H677:H679" si="239">E677*G677</f>
        <v>0</v>
      </c>
      <c r="I677" s="19">
        <f t="shared" ref="I677:I679" si="240">H677*D677</f>
        <v>0</v>
      </c>
      <c r="J677" s="18">
        <f t="shared" ref="J677:J679" si="241">J676+I677</f>
        <v>20121.88</v>
      </c>
    </row>
    <row r="678" spans="1:10" x14ac:dyDescent="0.3">
      <c r="B678" s="19"/>
      <c r="C678" s="81" t="s">
        <v>624</v>
      </c>
      <c r="D678" s="19"/>
      <c r="E678" s="19"/>
      <c r="F678" s="19">
        <f t="shared" si="238"/>
        <v>0</v>
      </c>
      <c r="G678" s="19"/>
      <c r="H678" s="19">
        <f t="shared" si="239"/>
        <v>0</v>
      </c>
      <c r="I678" s="19">
        <f t="shared" si="240"/>
        <v>0</v>
      </c>
      <c r="J678" s="18">
        <f t="shared" si="241"/>
        <v>20121.88</v>
      </c>
    </row>
    <row r="679" spans="1:10" x14ac:dyDescent="0.3">
      <c r="B679" s="19"/>
      <c r="C679" s="81"/>
      <c r="D679" s="19"/>
      <c r="E679" s="19"/>
      <c r="F679" s="19">
        <f t="shared" si="238"/>
        <v>0</v>
      </c>
      <c r="G679" s="19"/>
      <c r="H679" s="19">
        <f t="shared" si="239"/>
        <v>0</v>
      </c>
      <c r="I679" s="19">
        <f t="shared" si="240"/>
        <v>0</v>
      </c>
      <c r="J679" s="18">
        <f t="shared" si="241"/>
        <v>20121.88</v>
      </c>
    </row>
    <row r="680" spans="1:10" x14ac:dyDescent="0.3">
      <c r="J680"/>
    </row>
    <row r="681" spans="1:10" ht="21" x14ac:dyDescent="0.4">
      <c r="A681" t="s">
        <v>127</v>
      </c>
      <c r="B681" s="492" t="s">
        <v>20</v>
      </c>
      <c r="C681" s="492"/>
      <c r="D681" s="492"/>
      <c r="E681" s="492"/>
      <c r="F681" s="492"/>
      <c r="G681" s="492"/>
      <c r="H681" s="492"/>
      <c r="I681" s="492"/>
      <c r="J681" s="492"/>
    </row>
    <row r="682" spans="1:10" ht="18" x14ac:dyDescent="0.35">
      <c r="A682" t="s">
        <v>212</v>
      </c>
      <c r="B682" s="4" t="s">
        <v>1</v>
      </c>
      <c r="C682" s="4" t="s">
        <v>2</v>
      </c>
      <c r="D682" s="4" t="s">
        <v>3</v>
      </c>
      <c r="E682" s="4" t="s">
        <v>4</v>
      </c>
      <c r="F682" s="4" t="s">
        <v>36</v>
      </c>
      <c r="G682" s="4" t="s">
        <v>5</v>
      </c>
      <c r="H682" s="4" t="s">
        <v>6</v>
      </c>
      <c r="I682" s="4" t="s">
        <v>7</v>
      </c>
      <c r="J682" s="4"/>
    </row>
    <row r="683" spans="1:10" x14ac:dyDescent="0.3">
      <c r="B683" s="82">
        <v>45775</v>
      </c>
      <c r="C683" s="19" t="s">
        <v>626</v>
      </c>
      <c r="D683" s="19">
        <v>2</v>
      </c>
      <c r="E683" s="19">
        <v>539</v>
      </c>
      <c r="F683" s="19">
        <f>E683*D683</f>
        <v>1078</v>
      </c>
      <c r="G683" s="19">
        <v>2.33</v>
      </c>
      <c r="H683" s="19">
        <f>E683*G683</f>
        <v>1255.8700000000001</v>
      </c>
      <c r="I683" s="19">
        <f>H683*D683</f>
        <v>2511.7400000000002</v>
      </c>
      <c r="J683" s="18">
        <f>J682+I683</f>
        <v>2511.7400000000002</v>
      </c>
    </row>
    <row r="684" spans="1:10" x14ac:dyDescent="0.3">
      <c r="B684" s="19"/>
      <c r="C684" s="19"/>
      <c r="D684" s="19"/>
      <c r="E684" s="19"/>
      <c r="F684" s="19">
        <f t="shared" ref="F684" si="242">E684*D684</f>
        <v>0</v>
      </c>
      <c r="G684" s="19"/>
      <c r="H684" s="19">
        <f t="shared" ref="H684" si="243">E684*G684</f>
        <v>0</v>
      </c>
      <c r="I684" s="19">
        <f t="shared" ref="I684" si="244">H684*D684</f>
        <v>0</v>
      </c>
      <c r="J684" s="18">
        <f t="shared" ref="J684" si="245">J683+I684</f>
        <v>2511.7400000000002</v>
      </c>
    </row>
    <row r="685" spans="1:10" x14ac:dyDescent="0.3">
      <c r="J685"/>
    </row>
    <row r="686" spans="1:10" x14ac:dyDescent="0.3">
      <c r="J686"/>
    </row>
    <row r="687" spans="1:10" ht="21" x14ac:dyDescent="0.4">
      <c r="A687" t="s">
        <v>127</v>
      </c>
      <c r="B687" s="492" t="s">
        <v>20</v>
      </c>
      <c r="C687" s="492"/>
      <c r="D687" s="492"/>
      <c r="E687" s="492"/>
      <c r="F687" s="492"/>
      <c r="G687" s="492"/>
      <c r="H687" s="492"/>
      <c r="I687" s="492"/>
      <c r="J687" s="492"/>
    </row>
    <row r="688" spans="1:10" ht="18" x14ac:dyDescent="0.35">
      <c r="A688" t="s">
        <v>212</v>
      </c>
      <c r="B688" s="4" t="s">
        <v>1</v>
      </c>
      <c r="C688" s="4" t="s">
        <v>2</v>
      </c>
      <c r="D688" s="4" t="s">
        <v>3</v>
      </c>
      <c r="E688" s="4" t="s">
        <v>4</v>
      </c>
      <c r="F688" s="4" t="s">
        <v>36</v>
      </c>
      <c r="G688" s="4" t="s">
        <v>5</v>
      </c>
      <c r="H688" s="4" t="s">
        <v>6</v>
      </c>
      <c r="I688" s="4" t="s">
        <v>7</v>
      </c>
      <c r="J688" s="4"/>
    </row>
    <row r="689" spans="1:10" x14ac:dyDescent="0.3">
      <c r="B689" s="82">
        <v>45778</v>
      </c>
      <c r="C689" s="81" t="s">
        <v>634</v>
      </c>
      <c r="D689" s="19">
        <v>2</v>
      </c>
      <c r="E689" s="19">
        <v>489</v>
      </c>
      <c r="F689" s="19">
        <f>E689*D689</f>
        <v>978</v>
      </c>
      <c r="G689" s="19">
        <v>2.33</v>
      </c>
      <c r="H689" s="19">
        <f>E689*G689</f>
        <v>1139.3700000000001</v>
      </c>
      <c r="I689" s="19">
        <f>H689*D689</f>
        <v>2278.7400000000002</v>
      </c>
      <c r="J689" s="18">
        <f>J688+I689</f>
        <v>2278.7400000000002</v>
      </c>
    </row>
    <row r="690" spans="1:10" x14ac:dyDescent="0.3">
      <c r="B690" s="82">
        <v>45778</v>
      </c>
      <c r="C690" s="81" t="s">
        <v>635</v>
      </c>
      <c r="D690" s="19">
        <v>2</v>
      </c>
      <c r="E690" s="19">
        <v>539</v>
      </c>
      <c r="F690" s="19">
        <f t="shared" ref="F690:F693" si="246">E690*D690</f>
        <v>1078</v>
      </c>
      <c r="G690" s="19">
        <v>2.33</v>
      </c>
      <c r="H690" s="19">
        <f t="shared" ref="H690:H693" si="247">E690*G690</f>
        <v>1255.8700000000001</v>
      </c>
      <c r="I690" s="19">
        <f t="shared" ref="I690:I693" si="248">H690*D690</f>
        <v>2511.7400000000002</v>
      </c>
      <c r="J690" s="18">
        <f t="shared" ref="J690:J693" si="249">J689+I690</f>
        <v>4790.4800000000005</v>
      </c>
    </row>
    <row r="691" spans="1:10" x14ac:dyDescent="0.3">
      <c r="B691" s="82">
        <v>45778</v>
      </c>
      <c r="C691" s="81" t="s">
        <v>636</v>
      </c>
      <c r="D691" s="19">
        <v>2</v>
      </c>
      <c r="E691" s="19">
        <v>489</v>
      </c>
      <c r="F691" s="19">
        <f t="shared" si="246"/>
        <v>978</v>
      </c>
      <c r="G691" s="19">
        <v>2.33</v>
      </c>
      <c r="H691" s="19">
        <f t="shared" si="247"/>
        <v>1139.3700000000001</v>
      </c>
      <c r="I691" s="19">
        <f t="shared" si="248"/>
        <v>2278.7400000000002</v>
      </c>
      <c r="J691" s="18">
        <f t="shared" si="249"/>
        <v>7069.2200000000012</v>
      </c>
    </row>
    <row r="692" spans="1:10" x14ac:dyDescent="0.3">
      <c r="B692" s="82">
        <v>45778</v>
      </c>
      <c r="C692" s="81" t="s">
        <v>637</v>
      </c>
      <c r="D692" s="19">
        <v>3</v>
      </c>
      <c r="E692" s="19">
        <v>449</v>
      </c>
      <c r="F692" s="19">
        <f t="shared" si="246"/>
        <v>1347</v>
      </c>
      <c r="G692" s="19">
        <v>2.33</v>
      </c>
      <c r="H692" s="19">
        <f t="shared" si="247"/>
        <v>1046.17</v>
      </c>
      <c r="I692" s="19">
        <f t="shared" si="248"/>
        <v>3138.51</v>
      </c>
      <c r="J692" s="18">
        <f t="shared" si="249"/>
        <v>10207.730000000001</v>
      </c>
    </row>
    <row r="693" spans="1:10" x14ac:dyDescent="0.3">
      <c r="B693" s="19"/>
      <c r="C693" s="19"/>
      <c r="D693" s="19"/>
      <c r="E693" s="19"/>
      <c r="F693" s="19">
        <f t="shared" si="246"/>
        <v>0</v>
      </c>
      <c r="G693" s="19"/>
      <c r="H693" s="19">
        <f t="shared" si="247"/>
        <v>0</v>
      </c>
      <c r="I693" s="19">
        <f t="shared" si="248"/>
        <v>0</v>
      </c>
      <c r="J693" s="18">
        <f t="shared" si="249"/>
        <v>10207.730000000001</v>
      </c>
    </row>
    <row r="694" spans="1:10" x14ac:dyDescent="0.3">
      <c r="J694"/>
    </row>
    <row r="695" spans="1:10" x14ac:dyDescent="0.3">
      <c r="J695"/>
    </row>
    <row r="696" spans="1:10" ht="21" x14ac:dyDescent="0.4">
      <c r="A696" t="s">
        <v>127</v>
      </c>
      <c r="B696" s="492" t="s">
        <v>35</v>
      </c>
      <c r="C696" s="492"/>
      <c r="D696" s="492"/>
      <c r="E696" s="492"/>
      <c r="F696" s="492"/>
      <c r="G696" s="492"/>
      <c r="H696" s="492"/>
      <c r="I696" s="492"/>
      <c r="J696" s="492"/>
    </row>
    <row r="697" spans="1:10" ht="18" x14ac:dyDescent="0.35">
      <c r="A697" t="s">
        <v>212</v>
      </c>
      <c r="B697" s="4" t="s">
        <v>1</v>
      </c>
      <c r="C697" s="4" t="s">
        <v>2</v>
      </c>
      <c r="D697" s="4" t="s">
        <v>3</v>
      </c>
      <c r="E697" s="4" t="s">
        <v>148</v>
      </c>
      <c r="F697" s="4" t="s">
        <v>147</v>
      </c>
      <c r="G697" s="4" t="s">
        <v>5</v>
      </c>
      <c r="H697" s="4" t="s">
        <v>6</v>
      </c>
      <c r="I697" s="4" t="s">
        <v>7</v>
      </c>
      <c r="J697" s="4"/>
    </row>
    <row r="698" spans="1:10" x14ac:dyDescent="0.3">
      <c r="B698" s="82">
        <v>45784</v>
      </c>
      <c r="C698" s="81" t="s">
        <v>648</v>
      </c>
      <c r="D698" s="19">
        <v>147</v>
      </c>
      <c r="E698" s="19">
        <v>520</v>
      </c>
      <c r="F698" s="19">
        <f>E698*D698</f>
        <v>76440</v>
      </c>
      <c r="G698" s="19">
        <v>2.13</v>
      </c>
      <c r="H698" s="19">
        <f>E698*G698</f>
        <v>1107.5999999999999</v>
      </c>
      <c r="I698" s="19">
        <f>H698*D698</f>
        <v>162817.19999999998</v>
      </c>
      <c r="J698" s="18">
        <f>J697+I698</f>
        <v>162817.19999999998</v>
      </c>
    </row>
    <row r="699" spans="1:10" x14ac:dyDescent="0.3">
      <c r="B699" s="82">
        <v>45784</v>
      </c>
      <c r="C699" s="81" t="s">
        <v>649</v>
      </c>
      <c r="D699" s="19">
        <v>500</v>
      </c>
      <c r="E699" s="19">
        <v>28.99</v>
      </c>
      <c r="F699" s="19">
        <f t="shared" ref="F699:F710" si="250">E699*D699</f>
        <v>14495</v>
      </c>
      <c r="G699" s="19">
        <v>2.13</v>
      </c>
      <c r="H699" s="19">
        <f t="shared" ref="H699:H706" si="251">E699*G699</f>
        <v>61.748699999999992</v>
      </c>
      <c r="I699" s="19">
        <f t="shared" ref="I699:I706" si="252">H699*D699</f>
        <v>30874.349999999995</v>
      </c>
      <c r="J699" s="18">
        <f t="shared" ref="J699:J706" si="253">J698+I699</f>
        <v>193691.55</v>
      </c>
    </row>
    <row r="700" spans="1:10" x14ac:dyDescent="0.3">
      <c r="B700" s="82">
        <v>45784</v>
      </c>
      <c r="C700" s="81" t="s">
        <v>650</v>
      </c>
      <c r="D700" s="19">
        <v>200</v>
      </c>
      <c r="E700" s="19">
        <v>328.99</v>
      </c>
      <c r="F700" s="19">
        <f t="shared" si="250"/>
        <v>65798</v>
      </c>
      <c r="G700" s="19">
        <v>2.13</v>
      </c>
      <c r="H700" s="19">
        <f t="shared" si="251"/>
        <v>700.74869999999999</v>
      </c>
      <c r="I700" s="19">
        <f t="shared" si="252"/>
        <v>140149.74</v>
      </c>
      <c r="J700" s="18">
        <f t="shared" si="253"/>
        <v>333841.28999999998</v>
      </c>
    </row>
    <row r="701" spans="1:10" x14ac:dyDescent="0.3">
      <c r="B701" s="82">
        <v>45784</v>
      </c>
      <c r="C701" s="81" t="s">
        <v>651</v>
      </c>
      <c r="D701" s="19">
        <v>10</v>
      </c>
      <c r="E701" s="19">
        <v>759</v>
      </c>
      <c r="F701" s="19">
        <f t="shared" si="250"/>
        <v>7590</v>
      </c>
      <c r="G701" s="19">
        <v>2.13</v>
      </c>
      <c r="H701" s="19">
        <f t="shared" si="251"/>
        <v>1616.6699999999998</v>
      </c>
      <c r="I701" s="19">
        <f t="shared" si="252"/>
        <v>16166.699999999999</v>
      </c>
      <c r="J701" s="18">
        <f t="shared" si="253"/>
        <v>350007.99</v>
      </c>
    </row>
    <row r="702" spans="1:10" x14ac:dyDescent="0.3">
      <c r="B702" s="82">
        <v>45784</v>
      </c>
      <c r="C702" s="81" t="s">
        <v>651</v>
      </c>
      <c r="D702" s="19">
        <v>10</v>
      </c>
      <c r="E702" s="19">
        <v>759</v>
      </c>
      <c r="F702" s="19">
        <f t="shared" si="250"/>
        <v>7590</v>
      </c>
      <c r="G702" s="19">
        <v>2.13</v>
      </c>
      <c r="H702" s="19">
        <f t="shared" si="251"/>
        <v>1616.6699999999998</v>
      </c>
      <c r="I702" s="19">
        <f t="shared" si="252"/>
        <v>16166.699999999999</v>
      </c>
      <c r="J702" s="18">
        <f t="shared" si="253"/>
        <v>366174.69</v>
      </c>
    </row>
    <row r="703" spans="1:10" x14ac:dyDescent="0.3">
      <c r="B703" s="82">
        <v>45784</v>
      </c>
      <c r="C703" s="81" t="s">
        <v>651</v>
      </c>
      <c r="D703" s="19">
        <v>2</v>
      </c>
      <c r="E703" s="19">
        <v>759</v>
      </c>
      <c r="F703" s="19">
        <f t="shared" si="250"/>
        <v>1518</v>
      </c>
      <c r="G703" s="19">
        <v>2.13</v>
      </c>
      <c r="H703" s="19">
        <f t="shared" si="251"/>
        <v>1616.6699999999998</v>
      </c>
      <c r="I703" s="19">
        <f t="shared" si="252"/>
        <v>3233.3399999999997</v>
      </c>
      <c r="J703" s="18">
        <f t="shared" si="253"/>
        <v>369408.03</v>
      </c>
    </row>
    <row r="704" spans="1:10" x14ac:dyDescent="0.3">
      <c r="B704" s="82">
        <v>45784</v>
      </c>
      <c r="C704" s="81" t="s">
        <v>651</v>
      </c>
      <c r="D704" s="19">
        <v>2</v>
      </c>
      <c r="E704" s="19">
        <v>759</v>
      </c>
      <c r="F704" s="19">
        <f t="shared" si="250"/>
        <v>1518</v>
      </c>
      <c r="G704" s="19">
        <v>2.13</v>
      </c>
      <c r="H704" s="19">
        <f t="shared" si="251"/>
        <v>1616.6699999999998</v>
      </c>
      <c r="I704" s="19">
        <f t="shared" si="252"/>
        <v>3233.3399999999997</v>
      </c>
      <c r="J704" s="18">
        <f t="shared" si="253"/>
        <v>372641.37000000005</v>
      </c>
    </row>
    <row r="705" spans="1:10" x14ac:dyDescent="0.3">
      <c r="B705" s="82">
        <v>45784</v>
      </c>
      <c r="C705" s="81" t="s">
        <v>651</v>
      </c>
      <c r="D705" s="19">
        <v>10</v>
      </c>
      <c r="E705" s="19">
        <v>759</v>
      </c>
      <c r="F705" s="19">
        <f t="shared" si="250"/>
        <v>7590</v>
      </c>
      <c r="G705" s="19">
        <v>2.13</v>
      </c>
      <c r="H705" s="19">
        <f t="shared" si="251"/>
        <v>1616.6699999999998</v>
      </c>
      <c r="I705" s="19">
        <f t="shared" si="252"/>
        <v>16166.699999999999</v>
      </c>
      <c r="J705" s="18">
        <f t="shared" si="253"/>
        <v>388808.07000000007</v>
      </c>
    </row>
    <row r="706" spans="1:10" x14ac:dyDescent="0.3">
      <c r="B706" s="82">
        <v>45784</v>
      </c>
      <c r="C706" s="81" t="s">
        <v>652</v>
      </c>
      <c r="D706" s="19">
        <v>250</v>
      </c>
      <c r="E706" s="19">
        <v>149</v>
      </c>
      <c r="F706" s="19">
        <f t="shared" si="250"/>
        <v>37250</v>
      </c>
      <c r="G706" s="19">
        <v>2.13</v>
      </c>
      <c r="H706" s="19">
        <f t="shared" si="251"/>
        <v>317.37</v>
      </c>
      <c r="I706" s="19">
        <f t="shared" si="252"/>
        <v>79342.5</v>
      </c>
      <c r="J706" s="18">
        <f t="shared" si="253"/>
        <v>468150.57000000007</v>
      </c>
    </row>
    <row r="707" spans="1:10" x14ac:dyDescent="0.3">
      <c r="B707" s="82">
        <v>45784</v>
      </c>
      <c r="C707" s="81" t="s">
        <v>649</v>
      </c>
      <c r="D707" s="19">
        <v>200</v>
      </c>
      <c r="E707" s="19">
        <v>28.99</v>
      </c>
      <c r="F707" s="19">
        <f t="shared" si="250"/>
        <v>5798</v>
      </c>
      <c r="G707" s="19">
        <v>2.13</v>
      </c>
      <c r="H707" s="19">
        <f t="shared" ref="H707:H710" si="254">E707*G707</f>
        <v>61.748699999999992</v>
      </c>
      <c r="I707" s="19">
        <f t="shared" ref="I707:I710" si="255">H707*D707</f>
        <v>12349.739999999998</v>
      </c>
      <c r="J707" s="18">
        <f t="shared" ref="J707:J710" si="256">J706+I707</f>
        <v>480500.31000000006</v>
      </c>
    </row>
    <row r="708" spans="1:10" x14ac:dyDescent="0.3">
      <c r="B708" s="19"/>
      <c r="C708" s="81"/>
      <c r="D708" s="19"/>
      <c r="E708" s="19"/>
      <c r="F708" s="19">
        <f t="shared" si="250"/>
        <v>0</v>
      </c>
      <c r="G708" s="19"/>
      <c r="H708" s="19">
        <f t="shared" si="254"/>
        <v>0</v>
      </c>
      <c r="I708" s="19">
        <f t="shared" si="255"/>
        <v>0</v>
      </c>
      <c r="J708" s="18">
        <f t="shared" si="256"/>
        <v>480500.31000000006</v>
      </c>
    </row>
    <row r="709" spans="1:10" x14ac:dyDescent="0.3">
      <c r="B709" s="82">
        <v>45784</v>
      </c>
      <c r="C709" s="81" t="s">
        <v>151</v>
      </c>
      <c r="D709" s="19">
        <v>2</v>
      </c>
      <c r="E709" s="19">
        <v>89</v>
      </c>
      <c r="F709" s="19">
        <f t="shared" si="250"/>
        <v>178</v>
      </c>
      <c r="G709" s="19">
        <v>2.13</v>
      </c>
      <c r="H709" s="19">
        <f t="shared" si="254"/>
        <v>189.57</v>
      </c>
      <c r="I709" s="19">
        <f t="shared" si="255"/>
        <v>379.14</v>
      </c>
      <c r="J709" s="18">
        <f t="shared" si="256"/>
        <v>480879.45000000007</v>
      </c>
    </row>
    <row r="710" spans="1:10" x14ac:dyDescent="0.3">
      <c r="B710" s="19"/>
      <c r="C710" s="81"/>
      <c r="D710" s="19"/>
      <c r="E710" s="19"/>
      <c r="F710" s="19">
        <f t="shared" si="250"/>
        <v>0</v>
      </c>
      <c r="G710" s="19"/>
      <c r="H710" s="19">
        <f t="shared" si="254"/>
        <v>0</v>
      </c>
      <c r="I710" s="19">
        <f t="shared" si="255"/>
        <v>0</v>
      </c>
      <c r="J710" s="18">
        <f t="shared" si="256"/>
        <v>480879.45000000007</v>
      </c>
    </row>
    <row r="713" spans="1:10" ht="21" x14ac:dyDescent="0.4">
      <c r="A713" t="s">
        <v>127</v>
      </c>
      <c r="B713" s="492" t="s">
        <v>35</v>
      </c>
      <c r="C713" s="492"/>
      <c r="D713" s="492"/>
      <c r="E713" s="492"/>
      <c r="F713" s="492"/>
      <c r="G713" s="492"/>
      <c r="H713" s="492"/>
      <c r="I713" s="492"/>
      <c r="J713" s="492"/>
    </row>
    <row r="714" spans="1:10" ht="18" x14ac:dyDescent="0.35">
      <c r="A714" t="s">
        <v>212</v>
      </c>
      <c r="B714" s="4" t="s">
        <v>1</v>
      </c>
      <c r="C714" s="4" t="s">
        <v>2</v>
      </c>
      <c r="D714" s="4" t="s">
        <v>3</v>
      </c>
      <c r="E714" s="4" t="s">
        <v>4</v>
      </c>
      <c r="F714" s="4" t="s">
        <v>36</v>
      </c>
      <c r="G714" s="4" t="s">
        <v>5</v>
      </c>
      <c r="H714" s="4" t="s">
        <v>6</v>
      </c>
      <c r="I714" s="4" t="s">
        <v>7</v>
      </c>
      <c r="J714" s="4"/>
    </row>
    <row r="715" spans="1:10" x14ac:dyDescent="0.3">
      <c r="B715" s="82">
        <v>45785</v>
      </c>
      <c r="C715" s="81" t="s">
        <v>657</v>
      </c>
      <c r="D715" s="19">
        <v>5</v>
      </c>
      <c r="E715" s="19">
        <v>755</v>
      </c>
      <c r="F715" s="19">
        <f>E715*D715</f>
        <v>3775</v>
      </c>
      <c r="G715" s="19">
        <v>2.13</v>
      </c>
      <c r="H715" s="19">
        <f>E715*G715</f>
        <v>1608.1499999999999</v>
      </c>
      <c r="I715" s="19">
        <f>H715*D715</f>
        <v>8040.7499999999991</v>
      </c>
      <c r="J715" s="18">
        <f>J714+I715</f>
        <v>8040.7499999999991</v>
      </c>
    </row>
    <row r="716" spans="1:10" x14ac:dyDescent="0.3">
      <c r="B716" s="82">
        <v>45785</v>
      </c>
      <c r="C716" s="81" t="s">
        <v>658</v>
      </c>
      <c r="D716" s="19">
        <v>5</v>
      </c>
      <c r="E716" s="19">
        <v>965</v>
      </c>
      <c r="F716" s="19">
        <f t="shared" ref="F716:F723" si="257">E716*D716</f>
        <v>4825</v>
      </c>
      <c r="G716" s="19">
        <v>2.13</v>
      </c>
      <c r="H716" s="19">
        <f t="shared" ref="H716:H723" si="258">E716*G716</f>
        <v>2055.4499999999998</v>
      </c>
      <c r="I716" s="19">
        <f t="shared" ref="I716:I723" si="259">H716*D716</f>
        <v>10277.25</v>
      </c>
      <c r="J716" s="18">
        <f t="shared" ref="J716:J723" si="260">J715+I716</f>
        <v>18318</v>
      </c>
    </row>
    <row r="717" spans="1:10" x14ac:dyDescent="0.3">
      <c r="B717" s="82">
        <v>45785</v>
      </c>
      <c r="C717" s="81" t="s">
        <v>659</v>
      </c>
      <c r="D717" s="19">
        <v>5</v>
      </c>
      <c r="E717" s="19">
        <v>1205</v>
      </c>
      <c r="F717" s="19">
        <f t="shared" si="257"/>
        <v>6025</v>
      </c>
      <c r="G717" s="19">
        <v>2.13</v>
      </c>
      <c r="H717" s="19">
        <f t="shared" si="258"/>
        <v>2566.65</v>
      </c>
      <c r="I717" s="19">
        <f t="shared" si="259"/>
        <v>12833.25</v>
      </c>
      <c r="J717" s="18">
        <f t="shared" si="260"/>
        <v>31151.25</v>
      </c>
    </row>
    <row r="718" spans="1:10" x14ac:dyDescent="0.3">
      <c r="B718" s="19"/>
      <c r="C718" s="81"/>
      <c r="D718" s="19"/>
      <c r="E718" s="19"/>
      <c r="F718" s="19">
        <f t="shared" si="257"/>
        <v>0</v>
      </c>
      <c r="G718" s="19"/>
      <c r="H718" s="19">
        <f t="shared" si="258"/>
        <v>0</v>
      </c>
      <c r="I718" s="19">
        <f t="shared" si="259"/>
        <v>0</v>
      </c>
      <c r="J718" s="18">
        <f t="shared" si="260"/>
        <v>31151.25</v>
      </c>
    </row>
    <row r="719" spans="1:10" x14ac:dyDescent="0.3">
      <c r="B719" s="19"/>
      <c r="C719" s="19"/>
      <c r="D719" s="19"/>
      <c r="E719" s="19"/>
      <c r="F719" s="19">
        <f t="shared" si="257"/>
        <v>0</v>
      </c>
      <c r="G719" s="19"/>
      <c r="H719" s="19">
        <f t="shared" si="258"/>
        <v>0</v>
      </c>
      <c r="I719" s="19">
        <f t="shared" si="259"/>
        <v>0</v>
      </c>
      <c r="J719" s="18">
        <f t="shared" si="260"/>
        <v>31151.25</v>
      </c>
    </row>
    <row r="720" spans="1:10" x14ac:dyDescent="0.3">
      <c r="B720" s="19"/>
      <c r="C720" s="19"/>
      <c r="D720" s="19"/>
      <c r="E720" s="19"/>
      <c r="F720" s="19">
        <f t="shared" si="257"/>
        <v>0</v>
      </c>
      <c r="G720" s="19"/>
      <c r="H720" s="19">
        <f t="shared" si="258"/>
        <v>0</v>
      </c>
      <c r="I720" s="19">
        <f t="shared" si="259"/>
        <v>0</v>
      </c>
      <c r="J720" s="18">
        <f t="shared" si="260"/>
        <v>31151.25</v>
      </c>
    </row>
    <row r="721" spans="1:10" x14ac:dyDescent="0.3">
      <c r="B721" s="19"/>
      <c r="C721" s="19"/>
      <c r="D721" s="19"/>
      <c r="E721" s="19"/>
      <c r="F721" s="19">
        <f t="shared" si="257"/>
        <v>0</v>
      </c>
      <c r="G721" s="19"/>
      <c r="H721" s="19">
        <f t="shared" si="258"/>
        <v>0</v>
      </c>
      <c r="I721" s="19">
        <f t="shared" si="259"/>
        <v>0</v>
      </c>
      <c r="J721" s="18">
        <f t="shared" si="260"/>
        <v>31151.25</v>
      </c>
    </row>
    <row r="722" spans="1:10" x14ac:dyDescent="0.3">
      <c r="B722" s="19"/>
      <c r="C722" s="19"/>
      <c r="D722" s="19"/>
      <c r="E722" s="19"/>
      <c r="F722" s="19">
        <f t="shared" si="257"/>
        <v>0</v>
      </c>
      <c r="G722" s="19"/>
      <c r="H722" s="19">
        <f t="shared" si="258"/>
        <v>0</v>
      </c>
      <c r="I722" s="19">
        <f t="shared" si="259"/>
        <v>0</v>
      </c>
      <c r="J722" s="18">
        <f t="shared" si="260"/>
        <v>31151.25</v>
      </c>
    </row>
    <row r="723" spans="1:10" x14ac:dyDescent="0.3">
      <c r="B723" s="19"/>
      <c r="C723" s="19"/>
      <c r="D723" s="19"/>
      <c r="E723" s="19"/>
      <c r="F723" s="19">
        <f t="shared" si="257"/>
        <v>0</v>
      </c>
      <c r="G723" s="19"/>
      <c r="H723" s="19">
        <f t="shared" si="258"/>
        <v>0</v>
      </c>
      <c r="I723" s="19">
        <f t="shared" si="259"/>
        <v>0</v>
      </c>
      <c r="J723" s="18">
        <f t="shared" si="260"/>
        <v>31151.25</v>
      </c>
    </row>
    <row r="727" spans="1:10" ht="21" x14ac:dyDescent="0.4">
      <c r="A727" t="s">
        <v>127</v>
      </c>
      <c r="B727" s="492" t="s">
        <v>20</v>
      </c>
      <c r="C727" s="492"/>
      <c r="D727" s="492"/>
      <c r="E727" s="492"/>
      <c r="F727" s="492"/>
      <c r="G727" s="492"/>
      <c r="H727" s="492"/>
      <c r="I727" s="492"/>
      <c r="J727" s="492"/>
    </row>
    <row r="728" spans="1:10" ht="18" x14ac:dyDescent="0.35">
      <c r="A728" t="s">
        <v>212</v>
      </c>
      <c r="B728" s="4" t="s">
        <v>1</v>
      </c>
      <c r="C728" s="4" t="s">
        <v>2</v>
      </c>
      <c r="D728" s="4" t="s">
        <v>3</v>
      </c>
      <c r="E728" s="4" t="s">
        <v>4</v>
      </c>
      <c r="F728" s="4" t="s">
        <v>36</v>
      </c>
      <c r="G728" s="4" t="s">
        <v>5</v>
      </c>
      <c r="H728" s="4" t="s">
        <v>6</v>
      </c>
      <c r="I728" s="4" t="s">
        <v>7</v>
      </c>
      <c r="J728" s="4"/>
    </row>
    <row r="729" spans="1:10" x14ac:dyDescent="0.3">
      <c r="B729" s="82">
        <v>45780</v>
      </c>
      <c r="C729" s="235" t="s">
        <v>665</v>
      </c>
      <c r="D729" s="19">
        <v>3</v>
      </c>
      <c r="E729" s="145">
        <v>539</v>
      </c>
      <c r="F729" s="19">
        <f>E729*D729</f>
        <v>1617</v>
      </c>
      <c r="G729" s="19">
        <v>2.33</v>
      </c>
      <c r="H729" s="19">
        <f>E729*G729</f>
        <v>1255.8700000000001</v>
      </c>
      <c r="I729" s="19">
        <f>H729*D729</f>
        <v>3767.6100000000006</v>
      </c>
      <c r="J729" s="18">
        <f>J728+I729</f>
        <v>3767.6100000000006</v>
      </c>
    </row>
    <row r="730" spans="1:10" x14ac:dyDescent="0.3">
      <c r="B730" s="82">
        <v>45780</v>
      </c>
      <c r="C730" s="235" t="s">
        <v>666</v>
      </c>
      <c r="D730" s="19">
        <v>2</v>
      </c>
      <c r="E730" s="145">
        <v>520</v>
      </c>
      <c r="F730" s="19">
        <f t="shared" ref="F730:F762" si="261">E730*D730</f>
        <v>1040</v>
      </c>
      <c r="G730" s="19">
        <v>2.33</v>
      </c>
      <c r="H730" s="19">
        <f t="shared" ref="H730:H737" si="262">E730*G730</f>
        <v>1211.6000000000001</v>
      </c>
      <c r="I730" s="19">
        <f t="shared" ref="I730:I737" si="263">H730*D730</f>
        <v>2423.2000000000003</v>
      </c>
      <c r="J730" s="18">
        <f t="shared" ref="J730:J737" si="264">J729+I730</f>
        <v>6190.8100000000013</v>
      </c>
    </row>
    <row r="731" spans="1:10" x14ac:dyDescent="0.3">
      <c r="B731" s="19"/>
      <c r="C731" s="18"/>
      <c r="D731" s="19"/>
      <c r="E731" s="145"/>
      <c r="F731" s="19">
        <f>E731*D731</f>
        <v>0</v>
      </c>
      <c r="G731" s="19"/>
      <c r="H731" s="19">
        <f>E731*G731</f>
        <v>0</v>
      </c>
      <c r="I731" s="19">
        <f>H731*D731</f>
        <v>0</v>
      </c>
      <c r="J731" s="18">
        <f t="shared" si="264"/>
        <v>6190.8100000000013</v>
      </c>
    </row>
    <row r="732" spans="1:10" x14ac:dyDescent="0.3">
      <c r="B732" s="82">
        <v>45785</v>
      </c>
      <c r="C732" s="18" t="s">
        <v>667</v>
      </c>
      <c r="D732" s="19">
        <v>22</v>
      </c>
      <c r="E732" s="145">
        <v>539</v>
      </c>
      <c r="F732" s="19">
        <f>E732*D732</f>
        <v>11858</v>
      </c>
      <c r="G732" s="19">
        <v>2.33</v>
      </c>
      <c r="H732" s="19">
        <f>E732*G732</f>
        <v>1255.8700000000001</v>
      </c>
      <c r="I732" s="19">
        <f>H732*D732</f>
        <v>27629.140000000003</v>
      </c>
      <c r="J732" s="18">
        <f t="shared" si="264"/>
        <v>33819.950000000004</v>
      </c>
    </row>
    <row r="733" spans="1:10" x14ac:dyDescent="0.3">
      <c r="B733" s="19"/>
      <c r="C733" s="19"/>
      <c r="D733" s="19"/>
      <c r="E733" s="19"/>
      <c r="F733" s="19">
        <f t="shared" si="261"/>
        <v>0</v>
      </c>
      <c r="G733" s="19"/>
      <c r="H733" s="19">
        <f t="shared" si="262"/>
        <v>0</v>
      </c>
      <c r="I733" s="19">
        <f t="shared" si="263"/>
        <v>0</v>
      </c>
      <c r="J733" s="18">
        <f t="shared" si="264"/>
        <v>33819.950000000004</v>
      </c>
    </row>
    <row r="734" spans="1:10" x14ac:dyDescent="0.3">
      <c r="B734" s="82">
        <v>45790</v>
      </c>
      <c r="C734" s="235" t="s">
        <v>668</v>
      </c>
      <c r="D734" s="19">
        <v>4</v>
      </c>
      <c r="E734" s="145">
        <v>539</v>
      </c>
      <c r="F734" s="19">
        <f t="shared" si="261"/>
        <v>2156</v>
      </c>
      <c r="G734" s="19">
        <v>2.33</v>
      </c>
      <c r="H734" s="19">
        <f t="shared" si="262"/>
        <v>1255.8700000000001</v>
      </c>
      <c r="I734" s="19">
        <f t="shared" si="263"/>
        <v>5023.4800000000005</v>
      </c>
      <c r="J734" s="18">
        <f t="shared" si="264"/>
        <v>38843.430000000008</v>
      </c>
    </row>
    <row r="735" spans="1:10" x14ac:dyDescent="0.3">
      <c r="B735" s="19"/>
      <c r="C735" s="19"/>
      <c r="D735" s="19"/>
      <c r="E735" s="19"/>
      <c r="F735" s="19">
        <f t="shared" si="261"/>
        <v>0</v>
      </c>
      <c r="G735" s="19"/>
      <c r="H735" s="19">
        <f t="shared" si="262"/>
        <v>0</v>
      </c>
      <c r="I735" s="19">
        <f t="shared" si="263"/>
        <v>0</v>
      </c>
      <c r="J735" s="18">
        <f t="shared" si="264"/>
        <v>38843.430000000008</v>
      </c>
    </row>
    <row r="736" spans="1:10" x14ac:dyDescent="0.3">
      <c r="B736" s="82">
        <v>45793</v>
      </c>
      <c r="C736" s="18" t="s">
        <v>669</v>
      </c>
      <c r="D736" s="19">
        <v>2</v>
      </c>
      <c r="E736" s="145">
        <v>699</v>
      </c>
      <c r="F736" s="19">
        <f t="shared" si="261"/>
        <v>1398</v>
      </c>
      <c r="G736" s="19">
        <v>2.33</v>
      </c>
      <c r="H736" s="19">
        <f t="shared" si="262"/>
        <v>1628.67</v>
      </c>
      <c r="I736" s="19">
        <f t="shared" si="263"/>
        <v>3257.34</v>
      </c>
      <c r="J736" s="18">
        <f t="shared" si="264"/>
        <v>42100.770000000004</v>
      </c>
    </row>
    <row r="737" spans="2:11" x14ac:dyDescent="0.3">
      <c r="B737" s="19"/>
      <c r="C737" s="19"/>
      <c r="D737" s="19"/>
      <c r="E737" s="19"/>
      <c r="F737" s="19">
        <f t="shared" si="261"/>
        <v>0</v>
      </c>
      <c r="G737" s="19"/>
      <c r="H737" s="19">
        <f t="shared" si="262"/>
        <v>0</v>
      </c>
      <c r="I737" s="19">
        <f t="shared" si="263"/>
        <v>0</v>
      </c>
      <c r="J737" s="18">
        <f t="shared" si="264"/>
        <v>42100.770000000004</v>
      </c>
    </row>
    <row r="738" spans="2:11" x14ac:dyDescent="0.3">
      <c r="B738" s="82">
        <v>45793</v>
      </c>
      <c r="C738" s="18" t="s">
        <v>670</v>
      </c>
      <c r="D738" s="19">
        <v>4</v>
      </c>
      <c r="E738" s="145">
        <v>679</v>
      </c>
      <c r="F738" s="19">
        <f t="shared" si="261"/>
        <v>2716</v>
      </c>
      <c r="G738" s="19">
        <v>2.33</v>
      </c>
      <c r="H738" s="19">
        <f t="shared" ref="H738:H743" si="265">E738*G738</f>
        <v>1582.07</v>
      </c>
      <c r="I738" s="19">
        <f t="shared" ref="I738:I743" si="266">H738*D738</f>
        <v>6328.28</v>
      </c>
      <c r="J738" s="18">
        <f t="shared" ref="J738:J743" si="267">J737+I738</f>
        <v>48429.05</v>
      </c>
    </row>
    <row r="739" spans="2:11" x14ac:dyDescent="0.3">
      <c r="B739" s="82">
        <v>45793</v>
      </c>
      <c r="C739" s="18" t="s">
        <v>671</v>
      </c>
      <c r="D739" s="19">
        <v>1</v>
      </c>
      <c r="E739" s="145">
        <v>3748</v>
      </c>
      <c r="F739" s="19">
        <f t="shared" si="261"/>
        <v>3748</v>
      </c>
      <c r="G739" s="19">
        <v>2.33</v>
      </c>
      <c r="H739" s="19">
        <f t="shared" si="265"/>
        <v>8732.84</v>
      </c>
      <c r="I739" s="19">
        <f t="shared" si="266"/>
        <v>8732.84</v>
      </c>
      <c r="J739" s="18">
        <f t="shared" si="267"/>
        <v>57161.89</v>
      </c>
    </row>
    <row r="740" spans="2:11" x14ac:dyDescent="0.3">
      <c r="B740" s="97">
        <v>45793</v>
      </c>
      <c r="C740" s="109" t="s">
        <v>672</v>
      </c>
      <c r="D740" s="126">
        <v>12</v>
      </c>
      <c r="E740" s="146">
        <v>3478</v>
      </c>
      <c r="F740" s="126">
        <f t="shared" si="261"/>
        <v>41736</v>
      </c>
      <c r="G740" s="126">
        <v>2.33</v>
      </c>
      <c r="H740" s="126">
        <f t="shared" si="265"/>
        <v>8103.7400000000007</v>
      </c>
      <c r="I740" s="126">
        <f t="shared" si="266"/>
        <v>97244.88</v>
      </c>
      <c r="J740" s="109">
        <f t="shared" si="267"/>
        <v>154406.77000000002</v>
      </c>
      <c r="K740" t="s">
        <v>675</v>
      </c>
    </row>
    <row r="741" spans="2:11" x14ac:dyDescent="0.3">
      <c r="B741" s="97">
        <v>45793</v>
      </c>
      <c r="C741" s="109" t="s">
        <v>673</v>
      </c>
      <c r="D741" s="126">
        <v>10</v>
      </c>
      <c r="E741" s="146">
        <v>2558</v>
      </c>
      <c r="F741" s="126">
        <f t="shared" si="261"/>
        <v>25580</v>
      </c>
      <c r="G741" s="126">
        <v>2.33</v>
      </c>
      <c r="H741" s="126">
        <f t="shared" si="265"/>
        <v>5960.14</v>
      </c>
      <c r="I741" s="126">
        <f t="shared" si="266"/>
        <v>59601.4</v>
      </c>
      <c r="J741" s="109">
        <f t="shared" si="267"/>
        <v>214008.17</v>
      </c>
      <c r="K741" t="s">
        <v>675</v>
      </c>
    </row>
    <row r="742" spans="2:11" x14ac:dyDescent="0.3">
      <c r="B742" s="82">
        <v>45793</v>
      </c>
      <c r="C742" s="18" t="s">
        <v>674</v>
      </c>
      <c r="D742" s="19">
        <v>3</v>
      </c>
      <c r="E742" s="145">
        <v>98</v>
      </c>
      <c r="F742" s="19">
        <f t="shared" si="261"/>
        <v>294</v>
      </c>
      <c r="G742" s="19">
        <v>2.33</v>
      </c>
      <c r="H742" s="19">
        <f t="shared" si="265"/>
        <v>228.34</v>
      </c>
      <c r="I742" s="19">
        <f t="shared" si="266"/>
        <v>685.02</v>
      </c>
      <c r="J742" s="18">
        <f t="shared" si="267"/>
        <v>214693.19</v>
      </c>
    </row>
    <row r="743" spans="2:11" x14ac:dyDescent="0.3">
      <c r="B743" s="19"/>
      <c r="C743" s="19"/>
      <c r="D743" s="19"/>
      <c r="E743" s="19"/>
      <c r="F743" s="19">
        <f t="shared" si="261"/>
        <v>0</v>
      </c>
      <c r="G743" s="19"/>
      <c r="H743" s="19">
        <f t="shared" si="265"/>
        <v>0</v>
      </c>
      <c r="I743" s="19">
        <f t="shared" si="266"/>
        <v>0</v>
      </c>
      <c r="J743" s="18">
        <f t="shared" si="267"/>
        <v>214693.19</v>
      </c>
    </row>
    <row r="744" spans="2:11" x14ac:dyDescent="0.3">
      <c r="B744" s="82">
        <v>45794</v>
      </c>
      <c r="C744" s="18" t="s">
        <v>676</v>
      </c>
      <c r="D744" s="19">
        <v>3</v>
      </c>
      <c r="E744" s="145">
        <v>355</v>
      </c>
      <c r="F744" s="19">
        <f t="shared" si="261"/>
        <v>1065</v>
      </c>
      <c r="G744" s="19">
        <v>2.33</v>
      </c>
      <c r="H744" s="19">
        <f t="shared" ref="H744:H762" si="268">E744*G744</f>
        <v>827.15</v>
      </c>
      <c r="I744" s="19">
        <f t="shared" ref="I744:I762" si="269">H744*D744</f>
        <v>2481.4499999999998</v>
      </c>
      <c r="J744" s="18">
        <f t="shared" ref="J744:J762" si="270">J743+I744</f>
        <v>217174.64</v>
      </c>
    </row>
    <row r="745" spans="2:11" x14ac:dyDescent="0.3">
      <c r="B745" s="82">
        <v>45794</v>
      </c>
      <c r="C745" s="18" t="s">
        <v>677</v>
      </c>
      <c r="D745" s="19">
        <v>3</v>
      </c>
      <c r="E745" s="145">
        <v>351</v>
      </c>
      <c r="F745" s="19">
        <f t="shared" si="261"/>
        <v>1053</v>
      </c>
      <c r="G745" s="19">
        <v>2.33</v>
      </c>
      <c r="H745" s="19">
        <f t="shared" si="268"/>
        <v>817.83</v>
      </c>
      <c r="I745" s="19">
        <f t="shared" si="269"/>
        <v>2453.4900000000002</v>
      </c>
      <c r="J745" s="18">
        <f t="shared" si="270"/>
        <v>219628.13</v>
      </c>
    </row>
    <row r="746" spans="2:11" x14ac:dyDescent="0.3">
      <c r="B746" s="82">
        <v>45794</v>
      </c>
      <c r="C746" s="18" t="s">
        <v>679</v>
      </c>
      <c r="D746" s="19">
        <v>4</v>
      </c>
      <c r="E746" s="145">
        <v>539</v>
      </c>
      <c r="F746" s="19">
        <f t="shared" si="261"/>
        <v>2156</v>
      </c>
      <c r="G746" s="19">
        <v>2.33</v>
      </c>
      <c r="H746" s="19">
        <f t="shared" si="268"/>
        <v>1255.8700000000001</v>
      </c>
      <c r="I746" s="19">
        <f t="shared" si="269"/>
        <v>5023.4800000000005</v>
      </c>
      <c r="J746" s="18">
        <f t="shared" si="270"/>
        <v>224651.61000000002</v>
      </c>
      <c r="K746" t="s">
        <v>702</v>
      </c>
    </row>
    <row r="747" spans="2:11" x14ac:dyDescent="0.3">
      <c r="B747" s="82">
        <v>45794</v>
      </c>
      <c r="C747" s="18" t="s">
        <v>680</v>
      </c>
      <c r="D747" s="19">
        <v>2</v>
      </c>
      <c r="E747" s="145">
        <v>117</v>
      </c>
      <c r="F747" s="19">
        <f t="shared" si="261"/>
        <v>234</v>
      </c>
      <c r="G747" s="19">
        <v>2.33</v>
      </c>
      <c r="H747" s="19">
        <f t="shared" si="268"/>
        <v>272.61</v>
      </c>
      <c r="I747" s="19">
        <f t="shared" si="269"/>
        <v>545.22</v>
      </c>
      <c r="J747" s="18">
        <f t="shared" si="270"/>
        <v>225196.83000000002</v>
      </c>
    </row>
    <row r="748" spans="2:11" x14ac:dyDescent="0.3">
      <c r="B748" s="82">
        <v>45794</v>
      </c>
      <c r="C748" s="18" t="s">
        <v>678</v>
      </c>
      <c r="D748" s="19">
        <v>1</v>
      </c>
      <c r="E748" s="145">
        <v>377</v>
      </c>
      <c r="F748" s="19">
        <f t="shared" si="261"/>
        <v>377</v>
      </c>
      <c r="G748" s="19">
        <v>2.33</v>
      </c>
      <c r="H748" s="19">
        <f t="shared" si="268"/>
        <v>878.41000000000008</v>
      </c>
      <c r="I748" s="19">
        <f t="shared" si="269"/>
        <v>878.41000000000008</v>
      </c>
      <c r="J748" s="18">
        <f t="shared" si="270"/>
        <v>226075.24000000002</v>
      </c>
    </row>
    <row r="749" spans="2:11" x14ac:dyDescent="0.3">
      <c r="B749" s="19"/>
      <c r="C749" s="81"/>
      <c r="D749" s="19"/>
      <c r="E749" s="19"/>
      <c r="F749" s="19">
        <f t="shared" si="261"/>
        <v>0</v>
      </c>
      <c r="G749" s="19"/>
      <c r="H749" s="19">
        <f t="shared" si="268"/>
        <v>0</v>
      </c>
      <c r="I749" s="19">
        <f t="shared" si="269"/>
        <v>0</v>
      </c>
      <c r="J749" s="18">
        <f t="shared" si="270"/>
        <v>226075.24000000002</v>
      </c>
    </row>
    <row r="750" spans="2:11" x14ac:dyDescent="0.3">
      <c r="B750" s="82">
        <v>45794</v>
      </c>
      <c r="C750" s="81" t="s">
        <v>682</v>
      </c>
      <c r="D750" s="19">
        <v>4</v>
      </c>
      <c r="E750" s="19">
        <v>615</v>
      </c>
      <c r="F750" s="19">
        <f t="shared" si="261"/>
        <v>2460</v>
      </c>
      <c r="G750" s="19">
        <v>2.33</v>
      </c>
      <c r="H750" s="19">
        <f t="shared" si="268"/>
        <v>1432.95</v>
      </c>
      <c r="I750" s="19">
        <f t="shared" si="269"/>
        <v>5731.8</v>
      </c>
      <c r="J750" s="18">
        <f t="shared" si="270"/>
        <v>231807.04</v>
      </c>
    </row>
    <row r="751" spans="2:11" x14ac:dyDescent="0.3">
      <c r="B751" s="82">
        <v>45794</v>
      </c>
      <c r="C751" s="81" t="s">
        <v>683</v>
      </c>
      <c r="D751" s="19">
        <v>2</v>
      </c>
      <c r="E751" s="19">
        <v>351</v>
      </c>
      <c r="F751" s="19">
        <f t="shared" si="261"/>
        <v>702</v>
      </c>
      <c r="G751" s="19">
        <v>2.33</v>
      </c>
      <c r="H751" s="19">
        <f t="shared" si="268"/>
        <v>817.83</v>
      </c>
      <c r="I751" s="19">
        <f t="shared" si="269"/>
        <v>1635.66</v>
      </c>
      <c r="J751" s="18">
        <f t="shared" si="270"/>
        <v>233442.7</v>
      </c>
    </row>
    <row r="752" spans="2:11" x14ac:dyDescent="0.3">
      <c r="B752" s="82">
        <v>45795</v>
      </c>
      <c r="C752" s="81" t="s">
        <v>684</v>
      </c>
      <c r="D752" s="19">
        <v>2</v>
      </c>
      <c r="E752" s="19">
        <v>351</v>
      </c>
      <c r="F752" s="19">
        <f t="shared" si="261"/>
        <v>702</v>
      </c>
      <c r="G752" s="19">
        <v>2.33</v>
      </c>
      <c r="H752" s="19">
        <f t="shared" si="268"/>
        <v>817.83</v>
      </c>
      <c r="I752" s="19">
        <f t="shared" si="269"/>
        <v>1635.66</v>
      </c>
      <c r="J752" s="18">
        <f t="shared" si="270"/>
        <v>235078.36000000002</v>
      </c>
    </row>
    <row r="753" spans="1:10" x14ac:dyDescent="0.3">
      <c r="B753" s="82">
        <v>45795</v>
      </c>
      <c r="C753" s="81" t="s">
        <v>685</v>
      </c>
      <c r="D753" s="19">
        <v>50</v>
      </c>
      <c r="E753" s="19">
        <v>359</v>
      </c>
      <c r="F753" s="19">
        <f t="shared" si="261"/>
        <v>17950</v>
      </c>
      <c r="G753" s="19">
        <v>2.33</v>
      </c>
      <c r="H753" s="19">
        <f t="shared" si="268"/>
        <v>836.47</v>
      </c>
      <c r="I753" s="19">
        <f t="shared" si="269"/>
        <v>41823.5</v>
      </c>
      <c r="J753" s="18">
        <f t="shared" si="270"/>
        <v>276901.86</v>
      </c>
    </row>
    <row r="754" spans="1:10" x14ac:dyDescent="0.3">
      <c r="B754" s="82">
        <v>45795</v>
      </c>
      <c r="C754" s="81" t="s">
        <v>686</v>
      </c>
      <c r="D754" s="19">
        <v>5</v>
      </c>
      <c r="E754" s="19">
        <v>1050</v>
      </c>
      <c r="F754" s="19">
        <f t="shared" si="261"/>
        <v>5250</v>
      </c>
      <c r="G754" s="19">
        <v>2.33</v>
      </c>
      <c r="H754" s="19">
        <f t="shared" si="268"/>
        <v>2446.5</v>
      </c>
      <c r="I754" s="19">
        <f t="shared" si="269"/>
        <v>12232.5</v>
      </c>
      <c r="J754" s="18">
        <f t="shared" si="270"/>
        <v>289134.36</v>
      </c>
    </row>
    <row r="755" spans="1:10" x14ac:dyDescent="0.3">
      <c r="B755" s="82">
        <v>45795</v>
      </c>
      <c r="C755" s="81" t="s">
        <v>687</v>
      </c>
      <c r="D755" s="19">
        <v>5</v>
      </c>
      <c r="E755" s="19">
        <v>1030</v>
      </c>
      <c r="F755" s="19">
        <f t="shared" si="261"/>
        <v>5150</v>
      </c>
      <c r="G755" s="19">
        <v>2.33</v>
      </c>
      <c r="H755" s="19">
        <f t="shared" si="268"/>
        <v>2399.9</v>
      </c>
      <c r="I755" s="19">
        <f t="shared" si="269"/>
        <v>11999.5</v>
      </c>
      <c r="J755" s="18">
        <f t="shared" si="270"/>
        <v>301133.86</v>
      </c>
    </row>
    <row r="756" spans="1:10" x14ac:dyDescent="0.3">
      <c r="B756" s="82">
        <v>45795</v>
      </c>
      <c r="C756" s="81" t="s">
        <v>688</v>
      </c>
      <c r="D756" s="19">
        <v>30</v>
      </c>
      <c r="E756" s="19">
        <v>340</v>
      </c>
      <c r="F756" s="19">
        <f t="shared" si="261"/>
        <v>10200</v>
      </c>
      <c r="G756" s="19">
        <v>2.33</v>
      </c>
      <c r="H756" s="19">
        <f t="shared" si="268"/>
        <v>792.2</v>
      </c>
      <c r="I756" s="19">
        <f t="shared" si="269"/>
        <v>23766</v>
      </c>
      <c r="J756" s="18">
        <f t="shared" si="270"/>
        <v>324899.86</v>
      </c>
    </row>
    <row r="757" spans="1:10" x14ac:dyDescent="0.3">
      <c r="B757" s="19"/>
      <c r="C757" s="81"/>
      <c r="D757" s="19"/>
      <c r="E757" s="19"/>
      <c r="F757" s="19">
        <f t="shared" si="261"/>
        <v>0</v>
      </c>
      <c r="G757" s="19"/>
      <c r="H757" s="19">
        <f t="shared" si="268"/>
        <v>0</v>
      </c>
      <c r="I757" s="19">
        <f t="shared" si="269"/>
        <v>0</v>
      </c>
      <c r="J757" s="18">
        <f t="shared" si="270"/>
        <v>324899.86</v>
      </c>
    </row>
    <row r="758" spans="1:10" x14ac:dyDescent="0.3">
      <c r="B758" s="19"/>
      <c r="C758" s="81"/>
      <c r="D758" s="19"/>
      <c r="E758" s="19"/>
      <c r="F758" s="19">
        <f t="shared" si="261"/>
        <v>0</v>
      </c>
      <c r="G758" s="19"/>
      <c r="H758" s="19">
        <f t="shared" si="268"/>
        <v>0</v>
      </c>
      <c r="I758" s="19">
        <f t="shared" si="269"/>
        <v>0</v>
      </c>
      <c r="J758" s="18">
        <f t="shared" si="270"/>
        <v>324899.86</v>
      </c>
    </row>
    <row r="759" spans="1:10" x14ac:dyDescent="0.3">
      <c r="B759" s="19"/>
      <c r="C759" s="19"/>
      <c r="D759" s="19"/>
      <c r="E759" s="19"/>
      <c r="F759" s="19">
        <f t="shared" si="261"/>
        <v>0</v>
      </c>
      <c r="G759" s="19"/>
      <c r="H759" s="19">
        <f t="shared" si="268"/>
        <v>0</v>
      </c>
      <c r="I759" s="19">
        <f t="shared" si="269"/>
        <v>0</v>
      </c>
      <c r="J759" s="18">
        <f t="shared" si="270"/>
        <v>324899.86</v>
      </c>
    </row>
    <row r="760" spans="1:10" x14ac:dyDescent="0.3">
      <c r="B760" s="19"/>
      <c r="C760" s="19"/>
      <c r="D760" s="19"/>
      <c r="E760" s="19"/>
      <c r="F760" s="19">
        <f t="shared" si="261"/>
        <v>0</v>
      </c>
      <c r="G760" s="19"/>
      <c r="H760" s="19">
        <f t="shared" si="268"/>
        <v>0</v>
      </c>
      <c r="I760" s="19">
        <f t="shared" si="269"/>
        <v>0</v>
      </c>
      <c r="J760" s="18">
        <f t="shared" si="270"/>
        <v>324899.86</v>
      </c>
    </row>
    <row r="761" spans="1:10" x14ac:dyDescent="0.3">
      <c r="B761" s="19"/>
      <c r="C761" s="19"/>
      <c r="D761" s="19"/>
      <c r="E761" s="19"/>
      <c r="F761" s="19">
        <f t="shared" si="261"/>
        <v>0</v>
      </c>
      <c r="G761" s="19"/>
      <c r="H761" s="19">
        <f t="shared" si="268"/>
        <v>0</v>
      </c>
      <c r="I761" s="19">
        <f t="shared" si="269"/>
        <v>0</v>
      </c>
      <c r="J761" s="18">
        <f t="shared" si="270"/>
        <v>324899.86</v>
      </c>
    </row>
    <row r="762" spans="1:10" x14ac:dyDescent="0.3">
      <c r="B762" s="19"/>
      <c r="C762" s="19"/>
      <c r="D762" s="19"/>
      <c r="E762" s="19"/>
      <c r="F762" s="19">
        <f t="shared" si="261"/>
        <v>0</v>
      </c>
      <c r="G762" s="19"/>
      <c r="H762" s="19">
        <f t="shared" si="268"/>
        <v>0</v>
      </c>
      <c r="I762" s="19">
        <f t="shared" si="269"/>
        <v>0</v>
      </c>
      <c r="J762" s="18">
        <f t="shared" si="270"/>
        <v>324899.86</v>
      </c>
    </row>
    <row r="765" spans="1:10" ht="21" x14ac:dyDescent="0.4">
      <c r="A765" t="s">
        <v>127</v>
      </c>
      <c r="B765" s="492" t="s">
        <v>391</v>
      </c>
      <c r="C765" s="492"/>
      <c r="D765" s="492"/>
      <c r="E765" s="492"/>
      <c r="F765" s="492"/>
      <c r="G765" s="492"/>
      <c r="H765" s="492"/>
      <c r="I765" s="492"/>
      <c r="J765" s="492"/>
    </row>
    <row r="766" spans="1:10" ht="18" x14ac:dyDescent="0.35">
      <c r="B766" s="4" t="s">
        <v>1</v>
      </c>
      <c r="C766" s="4" t="s">
        <v>2</v>
      </c>
      <c r="D766" s="4" t="s">
        <v>3</v>
      </c>
      <c r="E766" s="4" t="s">
        <v>134</v>
      </c>
      <c r="F766" s="4" t="s">
        <v>135</v>
      </c>
      <c r="G766" s="4" t="s">
        <v>5</v>
      </c>
      <c r="H766" s="4" t="s">
        <v>6</v>
      </c>
      <c r="I766" s="4" t="s">
        <v>7</v>
      </c>
      <c r="J766" s="4"/>
    </row>
    <row r="767" spans="1:10" x14ac:dyDescent="0.3">
      <c r="B767" s="82">
        <v>45806</v>
      </c>
      <c r="C767" s="81" t="s">
        <v>698</v>
      </c>
      <c r="D767" s="19">
        <v>5</v>
      </c>
      <c r="E767" s="19">
        <v>760</v>
      </c>
      <c r="F767" s="19">
        <f>E767*D767</f>
        <v>3800</v>
      </c>
      <c r="G767" s="19">
        <v>3.63</v>
      </c>
      <c r="H767" s="19">
        <f>E767*G767</f>
        <v>2758.7999999999997</v>
      </c>
      <c r="I767" s="19">
        <f>H767*D767</f>
        <v>13793.999999999998</v>
      </c>
      <c r="J767" s="18">
        <f>J766+I767</f>
        <v>13793.999999999998</v>
      </c>
    </row>
    <row r="768" spans="1:10" x14ac:dyDescent="0.3">
      <c r="B768" s="82">
        <v>45806</v>
      </c>
      <c r="C768" s="81" t="s">
        <v>699</v>
      </c>
      <c r="D768" s="19">
        <v>8</v>
      </c>
      <c r="E768" s="19">
        <v>425</v>
      </c>
      <c r="F768" s="19">
        <f t="shared" ref="F768:F775" si="271">E768*D768</f>
        <v>3400</v>
      </c>
      <c r="G768" s="19">
        <v>3.63</v>
      </c>
      <c r="H768" s="19">
        <f t="shared" ref="H768:H775" si="272">E768*G768</f>
        <v>1542.75</v>
      </c>
      <c r="I768" s="19">
        <f t="shared" ref="I768:I775" si="273">H768*D768</f>
        <v>12342</v>
      </c>
      <c r="J768" s="18">
        <f t="shared" ref="J768:J775" si="274">J767+I768</f>
        <v>26136</v>
      </c>
    </row>
    <row r="769" spans="1:10" x14ac:dyDescent="0.3">
      <c r="B769" s="82">
        <v>45806</v>
      </c>
      <c r="C769" s="81" t="s">
        <v>700</v>
      </c>
      <c r="D769" s="19">
        <v>11</v>
      </c>
      <c r="E769" s="19">
        <v>155</v>
      </c>
      <c r="F769" s="19">
        <f t="shared" si="271"/>
        <v>1705</v>
      </c>
      <c r="G769" s="19">
        <v>3.63</v>
      </c>
      <c r="H769" s="19">
        <f t="shared" si="272"/>
        <v>562.65</v>
      </c>
      <c r="I769" s="19">
        <f t="shared" si="273"/>
        <v>6189.15</v>
      </c>
      <c r="J769" s="18">
        <f t="shared" si="274"/>
        <v>32325.15</v>
      </c>
    </row>
    <row r="770" spans="1:10" x14ac:dyDescent="0.3">
      <c r="B770" s="82">
        <v>45806</v>
      </c>
      <c r="C770" s="81" t="s">
        <v>397</v>
      </c>
      <c r="D770" s="19">
        <v>11</v>
      </c>
      <c r="E770" s="19">
        <v>133</v>
      </c>
      <c r="F770" s="19">
        <f t="shared" si="271"/>
        <v>1463</v>
      </c>
      <c r="G770" s="19">
        <v>3.63</v>
      </c>
      <c r="H770" s="19">
        <f t="shared" si="272"/>
        <v>482.78999999999996</v>
      </c>
      <c r="I770" s="19">
        <f t="shared" si="273"/>
        <v>5310.69</v>
      </c>
      <c r="J770" s="18">
        <f t="shared" si="274"/>
        <v>37635.840000000004</v>
      </c>
    </row>
    <row r="771" spans="1:10" x14ac:dyDescent="0.3">
      <c r="B771" s="82">
        <v>45806</v>
      </c>
      <c r="C771" s="81" t="s">
        <v>390</v>
      </c>
      <c r="D771" s="19">
        <v>7</v>
      </c>
      <c r="E771" s="19">
        <v>180</v>
      </c>
      <c r="F771" s="19">
        <f t="shared" si="271"/>
        <v>1260</v>
      </c>
      <c r="G771" s="19">
        <v>3.63</v>
      </c>
      <c r="H771" s="19">
        <f t="shared" si="272"/>
        <v>653.4</v>
      </c>
      <c r="I771" s="19">
        <f t="shared" si="273"/>
        <v>4573.8</v>
      </c>
      <c r="J771" s="18">
        <f t="shared" si="274"/>
        <v>42209.640000000007</v>
      </c>
    </row>
    <row r="772" spans="1:10" x14ac:dyDescent="0.3">
      <c r="B772" s="19"/>
      <c r="C772" s="19"/>
      <c r="D772" s="19"/>
      <c r="E772" s="19"/>
      <c r="F772" s="19">
        <f t="shared" si="271"/>
        <v>0</v>
      </c>
      <c r="G772" s="19"/>
      <c r="H772" s="19">
        <f t="shared" si="272"/>
        <v>0</v>
      </c>
      <c r="I772" s="19">
        <f t="shared" si="273"/>
        <v>0</v>
      </c>
      <c r="J772" s="18">
        <f t="shared" si="274"/>
        <v>42209.640000000007</v>
      </c>
    </row>
    <row r="773" spans="1:10" x14ac:dyDescent="0.3">
      <c r="B773" s="19"/>
      <c r="C773" s="19"/>
      <c r="D773" s="19"/>
      <c r="E773" s="19"/>
      <c r="F773" s="19">
        <f t="shared" si="271"/>
        <v>0</v>
      </c>
      <c r="G773" s="19"/>
      <c r="H773" s="19">
        <f t="shared" si="272"/>
        <v>0</v>
      </c>
      <c r="I773" s="19">
        <f t="shared" si="273"/>
        <v>0</v>
      </c>
      <c r="J773" s="18">
        <f t="shared" si="274"/>
        <v>42209.640000000007</v>
      </c>
    </row>
    <row r="774" spans="1:10" x14ac:dyDescent="0.3">
      <c r="B774" s="19"/>
      <c r="C774" s="19"/>
      <c r="D774" s="19"/>
      <c r="E774" s="19"/>
      <c r="F774" s="19">
        <f t="shared" si="271"/>
        <v>0</v>
      </c>
      <c r="G774" s="19"/>
      <c r="H774" s="19">
        <f t="shared" si="272"/>
        <v>0</v>
      </c>
      <c r="I774" s="19">
        <f t="shared" si="273"/>
        <v>0</v>
      </c>
      <c r="J774" s="18">
        <f t="shared" si="274"/>
        <v>42209.640000000007</v>
      </c>
    </row>
    <row r="775" spans="1:10" x14ac:dyDescent="0.3">
      <c r="B775" s="19"/>
      <c r="C775" s="19"/>
      <c r="D775" s="19"/>
      <c r="E775" s="19"/>
      <c r="F775" s="19">
        <f t="shared" si="271"/>
        <v>0</v>
      </c>
      <c r="G775" s="19"/>
      <c r="H775" s="19">
        <f t="shared" si="272"/>
        <v>0</v>
      </c>
      <c r="I775" s="19">
        <f t="shared" si="273"/>
        <v>0</v>
      </c>
      <c r="J775" s="18">
        <f t="shared" si="274"/>
        <v>42209.640000000007</v>
      </c>
    </row>
    <row r="779" spans="1:10" ht="21" x14ac:dyDescent="0.4">
      <c r="A779" t="s">
        <v>127</v>
      </c>
      <c r="B779" s="492" t="s">
        <v>35</v>
      </c>
      <c r="C779" s="492"/>
      <c r="D779" s="492"/>
      <c r="E779" s="492"/>
      <c r="F779" s="492"/>
      <c r="G779" s="492"/>
      <c r="H779" s="492"/>
      <c r="I779" s="492"/>
      <c r="J779" s="492"/>
    </row>
    <row r="780" spans="1:10" ht="18" x14ac:dyDescent="0.35">
      <c r="A780" t="s">
        <v>212</v>
      </c>
      <c r="B780" s="4" t="s">
        <v>1</v>
      </c>
      <c r="C780" s="4" t="s">
        <v>2</v>
      </c>
      <c r="D780" s="4" t="s">
        <v>3</v>
      </c>
      <c r="E780" s="4" t="s">
        <v>148</v>
      </c>
      <c r="F780" s="4" t="s">
        <v>147</v>
      </c>
      <c r="G780" s="4" t="s">
        <v>5</v>
      </c>
      <c r="H780" s="4" t="s">
        <v>6</v>
      </c>
      <c r="I780" s="4" t="s">
        <v>7</v>
      </c>
      <c r="J780" s="4"/>
    </row>
    <row r="781" spans="1:10" x14ac:dyDescent="0.3">
      <c r="B781" s="82">
        <v>45805</v>
      </c>
      <c r="C781" s="81" t="s">
        <v>741</v>
      </c>
      <c r="D781" s="19">
        <v>200</v>
      </c>
      <c r="E781" s="19">
        <v>492</v>
      </c>
      <c r="F781" s="19">
        <f>E781*D781</f>
        <v>98400</v>
      </c>
      <c r="G781" s="19">
        <v>2.13</v>
      </c>
      <c r="H781" s="19">
        <f>E781*G781</f>
        <v>1047.96</v>
      </c>
      <c r="I781" s="19">
        <f>H781*D781</f>
        <v>209592</v>
      </c>
      <c r="J781" s="18">
        <f>J780+I781</f>
        <v>209592</v>
      </c>
    </row>
    <row r="782" spans="1:10" x14ac:dyDescent="0.3">
      <c r="B782" s="82">
        <v>45805</v>
      </c>
      <c r="C782" s="81" t="s">
        <v>742</v>
      </c>
      <c r="D782" s="19">
        <v>100</v>
      </c>
      <c r="E782" s="19">
        <v>329</v>
      </c>
      <c r="F782" s="19">
        <f t="shared" ref="F782:F789" si="275">E782*D782</f>
        <v>32900</v>
      </c>
      <c r="G782" s="19">
        <v>2.13</v>
      </c>
      <c r="H782" s="19">
        <f t="shared" ref="H782:H789" si="276">E782*G782</f>
        <v>700.77</v>
      </c>
      <c r="I782" s="19">
        <f t="shared" ref="I782:I789" si="277">H782*D782</f>
        <v>70077</v>
      </c>
      <c r="J782" s="18">
        <f t="shared" ref="J782:J789" si="278">J781+I782</f>
        <v>279669</v>
      </c>
    </row>
    <row r="783" spans="1:10" x14ac:dyDescent="0.3">
      <c r="B783" s="82">
        <v>45805</v>
      </c>
      <c r="C783" s="81" t="s">
        <v>743</v>
      </c>
      <c r="D783" s="19">
        <v>20</v>
      </c>
      <c r="E783" s="19">
        <v>745</v>
      </c>
      <c r="F783" s="19">
        <f t="shared" si="275"/>
        <v>14900</v>
      </c>
      <c r="G783" s="19">
        <v>2.13</v>
      </c>
      <c r="H783" s="19">
        <f t="shared" si="276"/>
        <v>1586.85</v>
      </c>
      <c r="I783" s="19">
        <f t="shared" si="277"/>
        <v>31737</v>
      </c>
      <c r="J783" s="18">
        <f t="shared" si="278"/>
        <v>311406</v>
      </c>
    </row>
    <row r="784" spans="1:10" x14ac:dyDescent="0.3">
      <c r="B784" s="19"/>
      <c r="C784" s="19"/>
      <c r="D784" s="19"/>
      <c r="E784" s="19"/>
      <c r="F784" s="19">
        <f t="shared" si="275"/>
        <v>0</v>
      </c>
      <c r="G784" s="19"/>
      <c r="H784" s="19">
        <f t="shared" si="276"/>
        <v>0</v>
      </c>
      <c r="I784" s="19">
        <f t="shared" si="277"/>
        <v>0</v>
      </c>
      <c r="J784" s="18">
        <f t="shared" si="278"/>
        <v>311406</v>
      </c>
    </row>
    <row r="785" spans="1:10" x14ac:dyDescent="0.3">
      <c r="B785" s="19"/>
      <c r="C785" s="19"/>
      <c r="D785" s="19"/>
      <c r="E785" s="19"/>
      <c r="F785" s="19">
        <f t="shared" si="275"/>
        <v>0</v>
      </c>
      <c r="G785" s="19"/>
      <c r="H785" s="19">
        <f t="shared" si="276"/>
        <v>0</v>
      </c>
      <c r="I785" s="19">
        <f t="shared" si="277"/>
        <v>0</v>
      </c>
      <c r="J785" s="18">
        <f t="shared" si="278"/>
        <v>311406</v>
      </c>
    </row>
    <row r="786" spans="1:10" x14ac:dyDescent="0.3">
      <c r="B786" s="19"/>
      <c r="C786" s="19"/>
      <c r="D786" s="19"/>
      <c r="E786" s="19"/>
      <c r="F786" s="19">
        <f t="shared" si="275"/>
        <v>0</v>
      </c>
      <c r="G786" s="19"/>
      <c r="H786" s="19">
        <f t="shared" si="276"/>
        <v>0</v>
      </c>
      <c r="I786" s="19">
        <f t="shared" si="277"/>
        <v>0</v>
      </c>
      <c r="J786" s="18">
        <f t="shared" si="278"/>
        <v>311406</v>
      </c>
    </row>
    <row r="787" spans="1:10" x14ac:dyDescent="0.3">
      <c r="B787" s="19"/>
      <c r="C787" s="19"/>
      <c r="D787" s="19"/>
      <c r="E787" s="19"/>
      <c r="F787" s="19">
        <f t="shared" si="275"/>
        <v>0</v>
      </c>
      <c r="G787" s="19"/>
      <c r="H787" s="19">
        <f t="shared" si="276"/>
        <v>0</v>
      </c>
      <c r="I787" s="19">
        <f t="shared" si="277"/>
        <v>0</v>
      </c>
      <c r="J787" s="18">
        <f t="shared" si="278"/>
        <v>311406</v>
      </c>
    </row>
    <row r="788" spans="1:10" x14ac:dyDescent="0.3">
      <c r="B788" s="19"/>
      <c r="C788" s="19"/>
      <c r="D788" s="19"/>
      <c r="E788" s="19"/>
      <c r="F788" s="19">
        <f t="shared" si="275"/>
        <v>0</v>
      </c>
      <c r="G788" s="19"/>
      <c r="H788" s="19">
        <f t="shared" si="276"/>
        <v>0</v>
      </c>
      <c r="I788" s="19">
        <f t="shared" si="277"/>
        <v>0</v>
      </c>
      <c r="J788" s="18">
        <f t="shared" si="278"/>
        <v>311406</v>
      </c>
    </row>
    <row r="789" spans="1:10" x14ac:dyDescent="0.3">
      <c r="B789" s="19"/>
      <c r="C789" s="19"/>
      <c r="D789" s="19"/>
      <c r="E789" s="19"/>
      <c r="F789" s="19">
        <f t="shared" si="275"/>
        <v>0</v>
      </c>
      <c r="G789" s="19"/>
      <c r="H789" s="19">
        <f t="shared" si="276"/>
        <v>0</v>
      </c>
      <c r="I789" s="19">
        <f t="shared" si="277"/>
        <v>0</v>
      </c>
      <c r="J789" s="18">
        <f t="shared" si="278"/>
        <v>311406</v>
      </c>
    </row>
    <row r="792" spans="1:10" ht="21" x14ac:dyDescent="0.4">
      <c r="A792" t="s">
        <v>127</v>
      </c>
      <c r="B792" s="492" t="s">
        <v>20</v>
      </c>
      <c r="C792" s="492"/>
      <c r="D792" s="492"/>
      <c r="E792" s="492"/>
      <c r="F792" s="492"/>
      <c r="G792" s="492"/>
      <c r="H792" s="492"/>
      <c r="I792" s="492"/>
      <c r="J792" s="492"/>
    </row>
    <row r="793" spans="1:10" ht="18" x14ac:dyDescent="0.35">
      <c r="A793" t="s">
        <v>212</v>
      </c>
      <c r="B793" s="4" t="s">
        <v>1</v>
      </c>
      <c r="C793" s="4" t="s">
        <v>2</v>
      </c>
      <c r="D793" s="4" t="s">
        <v>3</v>
      </c>
      <c r="E793" s="4" t="s">
        <v>4</v>
      </c>
      <c r="F793" s="4" t="s">
        <v>36</v>
      </c>
      <c r="G793" s="4" t="s">
        <v>5</v>
      </c>
      <c r="H793" s="4" t="s">
        <v>6</v>
      </c>
      <c r="I793" s="4" t="s">
        <v>7</v>
      </c>
      <c r="J793" s="4"/>
    </row>
    <row r="794" spans="1:10" x14ac:dyDescent="0.3">
      <c r="B794" s="82">
        <v>45810</v>
      </c>
      <c r="C794" s="18" t="s">
        <v>744</v>
      </c>
      <c r="D794" s="19">
        <v>200</v>
      </c>
      <c r="E794" s="19">
        <v>330</v>
      </c>
      <c r="F794" s="19">
        <f>E794*D794</f>
        <v>66000</v>
      </c>
      <c r="G794" s="18">
        <v>2.3538999999999999</v>
      </c>
      <c r="H794" s="19">
        <f>E794*G794</f>
        <v>776.78699999999992</v>
      </c>
      <c r="I794" s="19">
        <f>H794*D794</f>
        <v>155357.4</v>
      </c>
      <c r="J794" s="18">
        <f>J793+I794</f>
        <v>155357.4</v>
      </c>
    </row>
    <row r="795" spans="1:10" x14ac:dyDescent="0.3">
      <c r="B795" s="19"/>
      <c r="C795" s="19"/>
      <c r="D795" s="19"/>
      <c r="E795" s="19"/>
      <c r="F795" s="19">
        <f t="shared" ref="F795" si="279">E795*D795</f>
        <v>0</v>
      </c>
      <c r="G795" s="19"/>
      <c r="H795" s="19">
        <f t="shared" ref="H795" si="280">E795*G795</f>
        <v>0</v>
      </c>
      <c r="I795" s="19">
        <f t="shared" ref="I795" si="281">H795*D795</f>
        <v>0</v>
      </c>
      <c r="J795" s="18">
        <f t="shared" ref="J795" si="282">J794+I795</f>
        <v>155357.4</v>
      </c>
    </row>
    <row r="796" spans="1:10" x14ac:dyDescent="0.3">
      <c r="J796"/>
    </row>
    <row r="797" spans="1:10" x14ac:dyDescent="0.3">
      <c r="J797"/>
    </row>
    <row r="798" spans="1:10" x14ac:dyDescent="0.3">
      <c r="J798"/>
    </row>
    <row r="799" spans="1:10" x14ac:dyDescent="0.3">
      <c r="J799"/>
    </row>
    <row r="800" spans="1:10" x14ac:dyDescent="0.3">
      <c r="J800"/>
    </row>
    <row r="801" spans="1:10" x14ac:dyDescent="0.3">
      <c r="J801"/>
    </row>
    <row r="802" spans="1:10" x14ac:dyDescent="0.3">
      <c r="J802"/>
    </row>
    <row r="806" spans="1:10" ht="21" x14ac:dyDescent="0.4">
      <c r="A806" t="s">
        <v>127</v>
      </c>
      <c r="B806" s="492" t="s">
        <v>391</v>
      </c>
      <c r="C806" s="492"/>
      <c r="D806" s="492"/>
      <c r="E806" s="492"/>
      <c r="F806" s="492"/>
      <c r="G806" s="492"/>
      <c r="H806" s="492"/>
      <c r="I806" s="492"/>
      <c r="J806" s="492"/>
    </row>
    <row r="807" spans="1:10" ht="18" x14ac:dyDescent="0.35">
      <c r="B807" s="4" t="s">
        <v>1</v>
      </c>
      <c r="C807" s="4" t="s">
        <v>2</v>
      </c>
      <c r="D807" s="4" t="s">
        <v>3</v>
      </c>
      <c r="E807" s="4" t="s">
        <v>134</v>
      </c>
      <c r="F807" s="4" t="s">
        <v>135</v>
      </c>
      <c r="G807" s="4" t="s">
        <v>5</v>
      </c>
      <c r="H807" s="4" t="s">
        <v>6</v>
      </c>
      <c r="I807" s="4" t="s">
        <v>7</v>
      </c>
      <c r="J807" s="4"/>
    </row>
    <row r="808" spans="1:10" x14ac:dyDescent="0.3">
      <c r="B808" s="82">
        <v>45818</v>
      </c>
      <c r="C808" s="81" t="s">
        <v>747</v>
      </c>
      <c r="D808" s="19">
        <v>76</v>
      </c>
      <c r="E808" s="19">
        <v>220</v>
      </c>
      <c r="F808" s="19">
        <f>E808*D808</f>
        <v>16720</v>
      </c>
      <c r="G808" s="19">
        <v>3.61</v>
      </c>
      <c r="H808" s="19">
        <f>E808*G808</f>
        <v>794.19999999999993</v>
      </c>
      <c r="I808" s="19">
        <f>H808*D808</f>
        <v>60359.199999999997</v>
      </c>
      <c r="J808" s="18">
        <f>J807+I808</f>
        <v>60359.199999999997</v>
      </c>
    </row>
    <row r="809" spans="1:10" x14ac:dyDescent="0.3">
      <c r="B809" s="82"/>
      <c r="C809" s="81"/>
      <c r="D809" s="19"/>
      <c r="E809" s="19"/>
      <c r="F809" s="19">
        <f t="shared" ref="F809" si="283">E809*D809</f>
        <v>0</v>
      </c>
      <c r="G809" s="19"/>
      <c r="H809" s="19">
        <f t="shared" ref="H809" si="284">E809*G809</f>
        <v>0</v>
      </c>
      <c r="I809" s="19">
        <f t="shared" ref="I809" si="285">H809*D809</f>
        <v>0</v>
      </c>
      <c r="J809" s="18">
        <f t="shared" ref="J809" si="286">J808+I809</f>
        <v>60359.199999999997</v>
      </c>
    </row>
    <row r="810" spans="1:10" x14ac:dyDescent="0.3">
      <c r="B810" s="106"/>
      <c r="C810" s="96"/>
      <c r="J810"/>
    </row>
    <row r="811" spans="1:10" x14ac:dyDescent="0.3">
      <c r="B811" s="106"/>
      <c r="C811" s="96"/>
      <c r="J811"/>
    </row>
    <row r="812" spans="1:10" x14ac:dyDescent="0.3">
      <c r="B812" s="106"/>
      <c r="C812" s="96"/>
      <c r="J812"/>
    </row>
    <row r="813" spans="1:10" x14ac:dyDescent="0.3">
      <c r="J813"/>
    </row>
    <row r="814" spans="1:10" x14ac:dyDescent="0.3">
      <c r="J814"/>
    </row>
    <row r="815" spans="1:10" x14ac:dyDescent="0.3">
      <c r="J815"/>
    </row>
    <row r="816" spans="1:10" x14ac:dyDescent="0.3">
      <c r="J816"/>
    </row>
    <row r="820" spans="1:10" ht="21" x14ac:dyDescent="0.4">
      <c r="A820" t="s">
        <v>127</v>
      </c>
      <c r="B820" s="492" t="s">
        <v>35</v>
      </c>
      <c r="C820" s="492"/>
      <c r="D820" s="492"/>
      <c r="E820" s="492"/>
      <c r="F820" s="492"/>
      <c r="G820" s="492"/>
      <c r="H820" s="492"/>
      <c r="I820" s="492"/>
      <c r="J820" s="492"/>
    </row>
    <row r="821" spans="1:10" ht="18" x14ac:dyDescent="0.35">
      <c r="A821" t="s">
        <v>212</v>
      </c>
      <c r="B821" s="4" t="s">
        <v>1</v>
      </c>
      <c r="C821" s="4" t="s">
        <v>2</v>
      </c>
      <c r="D821" s="4" t="s">
        <v>3</v>
      </c>
      <c r="E821" s="4" t="s">
        <v>148</v>
      </c>
      <c r="F821" s="4" t="s">
        <v>147</v>
      </c>
      <c r="G821" s="4" t="s">
        <v>5</v>
      </c>
      <c r="H821" s="4" t="s">
        <v>6</v>
      </c>
      <c r="I821" s="4" t="s">
        <v>7</v>
      </c>
      <c r="J821" s="4"/>
    </row>
    <row r="822" spans="1:10" x14ac:dyDescent="0.3">
      <c r="B822" s="82">
        <v>45813</v>
      </c>
      <c r="C822" s="81" t="s">
        <v>741</v>
      </c>
      <c r="D822" s="19">
        <v>300</v>
      </c>
      <c r="E822" s="19">
        <v>492</v>
      </c>
      <c r="F822" s="19">
        <f>E822*D822</f>
        <v>147600</v>
      </c>
      <c r="G822" s="19">
        <v>2.13</v>
      </c>
      <c r="H822" s="19">
        <f>E822*G822</f>
        <v>1047.96</v>
      </c>
      <c r="I822" s="19">
        <f>H822*D822</f>
        <v>314388</v>
      </c>
      <c r="J822" s="18">
        <f>J821+I822</f>
        <v>314388</v>
      </c>
    </row>
    <row r="823" spans="1:10" x14ac:dyDescent="0.3">
      <c r="B823" s="82">
        <v>45813</v>
      </c>
      <c r="C823" s="81" t="s">
        <v>748</v>
      </c>
      <c r="D823" s="19">
        <v>250</v>
      </c>
      <c r="E823" s="19">
        <v>149</v>
      </c>
      <c r="F823" s="19">
        <f t="shared" ref="F823:F824" si="287">E823*D823</f>
        <v>37250</v>
      </c>
      <c r="G823" s="19">
        <v>2.13</v>
      </c>
      <c r="H823" s="19">
        <f t="shared" ref="H823:H824" si="288">E823*G823</f>
        <v>317.37</v>
      </c>
      <c r="I823" s="19">
        <f t="shared" ref="I823:I824" si="289">H823*D823</f>
        <v>79342.5</v>
      </c>
      <c r="J823" s="18">
        <f t="shared" ref="J823:J824" si="290">J822+I823</f>
        <v>393730.5</v>
      </c>
    </row>
    <row r="824" spans="1:10" x14ac:dyDescent="0.3">
      <c r="B824" s="82"/>
      <c r="C824" s="81"/>
      <c r="D824" s="19"/>
      <c r="E824" s="19"/>
      <c r="F824" s="19">
        <f t="shared" si="287"/>
        <v>0</v>
      </c>
      <c r="G824" s="19"/>
      <c r="H824" s="19">
        <f t="shared" si="288"/>
        <v>0</v>
      </c>
      <c r="I824" s="19">
        <f t="shared" si="289"/>
        <v>0</v>
      </c>
      <c r="J824" s="18">
        <f t="shared" si="290"/>
        <v>393730.5</v>
      </c>
    </row>
    <row r="825" spans="1:10" x14ac:dyDescent="0.3">
      <c r="J825"/>
    </row>
    <row r="826" spans="1:10" ht="21" x14ac:dyDescent="0.4">
      <c r="B826" s="492" t="s">
        <v>925</v>
      </c>
      <c r="C826" s="492"/>
      <c r="D826" s="492"/>
      <c r="E826" s="492"/>
      <c r="F826" s="492"/>
      <c r="G826" s="492"/>
      <c r="H826" s="492"/>
      <c r="I826" s="492"/>
      <c r="J826" s="492"/>
    </row>
    <row r="827" spans="1:10" ht="18" x14ac:dyDescent="0.35">
      <c r="A827" t="s">
        <v>212</v>
      </c>
      <c r="B827" s="4" t="s">
        <v>1</v>
      </c>
      <c r="C827" s="4" t="s">
        <v>2</v>
      </c>
      <c r="D827" s="4" t="s">
        <v>3</v>
      </c>
      <c r="E827" s="4" t="s">
        <v>148</v>
      </c>
      <c r="F827" s="4" t="s">
        <v>147</v>
      </c>
      <c r="G827" s="4" t="s">
        <v>5</v>
      </c>
      <c r="H827" s="4" t="s">
        <v>6</v>
      </c>
      <c r="I827" s="4" t="s">
        <v>7</v>
      </c>
      <c r="J827" s="4"/>
    </row>
    <row r="828" spans="1:10" x14ac:dyDescent="0.3">
      <c r="B828" s="82">
        <v>45831</v>
      </c>
      <c r="C828" s="81" t="s">
        <v>924</v>
      </c>
      <c r="D828" s="19">
        <v>3</v>
      </c>
      <c r="E828" s="19">
        <v>550</v>
      </c>
      <c r="F828" s="19">
        <f>E828*D828</f>
        <v>1650</v>
      </c>
      <c r="G828" s="19">
        <v>2.12</v>
      </c>
      <c r="H828" s="19">
        <f>E828*G828</f>
        <v>1166</v>
      </c>
      <c r="I828" s="19">
        <f>H828*D828</f>
        <v>3498</v>
      </c>
      <c r="J828" s="18">
        <f>J827+I828</f>
        <v>3498</v>
      </c>
    </row>
    <row r="829" spans="1:10" x14ac:dyDescent="0.3">
      <c r="B829" s="82"/>
      <c r="C829" s="81"/>
      <c r="D829" s="19"/>
      <c r="E829" s="19"/>
      <c r="F829" s="19">
        <f t="shared" ref="F829" si="291">E829*D829</f>
        <v>0</v>
      </c>
      <c r="G829" s="19">
        <v>2.13</v>
      </c>
      <c r="H829" s="19">
        <f t="shared" ref="H829" si="292">E829*G829</f>
        <v>0</v>
      </c>
      <c r="I829" s="19">
        <f t="shared" ref="I829" si="293">H829*D829</f>
        <v>0</v>
      </c>
      <c r="J829" s="18">
        <f t="shared" ref="J829" si="294">J828+I829</f>
        <v>3498</v>
      </c>
    </row>
    <row r="830" spans="1:10" x14ac:dyDescent="0.3">
      <c r="J830"/>
    </row>
    <row r="832" spans="1:10" ht="21" x14ac:dyDescent="0.4">
      <c r="A832" t="s">
        <v>127</v>
      </c>
      <c r="B832" s="492" t="s">
        <v>35</v>
      </c>
      <c r="C832" s="492"/>
      <c r="D832" s="492"/>
      <c r="E832" s="492"/>
      <c r="F832" s="492"/>
      <c r="G832" s="492"/>
      <c r="H832" s="492"/>
      <c r="I832" s="492"/>
      <c r="J832" s="492"/>
    </row>
    <row r="833" spans="1:10" ht="18" x14ac:dyDescent="0.35">
      <c r="A833" t="s">
        <v>212</v>
      </c>
      <c r="B833" s="4" t="s">
        <v>1</v>
      </c>
      <c r="C833" s="4" t="s">
        <v>2</v>
      </c>
      <c r="D833" s="4" t="s">
        <v>3</v>
      </c>
      <c r="E833" s="4" t="s">
        <v>148</v>
      </c>
      <c r="F833" s="4" t="s">
        <v>147</v>
      </c>
      <c r="G833" s="4" t="s">
        <v>5</v>
      </c>
      <c r="H833" s="4" t="s">
        <v>6</v>
      </c>
      <c r="I833" s="4" t="s">
        <v>7</v>
      </c>
      <c r="J833" s="4"/>
    </row>
    <row r="834" spans="1:10" x14ac:dyDescent="0.3">
      <c r="B834" s="82">
        <v>45831</v>
      </c>
      <c r="C834" s="81" t="s">
        <v>799</v>
      </c>
      <c r="D834" s="19">
        <v>4</v>
      </c>
      <c r="E834" s="19">
        <v>775</v>
      </c>
      <c r="F834" s="19">
        <f>E834*D834</f>
        <v>3100</v>
      </c>
      <c r="G834" s="19">
        <v>2.23</v>
      </c>
      <c r="H834" s="19">
        <f>E834*G834</f>
        <v>1728.25</v>
      </c>
      <c r="I834" s="19">
        <f>H834*D834</f>
        <v>6913</v>
      </c>
      <c r="J834" s="18">
        <f>J833+I834</f>
        <v>6913</v>
      </c>
    </row>
    <row r="835" spans="1:10" x14ac:dyDescent="0.3">
      <c r="B835" s="82"/>
      <c r="C835" s="81"/>
      <c r="D835" s="19"/>
      <c r="E835" s="19"/>
      <c r="F835" s="19">
        <f t="shared" ref="F835" si="295">E835*D835</f>
        <v>0</v>
      </c>
      <c r="G835" s="19">
        <v>2.13</v>
      </c>
      <c r="H835" s="19">
        <f t="shared" ref="H835" si="296">E835*G835</f>
        <v>0</v>
      </c>
      <c r="I835" s="19">
        <f t="shared" ref="I835" si="297">H835*D835</f>
        <v>0</v>
      </c>
      <c r="J835" s="18">
        <f t="shared" ref="J835" si="298">J834+I835</f>
        <v>6913</v>
      </c>
    </row>
    <row r="836" spans="1:10" x14ac:dyDescent="0.3">
      <c r="B836" s="106"/>
      <c r="C836" s="96"/>
      <c r="J836"/>
    </row>
    <row r="837" spans="1:10" x14ac:dyDescent="0.3">
      <c r="J837"/>
    </row>
    <row r="838" spans="1:10" ht="21" x14ac:dyDescent="0.4">
      <c r="A838" t="s">
        <v>127</v>
      </c>
      <c r="B838" s="492" t="s">
        <v>20</v>
      </c>
      <c r="C838" s="492"/>
      <c r="D838" s="492"/>
      <c r="E838" s="492"/>
      <c r="F838" s="492"/>
      <c r="G838" s="492"/>
      <c r="H838" s="492"/>
      <c r="I838" s="492"/>
      <c r="J838" s="492"/>
    </row>
    <row r="839" spans="1:10" ht="18" x14ac:dyDescent="0.35">
      <c r="A839" t="s">
        <v>212</v>
      </c>
      <c r="B839" s="4" t="s">
        <v>1</v>
      </c>
      <c r="C839" s="4" t="s">
        <v>2</v>
      </c>
      <c r="D839" s="4" t="s">
        <v>3</v>
      </c>
      <c r="E839" s="4" t="s">
        <v>4</v>
      </c>
      <c r="F839" s="4" t="s">
        <v>36</v>
      </c>
      <c r="G839" s="4" t="s">
        <v>5</v>
      </c>
      <c r="H839" s="4" t="s">
        <v>6</v>
      </c>
      <c r="I839" s="4" t="s">
        <v>7</v>
      </c>
      <c r="J839" s="4"/>
    </row>
    <row r="840" spans="1:10" x14ac:dyDescent="0.3">
      <c r="B840" s="82">
        <v>45830</v>
      </c>
      <c r="C840" s="235" t="s">
        <v>800</v>
      </c>
      <c r="D840" s="19">
        <v>3</v>
      </c>
      <c r="E840" s="145">
        <v>1129</v>
      </c>
      <c r="F840" s="19">
        <f>E840*D840</f>
        <v>3387</v>
      </c>
      <c r="G840" s="19">
        <v>2.3614999999999999</v>
      </c>
      <c r="H840" s="19">
        <f>E840*G840</f>
        <v>2666.1334999999999</v>
      </c>
      <c r="I840" s="19">
        <f>H840*D840</f>
        <v>7998.4004999999997</v>
      </c>
      <c r="J840" s="18">
        <f>J839+I840</f>
        <v>7998.4004999999997</v>
      </c>
    </row>
    <row r="841" spans="1:10" x14ac:dyDescent="0.3">
      <c r="B841" s="82">
        <v>45830</v>
      </c>
      <c r="C841" s="235" t="s">
        <v>800</v>
      </c>
      <c r="D841" s="19">
        <v>3</v>
      </c>
      <c r="E841" s="145">
        <v>1033</v>
      </c>
      <c r="F841" s="19">
        <f t="shared" ref="F841:F850" si="299">E841*D841</f>
        <v>3099</v>
      </c>
      <c r="G841" s="19">
        <v>2.3614999999999999</v>
      </c>
      <c r="H841" s="19">
        <f t="shared" ref="H841:H848" si="300">E841*G841</f>
        <v>2439.4294999999997</v>
      </c>
      <c r="I841" s="19">
        <f t="shared" ref="I841:I848" si="301">H841*D841</f>
        <v>7318.2884999999987</v>
      </c>
      <c r="J841" s="18">
        <f t="shared" ref="J841:J848" si="302">J840+I841</f>
        <v>15316.688999999998</v>
      </c>
    </row>
    <row r="842" spans="1:10" x14ac:dyDescent="0.3">
      <c r="B842" s="82">
        <v>45830</v>
      </c>
      <c r="C842" s="235" t="s">
        <v>801</v>
      </c>
      <c r="D842" s="19">
        <v>3</v>
      </c>
      <c r="E842" s="145">
        <v>751</v>
      </c>
      <c r="F842" s="19">
        <f t="shared" si="299"/>
        <v>2253</v>
      </c>
      <c r="G842" s="19">
        <v>2.3614999999999999</v>
      </c>
      <c r="H842" s="19">
        <f t="shared" si="300"/>
        <v>1773.4865</v>
      </c>
      <c r="I842" s="19">
        <f t="shared" si="301"/>
        <v>5320.4594999999999</v>
      </c>
      <c r="J842" s="18">
        <f t="shared" si="302"/>
        <v>20637.148499999999</v>
      </c>
    </row>
    <row r="843" spans="1:10" x14ac:dyDescent="0.3">
      <c r="B843" s="82">
        <v>45830</v>
      </c>
      <c r="C843" s="18" t="s">
        <v>802</v>
      </c>
      <c r="D843" s="311">
        <v>5</v>
      </c>
      <c r="E843" s="145">
        <v>679</v>
      </c>
      <c r="F843" s="19">
        <f t="shared" si="299"/>
        <v>3395</v>
      </c>
      <c r="G843" s="19">
        <v>2.3614999999999999</v>
      </c>
      <c r="H843" s="19">
        <f t="shared" si="300"/>
        <v>1603.4585</v>
      </c>
      <c r="I843" s="19">
        <f t="shared" si="301"/>
        <v>8017.2924999999996</v>
      </c>
      <c r="J843" s="18">
        <f t="shared" si="302"/>
        <v>28654.440999999999</v>
      </c>
    </row>
    <row r="844" spans="1:10" x14ac:dyDescent="0.3">
      <c r="B844" s="82">
        <v>45830</v>
      </c>
      <c r="C844" s="18" t="s">
        <v>803</v>
      </c>
      <c r="D844" s="19">
        <v>3</v>
      </c>
      <c r="E844" s="145">
        <v>348</v>
      </c>
      <c r="F844" s="19">
        <f t="shared" si="299"/>
        <v>1044</v>
      </c>
      <c r="G844" s="19">
        <v>2.3614999999999999</v>
      </c>
      <c r="H844" s="19">
        <f t="shared" si="300"/>
        <v>821.80200000000002</v>
      </c>
      <c r="I844" s="19">
        <f t="shared" si="301"/>
        <v>2465.4059999999999</v>
      </c>
      <c r="J844" s="18">
        <f t="shared" si="302"/>
        <v>31119.846999999998</v>
      </c>
    </row>
    <row r="845" spans="1:10" x14ac:dyDescent="0.3">
      <c r="B845" s="82">
        <v>45830</v>
      </c>
      <c r="C845" s="18" t="s">
        <v>804</v>
      </c>
      <c r="D845" s="311">
        <v>3</v>
      </c>
      <c r="E845" s="145">
        <v>2834</v>
      </c>
      <c r="F845" s="19">
        <f t="shared" si="299"/>
        <v>8502</v>
      </c>
      <c r="G845" s="19">
        <v>2.3614999999999999</v>
      </c>
      <c r="H845" s="19">
        <f t="shared" si="300"/>
        <v>6692.491</v>
      </c>
      <c r="I845" s="19">
        <f t="shared" si="301"/>
        <v>20077.472999999998</v>
      </c>
      <c r="J845" s="18">
        <f t="shared" si="302"/>
        <v>51197.319999999992</v>
      </c>
    </row>
    <row r="846" spans="1:10" x14ac:dyDescent="0.3">
      <c r="B846" s="82">
        <v>45830</v>
      </c>
      <c r="C846" s="18" t="s">
        <v>805</v>
      </c>
      <c r="D846" s="19">
        <v>2</v>
      </c>
      <c r="E846" s="145">
        <v>3694</v>
      </c>
      <c r="F846" s="19">
        <f t="shared" si="299"/>
        <v>7388</v>
      </c>
      <c r="G846" s="19">
        <v>2.3614999999999999</v>
      </c>
      <c r="H846" s="19">
        <f t="shared" si="300"/>
        <v>8723.3809999999994</v>
      </c>
      <c r="I846" s="19">
        <f t="shared" si="301"/>
        <v>17446.761999999999</v>
      </c>
      <c r="J846" s="18">
        <f t="shared" si="302"/>
        <v>68644.081999999995</v>
      </c>
    </row>
    <row r="847" spans="1:10" x14ac:dyDescent="0.3">
      <c r="B847" s="82">
        <v>45830</v>
      </c>
      <c r="C847" s="18" t="s">
        <v>806</v>
      </c>
      <c r="D847" s="19">
        <v>6</v>
      </c>
      <c r="E847" s="145">
        <v>2558</v>
      </c>
      <c r="F847" s="19">
        <f t="shared" si="299"/>
        <v>15348</v>
      </c>
      <c r="G847" s="19">
        <v>2.3614999999999999</v>
      </c>
      <c r="H847" s="19">
        <f t="shared" si="300"/>
        <v>6040.7169999999996</v>
      </c>
      <c r="I847" s="19">
        <f t="shared" si="301"/>
        <v>36244.301999999996</v>
      </c>
      <c r="J847" s="18">
        <f t="shared" si="302"/>
        <v>104888.38399999999</v>
      </c>
    </row>
    <row r="848" spans="1:10" x14ac:dyDescent="0.3">
      <c r="B848" s="82">
        <v>45830</v>
      </c>
      <c r="C848" s="18" t="s">
        <v>807</v>
      </c>
      <c r="D848" s="19">
        <v>6</v>
      </c>
      <c r="E848" s="145">
        <v>3478</v>
      </c>
      <c r="F848" s="19">
        <f t="shared" si="299"/>
        <v>20868</v>
      </c>
      <c r="G848" s="19">
        <v>2.3614999999999999</v>
      </c>
      <c r="H848" s="19">
        <f t="shared" si="300"/>
        <v>8213.2970000000005</v>
      </c>
      <c r="I848" s="19">
        <f t="shared" si="301"/>
        <v>49279.782000000007</v>
      </c>
      <c r="J848" s="18">
        <f t="shared" si="302"/>
        <v>154168.166</v>
      </c>
    </row>
    <row r="849" spans="1:10" x14ac:dyDescent="0.3">
      <c r="B849" s="82">
        <v>45830</v>
      </c>
      <c r="C849" s="18" t="s">
        <v>808</v>
      </c>
      <c r="D849" s="19">
        <v>6</v>
      </c>
      <c r="E849" s="145">
        <v>3750</v>
      </c>
      <c r="F849" s="19">
        <f t="shared" si="299"/>
        <v>22500</v>
      </c>
      <c r="G849" s="19">
        <v>2.3614999999999999</v>
      </c>
      <c r="H849" s="19">
        <f t="shared" ref="H849:H850" si="303">E849*G849</f>
        <v>8855.625</v>
      </c>
      <c r="I849" s="19">
        <f t="shared" ref="I849:I850" si="304">H849*D849</f>
        <v>53133.75</v>
      </c>
      <c r="J849" s="18">
        <f t="shared" ref="J849:J850" si="305">J848+I849</f>
        <v>207301.916</v>
      </c>
    </row>
    <row r="850" spans="1:10" x14ac:dyDescent="0.3">
      <c r="B850" s="82">
        <v>45830</v>
      </c>
      <c r="C850" s="18" t="s">
        <v>809</v>
      </c>
      <c r="D850" s="19">
        <v>8</v>
      </c>
      <c r="E850" s="145">
        <v>2885</v>
      </c>
      <c r="F850" s="19">
        <f t="shared" si="299"/>
        <v>23080</v>
      </c>
      <c r="G850" s="19">
        <v>2.3614999999999999</v>
      </c>
      <c r="H850" s="19">
        <f t="shared" si="303"/>
        <v>6812.9274999999998</v>
      </c>
      <c r="I850" s="19">
        <f t="shared" si="304"/>
        <v>54503.42</v>
      </c>
      <c r="J850" s="18">
        <f t="shared" si="305"/>
        <v>261805.33600000001</v>
      </c>
    </row>
    <row r="852" spans="1:10" ht="21" x14ac:dyDescent="0.4">
      <c r="A852" t="s">
        <v>127</v>
      </c>
      <c r="B852" s="492" t="s">
        <v>20</v>
      </c>
      <c r="C852" s="492"/>
      <c r="D852" s="492"/>
      <c r="E852" s="492"/>
      <c r="F852" s="492"/>
      <c r="G852" s="492"/>
      <c r="H852" s="492"/>
      <c r="I852" s="492"/>
      <c r="J852" s="492"/>
    </row>
    <row r="853" spans="1:10" ht="18" x14ac:dyDescent="0.35">
      <c r="A853" t="s">
        <v>212</v>
      </c>
      <c r="B853" s="4" t="s">
        <v>1</v>
      </c>
      <c r="C853" s="4" t="s">
        <v>2</v>
      </c>
      <c r="D853" s="4" t="s">
        <v>3</v>
      </c>
      <c r="E853" s="4" t="s">
        <v>4</v>
      </c>
      <c r="F853" s="4" t="s">
        <v>36</v>
      </c>
      <c r="G853" s="4" t="s">
        <v>5</v>
      </c>
      <c r="H853" s="4" t="s">
        <v>6</v>
      </c>
      <c r="I853" s="4" t="s">
        <v>7</v>
      </c>
      <c r="J853" s="4"/>
    </row>
    <row r="854" spans="1:10" x14ac:dyDescent="0.3">
      <c r="B854" s="82">
        <v>45826</v>
      </c>
      <c r="C854" s="18" t="s">
        <v>811</v>
      </c>
      <c r="D854" s="19">
        <v>32</v>
      </c>
      <c r="E854" s="145">
        <v>629</v>
      </c>
      <c r="F854" s="19">
        <f>E854*D854</f>
        <v>20128</v>
      </c>
      <c r="G854" s="19">
        <v>2.3614999999999999</v>
      </c>
      <c r="H854" s="19">
        <f>E854*G854</f>
        <v>1485.3834999999999</v>
      </c>
      <c r="I854" s="19">
        <f>H854*D854</f>
        <v>47532.271999999997</v>
      </c>
      <c r="J854" s="18">
        <f>J853+I854</f>
        <v>47532.271999999997</v>
      </c>
    </row>
    <row r="855" spans="1:10" x14ac:dyDescent="0.3">
      <c r="B855" s="82">
        <v>45826</v>
      </c>
      <c r="C855" s="18" t="s">
        <v>812</v>
      </c>
      <c r="D855" s="19">
        <v>1</v>
      </c>
      <c r="E855" s="145">
        <v>75</v>
      </c>
      <c r="F855" s="19">
        <f t="shared" ref="F855:F862" si="306">E855*D855</f>
        <v>75</v>
      </c>
      <c r="G855" s="19">
        <v>2.3614999999999999</v>
      </c>
      <c r="H855" s="19">
        <f t="shared" ref="H855:H862" si="307">E855*G855</f>
        <v>177.11249999999998</v>
      </c>
      <c r="I855" s="19">
        <f t="shared" ref="I855:I862" si="308">H855*D855</f>
        <v>177.11249999999998</v>
      </c>
      <c r="J855" s="18">
        <f t="shared" ref="J855:J862" si="309">J854+I855</f>
        <v>47709.3845</v>
      </c>
    </row>
    <row r="856" spans="1:10" x14ac:dyDescent="0.3">
      <c r="B856" s="97">
        <v>45826</v>
      </c>
      <c r="C856" s="109" t="s">
        <v>813</v>
      </c>
      <c r="D856" s="126">
        <v>1</v>
      </c>
      <c r="E856" s="146">
        <v>615</v>
      </c>
      <c r="F856" s="126">
        <f t="shared" si="306"/>
        <v>615</v>
      </c>
      <c r="G856" s="126">
        <v>2.3614999999999999</v>
      </c>
      <c r="H856" s="126">
        <f t="shared" si="307"/>
        <v>1452.3225</v>
      </c>
      <c r="I856" s="126">
        <f t="shared" si="308"/>
        <v>1452.3225</v>
      </c>
      <c r="J856" s="109">
        <f t="shared" si="309"/>
        <v>49161.707000000002</v>
      </c>
    </row>
    <row r="857" spans="1:10" x14ac:dyDescent="0.3">
      <c r="B857" s="82">
        <v>45826</v>
      </c>
      <c r="C857" s="18" t="s">
        <v>814</v>
      </c>
      <c r="D857" s="19">
        <v>2</v>
      </c>
      <c r="E857" s="145">
        <v>629</v>
      </c>
      <c r="F857" s="19">
        <f t="shared" si="306"/>
        <v>1258</v>
      </c>
      <c r="G857" s="19">
        <v>2.3614999999999999</v>
      </c>
      <c r="H857" s="19">
        <f t="shared" si="307"/>
        <v>1485.3834999999999</v>
      </c>
      <c r="I857" s="19">
        <f t="shared" si="308"/>
        <v>2970.7669999999998</v>
      </c>
      <c r="J857" s="18">
        <f t="shared" si="309"/>
        <v>52132.474000000002</v>
      </c>
    </row>
    <row r="858" spans="1:10" x14ac:dyDescent="0.3">
      <c r="B858" s="82">
        <v>45826</v>
      </c>
      <c r="C858" s="18" t="s">
        <v>815</v>
      </c>
      <c r="D858" s="19">
        <v>1</v>
      </c>
      <c r="E858" s="145">
        <v>615</v>
      </c>
      <c r="F858" s="19">
        <f t="shared" si="306"/>
        <v>615</v>
      </c>
      <c r="G858" s="19">
        <v>2.3614999999999999</v>
      </c>
      <c r="H858" s="19">
        <f t="shared" si="307"/>
        <v>1452.3225</v>
      </c>
      <c r="I858" s="19">
        <f t="shared" si="308"/>
        <v>1452.3225</v>
      </c>
      <c r="J858" s="18">
        <f t="shared" si="309"/>
        <v>53584.796500000004</v>
      </c>
    </row>
    <row r="859" spans="1:10" x14ac:dyDescent="0.3">
      <c r="B859" s="82">
        <v>45826</v>
      </c>
      <c r="C859" s="18" t="s">
        <v>816</v>
      </c>
      <c r="D859" s="19">
        <v>4</v>
      </c>
      <c r="E859" s="145">
        <v>648</v>
      </c>
      <c r="F859" s="19">
        <f t="shared" si="306"/>
        <v>2592</v>
      </c>
      <c r="G859" s="19">
        <v>2.3614999999999999</v>
      </c>
      <c r="H859" s="19">
        <f t="shared" si="307"/>
        <v>1530.252</v>
      </c>
      <c r="I859" s="19">
        <f t="shared" si="308"/>
        <v>6121.0079999999998</v>
      </c>
      <c r="J859" s="18">
        <f t="shared" si="309"/>
        <v>59705.804500000006</v>
      </c>
    </row>
    <row r="860" spans="1:10" x14ac:dyDescent="0.3">
      <c r="B860" s="97">
        <v>45826</v>
      </c>
      <c r="C860" s="109" t="s">
        <v>817</v>
      </c>
      <c r="D860" s="126">
        <v>1</v>
      </c>
      <c r="E860" s="146">
        <v>2799</v>
      </c>
      <c r="F860" s="126">
        <f t="shared" si="306"/>
        <v>2799</v>
      </c>
      <c r="G860" s="126">
        <v>2.3614999999999999</v>
      </c>
      <c r="H860" s="126">
        <f t="shared" si="307"/>
        <v>6609.8384999999998</v>
      </c>
      <c r="I860" s="126">
        <f t="shared" si="308"/>
        <v>6609.8384999999998</v>
      </c>
      <c r="J860" s="109">
        <f t="shared" si="309"/>
        <v>66315.643000000011</v>
      </c>
    </row>
    <row r="861" spans="1:10" x14ac:dyDescent="0.3">
      <c r="B861" s="19"/>
      <c r="C861" s="19"/>
      <c r="D861" s="19"/>
      <c r="E861" s="19"/>
      <c r="F861" s="19">
        <f t="shared" si="306"/>
        <v>0</v>
      </c>
      <c r="G861" s="19"/>
      <c r="H861" s="19">
        <f t="shared" si="307"/>
        <v>0</v>
      </c>
      <c r="I861" s="19">
        <f t="shared" si="308"/>
        <v>0</v>
      </c>
      <c r="J861" s="18">
        <f t="shared" si="309"/>
        <v>66315.643000000011</v>
      </c>
    </row>
    <row r="862" spans="1:10" x14ac:dyDescent="0.3">
      <c r="B862" s="19"/>
      <c r="C862" s="19"/>
      <c r="D862" s="19"/>
      <c r="E862" s="19"/>
      <c r="F862" s="19">
        <f t="shared" si="306"/>
        <v>0</v>
      </c>
      <c r="G862" s="19"/>
      <c r="H862" s="19">
        <f t="shared" si="307"/>
        <v>0</v>
      </c>
      <c r="I862" s="19">
        <f t="shared" si="308"/>
        <v>0</v>
      </c>
      <c r="J862" s="18">
        <f t="shared" si="309"/>
        <v>66315.643000000011</v>
      </c>
    </row>
    <row r="864" spans="1:10" ht="21" x14ac:dyDescent="0.4">
      <c r="A864" t="s">
        <v>127</v>
      </c>
      <c r="B864" s="492" t="s">
        <v>20</v>
      </c>
      <c r="C864" s="492"/>
      <c r="D864" s="492"/>
      <c r="E864" s="492"/>
      <c r="F864" s="492"/>
      <c r="G864" s="492"/>
      <c r="H864" s="492"/>
      <c r="I864" s="492"/>
      <c r="J864" s="492"/>
    </row>
    <row r="865" spans="1:10" ht="18" x14ac:dyDescent="0.35">
      <c r="A865" t="s">
        <v>212</v>
      </c>
      <c r="B865" s="4" t="s">
        <v>1</v>
      </c>
      <c r="C865" s="4" t="s">
        <v>2</v>
      </c>
      <c r="D865" s="4" t="s">
        <v>3</v>
      </c>
      <c r="E865" s="4" t="s">
        <v>4</v>
      </c>
      <c r="F865" s="4" t="s">
        <v>36</v>
      </c>
      <c r="G865" s="4" t="s">
        <v>5</v>
      </c>
      <c r="H865" s="4" t="s">
        <v>6</v>
      </c>
      <c r="I865" s="4" t="s">
        <v>7</v>
      </c>
      <c r="J865" s="4"/>
    </row>
    <row r="866" spans="1:10" x14ac:dyDescent="0.3">
      <c r="B866" s="82">
        <v>45832</v>
      </c>
      <c r="C866" s="18" t="s">
        <v>815</v>
      </c>
      <c r="D866" s="19">
        <v>2</v>
      </c>
      <c r="E866" s="145">
        <v>615</v>
      </c>
      <c r="F866" s="19">
        <f>E866*D866</f>
        <v>1230</v>
      </c>
      <c r="G866" s="19">
        <v>2.3614999999999999</v>
      </c>
      <c r="H866" s="19">
        <f>E866*G866</f>
        <v>1452.3225</v>
      </c>
      <c r="I866" s="19">
        <f>H866*D866</f>
        <v>2904.645</v>
      </c>
      <c r="J866" s="18">
        <f>J865+I866</f>
        <v>2904.645</v>
      </c>
    </row>
    <row r="867" spans="1:10" x14ac:dyDescent="0.3">
      <c r="B867" s="82">
        <v>45832</v>
      </c>
      <c r="C867" s="18" t="s">
        <v>820</v>
      </c>
      <c r="D867" s="19">
        <v>2</v>
      </c>
      <c r="E867" s="145">
        <v>615</v>
      </c>
      <c r="F867" s="19">
        <f t="shared" ref="F867:F871" si="310">E867*D867</f>
        <v>1230</v>
      </c>
      <c r="G867" s="19">
        <v>2.3614999999999999</v>
      </c>
      <c r="H867" s="19">
        <f t="shared" ref="H867:H871" si="311">E867*G867</f>
        <v>1452.3225</v>
      </c>
      <c r="I867" s="19">
        <f t="shared" ref="I867:I871" si="312">H867*D867</f>
        <v>2904.645</v>
      </c>
      <c r="J867" s="18">
        <f t="shared" ref="J867:J871" si="313">J866+I867</f>
        <v>5809.29</v>
      </c>
    </row>
    <row r="868" spans="1:10" x14ac:dyDescent="0.3">
      <c r="B868" s="97">
        <v>45832</v>
      </c>
      <c r="C868" s="109" t="s">
        <v>821</v>
      </c>
      <c r="D868" s="126">
        <v>2</v>
      </c>
      <c r="E868" s="146">
        <v>629</v>
      </c>
      <c r="F868" s="126">
        <f t="shared" si="310"/>
        <v>1258</v>
      </c>
      <c r="G868" s="126">
        <v>2.3614999999999999</v>
      </c>
      <c r="H868" s="126">
        <f t="shared" si="311"/>
        <v>1485.3834999999999</v>
      </c>
      <c r="I868" s="126">
        <f t="shared" si="312"/>
        <v>2970.7669999999998</v>
      </c>
      <c r="J868" s="109">
        <f t="shared" si="313"/>
        <v>8780.0570000000007</v>
      </c>
    </row>
    <row r="869" spans="1:10" x14ac:dyDescent="0.3">
      <c r="B869" s="82"/>
      <c r="C869" s="18"/>
      <c r="D869" s="19"/>
      <c r="E869" s="145"/>
      <c r="F869" s="19">
        <f t="shared" si="310"/>
        <v>0</v>
      </c>
      <c r="G869" s="19">
        <v>2.3614999999999999</v>
      </c>
      <c r="H869" s="19">
        <f t="shared" si="311"/>
        <v>0</v>
      </c>
      <c r="I869" s="19">
        <f t="shared" si="312"/>
        <v>0</v>
      </c>
      <c r="J869" s="18">
        <f t="shared" si="313"/>
        <v>8780.0570000000007</v>
      </c>
    </row>
    <row r="870" spans="1:10" x14ac:dyDescent="0.3">
      <c r="B870" s="82">
        <v>45833</v>
      </c>
      <c r="C870" s="18" t="s">
        <v>819</v>
      </c>
      <c r="D870" s="19">
        <v>40</v>
      </c>
      <c r="E870" s="145">
        <v>340</v>
      </c>
      <c r="F870" s="19">
        <f t="shared" si="310"/>
        <v>13600</v>
      </c>
      <c r="G870" s="19">
        <v>2.3614999999999999</v>
      </c>
      <c r="H870" s="19">
        <f t="shared" si="311"/>
        <v>802.91</v>
      </c>
      <c r="I870" s="19">
        <f t="shared" si="312"/>
        <v>32116.399999999998</v>
      </c>
      <c r="J870" s="18">
        <f t="shared" si="313"/>
        <v>40896.456999999995</v>
      </c>
    </row>
    <row r="871" spans="1:10" x14ac:dyDescent="0.3">
      <c r="B871" s="19"/>
      <c r="C871" s="19"/>
      <c r="D871" s="19"/>
      <c r="E871" s="19"/>
      <c r="F871" s="19">
        <f t="shared" si="310"/>
        <v>0</v>
      </c>
      <c r="G871" s="19"/>
      <c r="H871" s="19">
        <f t="shared" si="311"/>
        <v>0</v>
      </c>
      <c r="I871" s="19">
        <f t="shared" si="312"/>
        <v>0</v>
      </c>
      <c r="J871" s="18">
        <f t="shared" si="313"/>
        <v>40896.456999999995</v>
      </c>
    </row>
    <row r="872" spans="1:10" x14ac:dyDescent="0.3">
      <c r="J872"/>
    </row>
    <row r="873" spans="1:10" x14ac:dyDescent="0.3">
      <c r="J873"/>
    </row>
    <row r="874" spans="1:10" ht="21" x14ac:dyDescent="0.4">
      <c r="A874" t="s">
        <v>127</v>
      </c>
      <c r="B874" s="492" t="s">
        <v>391</v>
      </c>
      <c r="C874" s="492"/>
      <c r="D874" s="492"/>
      <c r="E874" s="492"/>
      <c r="F874" s="492"/>
      <c r="G874" s="492"/>
      <c r="H874" s="492"/>
      <c r="I874" s="492"/>
      <c r="J874" s="492"/>
    </row>
    <row r="875" spans="1:10" ht="18" x14ac:dyDescent="0.35">
      <c r="B875" s="4" t="s">
        <v>1</v>
      </c>
      <c r="C875" s="4" t="s">
        <v>2</v>
      </c>
      <c r="D875" s="4" t="s">
        <v>3</v>
      </c>
      <c r="E875" s="4" t="s">
        <v>134</v>
      </c>
      <c r="F875" s="4" t="s">
        <v>135</v>
      </c>
      <c r="G875" s="4" t="s">
        <v>5</v>
      </c>
      <c r="H875" s="4" t="s">
        <v>6</v>
      </c>
      <c r="I875" s="4" t="s">
        <v>7</v>
      </c>
      <c r="J875" s="4"/>
    </row>
    <row r="876" spans="1:10" x14ac:dyDescent="0.3">
      <c r="B876" s="82">
        <v>45845</v>
      </c>
      <c r="C876" s="81" t="s">
        <v>826</v>
      </c>
      <c r="D876" s="19">
        <v>8</v>
      </c>
      <c r="E876" s="19">
        <v>425</v>
      </c>
      <c r="F876" s="19">
        <f>E876*D876</f>
        <v>3400</v>
      </c>
      <c r="G876" s="19">
        <v>3.61</v>
      </c>
      <c r="H876" s="19">
        <f>E876*G876</f>
        <v>1534.25</v>
      </c>
      <c r="I876" s="19">
        <f>H876*D876</f>
        <v>12274</v>
      </c>
      <c r="J876" s="18">
        <f>J875+I876</f>
        <v>12274</v>
      </c>
    </row>
    <row r="877" spans="1:10" x14ac:dyDescent="0.3">
      <c r="B877" s="82">
        <v>45845</v>
      </c>
      <c r="C877" s="81" t="s">
        <v>827</v>
      </c>
      <c r="D877" s="19">
        <v>2</v>
      </c>
      <c r="E877" s="19">
        <v>320</v>
      </c>
      <c r="F877" s="19">
        <f t="shared" ref="F877:F880" si="314">E877*D877</f>
        <v>640</v>
      </c>
      <c r="G877" s="19">
        <v>3.61</v>
      </c>
      <c r="H877" s="19">
        <f t="shared" ref="H877" si="315">E877*G877</f>
        <v>1155.2</v>
      </c>
      <c r="I877" s="19">
        <f t="shared" ref="I877" si="316">H877*D877</f>
        <v>2310.4</v>
      </c>
      <c r="J877" s="18">
        <f t="shared" ref="J877" si="317">J876+I877</f>
        <v>14584.4</v>
      </c>
    </row>
    <row r="878" spans="1:10" x14ac:dyDescent="0.3">
      <c r="B878" s="82">
        <v>45845</v>
      </c>
      <c r="C878" s="81" t="s">
        <v>828</v>
      </c>
      <c r="D878" s="19">
        <v>23</v>
      </c>
      <c r="E878" s="19">
        <v>590</v>
      </c>
      <c r="F878" s="19">
        <f t="shared" si="314"/>
        <v>13570</v>
      </c>
      <c r="G878" s="19">
        <v>3.61</v>
      </c>
      <c r="H878" s="19">
        <f t="shared" ref="H878:H880" si="318">E878*G878</f>
        <v>2129.9</v>
      </c>
      <c r="I878" s="19">
        <f t="shared" ref="I878:I880" si="319">H878*D878</f>
        <v>48987.700000000004</v>
      </c>
      <c r="J878" s="18">
        <f t="shared" ref="J878:J880" si="320">J877+I878</f>
        <v>63572.100000000006</v>
      </c>
    </row>
    <row r="879" spans="1:10" x14ac:dyDescent="0.3">
      <c r="B879" s="82">
        <v>45845</v>
      </c>
      <c r="C879" s="81" t="s">
        <v>829</v>
      </c>
      <c r="D879" s="19">
        <v>8</v>
      </c>
      <c r="E879" s="19">
        <v>390</v>
      </c>
      <c r="F879" s="19">
        <f t="shared" si="314"/>
        <v>3120</v>
      </c>
      <c r="G879" s="19">
        <v>3.61</v>
      </c>
      <c r="H879" s="19">
        <f t="shared" si="318"/>
        <v>1407.8999999999999</v>
      </c>
      <c r="I879" s="19">
        <f t="shared" si="319"/>
        <v>11263.199999999999</v>
      </c>
      <c r="J879" s="18">
        <f t="shared" si="320"/>
        <v>74835.3</v>
      </c>
    </row>
    <row r="880" spans="1:10" x14ac:dyDescent="0.3">
      <c r="B880" s="82">
        <v>45845</v>
      </c>
      <c r="C880" s="81" t="s">
        <v>830</v>
      </c>
      <c r="D880" s="19">
        <v>1</v>
      </c>
      <c r="E880" s="19">
        <v>340</v>
      </c>
      <c r="F880" s="19">
        <f t="shared" si="314"/>
        <v>340</v>
      </c>
      <c r="G880" s="19">
        <v>3.61</v>
      </c>
      <c r="H880" s="19">
        <f t="shared" si="318"/>
        <v>1227.3999999999999</v>
      </c>
      <c r="I880" s="19">
        <f t="shared" si="319"/>
        <v>1227.3999999999999</v>
      </c>
      <c r="J880" s="18">
        <f t="shared" si="320"/>
        <v>76062.7</v>
      </c>
    </row>
    <row r="884" spans="1:10" ht="21" x14ac:dyDescent="0.4">
      <c r="A884" t="s">
        <v>127</v>
      </c>
      <c r="B884" s="492" t="s">
        <v>20</v>
      </c>
      <c r="C884" s="492"/>
      <c r="D884" s="492"/>
      <c r="E884" s="492"/>
      <c r="F884" s="492"/>
      <c r="G884" s="492"/>
      <c r="H884" s="492"/>
      <c r="I884" s="492"/>
      <c r="J884" s="492"/>
    </row>
    <row r="885" spans="1:10" ht="18" x14ac:dyDescent="0.35">
      <c r="A885" t="s">
        <v>212</v>
      </c>
      <c r="B885" s="4" t="s">
        <v>1</v>
      </c>
      <c r="C885" s="4" t="s">
        <v>2</v>
      </c>
      <c r="D885" s="4" t="s">
        <v>3</v>
      </c>
      <c r="E885" s="4" t="s">
        <v>4</v>
      </c>
      <c r="F885" s="4" t="s">
        <v>36</v>
      </c>
      <c r="G885" s="4" t="s">
        <v>5</v>
      </c>
      <c r="H885" s="4" t="s">
        <v>6</v>
      </c>
      <c r="I885" s="4" t="s">
        <v>7</v>
      </c>
      <c r="J885" s="4"/>
    </row>
    <row r="886" spans="1:10" x14ac:dyDescent="0.3">
      <c r="B886" s="82">
        <v>45837</v>
      </c>
      <c r="C886" s="18" t="s">
        <v>832</v>
      </c>
      <c r="D886" s="19">
        <v>2</v>
      </c>
      <c r="E886" s="19">
        <v>707</v>
      </c>
      <c r="F886" s="19">
        <f>E886*D886</f>
        <v>1414</v>
      </c>
      <c r="G886" s="19">
        <v>2.3614999999999999</v>
      </c>
      <c r="H886" s="19">
        <f>E886*G886</f>
        <v>1669.5805</v>
      </c>
      <c r="I886" s="19">
        <f>H886*D886</f>
        <v>3339.1610000000001</v>
      </c>
      <c r="J886" s="18">
        <f>J885+I886</f>
        <v>3339.1610000000001</v>
      </c>
    </row>
    <row r="887" spans="1:10" x14ac:dyDescent="0.3">
      <c r="B887" s="19"/>
      <c r="C887" s="19"/>
      <c r="D887" s="19"/>
      <c r="E887" s="19"/>
      <c r="F887" s="19">
        <f t="shared" ref="F887" si="321">E887*D887</f>
        <v>0</v>
      </c>
      <c r="G887" s="19"/>
      <c r="H887" s="19">
        <f t="shared" ref="H887" si="322">E887*G887</f>
        <v>0</v>
      </c>
      <c r="I887" s="19">
        <f t="shared" ref="I887" si="323">H887*D887</f>
        <v>0</v>
      </c>
      <c r="J887" s="18">
        <f t="shared" ref="J887" si="324">J886+I887</f>
        <v>3339.1610000000001</v>
      </c>
    </row>
    <row r="888" spans="1:10" x14ac:dyDescent="0.3">
      <c r="J888"/>
    </row>
    <row r="889" spans="1:10" x14ac:dyDescent="0.3">
      <c r="J889"/>
    </row>
    <row r="890" spans="1:10" x14ac:dyDescent="0.3">
      <c r="J890"/>
    </row>
    <row r="891" spans="1:10" ht="21" x14ac:dyDescent="0.4">
      <c r="A891" t="s">
        <v>127</v>
      </c>
      <c r="B891" s="492" t="s">
        <v>35</v>
      </c>
      <c r="C891" s="492"/>
      <c r="D891" s="492"/>
      <c r="E891" s="492"/>
      <c r="F891" s="492"/>
      <c r="G891" s="492"/>
      <c r="H891" s="492"/>
      <c r="I891" s="492"/>
      <c r="J891" s="492"/>
    </row>
    <row r="892" spans="1:10" ht="18" x14ac:dyDescent="0.35">
      <c r="A892" t="s">
        <v>212</v>
      </c>
      <c r="B892" s="4" t="s">
        <v>1</v>
      </c>
      <c r="C892" s="4" t="s">
        <v>2</v>
      </c>
      <c r="D892" s="4" t="s">
        <v>3</v>
      </c>
      <c r="E892" s="4" t="s">
        <v>148</v>
      </c>
      <c r="F892" s="4" t="s">
        <v>147</v>
      </c>
      <c r="G892" s="4" t="s">
        <v>5</v>
      </c>
      <c r="H892" s="4" t="s">
        <v>6</v>
      </c>
      <c r="I892" s="4" t="s">
        <v>7</v>
      </c>
      <c r="J892" s="4"/>
    </row>
    <row r="893" spans="1:10" x14ac:dyDescent="0.3">
      <c r="B893" s="82">
        <v>45836</v>
      </c>
      <c r="C893" s="81" t="s">
        <v>863</v>
      </c>
      <c r="D893" s="19">
        <v>4</v>
      </c>
      <c r="E893" s="19">
        <v>775</v>
      </c>
      <c r="F893" s="19">
        <f>E893*D893</f>
        <v>3100</v>
      </c>
      <c r="G893" s="19">
        <v>2.21</v>
      </c>
      <c r="H893" s="19">
        <f>E893*G893</f>
        <v>1712.75</v>
      </c>
      <c r="I893" s="19">
        <f>H893*D893</f>
        <v>6851</v>
      </c>
      <c r="J893" s="18">
        <f>J892+I893</f>
        <v>6851</v>
      </c>
    </row>
    <row r="894" spans="1:10" x14ac:dyDescent="0.3">
      <c r="B894" s="82"/>
      <c r="C894" s="81"/>
      <c r="D894" s="19"/>
      <c r="E894" s="19"/>
      <c r="F894" s="19">
        <f t="shared" ref="F894" si="325">E894*D894</f>
        <v>0</v>
      </c>
      <c r="G894" s="19">
        <v>2.23</v>
      </c>
      <c r="H894" s="19">
        <f t="shared" ref="H894" si="326">E894*G894</f>
        <v>0</v>
      </c>
      <c r="I894" s="19">
        <f t="shared" ref="I894" si="327">H894*D894</f>
        <v>0</v>
      </c>
      <c r="J894" s="18">
        <f t="shared" ref="J894" si="328">J893+I894</f>
        <v>6851</v>
      </c>
    </row>
    <row r="897" spans="1:10" ht="21" x14ac:dyDescent="0.4">
      <c r="A897" t="s">
        <v>212</v>
      </c>
      <c r="B897" s="492" t="s">
        <v>35</v>
      </c>
      <c r="C897" s="492"/>
      <c r="D897" s="492"/>
      <c r="E897" s="492"/>
      <c r="F897" s="492"/>
      <c r="G897" s="492"/>
      <c r="H897" s="492"/>
      <c r="I897" s="492"/>
      <c r="J897" s="492"/>
    </row>
    <row r="898" spans="1:10" ht="18" x14ac:dyDescent="0.35">
      <c r="B898" s="4" t="s">
        <v>1</v>
      </c>
      <c r="C898" s="4" t="s">
        <v>2</v>
      </c>
      <c r="D898" s="4" t="s">
        <v>3</v>
      </c>
      <c r="E898" s="4" t="s">
        <v>148</v>
      </c>
      <c r="F898" s="4" t="s">
        <v>147</v>
      </c>
      <c r="G898" s="4" t="s">
        <v>5</v>
      </c>
      <c r="H898" s="4" t="s">
        <v>6</v>
      </c>
      <c r="I898" s="4" t="s">
        <v>7</v>
      </c>
      <c r="J898" s="4"/>
    </row>
    <row r="899" spans="1:10" x14ac:dyDescent="0.3">
      <c r="A899" t="s">
        <v>127</v>
      </c>
      <c r="B899" s="82">
        <v>45839</v>
      </c>
      <c r="C899" s="18" t="s">
        <v>833</v>
      </c>
      <c r="D899" s="19">
        <v>5</v>
      </c>
      <c r="E899" s="19">
        <v>1380</v>
      </c>
      <c r="F899" s="19">
        <f>E899*D899</f>
        <v>6900</v>
      </c>
      <c r="G899" s="19">
        <v>2.21</v>
      </c>
      <c r="H899" s="19">
        <f>E899*G899</f>
        <v>3049.7999999999997</v>
      </c>
      <c r="I899" s="19">
        <f>H899*D899</f>
        <v>15248.999999999998</v>
      </c>
      <c r="J899" s="18">
        <f>J898+I899</f>
        <v>15248.999999999998</v>
      </c>
    </row>
    <row r="900" spans="1:10" x14ac:dyDescent="0.3">
      <c r="A900" t="s">
        <v>127</v>
      </c>
      <c r="B900" s="82">
        <v>45839</v>
      </c>
      <c r="C900" s="18" t="s">
        <v>834</v>
      </c>
      <c r="D900" s="19">
        <v>1</v>
      </c>
      <c r="E900" s="19">
        <v>1295</v>
      </c>
      <c r="F900" s="19">
        <f t="shared" ref="F900:F930" si="329">E900*D900</f>
        <v>1295</v>
      </c>
      <c r="G900" s="19">
        <v>2.23</v>
      </c>
      <c r="H900" s="19">
        <f t="shared" ref="H900" si="330">E900*G900</f>
        <v>2887.85</v>
      </c>
      <c r="I900" s="19">
        <f t="shared" ref="I900" si="331">H900*D900</f>
        <v>2887.85</v>
      </c>
      <c r="J900" s="18">
        <f t="shared" ref="J900" si="332">J899+I900</f>
        <v>18136.849999999999</v>
      </c>
    </row>
    <row r="901" spans="1:10" x14ac:dyDescent="0.3">
      <c r="A901" t="s">
        <v>127</v>
      </c>
      <c r="B901" s="82">
        <v>45839</v>
      </c>
      <c r="C901" s="18" t="s">
        <v>835</v>
      </c>
      <c r="D901" s="19">
        <v>1</v>
      </c>
      <c r="E901" s="19">
        <v>1375</v>
      </c>
      <c r="F901" s="19">
        <f t="shared" si="329"/>
        <v>1375</v>
      </c>
      <c r="G901" s="19">
        <v>2.21</v>
      </c>
      <c r="H901" s="19">
        <f t="shared" ref="H901:H903" si="333">E901*G901</f>
        <v>3038.75</v>
      </c>
      <c r="I901" s="19">
        <f t="shared" ref="I901:I903" si="334">H901*D901</f>
        <v>3038.75</v>
      </c>
      <c r="J901" s="18">
        <f t="shared" ref="J901:J903" si="335">J900+I901</f>
        <v>21175.599999999999</v>
      </c>
    </row>
    <row r="902" spans="1:10" x14ac:dyDescent="0.3">
      <c r="A902" t="s">
        <v>127</v>
      </c>
      <c r="B902" s="82">
        <v>45839</v>
      </c>
      <c r="C902" s="18" t="s">
        <v>836</v>
      </c>
      <c r="D902" s="19">
        <v>1</v>
      </c>
      <c r="E902" s="19">
        <v>852</v>
      </c>
      <c r="F902" s="19">
        <f t="shared" si="329"/>
        <v>852</v>
      </c>
      <c r="G902" s="19">
        <v>2.21</v>
      </c>
      <c r="H902" s="19">
        <f t="shared" si="333"/>
        <v>1882.92</v>
      </c>
      <c r="I902" s="19">
        <f t="shared" si="334"/>
        <v>1882.92</v>
      </c>
      <c r="J902" s="18">
        <f t="shared" si="335"/>
        <v>23058.519999999997</v>
      </c>
    </row>
    <row r="903" spans="1:10" x14ac:dyDescent="0.3">
      <c r="A903" t="s">
        <v>127</v>
      </c>
      <c r="B903" s="82">
        <v>45839</v>
      </c>
      <c r="C903" s="18" t="s">
        <v>837</v>
      </c>
      <c r="D903" s="19">
        <v>4</v>
      </c>
      <c r="E903" s="19">
        <v>679</v>
      </c>
      <c r="F903" s="19">
        <f t="shared" si="329"/>
        <v>2716</v>
      </c>
      <c r="G903" s="19">
        <v>2.21</v>
      </c>
      <c r="H903" s="19">
        <f t="shared" si="333"/>
        <v>1500.59</v>
      </c>
      <c r="I903" s="19">
        <f t="shared" si="334"/>
        <v>6002.36</v>
      </c>
      <c r="J903" s="18">
        <f t="shared" si="335"/>
        <v>29060.879999999997</v>
      </c>
    </row>
    <row r="904" spans="1:10" x14ac:dyDescent="0.3">
      <c r="B904" s="19"/>
      <c r="C904" s="19"/>
      <c r="D904" s="19"/>
      <c r="E904" s="19"/>
      <c r="F904" s="19">
        <f t="shared" si="329"/>
        <v>0</v>
      </c>
      <c r="G904" s="19">
        <v>2.21</v>
      </c>
      <c r="H904" s="19">
        <f t="shared" ref="H904:H919" si="336">E904*G904</f>
        <v>0</v>
      </c>
      <c r="I904" s="19">
        <f t="shared" ref="I904:I919" si="337">H904*D904</f>
        <v>0</v>
      </c>
      <c r="J904" s="18">
        <f t="shared" ref="J904:J919" si="338">J903+I904</f>
        <v>29060.879999999997</v>
      </c>
    </row>
    <row r="905" spans="1:10" x14ac:dyDescent="0.3">
      <c r="A905" t="s">
        <v>127</v>
      </c>
      <c r="B905" s="82">
        <v>45840</v>
      </c>
      <c r="C905" s="18" t="s">
        <v>838</v>
      </c>
      <c r="D905" s="19">
        <v>2</v>
      </c>
      <c r="E905" s="19">
        <v>1229</v>
      </c>
      <c r="F905" s="19">
        <f t="shared" si="329"/>
        <v>2458</v>
      </c>
      <c r="G905" s="19">
        <v>2.21</v>
      </c>
      <c r="H905" s="19">
        <f t="shared" si="336"/>
        <v>2716.09</v>
      </c>
      <c r="I905" s="19">
        <f t="shared" si="337"/>
        <v>5432.18</v>
      </c>
      <c r="J905" s="18">
        <f t="shared" si="338"/>
        <v>34493.06</v>
      </c>
    </row>
    <row r="906" spans="1:10" x14ac:dyDescent="0.3">
      <c r="A906" t="s">
        <v>127</v>
      </c>
      <c r="B906" s="82">
        <v>45840</v>
      </c>
      <c r="C906" s="18" t="s">
        <v>839</v>
      </c>
      <c r="D906" s="19">
        <v>1</v>
      </c>
      <c r="E906" s="19">
        <v>852</v>
      </c>
      <c r="F906" s="19">
        <f t="shared" si="329"/>
        <v>852</v>
      </c>
      <c r="G906" s="19">
        <v>2.21</v>
      </c>
      <c r="H906" s="19">
        <f t="shared" si="336"/>
        <v>1882.92</v>
      </c>
      <c r="I906" s="19">
        <f t="shared" si="337"/>
        <v>1882.92</v>
      </c>
      <c r="J906" s="18">
        <f t="shared" si="338"/>
        <v>36375.979999999996</v>
      </c>
    </row>
    <row r="907" spans="1:10" x14ac:dyDescent="0.3">
      <c r="A907" t="s">
        <v>127</v>
      </c>
      <c r="B907" s="82">
        <v>45840</v>
      </c>
      <c r="C907" s="18" t="s">
        <v>840</v>
      </c>
      <c r="D907" s="19">
        <v>3</v>
      </c>
      <c r="E907" s="19">
        <v>765.71</v>
      </c>
      <c r="F907" s="19">
        <f t="shared" si="329"/>
        <v>2297.13</v>
      </c>
      <c r="G907" s="19">
        <v>2.21</v>
      </c>
      <c r="H907" s="19">
        <f t="shared" si="336"/>
        <v>1692.2191</v>
      </c>
      <c r="I907" s="19">
        <f t="shared" si="337"/>
        <v>5076.6572999999999</v>
      </c>
      <c r="J907" s="18">
        <f t="shared" si="338"/>
        <v>41452.637299999995</v>
      </c>
    </row>
    <row r="908" spans="1:10" x14ac:dyDescent="0.3">
      <c r="A908" t="s">
        <v>127</v>
      </c>
      <c r="B908" s="82">
        <v>45840</v>
      </c>
      <c r="C908" s="18" t="s">
        <v>841</v>
      </c>
      <c r="D908" s="19">
        <v>1</v>
      </c>
      <c r="E908" s="19">
        <v>1345</v>
      </c>
      <c r="F908" s="19">
        <f t="shared" si="329"/>
        <v>1345</v>
      </c>
      <c r="G908" s="19">
        <v>2.21</v>
      </c>
      <c r="H908" s="19">
        <f t="shared" si="336"/>
        <v>2972.45</v>
      </c>
      <c r="I908" s="19">
        <f t="shared" si="337"/>
        <v>2972.45</v>
      </c>
      <c r="J908" s="18">
        <f t="shared" si="338"/>
        <v>44425.087299999992</v>
      </c>
    </row>
    <row r="909" spans="1:10" x14ac:dyDescent="0.3">
      <c r="A909" t="s">
        <v>127</v>
      </c>
      <c r="B909" s="82">
        <v>45840</v>
      </c>
      <c r="C909" s="18" t="s">
        <v>840</v>
      </c>
      <c r="D909" s="19">
        <v>3</v>
      </c>
      <c r="E909" s="19">
        <v>738</v>
      </c>
      <c r="F909" s="19">
        <f t="shared" si="329"/>
        <v>2214</v>
      </c>
      <c r="G909" s="19">
        <v>2.21</v>
      </c>
      <c r="H909" s="19">
        <f t="shared" si="336"/>
        <v>1630.98</v>
      </c>
      <c r="I909" s="19">
        <f t="shared" si="337"/>
        <v>4892.9400000000005</v>
      </c>
      <c r="J909" s="18">
        <f t="shared" si="338"/>
        <v>49318.027299999994</v>
      </c>
    </row>
    <row r="910" spans="1:10" x14ac:dyDescent="0.3">
      <c r="A910" t="s">
        <v>127</v>
      </c>
      <c r="B910" s="82">
        <v>45840</v>
      </c>
      <c r="C910" s="18" t="s">
        <v>842</v>
      </c>
      <c r="D910" s="19">
        <v>1</v>
      </c>
      <c r="E910" s="19">
        <v>852</v>
      </c>
      <c r="F910" s="19">
        <f t="shared" si="329"/>
        <v>852</v>
      </c>
      <c r="G910" s="19">
        <v>2.21</v>
      </c>
      <c r="H910" s="19">
        <f t="shared" si="336"/>
        <v>1882.92</v>
      </c>
      <c r="I910" s="19">
        <f t="shared" si="337"/>
        <v>1882.92</v>
      </c>
      <c r="J910" s="18">
        <f t="shared" si="338"/>
        <v>51200.947299999993</v>
      </c>
    </row>
    <row r="911" spans="1:10" x14ac:dyDescent="0.3">
      <c r="A911" t="s">
        <v>127</v>
      </c>
      <c r="B911" s="82">
        <v>45840</v>
      </c>
      <c r="C911" s="18" t="s">
        <v>843</v>
      </c>
      <c r="D911" s="19">
        <v>1</v>
      </c>
      <c r="E911" s="19">
        <v>775</v>
      </c>
      <c r="F911" s="19">
        <f t="shared" si="329"/>
        <v>775</v>
      </c>
      <c r="G911" s="19">
        <v>2.21</v>
      </c>
      <c r="H911" s="19">
        <f t="shared" si="336"/>
        <v>1712.75</v>
      </c>
      <c r="I911" s="19">
        <f t="shared" si="337"/>
        <v>1712.75</v>
      </c>
      <c r="J911" s="18">
        <f t="shared" si="338"/>
        <v>52913.697299999993</v>
      </c>
    </row>
    <row r="912" spans="1:10" x14ac:dyDescent="0.3">
      <c r="A912" t="s">
        <v>127</v>
      </c>
      <c r="B912" s="82">
        <v>45840</v>
      </c>
      <c r="C912" s="18" t="s">
        <v>844</v>
      </c>
      <c r="D912" s="19">
        <v>1</v>
      </c>
      <c r="E912" s="19">
        <v>1295</v>
      </c>
      <c r="F912" s="19">
        <f t="shared" si="329"/>
        <v>1295</v>
      </c>
      <c r="G912" s="19">
        <v>2.21</v>
      </c>
      <c r="H912" s="19">
        <f t="shared" si="336"/>
        <v>2861.95</v>
      </c>
      <c r="I912" s="19">
        <f t="shared" si="337"/>
        <v>2861.95</v>
      </c>
      <c r="J912" s="18">
        <f t="shared" si="338"/>
        <v>55775.64729999999</v>
      </c>
    </row>
    <row r="913" spans="1:10" x14ac:dyDescent="0.3">
      <c r="A913" t="s">
        <v>127</v>
      </c>
      <c r="B913" s="82">
        <v>45840</v>
      </c>
      <c r="C913" s="18" t="s">
        <v>845</v>
      </c>
      <c r="D913" s="19">
        <v>1</v>
      </c>
      <c r="E913" s="19">
        <v>1375</v>
      </c>
      <c r="F913" s="19">
        <f t="shared" si="329"/>
        <v>1375</v>
      </c>
      <c r="G913" s="19">
        <v>2.21</v>
      </c>
      <c r="H913" s="19">
        <f t="shared" si="336"/>
        <v>3038.75</v>
      </c>
      <c r="I913" s="19">
        <f t="shared" si="337"/>
        <v>3038.75</v>
      </c>
      <c r="J913" s="18">
        <f t="shared" si="338"/>
        <v>58814.39729999999</v>
      </c>
    </row>
    <row r="914" spans="1:10" x14ac:dyDescent="0.3">
      <c r="A914" t="s">
        <v>127</v>
      </c>
      <c r="B914" s="82">
        <v>45840</v>
      </c>
      <c r="C914" s="18" t="s">
        <v>846</v>
      </c>
      <c r="D914" s="19">
        <v>1</v>
      </c>
      <c r="E914" s="19">
        <v>852</v>
      </c>
      <c r="F914" s="19">
        <f t="shared" si="329"/>
        <v>852</v>
      </c>
      <c r="G914" s="19">
        <v>2.21</v>
      </c>
      <c r="H914" s="19">
        <f t="shared" si="336"/>
        <v>1882.92</v>
      </c>
      <c r="I914" s="19">
        <f t="shared" si="337"/>
        <v>1882.92</v>
      </c>
      <c r="J914" s="18">
        <f t="shared" si="338"/>
        <v>60697.317299999988</v>
      </c>
    </row>
    <row r="915" spans="1:10" x14ac:dyDescent="0.3">
      <c r="A915" t="s">
        <v>127</v>
      </c>
      <c r="B915" s="384">
        <v>45840</v>
      </c>
      <c r="C915" s="102" t="s">
        <v>847</v>
      </c>
      <c r="D915" s="101">
        <v>1</v>
      </c>
      <c r="E915" s="101">
        <v>1228</v>
      </c>
      <c r="F915" s="101">
        <f t="shared" si="329"/>
        <v>1228</v>
      </c>
      <c r="G915" s="101">
        <v>2.21</v>
      </c>
      <c r="H915" s="101">
        <f t="shared" si="336"/>
        <v>2713.88</v>
      </c>
      <c r="I915" s="101">
        <f t="shared" si="337"/>
        <v>2713.88</v>
      </c>
      <c r="J915" s="102">
        <f t="shared" si="338"/>
        <v>63411.197299999985</v>
      </c>
    </row>
    <row r="916" spans="1:10" x14ac:dyDescent="0.3">
      <c r="A916" t="s">
        <v>127</v>
      </c>
      <c r="B916" s="384">
        <v>45840</v>
      </c>
      <c r="C916" s="102" t="s">
        <v>848</v>
      </c>
      <c r="D916" s="101">
        <v>1</v>
      </c>
      <c r="E916" s="101">
        <v>750</v>
      </c>
      <c r="F916" s="101">
        <f t="shared" si="329"/>
        <v>750</v>
      </c>
      <c r="G916" s="101">
        <v>2.21</v>
      </c>
      <c r="H916" s="101">
        <f t="shared" si="336"/>
        <v>1657.5</v>
      </c>
      <c r="I916" s="101">
        <f t="shared" si="337"/>
        <v>1657.5</v>
      </c>
      <c r="J916" s="102">
        <f t="shared" si="338"/>
        <v>65068.697299999985</v>
      </c>
    </row>
    <row r="917" spans="1:10" x14ac:dyDescent="0.3">
      <c r="B917" s="19"/>
      <c r="C917" s="19"/>
      <c r="D917" s="19"/>
      <c r="E917" s="19"/>
      <c r="F917" s="19">
        <f t="shared" si="329"/>
        <v>0</v>
      </c>
      <c r="G917" s="19">
        <v>2.21</v>
      </c>
      <c r="H917" s="19">
        <f t="shared" si="336"/>
        <v>0</v>
      </c>
      <c r="I917" s="19">
        <f t="shared" si="337"/>
        <v>0</v>
      </c>
      <c r="J917" s="18">
        <f t="shared" si="338"/>
        <v>65068.697299999985</v>
      </c>
    </row>
    <row r="918" spans="1:10" x14ac:dyDescent="0.3">
      <c r="A918" t="s">
        <v>127</v>
      </c>
      <c r="B918" s="82">
        <v>45841</v>
      </c>
      <c r="C918" s="18" t="s">
        <v>849</v>
      </c>
      <c r="D918" s="19">
        <v>4</v>
      </c>
      <c r="E918" s="19">
        <v>1197</v>
      </c>
      <c r="F918" s="19">
        <f t="shared" si="329"/>
        <v>4788</v>
      </c>
      <c r="G918" s="19">
        <v>2.21</v>
      </c>
      <c r="H918" s="19">
        <f t="shared" si="336"/>
        <v>2645.37</v>
      </c>
      <c r="I918" s="19">
        <f t="shared" si="337"/>
        <v>10581.48</v>
      </c>
      <c r="J918" s="18">
        <f t="shared" si="338"/>
        <v>75650.177299999981</v>
      </c>
    </row>
    <row r="919" spans="1:10" x14ac:dyDescent="0.3">
      <c r="A919" t="s">
        <v>127</v>
      </c>
      <c r="B919" s="82">
        <v>45841</v>
      </c>
      <c r="C919" s="18" t="s">
        <v>850</v>
      </c>
      <c r="D919" s="19">
        <v>1</v>
      </c>
      <c r="E919" s="19">
        <v>852</v>
      </c>
      <c r="F919" s="19">
        <f t="shared" si="329"/>
        <v>852</v>
      </c>
      <c r="G919" s="19">
        <v>2.21</v>
      </c>
      <c r="H919" s="19">
        <f t="shared" si="336"/>
        <v>1882.92</v>
      </c>
      <c r="I919" s="19">
        <f t="shared" si="337"/>
        <v>1882.92</v>
      </c>
      <c r="J919" s="18">
        <f t="shared" si="338"/>
        <v>77533.097299999979</v>
      </c>
    </row>
    <row r="920" spans="1:10" x14ac:dyDescent="0.3">
      <c r="A920" t="s">
        <v>127</v>
      </c>
      <c r="B920" s="82">
        <v>45841</v>
      </c>
      <c r="C920" s="18" t="s">
        <v>851</v>
      </c>
      <c r="D920" s="19">
        <v>1</v>
      </c>
      <c r="E920" s="19">
        <v>338</v>
      </c>
      <c r="F920" s="19">
        <f t="shared" si="329"/>
        <v>338</v>
      </c>
      <c r="G920" s="19">
        <v>2.21</v>
      </c>
      <c r="H920" s="19">
        <f t="shared" ref="H920:H927" si="339">E920*G920</f>
        <v>746.98</v>
      </c>
      <c r="I920" s="19">
        <f t="shared" ref="I920:I927" si="340">H920*D920</f>
        <v>746.98</v>
      </c>
      <c r="J920" s="18">
        <f t="shared" ref="J920:J927" si="341">J919+I920</f>
        <v>78280.077299999975</v>
      </c>
    </row>
    <row r="921" spans="1:10" x14ac:dyDescent="0.3">
      <c r="A921" t="s">
        <v>127</v>
      </c>
      <c r="B921" s="82">
        <v>45840</v>
      </c>
      <c r="C921" s="18" t="s">
        <v>852</v>
      </c>
      <c r="D921" s="19">
        <v>1</v>
      </c>
      <c r="E921" s="19">
        <v>1375</v>
      </c>
      <c r="F921" s="19">
        <f t="shared" si="329"/>
        <v>1375</v>
      </c>
      <c r="G921" s="19">
        <v>2.21</v>
      </c>
      <c r="H921" s="19">
        <f t="shared" si="339"/>
        <v>3038.75</v>
      </c>
      <c r="I921" s="19">
        <f t="shared" si="340"/>
        <v>3038.75</v>
      </c>
      <c r="J921" s="18">
        <f t="shared" si="341"/>
        <v>81318.827299999975</v>
      </c>
    </row>
    <row r="922" spans="1:10" x14ac:dyDescent="0.3">
      <c r="A922" t="s">
        <v>127</v>
      </c>
      <c r="B922" s="82">
        <v>45840</v>
      </c>
      <c r="C922" s="18" t="s">
        <v>853</v>
      </c>
      <c r="D922" s="19">
        <v>1</v>
      </c>
      <c r="E922" s="19">
        <v>775</v>
      </c>
      <c r="F922" s="19">
        <f t="shared" si="329"/>
        <v>775</v>
      </c>
      <c r="G922" s="19">
        <v>2.21</v>
      </c>
      <c r="H922" s="19">
        <f t="shared" si="339"/>
        <v>1712.75</v>
      </c>
      <c r="I922" s="19">
        <f t="shared" si="340"/>
        <v>1712.75</v>
      </c>
      <c r="J922" s="18">
        <f t="shared" si="341"/>
        <v>83031.577299999975</v>
      </c>
    </row>
    <row r="923" spans="1:10" x14ac:dyDescent="0.3">
      <c r="A923" t="s">
        <v>127</v>
      </c>
      <c r="B923" s="384">
        <v>45841</v>
      </c>
      <c r="C923" s="102" t="s">
        <v>854</v>
      </c>
      <c r="D923" s="101">
        <v>4</v>
      </c>
      <c r="E923" s="101">
        <v>766</v>
      </c>
      <c r="F923" s="101">
        <f t="shared" si="329"/>
        <v>3064</v>
      </c>
      <c r="G923" s="101">
        <v>2.21</v>
      </c>
      <c r="H923" s="101">
        <f t="shared" si="339"/>
        <v>1692.86</v>
      </c>
      <c r="I923" s="101">
        <f t="shared" si="340"/>
        <v>6771.44</v>
      </c>
      <c r="J923" s="102">
        <f t="shared" si="341"/>
        <v>89803.017299999978</v>
      </c>
    </row>
    <row r="924" spans="1:10" x14ac:dyDescent="0.3">
      <c r="F924" s="19">
        <f t="shared" si="329"/>
        <v>0</v>
      </c>
      <c r="G924" s="19">
        <v>2.21</v>
      </c>
      <c r="H924" s="19">
        <f t="shared" si="339"/>
        <v>0</v>
      </c>
      <c r="I924" s="19">
        <f t="shared" si="340"/>
        <v>0</v>
      </c>
      <c r="J924" s="18">
        <f t="shared" si="341"/>
        <v>89803.017299999978</v>
      </c>
    </row>
    <row r="925" spans="1:10" x14ac:dyDescent="0.3">
      <c r="B925" s="385">
        <v>45844</v>
      </c>
      <c r="C925" s="314" t="s">
        <v>859</v>
      </c>
      <c r="D925" s="315">
        <v>2</v>
      </c>
      <c r="E925" s="315">
        <v>89</v>
      </c>
      <c r="F925" s="315">
        <f t="shared" si="329"/>
        <v>178</v>
      </c>
      <c r="G925" s="315">
        <v>2.21</v>
      </c>
      <c r="H925" s="315">
        <f t="shared" si="339"/>
        <v>196.69</v>
      </c>
      <c r="I925" s="315">
        <f t="shared" si="340"/>
        <v>393.38</v>
      </c>
      <c r="J925" s="314">
        <f t="shared" si="341"/>
        <v>90196.397299999982</v>
      </c>
    </row>
    <row r="926" spans="1:10" x14ac:dyDescent="0.3">
      <c r="A926" t="s">
        <v>127</v>
      </c>
      <c r="B926" s="82">
        <v>45844</v>
      </c>
      <c r="C926" s="18" t="s">
        <v>855</v>
      </c>
      <c r="D926" s="19">
        <v>150</v>
      </c>
      <c r="E926" s="19">
        <v>494</v>
      </c>
      <c r="F926" s="19">
        <f t="shared" si="329"/>
        <v>74100</v>
      </c>
      <c r="G926" s="19">
        <v>2.21</v>
      </c>
      <c r="H926" s="19">
        <f t="shared" si="339"/>
        <v>1091.74</v>
      </c>
      <c r="I926" s="19">
        <f t="shared" si="340"/>
        <v>163761</v>
      </c>
      <c r="J926" s="18">
        <f t="shared" si="341"/>
        <v>253957.39729999998</v>
      </c>
    </row>
    <row r="927" spans="1:10" x14ac:dyDescent="0.3">
      <c r="B927" s="385">
        <v>45842</v>
      </c>
      <c r="C927" s="314" t="s">
        <v>856</v>
      </c>
      <c r="D927" s="315">
        <v>1</v>
      </c>
      <c r="E927" s="315">
        <v>1900</v>
      </c>
      <c r="F927" s="315">
        <f t="shared" si="329"/>
        <v>1900</v>
      </c>
      <c r="G927" s="315">
        <v>2.21</v>
      </c>
      <c r="H927" s="315">
        <f t="shared" si="339"/>
        <v>4199</v>
      </c>
      <c r="I927" s="315">
        <f t="shared" si="340"/>
        <v>4199</v>
      </c>
      <c r="J927" s="314">
        <f t="shared" si="341"/>
        <v>258156.39729999998</v>
      </c>
    </row>
    <row r="928" spans="1:10" x14ac:dyDescent="0.3">
      <c r="A928" t="s">
        <v>127</v>
      </c>
      <c r="B928" s="82">
        <v>45846</v>
      </c>
      <c r="C928" s="18" t="s">
        <v>857</v>
      </c>
      <c r="D928" s="19">
        <v>100</v>
      </c>
      <c r="E928" s="19">
        <v>494</v>
      </c>
      <c r="F928" s="19">
        <f t="shared" si="329"/>
        <v>49400</v>
      </c>
      <c r="G928" s="19">
        <v>2.21</v>
      </c>
      <c r="H928" s="19">
        <f t="shared" ref="H928:H930" si="342">E928*G928</f>
        <v>1091.74</v>
      </c>
      <c r="I928" s="19">
        <f t="shared" ref="I928:I930" si="343">H928*D928</f>
        <v>109174</v>
      </c>
      <c r="J928" s="18">
        <f t="shared" ref="J928:J930" si="344">J927+I928</f>
        <v>367330.39729999995</v>
      </c>
    </row>
    <row r="929" spans="1:10" x14ac:dyDescent="0.3">
      <c r="A929" t="s">
        <v>127</v>
      </c>
      <c r="B929" s="82">
        <v>45848</v>
      </c>
      <c r="C929" s="18" t="s">
        <v>858</v>
      </c>
      <c r="D929" s="19">
        <v>100</v>
      </c>
      <c r="E929" s="19">
        <v>229</v>
      </c>
      <c r="F929" s="19">
        <f t="shared" si="329"/>
        <v>22900</v>
      </c>
      <c r="G929" s="19">
        <v>2.21</v>
      </c>
      <c r="H929" s="19">
        <f t="shared" si="342"/>
        <v>506.09</v>
      </c>
      <c r="I929" s="19">
        <f t="shared" si="343"/>
        <v>50609</v>
      </c>
      <c r="J929" s="18">
        <f t="shared" si="344"/>
        <v>417939.39729999995</v>
      </c>
    </row>
    <row r="930" spans="1:10" x14ac:dyDescent="0.3">
      <c r="B930" s="82"/>
      <c r="C930" s="18"/>
      <c r="D930" s="19"/>
      <c r="E930" s="19"/>
      <c r="F930" s="19">
        <f t="shared" si="329"/>
        <v>0</v>
      </c>
      <c r="G930" s="19"/>
      <c r="H930" s="19">
        <f t="shared" si="342"/>
        <v>0</v>
      </c>
      <c r="I930" s="19">
        <f t="shared" si="343"/>
        <v>0</v>
      </c>
      <c r="J930" s="18">
        <f t="shared" si="344"/>
        <v>417939.39729999995</v>
      </c>
    </row>
    <row r="934" spans="1:10" ht="21" x14ac:dyDescent="0.4">
      <c r="A934" t="s">
        <v>127</v>
      </c>
      <c r="B934" s="492" t="s">
        <v>391</v>
      </c>
      <c r="C934" s="492"/>
      <c r="D934" s="492"/>
      <c r="E934" s="492"/>
      <c r="F934" s="492"/>
      <c r="G934" s="492"/>
      <c r="H934" s="492"/>
      <c r="I934" s="492"/>
      <c r="J934" s="492"/>
    </row>
    <row r="935" spans="1:10" ht="18" x14ac:dyDescent="0.35">
      <c r="B935" s="4" t="s">
        <v>1</v>
      </c>
      <c r="C935" s="4" t="s">
        <v>2</v>
      </c>
      <c r="D935" s="4" t="s">
        <v>3</v>
      </c>
      <c r="E935" s="4" t="s">
        <v>134</v>
      </c>
      <c r="F935" s="4" t="s">
        <v>135</v>
      </c>
      <c r="G935" s="4" t="s">
        <v>5</v>
      </c>
      <c r="H935" s="4" t="s">
        <v>6</v>
      </c>
      <c r="I935" s="4" t="s">
        <v>7</v>
      </c>
      <c r="J935" s="4"/>
    </row>
    <row r="936" spans="1:10" x14ac:dyDescent="0.3">
      <c r="B936" s="82">
        <v>45850</v>
      </c>
      <c r="C936" s="81" t="s">
        <v>868</v>
      </c>
      <c r="D936" s="19">
        <v>112</v>
      </c>
      <c r="E936" s="19">
        <v>220</v>
      </c>
      <c r="F936" s="19">
        <f>E936*D936</f>
        <v>24640</v>
      </c>
      <c r="G936" s="19">
        <v>3.61</v>
      </c>
      <c r="H936" s="19">
        <f>E936*G936</f>
        <v>794.19999999999993</v>
      </c>
      <c r="I936" s="19">
        <f>H936*D936</f>
        <v>88950.399999999994</v>
      </c>
      <c r="J936" s="18">
        <f>J935+I936</f>
        <v>88950.399999999994</v>
      </c>
    </row>
    <row r="937" spans="1:10" x14ac:dyDescent="0.3">
      <c r="B937" s="82">
        <v>45850</v>
      </c>
      <c r="C937" s="81" t="s">
        <v>869</v>
      </c>
      <c r="D937" s="19">
        <v>24</v>
      </c>
      <c r="E937" s="19">
        <v>590</v>
      </c>
      <c r="F937" s="19">
        <f t="shared" ref="F937:F940" si="345">E937*D937</f>
        <v>14160</v>
      </c>
      <c r="G937" s="19">
        <v>3.61</v>
      </c>
      <c r="H937" s="19">
        <f t="shared" ref="H937:H940" si="346">E937*G937</f>
        <v>2129.9</v>
      </c>
      <c r="I937" s="19">
        <f t="shared" ref="I937:I940" si="347">H937*D937</f>
        <v>51117.600000000006</v>
      </c>
      <c r="J937" s="18">
        <f t="shared" ref="J937:J940" si="348">J936+I937</f>
        <v>140068</v>
      </c>
    </row>
    <row r="938" spans="1:10" x14ac:dyDescent="0.3">
      <c r="B938" s="82">
        <v>45850</v>
      </c>
      <c r="C938" s="81" t="s">
        <v>870</v>
      </c>
      <c r="D938" s="19">
        <v>1</v>
      </c>
      <c r="E938" s="19">
        <v>390</v>
      </c>
      <c r="F938" s="19">
        <f t="shared" si="345"/>
        <v>390</v>
      </c>
      <c r="G938" s="19">
        <v>3.61</v>
      </c>
      <c r="H938" s="19">
        <f t="shared" si="346"/>
        <v>1407.8999999999999</v>
      </c>
      <c r="I938" s="19">
        <f t="shared" si="347"/>
        <v>1407.8999999999999</v>
      </c>
      <c r="J938" s="18">
        <f t="shared" si="348"/>
        <v>141475.9</v>
      </c>
    </row>
    <row r="939" spans="1:10" x14ac:dyDescent="0.3">
      <c r="B939" s="82"/>
      <c r="C939" s="81"/>
      <c r="D939" s="19"/>
      <c r="E939" s="19"/>
      <c r="F939" s="19">
        <f t="shared" si="345"/>
        <v>0</v>
      </c>
      <c r="G939" s="19">
        <v>3.61</v>
      </c>
      <c r="H939" s="19">
        <f t="shared" si="346"/>
        <v>0</v>
      </c>
      <c r="I939" s="19">
        <f t="shared" si="347"/>
        <v>0</v>
      </c>
      <c r="J939" s="18">
        <f t="shared" si="348"/>
        <v>141475.9</v>
      </c>
    </row>
    <row r="940" spans="1:10" x14ac:dyDescent="0.3">
      <c r="B940" s="82"/>
      <c r="C940" s="81"/>
      <c r="D940" s="19"/>
      <c r="E940" s="19"/>
      <c r="F940" s="19">
        <f t="shared" si="345"/>
        <v>0</v>
      </c>
      <c r="G940" s="19">
        <v>3.61</v>
      </c>
      <c r="H940" s="19">
        <f t="shared" si="346"/>
        <v>0</v>
      </c>
      <c r="I940" s="19">
        <f t="shared" si="347"/>
        <v>0</v>
      </c>
      <c r="J940" s="18">
        <f t="shared" si="348"/>
        <v>141475.9</v>
      </c>
    </row>
    <row r="943" spans="1:10" ht="21" x14ac:dyDescent="0.4">
      <c r="A943" t="s">
        <v>127</v>
      </c>
      <c r="B943" s="492" t="s">
        <v>877</v>
      </c>
      <c r="C943" s="492"/>
      <c r="D943" s="492"/>
      <c r="E943" s="492"/>
      <c r="F943" s="492"/>
      <c r="G943" s="492"/>
      <c r="H943" s="492"/>
      <c r="I943" s="492"/>
      <c r="J943" s="492"/>
    </row>
    <row r="944" spans="1:10" ht="18" x14ac:dyDescent="0.35">
      <c r="B944" s="4" t="s">
        <v>1</v>
      </c>
      <c r="C944" s="4" t="s">
        <v>2</v>
      </c>
      <c r="D944" s="4" t="s">
        <v>3</v>
      </c>
      <c r="E944" s="4" t="s">
        <v>134</v>
      </c>
      <c r="F944" s="4" t="s">
        <v>135</v>
      </c>
      <c r="G944" s="4" t="s">
        <v>5</v>
      </c>
      <c r="H944" s="4" t="s">
        <v>6</v>
      </c>
      <c r="I944" s="4" t="s">
        <v>7</v>
      </c>
      <c r="J944" s="4"/>
    </row>
    <row r="945" spans="1:10" x14ac:dyDescent="0.3">
      <c r="B945" s="82">
        <v>45859</v>
      </c>
      <c r="C945" s="81" t="s">
        <v>868</v>
      </c>
      <c r="D945" s="19">
        <v>8</v>
      </c>
      <c r="E945" s="19">
        <v>220</v>
      </c>
      <c r="F945" s="19">
        <f>E945*D945</f>
        <v>1760</v>
      </c>
      <c r="G945" s="19">
        <v>3.61</v>
      </c>
      <c r="H945" s="19">
        <f>E945*G945</f>
        <v>794.19999999999993</v>
      </c>
      <c r="I945" s="19">
        <f>H945*D945</f>
        <v>6353.5999999999995</v>
      </c>
      <c r="J945" s="18">
        <f>J944+I945</f>
        <v>6353.5999999999995</v>
      </c>
    </row>
    <row r="946" spans="1:10" x14ac:dyDescent="0.3">
      <c r="B946" s="82">
        <v>45859</v>
      </c>
      <c r="C946" s="81" t="s">
        <v>876</v>
      </c>
      <c r="D946" s="19">
        <v>39</v>
      </c>
      <c r="E946" s="19">
        <v>425</v>
      </c>
      <c r="F946" s="19">
        <f t="shared" ref="F946:F949" si="349">E946*D946</f>
        <v>16575</v>
      </c>
      <c r="G946" s="19">
        <v>3.61</v>
      </c>
      <c r="H946" s="19">
        <f t="shared" ref="H946:H949" si="350">E946*G946</f>
        <v>1534.25</v>
      </c>
      <c r="I946" s="19">
        <f t="shared" ref="I946:I949" si="351">H946*D946</f>
        <v>59835.75</v>
      </c>
      <c r="J946" s="18">
        <f t="shared" ref="J946:J949" si="352">J945+I946</f>
        <v>66189.350000000006</v>
      </c>
    </row>
    <row r="947" spans="1:10" x14ac:dyDescent="0.3">
      <c r="B947" s="82">
        <v>45859</v>
      </c>
      <c r="C947" s="81" t="s">
        <v>828</v>
      </c>
      <c r="D947" s="19">
        <v>35</v>
      </c>
      <c r="E947" s="19">
        <v>590</v>
      </c>
      <c r="F947" s="19">
        <f t="shared" si="349"/>
        <v>20650</v>
      </c>
      <c r="G947" s="19">
        <v>3.61</v>
      </c>
      <c r="H947" s="19">
        <f t="shared" si="350"/>
        <v>2129.9</v>
      </c>
      <c r="I947" s="19">
        <f t="shared" si="351"/>
        <v>74546.5</v>
      </c>
      <c r="J947" s="18">
        <f t="shared" si="352"/>
        <v>140735.85</v>
      </c>
    </row>
    <row r="948" spans="1:10" x14ac:dyDescent="0.3">
      <c r="B948" s="82">
        <v>45859</v>
      </c>
      <c r="C948" s="81" t="s">
        <v>829</v>
      </c>
      <c r="D948" s="19">
        <v>15</v>
      </c>
      <c r="E948" s="19">
        <v>390</v>
      </c>
      <c r="F948" s="19">
        <f t="shared" si="349"/>
        <v>5850</v>
      </c>
      <c r="G948" s="19">
        <v>3.61</v>
      </c>
      <c r="H948" s="19">
        <f t="shared" si="350"/>
        <v>1407.8999999999999</v>
      </c>
      <c r="I948" s="19">
        <f t="shared" si="351"/>
        <v>21118.499999999996</v>
      </c>
      <c r="J948" s="18">
        <f t="shared" si="352"/>
        <v>161854.35</v>
      </c>
    </row>
    <row r="949" spans="1:10" x14ac:dyDescent="0.3">
      <c r="B949" s="82">
        <v>45859</v>
      </c>
      <c r="C949" s="81" t="s">
        <v>830</v>
      </c>
      <c r="D949" s="19">
        <v>7</v>
      </c>
      <c r="E949" s="19">
        <v>340</v>
      </c>
      <c r="F949" s="19">
        <f t="shared" si="349"/>
        <v>2380</v>
      </c>
      <c r="G949" s="19">
        <v>3.61</v>
      </c>
      <c r="H949" s="19">
        <f t="shared" si="350"/>
        <v>1227.3999999999999</v>
      </c>
      <c r="I949" s="19">
        <f t="shared" si="351"/>
        <v>8591.7999999999993</v>
      </c>
      <c r="J949" s="18">
        <f t="shared" si="352"/>
        <v>170446.15</v>
      </c>
    </row>
    <row r="952" spans="1:10" ht="21" x14ac:dyDescent="0.4">
      <c r="A952" t="s">
        <v>127</v>
      </c>
      <c r="B952" s="492" t="s">
        <v>391</v>
      </c>
      <c r="C952" s="492"/>
      <c r="D952" s="492"/>
      <c r="E952" s="492"/>
      <c r="F952" s="492"/>
      <c r="G952" s="492"/>
      <c r="H952" s="492"/>
      <c r="I952" s="492"/>
      <c r="J952" s="492"/>
    </row>
    <row r="953" spans="1:10" ht="18" x14ac:dyDescent="0.35">
      <c r="B953" s="4" t="s">
        <v>1</v>
      </c>
      <c r="C953" s="4" t="s">
        <v>2</v>
      </c>
      <c r="D953" s="4" t="s">
        <v>3</v>
      </c>
      <c r="E953" s="4" t="s">
        <v>134</v>
      </c>
      <c r="F953" s="4" t="s">
        <v>135</v>
      </c>
      <c r="G953" s="4" t="s">
        <v>5</v>
      </c>
      <c r="H953" s="4" t="s">
        <v>6</v>
      </c>
      <c r="I953" s="4" t="s">
        <v>7</v>
      </c>
      <c r="J953" s="4"/>
    </row>
    <row r="954" spans="1:10" x14ac:dyDescent="0.3">
      <c r="B954" s="82"/>
      <c r="C954" s="81"/>
      <c r="D954" s="19"/>
      <c r="E954" s="19"/>
      <c r="F954" s="19">
        <f>E954*D954</f>
        <v>0</v>
      </c>
      <c r="G954" s="19"/>
      <c r="H954" s="19">
        <f>E954*G954</f>
        <v>0</v>
      </c>
      <c r="I954" s="19">
        <f>H954*D954</f>
        <v>0</v>
      </c>
      <c r="J954" s="18">
        <f>J953+I954</f>
        <v>0</v>
      </c>
    </row>
    <row r="955" spans="1:10" x14ac:dyDescent="0.3">
      <c r="B955" s="82">
        <v>45863</v>
      </c>
      <c r="C955" s="81" t="s">
        <v>880</v>
      </c>
      <c r="D955" s="19">
        <v>15</v>
      </c>
      <c r="E955" s="19">
        <v>425</v>
      </c>
      <c r="F955" s="19">
        <f t="shared" ref="F955:F958" si="353">E955*D955</f>
        <v>6375</v>
      </c>
      <c r="G955" s="19">
        <v>3.61</v>
      </c>
      <c r="H955" s="19">
        <f t="shared" ref="H955:H958" si="354">E955*G955</f>
        <v>1534.25</v>
      </c>
      <c r="I955" s="19">
        <f t="shared" ref="I955:I958" si="355">H955*D955</f>
        <v>23013.75</v>
      </c>
      <c r="J955" s="18">
        <f t="shared" ref="J955:J958" si="356">J954+I955</f>
        <v>23013.75</v>
      </c>
    </row>
    <row r="956" spans="1:10" x14ac:dyDescent="0.3">
      <c r="B956" s="82">
        <v>45863</v>
      </c>
      <c r="C956" s="81" t="s">
        <v>828</v>
      </c>
      <c r="D956" s="19">
        <v>21</v>
      </c>
      <c r="E956" s="19">
        <v>590</v>
      </c>
      <c r="F956" s="19">
        <f t="shared" si="353"/>
        <v>12390</v>
      </c>
      <c r="G956" s="19">
        <v>3.61</v>
      </c>
      <c r="H956" s="19">
        <f t="shared" si="354"/>
        <v>2129.9</v>
      </c>
      <c r="I956" s="19">
        <f t="shared" si="355"/>
        <v>44727.9</v>
      </c>
      <c r="J956" s="18">
        <f t="shared" si="356"/>
        <v>67741.649999999994</v>
      </c>
    </row>
    <row r="957" spans="1:10" x14ac:dyDescent="0.3">
      <c r="B957" s="82">
        <v>45863</v>
      </c>
      <c r="C957" s="81" t="s">
        <v>829</v>
      </c>
      <c r="D957" s="19">
        <v>3</v>
      </c>
      <c r="E957" s="19">
        <v>390</v>
      </c>
      <c r="F957" s="19">
        <f t="shared" si="353"/>
        <v>1170</v>
      </c>
      <c r="G957" s="19">
        <v>3.61</v>
      </c>
      <c r="H957" s="19">
        <f t="shared" si="354"/>
        <v>1407.8999999999999</v>
      </c>
      <c r="I957" s="19">
        <f t="shared" si="355"/>
        <v>4223.7</v>
      </c>
      <c r="J957" s="18">
        <f t="shared" si="356"/>
        <v>71965.349999999991</v>
      </c>
    </row>
    <row r="958" spans="1:10" x14ac:dyDescent="0.3">
      <c r="B958" s="82">
        <v>45863</v>
      </c>
      <c r="C958" s="81" t="s">
        <v>830</v>
      </c>
      <c r="D958" s="19">
        <v>6</v>
      </c>
      <c r="E958" s="19">
        <v>340</v>
      </c>
      <c r="F958" s="19">
        <f t="shared" si="353"/>
        <v>2040</v>
      </c>
      <c r="G958" s="19">
        <v>3.61</v>
      </c>
      <c r="H958" s="19">
        <f t="shared" si="354"/>
        <v>1227.3999999999999</v>
      </c>
      <c r="I958" s="19">
        <f t="shared" si="355"/>
        <v>7364.4</v>
      </c>
      <c r="J958" s="18">
        <f t="shared" si="356"/>
        <v>79329.749999999985</v>
      </c>
    </row>
    <row r="961" spans="1:10" ht="21" x14ac:dyDescent="0.4">
      <c r="A961" t="s">
        <v>127</v>
      </c>
      <c r="B961" s="492" t="s">
        <v>20</v>
      </c>
      <c r="C961" s="492"/>
      <c r="D961" s="492"/>
      <c r="E961" s="492"/>
      <c r="F961" s="492"/>
      <c r="G961" s="492"/>
      <c r="H961" s="492"/>
      <c r="I961" s="492"/>
      <c r="J961" s="492"/>
    </row>
    <row r="962" spans="1:10" ht="18" x14ac:dyDescent="0.35">
      <c r="A962" t="s">
        <v>212</v>
      </c>
      <c r="B962" s="4" t="s">
        <v>1</v>
      </c>
      <c r="C962" s="4" t="s">
        <v>2</v>
      </c>
      <c r="D962" s="4" t="s">
        <v>3</v>
      </c>
      <c r="E962" s="4" t="s">
        <v>4</v>
      </c>
      <c r="F962" s="4" t="s">
        <v>36</v>
      </c>
      <c r="G962" s="4" t="s">
        <v>5</v>
      </c>
      <c r="H962" s="4" t="s">
        <v>6</v>
      </c>
      <c r="I962" s="4" t="s">
        <v>7</v>
      </c>
      <c r="J962" s="4"/>
    </row>
    <row r="963" spans="1:10" x14ac:dyDescent="0.3">
      <c r="B963" s="82">
        <v>45832</v>
      </c>
      <c r="C963" s="81" t="s">
        <v>881</v>
      </c>
      <c r="D963" s="19">
        <v>4</v>
      </c>
      <c r="E963" s="19">
        <v>648</v>
      </c>
      <c r="F963" s="19">
        <f>E963*D963</f>
        <v>2592</v>
      </c>
      <c r="G963" s="19">
        <v>2.3805999999999998</v>
      </c>
      <c r="H963" s="19">
        <f>E963*G963</f>
        <v>1542.6288</v>
      </c>
      <c r="I963" s="19">
        <f>H963*D963</f>
        <v>6170.5151999999998</v>
      </c>
      <c r="J963" s="18">
        <f>J962+I963</f>
        <v>6170.5151999999998</v>
      </c>
    </row>
    <row r="964" spans="1:10" x14ac:dyDescent="0.3">
      <c r="B964" s="19"/>
      <c r="C964" s="81"/>
      <c r="D964" s="19"/>
      <c r="E964" s="19"/>
      <c r="F964" s="19">
        <f t="shared" ref="F964:F972" si="357">E964*D964</f>
        <v>0</v>
      </c>
      <c r="G964" s="19"/>
      <c r="H964" s="19">
        <f t="shared" ref="H964:H971" si="358">E964*G964</f>
        <v>0</v>
      </c>
      <c r="I964" s="19">
        <f t="shared" ref="I964:I971" si="359">H964*D964</f>
        <v>0</v>
      </c>
      <c r="J964" s="18">
        <f t="shared" ref="J964:J971" si="360">J963+I964</f>
        <v>6170.5151999999998</v>
      </c>
    </row>
    <row r="965" spans="1:10" x14ac:dyDescent="0.3">
      <c r="B965" s="82">
        <v>45860</v>
      </c>
      <c r="C965" s="81" t="s">
        <v>809</v>
      </c>
      <c r="D965" s="19">
        <v>3</v>
      </c>
      <c r="E965" s="145">
        <v>2885</v>
      </c>
      <c r="F965" s="19">
        <f t="shared" si="357"/>
        <v>8655</v>
      </c>
      <c r="G965" s="19">
        <v>2.3805999999999998</v>
      </c>
      <c r="H965" s="19">
        <f t="shared" si="358"/>
        <v>6868.0309999999999</v>
      </c>
      <c r="I965" s="19">
        <f t="shared" si="359"/>
        <v>20604.093000000001</v>
      </c>
      <c r="J965" s="18">
        <f t="shared" si="360"/>
        <v>26774.608200000002</v>
      </c>
    </row>
    <row r="966" spans="1:10" x14ac:dyDescent="0.3">
      <c r="B966" s="82">
        <v>45860</v>
      </c>
      <c r="C966" s="81" t="s">
        <v>888</v>
      </c>
      <c r="D966" s="19">
        <v>10</v>
      </c>
      <c r="E966" s="145">
        <v>2288</v>
      </c>
      <c r="F966" s="19">
        <f t="shared" si="357"/>
        <v>22880</v>
      </c>
      <c r="G966" s="19">
        <v>2.3805999999999998</v>
      </c>
      <c r="H966" s="19">
        <f t="shared" si="358"/>
        <v>5446.8127999999997</v>
      </c>
      <c r="I966" s="19">
        <f t="shared" si="359"/>
        <v>54468.127999999997</v>
      </c>
      <c r="J966" s="18">
        <f t="shared" si="360"/>
        <v>81242.736199999999</v>
      </c>
    </row>
    <row r="967" spans="1:10" x14ac:dyDescent="0.3">
      <c r="B967" s="82">
        <v>45860</v>
      </c>
      <c r="C967" s="81" t="s">
        <v>889</v>
      </c>
      <c r="D967" s="19">
        <v>30</v>
      </c>
      <c r="E967" s="19">
        <v>560</v>
      </c>
      <c r="F967" s="19">
        <f t="shared" si="357"/>
        <v>16800</v>
      </c>
      <c r="G967" s="19">
        <v>2.3805999999999998</v>
      </c>
      <c r="H967" s="19">
        <f t="shared" si="358"/>
        <v>1333.136</v>
      </c>
      <c r="I967" s="19">
        <f t="shared" si="359"/>
        <v>39994.080000000002</v>
      </c>
      <c r="J967" s="18">
        <f t="shared" si="360"/>
        <v>121236.8162</v>
      </c>
    </row>
    <row r="968" spans="1:10" x14ac:dyDescent="0.3">
      <c r="B968" s="82">
        <v>45860</v>
      </c>
      <c r="C968" s="81" t="s">
        <v>890</v>
      </c>
      <c r="D968" s="19">
        <v>28</v>
      </c>
      <c r="E968" s="19">
        <v>1063</v>
      </c>
      <c r="F968" s="19">
        <f t="shared" si="357"/>
        <v>29764</v>
      </c>
      <c r="G968" s="19">
        <v>2.3805999999999998</v>
      </c>
      <c r="H968" s="19">
        <f t="shared" si="358"/>
        <v>2530.5778</v>
      </c>
      <c r="I968" s="19">
        <f t="shared" si="359"/>
        <v>70856.178400000004</v>
      </c>
      <c r="J968" s="18">
        <f t="shared" si="360"/>
        <v>192092.99460000001</v>
      </c>
    </row>
    <row r="969" spans="1:10" x14ac:dyDescent="0.3">
      <c r="B969" s="82">
        <v>45860</v>
      </c>
      <c r="C969" s="81" t="s">
        <v>891</v>
      </c>
      <c r="D969" s="19">
        <v>1</v>
      </c>
      <c r="E969" s="19">
        <v>433</v>
      </c>
      <c r="F969" s="19">
        <f t="shared" si="357"/>
        <v>433</v>
      </c>
      <c r="G969" s="19">
        <v>2.3805999999999998</v>
      </c>
      <c r="H969" s="19">
        <f t="shared" si="358"/>
        <v>1030.7998</v>
      </c>
      <c r="I969" s="19">
        <f t="shared" si="359"/>
        <v>1030.7998</v>
      </c>
      <c r="J969" s="18">
        <f t="shared" si="360"/>
        <v>193123.79440000001</v>
      </c>
    </row>
    <row r="970" spans="1:10" x14ac:dyDescent="0.3">
      <c r="B970" s="82">
        <v>45860</v>
      </c>
      <c r="C970" s="81" t="s">
        <v>892</v>
      </c>
      <c r="D970" s="19">
        <v>6</v>
      </c>
      <c r="E970" s="19">
        <v>655</v>
      </c>
      <c r="F970" s="19">
        <f t="shared" si="357"/>
        <v>3930</v>
      </c>
      <c r="G970" s="19">
        <v>2.3805999999999998</v>
      </c>
      <c r="H970" s="19">
        <f t="shared" si="358"/>
        <v>1559.2929999999999</v>
      </c>
      <c r="I970" s="19">
        <f t="shared" si="359"/>
        <v>9355.7579999999998</v>
      </c>
      <c r="J970" s="18">
        <f t="shared" si="360"/>
        <v>202479.55240000002</v>
      </c>
    </row>
    <row r="971" spans="1:10" x14ac:dyDescent="0.3">
      <c r="B971" s="82">
        <v>45860</v>
      </c>
      <c r="C971" s="18" t="s">
        <v>893</v>
      </c>
      <c r="D971" s="19">
        <v>3</v>
      </c>
      <c r="E971" s="19">
        <v>679</v>
      </c>
      <c r="F971" s="19">
        <f t="shared" si="357"/>
        <v>2037</v>
      </c>
      <c r="G971" s="19">
        <v>2.3805999999999998</v>
      </c>
      <c r="H971" s="19">
        <f t="shared" si="358"/>
        <v>1616.4273999999998</v>
      </c>
      <c r="I971" s="19">
        <f t="shared" si="359"/>
        <v>4849.2821999999996</v>
      </c>
      <c r="J971" s="18">
        <f t="shared" si="360"/>
        <v>207328.8346</v>
      </c>
    </row>
    <row r="972" spans="1:10" x14ac:dyDescent="0.3">
      <c r="B972" s="82">
        <v>45860</v>
      </c>
      <c r="C972" s="18" t="s">
        <v>894</v>
      </c>
      <c r="D972" s="19">
        <v>1</v>
      </c>
      <c r="E972" s="19">
        <v>1069</v>
      </c>
      <c r="F972" s="19">
        <f t="shared" si="357"/>
        <v>1069</v>
      </c>
      <c r="G972" s="19">
        <v>2.3805999999999998</v>
      </c>
      <c r="H972" s="19">
        <f t="shared" ref="H972" si="361">E972*G972</f>
        <v>2544.8613999999998</v>
      </c>
      <c r="I972" s="19">
        <f t="shared" ref="I972" si="362">H972*D972</f>
        <v>2544.8613999999998</v>
      </c>
      <c r="J972" s="18">
        <f t="shared" ref="J972" si="363">J971+I972</f>
        <v>209873.696</v>
      </c>
    </row>
    <row r="975" spans="1:10" ht="21" x14ac:dyDescent="0.4">
      <c r="A975" t="s">
        <v>127</v>
      </c>
      <c r="B975" s="492" t="s">
        <v>35</v>
      </c>
      <c r="C975" s="492"/>
      <c r="D975" s="492"/>
      <c r="E975" s="492"/>
      <c r="F975" s="492"/>
      <c r="G975" s="492"/>
      <c r="H975" s="492"/>
      <c r="I975" s="492"/>
      <c r="J975" s="492"/>
    </row>
    <row r="976" spans="1:10" ht="18" x14ac:dyDescent="0.35">
      <c r="A976" t="s">
        <v>212</v>
      </c>
      <c r="B976" s="4" t="s">
        <v>1</v>
      </c>
      <c r="C976" s="4" t="s">
        <v>2</v>
      </c>
      <c r="D976" s="4" t="s">
        <v>3</v>
      </c>
      <c r="E976" s="4" t="s">
        <v>148</v>
      </c>
      <c r="F976" s="4" t="s">
        <v>147</v>
      </c>
      <c r="G976" s="4" t="s">
        <v>5</v>
      </c>
      <c r="H976" s="4" t="s">
        <v>6</v>
      </c>
      <c r="I976" s="4" t="s">
        <v>7</v>
      </c>
      <c r="J976" s="4"/>
    </row>
    <row r="977" spans="1:10" x14ac:dyDescent="0.3">
      <c r="B977" s="82">
        <v>45854</v>
      </c>
      <c r="C977" s="81" t="s">
        <v>885</v>
      </c>
      <c r="D977" s="19">
        <v>200</v>
      </c>
      <c r="E977" s="19">
        <v>728</v>
      </c>
      <c r="F977" s="19">
        <f>E977*D977</f>
        <v>145600</v>
      </c>
      <c r="G977" s="19">
        <v>2.23</v>
      </c>
      <c r="H977" s="19">
        <f>E977*G977</f>
        <v>1623.44</v>
      </c>
      <c r="I977" s="19">
        <f>H977*D977</f>
        <v>324688</v>
      </c>
      <c r="J977" s="18">
        <f>J976+I977</f>
        <v>324688</v>
      </c>
    </row>
    <row r="978" spans="1:10" x14ac:dyDescent="0.3">
      <c r="B978" s="82">
        <v>45854</v>
      </c>
      <c r="C978" s="81" t="s">
        <v>886</v>
      </c>
      <c r="D978" s="19">
        <v>80</v>
      </c>
      <c r="E978" s="19">
        <v>85</v>
      </c>
      <c r="F978" s="19">
        <f t="shared" ref="F978:F985" si="364">E978*D978</f>
        <v>6800</v>
      </c>
      <c r="G978" s="19">
        <v>2.23</v>
      </c>
      <c r="H978" s="19">
        <f t="shared" ref="H978" si="365">E978*G978</f>
        <v>189.55</v>
      </c>
      <c r="I978" s="19">
        <f t="shared" ref="I978" si="366">H978*D978</f>
        <v>15164</v>
      </c>
      <c r="J978" s="18">
        <f t="shared" ref="J978" si="367">J977+I978</f>
        <v>339852</v>
      </c>
    </row>
    <row r="979" spans="1:10" x14ac:dyDescent="0.3">
      <c r="B979" s="142" t="s">
        <v>305</v>
      </c>
      <c r="C979" s="143" t="s">
        <v>151</v>
      </c>
      <c r="D979" s="142">
        <v>2</v>
      </c>
      <c r="E979" s="142">
        <v>89</v>
      </c>
      <c r="F979" s="142">
        <f t="shared" si="364"/>
        <v>178</v>
      </c>
      <c r="G979" s="142">
        <v>2.23</v>
      </c>
      <c r="H979" s="142">
        <f t="shared" ref="H979:H985" si="368">E979*G979</f>
        <v>198.47</v>
      </c>
      <c r="I979" s="142">
        <f t="shared" ref="I979:I985" si="369">H979*D979</f>
        <v>396.94</v>
      </c>
      <c r="J979" s="143">
        <f t="shared" ref="J979:J985" si="370">J978+I979</f>
        <v>340248.94</v>
      </c>
    </row>
    <row r="980" spans="1:10" x14ac:dyDescent="0.3">
      <c r="B980" s="19"/>
      <c r="C980" s="19"/>
      <c r="D980" s="19"/>
      <c r="E980" s="19"/>
      <c r="F980" s="19">
        <f t="shared" si="364"/>
        <v>0</v>
      </c>
      <c r="G980" s="19">
        <v>2.23</v>
      </c>
      <c r="H980" s="19">
        <f t="shared" si="368"/>
        <v>0</v>
      </c>
      <c r="I980" s="19">
        <f t="shared" si="369"/>
        <v>0</v>
      </c>
      <c r="J980" s="18">
        <f t="shared" si="370"/>
        <v>340248.94</v>
      </c>
    </row>
    <row r="981" spans="1:10" x14ac:dyDescent="0.3">
      <c r="B981" s="19"/>
      <c r="C981" s="19"/>
      <c r="D981" s="19"/>
      <c r="E981" s="19"/>
      <c r="F981" s="19">
        <f t="shared" si="364"/>
        <v>0</v>
      </c>
      <c r="G981" s="19">
        <v>2.23</v>
      </c>
      <c r="H981" s="19">
        <f t="shared" si="368"/>
        <v>0</v>
      </c>
      <c r="I981" s="19">
        <f t="shared" si="369"/>
        <v>0</v>
      </c>
      <c r="J981" s="18">
        <f t="shared" si="370"/>
        <v>340248.94</v>
      </c>
    </row>
    <row r="982" spans="1:10" x14ac:dyDescent="0.3">
      <c r="B982" s="19"/>
      <c r="C982" s="19"/>
      <c r="D982" s="19"/>
      <c r="E982" s="19"/>
      <c r="F982" s="19">
        <f t="shared" si="364"/>
        <v>0</v>
      </c>
      <c r="G982" s="19"/>
      <c r="H982" s="19">
        <f t="shared" si="368"/>
        <v>0</v>
      </c>
      <c r="I982" s="19">
        <f t="shared" si="369"/>
        <v>0</v>
      </c>
      <c r="J982" s="18">
        <f t="shared" si="370"/>
        <v>340248.94</v>
      </c>
    </row>
    <row r="983" spans="1:10" x14ac:dyDescent="0.3">
      <c r="B983" s="19"/>
      <c r="C983" s="19"/>
      <c r="D983" s="19"/>
      <c r="E983" s="19"/>
      <c r="F983" s="19">
        <f t="shared" si="364"/>
        <v>0</v>
      </c>
      <c r="G983" s="19"/>
      <c r="H983" s="19">
        <f t="shared" si="368"/>
        <v>0</v>
      </c>
      <c r="I983" s="19">
        <f t="shared" si="369"/>
        <v>0</v>
      </c>
      <c r="J983" s="18">
        <f t="shared" si="370"/>
        <v>340248.94</v>
      </c>
    </row>
    <row r="984" spans="1:10" x14ac:dyDescent="0.3">
      <c r="B984" s="19"/>
      <c r="C984" s="19"/>
      <c r="D984" s="19"/>
      <c r="E984" s="19"/>
      <c r="F984" s="19">
        <f t="shared" si="364"/>
        <v>0</v>
      </c>
      <c r="G984" s="19"/>
      <c r="H984" s="19">
        <f t="shared" si="368"/>
        <v>0</v>
      </c>
      <c r="I984" s="19">
        <f t="shared" si="369"/>
        <v>0</v>
      </c>
      <c r="J984" s="18">
        <f t="shared" si="370"/>
        <v>340248.94</v>
      </c>
    </row>
    <row r="985" spans="1:10" x14ac:dyDescent="0.3">
      <c r="B985" s="19"/>
      <c r="C985" s="19"/>
      <c r="D985" s="19"/>
      <c r="E985" s="19"/>
      <c r="F985" s="19">
        <f t="shared" si="364"/>
        <v>0</v>
      </c>
      <c r="G985" s="19"/>
      <c r="H985" s="19">
        <f t="shared" si="368"/>
        <v>0</v>
      </c>
      <c r="I985" s="19">
        <f t="shared" si="369"/>
        <v>0</v>
      </c>
      <c r="J985" s="18">
        <f t="shared" si="370"/>
        <v>340248.94</v>
      </c>
    </row>
    <row r="988" spans="1:10" ht="21" x14ac:dyDescent="0.4">
      <c r="A988" t="s">
        <v>127</v>
      </c>
      <c r="B988" s="492" t="s">
        <v>20</v>
      </c>
      <c r="C988" s="492"/>
      <c r="D988" s="492"/>
      <c r="E988" s="492"/>
      <c r="F988" s="492"/>
      <c r="G988" s="492"/>
      <c r="H988" s="492"/>
      <c r="I988" s="492"/>
      <c r="J988" s="492"/>
    </row>
    <row r="989" spans="1:10" ht="18" x14ac:dyDescent="0.35">
      <c r="A989" t="s">
        <v>212</v>
      </c>
      <c r="B989" s="4" t="s">
        <v>1</v>
      </c>
      <c r="C989" s="4" t="s">
        <v>2</v>
      </c>
      <c r="D989" s="4" t="s">
        <v>3</v>
      </c>
      <c r="E989" s="4" t="s">
        <v>4</v>
      </c>
      <c r="F989" s="4" t="s">
        <v>36</v>
      </c>
      <c r="G989" s="4" t="s">
        <v>5</v>
      </c>
      <c r="H989" s="4" t="s">
        <v>6</v>
      </c>
      <c r="I989" s="4" t="s">
        <v>7</v>
      </c>
      <c r="J989" s="4"/>
    </row>
    <row r="990" spans="1:10" x14ac:dyDescent="0.3">
      <c r="B990" s="82">
        <v>45862</v>
      </c>
      <c r="C990" s="18" t="s">
        <v>895</v>
      </c>
      <c r="D990" s="19">
        <v>2</v>
      </c>
      <c r="E990" s="19">
        <v>679</v>
      </c>
      <c r="F990" s="19">
        <f>E990*D990</f>
        <v>1358</v>
      </c>
      <c r="G990" s="19">
        <v>2.3805999999999998</v>
      </c>
      <c r="H990" s="19">
        <f>E990*G990</f>
        <v>1616.4273999999998</v>
      </c>
      <c r="I990" s="19">
        <f>H990*D990</f>
        <v>3232.8547999999996</v>
      </c>
      <c r="J990" s="18">
        <f>J989+I990</f>
        <v>3232.8547999999996</v>
      </c>
    </row>
    <row r="991" spans="1:10" x14ac:dyDescent="0.3">
      <c r="B991" s="82">
        <v>45862</v>
      </c>
      <c r="C991" s="18" t="s">
        <v>896</v>
      </c>
      <c r="D991" s="19">
        <v>1</v>
      </c>
      <c r="E991" s="19">
        <v>645</v>
      </c>
      <c r="F991" s="19">
        <f t="shared" ref="F991:F998" si="371">E991*D991</f>
        <v>645</v>
      </c>
      <c r="G991" s="19">
        <v>2.3805999999999998</v>
      </c>
      <c r="H991" s="19">
        <f t="shared" ref="H991" si="372">E991*G991</f>
        <v>1535.4869999999999</v>
      </c>
      <c r="I991" s="19">
        <f t="shared" ref="I991" si="373">H991*D991</f>
        <v>1535.4869999999999</v>
      </c>
      <c r="J991" s="18">
        <f t="shared" ref="J991" si="374">J990+I991</f>
        <v>4768.3417999999992</v>
      </c>
    </row>
    <row r="992" spans="1:10" x14ac:dyDescent="0.3">
      <c r="B992" s="82">
        <v>45866</v>
      </c>
      <c r="C992" s="18" t="s">
        <v>897</v>
      </c>
      <c r="D992" s="19">
        <v>1</v>
      </c>
      <c r="E992" s="19">
        <v>549</v>
      </c>
      <c r="F992" s="19">
        <f t="shared" si="371"/>
        <v>549</v>
      </c>
      <c r="G992" s="19">
        <v>2.3805999999999998</v>
      </c>
      <c r="H992" s="19">
        <f t="shared" ref="H992:H998" si="375">E992*G992</f>
        <v>1306.9494</v>
      </c>
      <c r="I992" s="19">
        <f t="shared" ref="I992:I998" si="376">H992*D992</f>
        <v>1306.9494</v>
      </c>
      <c r="J992" s="18">
        <f t="shared" ref="J992:J998" si="377">J991+I992</f>
        <v>6075.2911999999997</v>
      </c>
    </row>
    <row r="993" spans="1:10" x14ac:dyDescent="0.3">
      <c r="B993" s="82">
        <v>45866</v>
      </c>
      <c r="C993" s="18" t="s">
        <v>898</v>
      </c>
      <c r="D993" s="19">
        <v>1</v>
      </c>
      <c r="E993" s="19">
        <v>684</v>
      </c>
      <c r="F993" s="19">
        <f t="shared" si="371"/>
        <v>684</v>
      </c>
      <c r="G993" s="19">
        <v>2.3805999999999998</v>
      </c>
      <c r="H993" s="19">
        <f t="shared" si="375"/>
        <v>1628.3303999999998</v>
      </c>
      <c r="I993" s="19">
        <f t="shared" si="376"/>
        <v>1628.3303999999998</v>
      </c>
      <c r="J993" s="18">
        <f t="shared" si="377"/>
        <v>7703.6215999999995</v>
      </c>
    </row>
    <row r="994" spans="1:10" x14ac:dyDescent="0.3">
      <c r="B994" s="82">
        <v>45866</v>
      </c>
      <c r="C994" s="18" t="s">
        <v>899</v>
      </c>
      <c r="D994" s="19">
        <v>2</v>
      </c>
      <c r="E994" s="19">
        <v>80</v>
      </c>
      <c r="F994" s="19">
        <f t="shared" si="371"/>
        <v>160</v>
      </c>
      <c r="G994" s="19">
        <v>2.3805999999999998</v>
      </c>
      <c r="H994" s="19">
        <f t="shared" si="375"/>
        <v>190.44799999999998</v>
      </c>
      <c r="I994" s="19">
        <f t="shared" si="376"/>
        <v>380.89599999999996</v>
      </c>
      <c r="J994" s="18">
        <f t="shared" si="377"/>
        <v>8084.5175999999992</v>
      </c>
    </row>
    <row r="995" spans="1:10" x14ac:dyDescent="0.3">
      <c r="B995" s="82">
        <v>45866</v>
      </c>
      <c r="C995" s="18" t="s">
        <v>900</v>
      </c>
      <c r="D995" s="19">
        <v>1</v>
      </c>
      <c r="E995" s="19">
        <v>714</v>
      </c>
      <c r="F995" s="19">
        <f t="shared" si="371"/>
        <v>714</v>
      </c>
      <c r="G995" s="19">
        <v>2.3805999999999998</v>
      </c>
      <c r="H995" s="19">
        <f t="shared" si="375"/>
        <v>1699.7483999999999</v>
      </c>
      <c r="I995" s="19">
        <f t="shared" si="376"/>
        <v>1699.7483999999999</v>
      </c>
      <c r="J995" s="18">
        <f t="shared" si="377"/>
        <v>9784.2659999999996</v>
      </c>
    </row>
    <row r="996" spans="1:10" x14ac:dyDescent="0.3">
      <c r="B996" s="82">
        <v>45866</v>
      </c>
      <c r="C996" s="18" t="s">
        <v>901</v>
      </c>
      <c r="D996" s="19">
        <v>1</v>
      </c>
      <c r="E996" s="19">
        <v>714</v>
      </c>
      <c r="F996" s="19">
        <f t="shared" si="371"/>
        <v>714</v>
      </c>
      <c r="G996" s="19">
        <v>2.3805999999999998</v>
      </c>
      <c r="H996" s="19">
        <f t="shared" si="375"/>
        <v>1699.7483999999999</v>
      </c>
      <c r="I996" s="19">
        <f t="shared" si="376"/>
        <v>1699.7483999999999</v>
      </c>
      <c r="J996" s="18">
        <f t="shared" si="377"/>
        <v>11484.0144</v>
      </c>
    </row>
    <row r="997" spans="1:10" x14ac:dyDescent="0.3">
      <c r="B997" s="97">
        <v>45866</v>
      </c>
      <c r="C997" s="109" t="s">
        <v>902</v>
      </c>
      <c r="D997" s="126">
        <v>2</v>
      </c>
      <c r="E997" s="126">
        <v>574</v>
      </c>
      <c r="F997" s="126">
        <f t="shared" si="371"/>
        <v>1148</v>
      </c>
      <c r="G997" s="126">
        <v>2.3805999999999998</v>
      </c>
      <c r="H997" s="126">
        <f t="shared" si="375"/>
        <v>1366.4643999999998</v>
      </c>
      <c r="I997" s="126">
        <f t="shared" si="376"/>
        <v>2732.9287999999997</v>
      </c>
      <c r="J997" s="109">
        <f t="shared" si="377"/>
        <v>14216.9432</v>
      </c>
    </row>
    <row r="998" spans="1:10" x14ac:dyDescent="0.3">
      <c r="B998" s="19"/>
      <c r="C998" s="19"/>
      <c r="D998" s="19"/>
      <c r="E998" s="19"/>
      <c r="F998" s="19">
        <f t="shared" si="371"/>
        <v>0</v>
      </c>
      <c r="G998" s="19"/>
      <c r="H998" s="19">
        <f t="shared" si="375"/>
        <v>0</v>
      </c>
      <c r="I998" s="19">
        <f t="shared" si="376"/>
        <v>0</v>
      </c>
      <c r="J998" s="18">
        <f t="shared" si="377"/>
        <v>14216.9432</v>
      </c>
    </row>
    <row r="1001" spans="1:10" ht="21" x14ac:dyDescent="0.4">
      <c r="A1001" t="s">
        <v>127</v>
      </c>
      <c r="B1001" s="492" t="s">
        <v>20</v>
      </c>
      <c r="C1001" s="492"/>
      <c r="D1001" s="492"/>
      <c r="E1001" s="492"/>
      <c r="F1001" s="492"/>
      <c r="G1001" s="492"/>
      <c r="H1001" s="492"/>
      <c r="I1001" s="492"/>
      <c r="J1001" s="492"/>
    </row>
    <row r="1002" spans="1:10" ht="18" x14ac:dyDescent="0.35">
      <c r="A1002" t="s">
        <v>212</v>
      </c>
      <c r="B1002" s="4" t="s">
        <v>1</v>
      </c>
      <c r="C1002" s="4" t="s">
        <v>2</v>
      </c>
      <c r="D1002" s="4" t="s">
        <v>3</v>
      </c>
      <c r="E1002" s="4" t="s">
        <v>4</v>
      </c>
      <c r="F1002" s="4" t="s">
        <v>36</v>
      </c>
      <c r="G1002" s="4" t="s">
        <v>5</v>
      </c>
      <c r="H1002" s="4" t="s">
        <v>6</v>
      </c>
      <c r="I1002" s="4" t="s">
        <v>7</v>
      </c>
      <c r="J1002" s="4"/>
    </row>
    <row r="1003" spans="1:10" x14ac:dyDescent="0.3">
      <c r="B1003" s="82">
        <v>45867</v>
      </c>
      <c r="C1003" s="81" t="s">
        <v>906</v>
      </c>
      <c r="D1003" s="19">
        <v>2</v>
      </c>
      <c r="E1003" s="19">
        <v>574</v>
      </c>
      <c r="F1003" s="19">
        <f>E1003*D1003</f>
        <v>1148</v>
      </c>
      <c r="G1003" s="19">
        <v>2.37805</v>
      </c>
      <c r="H1003" s="19">
        <f>E1003*G1003</f>
        <v>1365.0007000000001</v>
      </c>
      <c r="I1003" s="19">
        <f>H1003*D1003</f>
        <v>2730.0014000000001</v>
      </c>
      <c r="J1003" s="18">
        <f>J1002+I1003</f>
        <v>2730.0014000000001</v>
      </c>
    </row>
    <row r="1004" spans="1:10" x14ac:dyDescent="0.3">
      <c r="B1004" s="82">
        <v>45867</v>
      </c>
      <c r="C1004" s="81" t="s">
        <v>907</v>
      </c>
      <c r="D1004" s="19">
        <v>2</v>
      </c>
      <c r="E1004" s="19">
        <v>549</v>
      </c>
      <c r="F1004" s="19">
        <f t="shared" ref="F1004:F1011" si="378">E1004*D1004</f>
        <v>1098</v>
      </c>
      <c r="G1004" s="19">
        <v>2.37805</v>
      </c>
      <c r="H1004" s="19">
        <f t="shared" ref="H1004:H1011" si="379">E1004*G1004</f>
        <v>1305.54945</v>
      </c>
      <c r="I1004" s="19">
        <f t="shared" ref="I1004:I1011" si="380">H1004*D1004</f>
        <v>2611.0989</v>
      </c>
      <c r="J1004" s="18">
        <f t="shared" ref="J1004:J1011" si="381">J1003+I1004</f>
        <v>5341.1003000000001</v>
      </c>
    </row>
    <row r="1005" spans="1:10" x14ac:dyDescent="0.3">
      <c r="B1005" s="97">
        <v>45867</v>
      </c>
      <c r="C1005" s="138" t="s">
        <v>913</v>
      </c>
      <c r="D1005" s="126">
        <v>1</v>
      </c>
      <c r="E1005" s="126">
        <v>549</v>
      </c>
      <c r="F1005" s="126">
        <f t="shared" si="378"/>
        <v>549</v>
      </c>
      <c r="G1005" s="126">
        <v>2.37805</v>
      </c>
      <c r="H1005" s="126">
        <f t="shared" si="379"/>
        <v>1305.54945</v>
      </c>
      <c r="I1005" s="126">
        <f t="shared" si="380"/>
        <v>1305.54945</v>
      </c>
      <c r="J1005" s="109">
        <f t="shared" si="381"/>
        <v>6646.6497500000005</v>
      </c>
    </row>
    <row r="1006" spans="1:10" x14ac:dyDescent="0.3">
      <c r="B1006" s="97">
        <v>45867</v>
      </c>
      <c r="C1006" s="138" t="s">
        <v>912</v>
      </c>
      <c r="D1006" s="126">
        <v>1</v>
      </c>
      <c r="E1006" s="126">
        <v>549</v>
      </c>
      <c r="F1006" s="126">
        <f t="shared" si="378"/>
        <v>549</v>
      </c>
      <c r="G1006" s="126">
        <v>2.37805</v>
      </c>
      <c r="H1006" s="126">
        <f t="shared" si="379"/>
        <v>1305.54945</v>
      </c>
      <c r="I1006" s="126">
        <f t="shared" si="380"/>
        <v>1305.54945</v>
      </c>
      <c r="J1006" s="109">
        <f t="shared" si="381"/>
        <v>7952.1992000000009</v>
      </c>
    </row>
    <row r="1007" spans="1:10" x14ac:dyDescent="0.3">
      <c r="B1007" s="82">
        <v>45867</v>
      </c>
      <c r="C1007" s="81" t="s">
        <v>908</v>
      </c>
      <c r="D1007" s="19">
        <v>1</v>
      </c>
      <c r="E1007" s="19">
        <v>549</v>
      </c>
      <c r="F1007" s="19">
        <f t="shared" si="378"/>
        <v>549</v>
      </c>
      <c r="G1007" s="19">
        <v>2.37805</v>
      </c>
      <c r="H1007" s="19">
        <f t="shared" si="379"/>
        <v>1305.54945</v>
      </c>
      <c r="I1007" s="19">
        <f t="shared" si="380"/>
        <v>1305.54945</v>
      </c>
      <c r="J1007" s="18">
        <f t="shared" si="381"/>
        <v>9257.7486500000014</v>
      </c>
    </row>
    <row r="1008" spans="1:10" x14ac:dyDescent="0.3">
      <c r="B1008" s="82">
        <v>45867</v>
      </c>
      <c r="C1008" s="81" t="s">
        <v>909</v>
      </c>
      <c r="D1008" s="19">
        <v>2</v>
      </c>
      <c r="E1008" s="19">
        <v>574</v>
      </c>
      <c r="F1008" s="19">
        <f t="shared" si="378"/>
        <v>1148</v>
      </c>
      <c r="G1008" s="19">
        <v>2.37805</v>
      </c>
      <c r="H1008" s="19">
        <f t="shared" si="379"/>
        <v>1365.0007000000001</v>
      </c>
      <c r="I1008" s="19">
        <f t="shared" si="380"/>
        <v>2730.0014000000001</v>
      </c>
      <c r="J1008" s="18">
        <f t="shared" si="381"/>
        <v>11987.750050000002</v>
      </c>
    </row>
    <row r="1009" spans="1:10" x14ac:dyDescent="0.3">
      <c r="B1009" s="82">
        <v>45867</v>
      </c>
      <c r="C1009" s="81" t="s">
        <v>910</v>
      </c>
      <c r="D1009" s="19">
        <v>2</v>
      </c>
      <c r="E1009" s="19">
        <v>574</v>
      </c>
      <c r="F1009" s="19">
        <f t="shared" si="378"/>
        <v>1148</v>
      </c>
      <c r="G1009" s="19">
        <v>2.37805</v>
      </c>
      <c r="H1009" s="19">
        <f t="shared" si="379"/>
        <v>1365.0007000000001</v>
      </c>
      <c r="I1009" s="19">
        <f t="shared" si="380"/>
        <v>2730.0014000000001</v>
      </c>
      <c r="J1009" s="18">
        <f t="shared" si="381"/>
        <v>14717.751450000003</v>
      </c>
    </row>
    <row r="1010" spans="1:10" x14ac:dyDescent="0.3">
      <c r="B1010" s="185">
        <v>45867</v>
      </c>
      <c r="C1010" s="387" t="s">
        <v>1037</v>
      </c>
      <c r="D1010" s="187"/>
      <c r="E1010" s="187"/>
      <c r="F1010" s="187">
        <f t="shared" si="378"/>
        <v>0</v>
      </c>
      <c r="G1010" s="187">
        <v>2.37805</v>
      </c>
      <c r="H1010" s="187">
        <f t="shared" si="379"/>
        <v>0</v>
      </c>
      <c r="I1010" s="187">
        <f t="shared" si="380"/>
        <v>0</v>
      </c>
      <c r="J1010" s="188">
        <f t="shared" si="381"/>
        <v>14717.751450000003</v>
      </c>
    </row>
    <row r="1011" spans="1:10" x14ac:dyDescent="0.3">
      <c r="B1011" s="82">
        <v>45867</v>
      </c>
      <c r="C1011" s="81" t="s">
        <v>911</v>
      </c>
      <c r="D1011" s="19">
        <v>2</v>
      </c>
      <c r="E1011" s="19">
        <v>574</v>
      </c>
      <c r="F1011" s="19">
        <f t="shared" si="378"/>
        <v>1148</v>
      </c>
      <c r="G1011" s="19">
        <v>2.37805</v>
      </c>
      <c r="H1011" s="19">
        <f t="shared" si="379"/>
        <v>1365.0007000000001</v>
      </c>
      <c r="I1011" s="19">
        <f t="shared" si="380"/>
        <v>2730.0014000000001</v>
      </c>
      <c r="J1011" s="18">
        <f t="shared" si="381"/>
        <v>17447.752850000004</v>
      </c>
    </row>
    <row r="1014" spans="1:10" ht="21" x14ac:dyDescent="0.4">
      <c r="A1014" t="s">
        <v>127</v>
      </c>
      <c r="B1014" s="492" t="s">
        <v>35</v>
      </c>
      <c r="C1014" s="492"/>
      <c r="D1014" s="492"/>
      <c r="E1014" s="492"/>
      <c r="F1014" s="492"/>
      <c r="G1014" s="492"/>
      <c r="H1014" s="492"/>
      <c r="I1014" s="492"/>
      <c r="J1014" s="492"/>
    </row>
    <row r="1015" spans="1:10" ht="18" x14ac:dyDescent="0.35">
      <c r="A1015" t="s">
        <v>212</v>
      </c>
      <c r="B1015" s="4" t="s">
        <v>1</v>
      </c>
      <c r="C1015" s="4" t="s">
        <v>2</v>
      </c>
      <c r="D1015" s="4" t="s">
        <v>3</v>
      </c>
      <c r="E1015" s="4" t="s">
        <v>148</v>
      </c>
      <c r="F1015" s="4" t="s">
        <v>147</v>
      </c>
      <c r="G1015" s="4" t="s">
        <v>5</v>
      </c>
      <c r="H1015" s="4" t="s">
        <v>6</v>
      </c>
      <c r="I1015" s="4" t="s">
        <v>7</v>
      </c>
      <c r="J1015" s="4"/>
    </row>
    <row r="1016" spans="1:10" x14ac:dyDescent="0.3">
      <c r="B1016" s="97">
        <v>45861</v>
      </c>
      <c r="C1016" s="109" t="s">
        <v>919</v>
      </c>
      <c r="D1016" s="126">
        <v>10</v>
      </c>
      <c r="E1016" s="126">
        <v>1448.98</v>
      </c>
      <c r="F1016" s="126">
        <f>E1016*D1016</f>
        <v>14489.8</v>
      </c>
      <c r="G1016" s="126">
        <v>2.23</v>
      </c>
      <c r="H1016" s="126">
        <f>E1016*G1016</f>
        <v>3231.2253999999998</v>
      </c>
      <c r="I1016" s="126">
        <f>H1016*D1016</f>
        <v>32312.253999999997</v>
      </c>
      <c r="J1016" s="109">
        <f>J1015+I1016</f>
        <v>32312.253999999997</v>
      </c>
    </row>
    <row r="1017" spans="1:10" x14ac:dyDescent="0.3">
      <c r="B1017" s="97">
        <v>45862</v>
      </c>
      <c r="C1017" s="109" t="s">
        <v>920</v>
      </c>
      <c r="D1017" s="126">
        <v>5</v>
      </c>
      <c r="E1017" s="126">
        <v>1448.98</v>
      </c>
      <c r="F1017" s="126">
        <f>E1017*D1017</f>
        <v>7244.9</v>
      </c>
      <c r="G1017" s="126">
        <v>2.23</v>
      </c>
      <c r="H1017" s="126">
        <f>E1017*G1017</f>
        <v>3231.2253999999998</v>
      </c>
      <c r="I1017" s="126">
        <f>H1017*D1017</f>
        <v>16156.126999999999</v>
      </c>
      <c r="J1017" s="109">
        <f t="shared" ref="J1017:J1024" si="382">J1016+I1017</f>
        <v>48468.380999999994</v>
      </c>
    </row>
    <row r="1018" spans="1:10" x14ac:dyDescent="0.3">
      <c r="B1018" s="97">
        <v>45863</v>
      </c>
      <c r="C1018" s="109" t="s">
        <v>916</v>
      </c>
      <c r="D1018" s="126">
        <v>2</v>
      </c>
      <c r="E1018" s="126">
        <v>852</v>
      </c>
      <c r="F1018" s="126">
        <f>E1018*D1018</f>
        <v>1704</v>
      </c>
      <c r="G1018" s="126">
        <v>2.23</v>
      </c>
      <c r="H1018" s="126">
        <f>E1018*G1018</f>
        <v>1899.96</v>
      </c>
      <c r="I1018" s="126">
        <f>H1018*D1018</f>
        <v>3799.92</v>
      </c>
      <c r="J1018" s="109">
        <f t="shared" si="382"/>
        <v>52268.300999999992</v>
      </c>
    </row>
    <row r="1019" spans="1:10" x14ac:dyDescent="0.3">
      <c r="B1019" s="97">
        <v>45862</v>
      </c>
      <c r="C1019" s="109" t="s">
        <v>917</v>
      </c>
      <c r="D1019" s="126">
        <v>1</v>
      </c>
      <c r="E1019" s="126">
        <v>1359</v>
      </c>
      <c r="F1019" s="126">
        <f>E1019*D1019</f>
        <v>1359</v>
      </c>
      <c r="G1019" s="126">
        <v>2.23</v>
      </c>
      <c r="H1019" s="126">
        <f>E1019*G1019</f>
        <v>3030.57</v>
      </c>
      <c r="I1019" s="126">
        <f>H1019*D1019</f>
        <v>3030.57</v>
      </c>
      <c r="J1019" s="109">
        <f t="shared" si="382"/>
        <v>55298.870999999992</v>
      </c>
    </row>
    <row r="1020" spans="1:10" x14ac:dyDescent="0.3">
      <c r="B1020" s="97">
        <v>45865</v>
      </c>
      <c r="C1020" s="109" t="s">
        <v>918</v>
      </c>
      <c r="D1020" s="343">
        <v>20</v>
      </c>
      <c r="E1020" s="343">
        <v>720</v>
      </c>
      <c r="F1020" s="126">
        <f>E1020*D1020</f>
        <v>14400</v>
      </c>
      <c r="G1020" s="126">
        <v>2.23</v>
      </c>
      <c r="H1020" s="126">
        <f>E1020*G1020</f>
        <v>1605.6</v>
      </c>
      <c r="I1020" s="126">
        <f>H1020*D1020</f>
        <v>32112</v>
      </c>
      <c r="J1020" s="109">
        <f t="shared" si="382"/>
        <v>87410.870999999985</v>
      </c>
    </row>
    <row r="1021" spans="1:10" x14ac:dyDescent="0.3">
      <c r="B1021" s="126" t="s">
        <v>921</v>
      </c>
      <c r="C1021" s="138" t="s">
        <v>922</v>
      </c>
      <c r="D1021" s="126">
        <v>1</v>
      </c>
      <c r="E1021" s="126">
        <v>1359</v>
      </c>
      <c r="F1021" s="126">
        <f t="shared" ref="F1021:F1024" si="383">E1021*D1021</f>
        <v>1359</v>
      </c>
      <c r="G1021" s="126">
        <v>2.23</v>
      </c>
      <c r="H1021" s="126">
        <f t="shared" ref="H1021:H1024" si="384">E1021*G1021</f>
        <v>3030.57</v>
      </c>
      <c r="I1021" s="126">
        <f t="shared" ref="I1021:I1024" si="385">H1021*D1021</f>
        <v>3030.57</v>
      </c>
      <c r="J1021" s="109">
        <f t="shared" si="382"/>
        <v>90441.440999999992</v>
      </c>
    </row>
    <row r="1022" spans="1:10" x14ac:dyDescent="0.3">
      <c r="B1022" s="19"/>
      <c r="C1022" s="19"/>
      <c r="D1022" s="19"/>
      <c r="E1022" s="19"/>
      <c r="F1022" s="19">
        <f t="shared" si="383"/>
        <v>0</v>
      </c>
      <c r="G1022" s="19"/>
      <c r="H1022" s="19">
        <f t="shared" si="384"/>
        <v>0</v>
      </c>
      <c r="I1022" s="19">
        <f t="shared" si="385"/>
        <v>0</v>
      </c>
      <c r="J1022" s="18">
        <f t="shared" si="382"/>
        <v>90441.440999999992</v>
      </c>
    </row>
    <row r="1023" spans="1:10" x14ac:dyDescent="0.3">
      <c r="B1023" s="19"/>
      <c r="C1023" s="19"/>
      <c r="D1023" s="19"/>
      <c r="E1023" s="19"/>
      <c r="F1023" s="19">
        <f t="shared" si="383"/>
        <v>0</v>
      </c>
      <c r="G1023" s="19"/>
      <c r="H1023" s="19">
        <f t="shared" si="384"/>
        <v>0</v>
      </c>
      <c r="I1023" s="19">
        <f t="shared" si="385"/>
        <v>0</v>
      </c>
      <c r="J1023" s="18">
        <f t="shared" si="382"/>
        <v>90441.440999999992</v>
      </c>
    </row>
    <row r="1024" spans="1:10" x14ac:dyDescent="0.3">
      <c r="B1024" s="19"/>
      <c r="C1024" s="19"/>
      <c r="D1024" s="19"/>
      <c r="E1024" s="19"/>
      <c r="F1024" s="19">
        <f t="shared" si="383"/>
        <v>0</v>
      </c>
      <c r="G1024" s="19"/>
      <c r="H1024" s="19">
        <f t="shared" si="384"/>
        <v>0</v>
      </c>
      <c r="I1024" s="19">
        <f t="shared" si="385"/>
        <v>0</v>
      </c>
      <c r="J1024" s="18">
        <f t="shared" si="382"/>
        <v>90441.440999999992</v>
      </c>
    </row>
    <row r="1026" spans="1:10" ht="21" x14ac:dyDescent="0.4">
      <c r="A1026" t="s">
        <v>127</v>
      </c>
      <c r="B1026" s="492" t="s">
        <v>391</v>
      </c>
      <c r="C1026" s="492"/>
      <c r="D1026" s="492"/>
      <c r="E1026" s="492"/>
      <c r="F1026" s="492"/>
      <c r="G1026" s="492"/>
      <c r="H1026" s="492"/>
      <c r="I1026" s="492"/>
      <c r="J1026" s="492"/>
    </row>
    <row r="1027" spans="1:10" ht="18" x14ac:dyDescent="0.35">
      <c r="B1027" s="4" t="s">
        <v>1</v>
      </c>
      <c r="C1027" s="4" t="s">
        <v>2</v>
      </c>
      <c r="D1027" s="4" t="s">
        <v>3</v>
      </c>
      <c r="E1027" s="4" t="s">
        <v>134</v>
      </c>
      <c r="F1027" s="4" t="s">
        <v>135</v>
      </c>
      <c r="G1027" s="4" t="s">
        <v>5</v>
      </c>
      <c r="H1027" s="4" t="s">
        <v>6</v>
      </c>
      <c r="I1027" s="4" t="s">
        <v>7</v>
      </c>
      <c r="J1027" s="4"/>
    </row>
    <row r="1028" spans="1:10" x14ac:dyDescent="0.3">
      <c r="B1028" s="140">
        <v>45871</v>
      </c>
      <c r="C1028" s="141" t="s">
        <v>828</v>
      </c>
      <c r="D1028" s="142">
        <v>24</v>
      </c>
      <c r="E1028" s="19">
        <v>590</v>
      </c>
      <c r="F1028" s="19">
        <f>E1028*D1028</f>
        <v>14160</v>
      </c>
      <c r="G1028" s="19">
        <v>3.61</v>
      </c>
      <c r="H1028" s="19">
        <f>E1028*G1028</f>
        <v>2129.9</v>
      </c>
      <c r="I1028" s="19">
        <f>F1028*G1028</f>
        <v>51117.599999999999</v>
      </c>
      <c r="J1028" s="18">
        <f>J1027+I1028</f>
        <v>51117.599999999999</v>
      </c>
    </row>
    <row r="1029" spans="1:10" x14ac:dyDescent="0.3">
      <c r="B1029" s="140">
        <v>45871</v>
      </c>
      <c r="C1029" s="141" t="s">
        <v>829</v>
      </c>
      <c r="D1029" s="142">
        <v>30</v>
      </c>
      <c r="E1029" s="19">
        <v>390</v>
      </c>
      <c r="F1029" s="19">
        <f t="shared" ref="F1029:F1036" si="386">E1029*D1029</f>
        <v>11700</v>
      </c>
      <c r="G1029" s="19">
        <v>3.61</v>
      </c>
      <c r="H1029" s="19">
        <f t="shared" ref="H1029:H1036" si="387">E1029*G1029</f>
        <v>1407.8999999999999</v>
      </c>
      <c r="I1029" s="19">
        <f t="shared" ref="I1029:I1036" si="388">F1029*G1029</f>
        <v>42237</v>
      </c>
      <c r="J1029" s="18">
        <f t="shared" ref="J1029:J1036" si="389">J1028+I1029</f>
        <v>93354.6</v>
      </c>
    </row>
    <row r="1030" spans="1:10" x14ac:dyDescent="0.3">
      <c r="B1030" s="140">
        <v>45871</v>
      </c>
      <c r="C1030" s="141" t="s">
        <v>830</v>
      </c>
      <c r="D1030" s="142">
        <v>13</v>
      </c>
      <c r="E1030" s="19">
        <v>340</v>
      </c>
      <c r="F1030" s="19">
        <f t="shared" si="386"/>
        <v>4420</v>
      </c>
      <c r="G1030" s="19">
        <v>3.61</v>
      </c>
      <c r="H1030" s="19">
        <f t="shared" si="387"/>
        <v>1227.3999999999999</v>
      </c>
      <c r="I1030" s="19">
        <f t="shared" si="388"/>
        <v>15956.199999999999</v>
      </c>
      <c r="J1030" s="18">
        <f t="shared" si="389"/>
        <v>109310.8</v>
      </c>
    </row>
    <row r="1031" spans="1:10" x14ac:dyDescent="0.3">
      <c r="B1031" s="140">
        <v>45871</v>
      </c>
      <c r="C1031" s="141" t="s">
        <v>880</v>
      </c>
      <c r="D1031" s="142">
        <v>5</v>
      </c>
      <c r="E1031" s="19">
        <v>425</v>
      </c>
      <c r="F1031" s="19">
        <f t="shared" si="386"/>
        <v>2125</v>
      </c>
      <c r="G1031" s="19">
        <v>3.61</v>
      </c>
      <c r="H1031" s="19">
        <f t="shared" si="387"/>
        <v>1534.25</v>
      </c>
      <c r="I1031" s="19">
        <f t="shared" si="388"/>
        <v>7671.25</v>
      </c>
      <c r="J1031" s="18">
        <f t="shared" si="389"/>
        <v>116982.05</v>
      </c>
    </row>
    <row r="1032" spans="1:10" x14ac:dyDescent="0.3">
      <c r="B1032" s="140">
        <v>45871</v>
      </c>
      <c r="C1032" s="141" t="s">
        <v>398</v>
      </c>
      <c r="D1032" s="142">
        <v>2</v>
      </c>
      <c r="E1032" s="19">
        <v>140</v>
      </c>
      <c r="F1032" s="19">
        <f t="shared" si="386"/>
        <v>280</v>
      </c>
      <c r="G1032" s="19">
        <v>3.61</v>
      </c>
      <c r="H1032" s="19">
        <f t="shared" si="387"/>
        <v>505.4</v>
      </c>
      <c r="I1032" s="19">
        <f t="shared" si="388"/>
        <v>1010.8</v>
      </c>
      <c r="J1032" s="18">
        <f t="shared" si="389"/>
        <v>117992.85</v>
      </c>
    </row>
    <row r="1033" spans="1:10" x14ac:dyDescent="0.3">
      <c r="B1033" s="140">
        <v>45871</v>
      </c>
      <c r="C1033" s="141" t="s">
        <v>990</v>
      </c>
      <c r="D1033" s="142">
        <v>2</v>
      </c>
      <c r="E1033" s="19">
        <v>445</v>
      </c>
      <c r="F1033" s="19">
        <f t="shared" si="386"/>
        <v>890</v>
      </c>
      <c r="G1033" s="19">
        <v>3.61</v>
      </c>
      <c r="H1033" s="19">
        <f t="shared" si="387"/>
        <v>1606.45</v>
      </c>
      <c r="I1033" s="19">
        <f t="shared" si="388"/>
        <v>3212.9</v>
      </c>
      <c r="J1033" s="18">
        <f t="shared" si="389"/>
        <v>121205.75</v>
      </c>
    </row>
    <row r="1034" spans="1:10" x14ac:dyDescent="0.3">
      <c r="B1034" s="223">
        <v>45871</v>
      </c>
      <c r="C1034" s="365" t="s">
        <v>136</v>
      </c>
      <c r="D1034" s="366">
        <v>4</v>
      </c>
      <c r="E1034" s="19">
        <v>710</v>
      </c>
      <c r="F1034" s="19">
        <f t="shared" si="386"/>
        <v>2840</v>
      </c>
      <c r="G1034" s="19">
        <v>3.61</v>
      </c>
      <c r="H1034" s="19">
        <f t="shared" si="387"/>
        <v>2563.1</v>
      </c>
      <c r="I1034" s="19">
        <f t="shared" si="388"/>
        <v>10252.4</v>
      </c>
      <c r="J1034" s="18">
        <f t="shared" si="389"/>
        <v>131458.15</v>
      </c>
    </row>
    <row r="1035" spans="1:10" x14ac:dyDescent="0.3">
      <c r="B1035" s="223">
        <v>45871</v>
      </c>
      <c r="C1035" s="367" t="s">
        <v>941</v>
      </c>
      <c r="D1035" s="366">
        <v>3</v>
      </c>
      <c r="E1035" s="19">
        <v>1030</v>
      </c>
      <c r="F1035" s="19">
        <f t="shared" si="386"/>
        <v>3090</v>
      </c>
      <c r="G1035" s="19">
        <v>3.61</v>
      </c>
      <c r="H1035" s="19">
        <f t="shared" si="387"/>
        <v>3718.2999999999997</v>
      </c>
      <c r="I1035" s="19">
        <f t="shared" si="388"/>
        <v>11154.9</v>
      </c>
      <c r="J1035" s="18">
        <f t="shared" si="389"/>
        <v>142613.04999999999</v>
      </c>
    </row>
    <row r="1036" spans="1:10" x14ac:dyDescent="0.3">
      <c r="B1036" s="223">
        <v>45871</v>
      </c>
      <c r="C1036" s="367" t="s">
        <v>987</v>
      </c>
      <c r="D1036" s="366">
        <v>14</v>
      </c>
      <c r="E1036" s="19">
        <v>35</v>
      </c>
      <c r="F1036" s="19">
        <f t="shared" si="386"/>
        <v>490</v>
      </c>
      <c r="G1036" s="19">
        <v>3.61</v>
      </c>
      <c r="H1036" s="19">
        <f t="shared" si="387"/>
        <v>126.35</v>
      </c>
      <c r="I1036" s="19">
        <f t="shared" si="388"/>
        <v>1768.8999999999999</v>
      </c>
      <c r="J1036" s="18">
        <f t="shared" si="389"/>
        <v>144381.94999999998</v>
      </c>
    </row>
    <row r="1038" spans="1:10" ht="21" x14ac:dyDescent="0.4">
      <c r="A1038" t="s">
        <v>127</v>
      </c>
      <c r="B1038" s="495" t="s">
        <v>391</v>
      </c>
      <c r="C1038" s="495"/>
      <c r="D1038" s="495"/>
      <c r="E1038" s="495"/>
      <c r="F1038" s="495"/>
      <c r="G1038" s="495"/>
      <c r="H1038" s="495"/>
      <c r="I1038" s="495"/>
      <c r="J1038" s="495"/>
    </row>
    <row r="1039" spans="1:10" ht="18" x14ac:dyDescent="0.35">
      <c r="B1039" s="373" t="s">
        <v>1</v>
      </c>
      <c r="C1039" s="373" t="s">
        <v>2</v>
      </c>
      <c r="D1039" s="373" t="s">
        <v>3</v>
      </c>
      <c r="E1039" s="373" t="s">
        <v>134</v>
      </c>
      <c r="F1039" s="373" t="s">
        <v>135</v>
      </c>
      <c r="G1039" s="373" t="s">
        <v>5</v>
      </c>
      <c r="H1039" s="373" t="s">
        <v>6</v>
      </c>
      <c r="I1039" s="373" t="s">
        <v>7</v>
      </c>
      <c r="J1039" s="373"/>
    </row>
    <row r="1040" spans="1:10" x14ac:dyDescent="0.3">
      <c r="B1040" s="82"/>
      <c r="C1040" s="81"/>
      <c r="D1040" s="19"/>
      <c r="E1040" s="19"/>
      <c r="F1040" s="19">
        <f>E1040*D1040</f>
        <v>0</v>
      </c>
      <c r="G1040" s="19"/>
      <c r="H1040" s="19">
        <f>E1040*G1040</f>
        <v>0</v>
      </c>
      <c r="I1040" s="19">
        <f>H1040*D1040</f>
        <v>0</v>
      </c>
      <c r="J1040" s="18"/>
    </row>
    <row r="1041" spans="1:10" x14ac:dyDescent="0.3">
      <c r="B1041" s="82">
        <v>45863</v>
      </c>
      <c r="C1041" s="81" t="s">
        <v>830</v>
      </c>
      <c r="D1041" s="19">
        <v>12</v>
      </c>
      <c r="E1041" s="19">
        <v>330</v>
      </c>
      <c r="F1041" s="19">
        <f t="shared" ref="F1041:F1053" si="390">E1041*D1041</f>
        <v>3960</v>
      </c>
      <c r="G1041" s="19">
        <v>3.61</v>
      </c>
      <c r="H1041" s="19">
        <f t="shared" ref="H1041:H1044" si="391">E1041*G1041</f>
        <v>1191.3</v>
      </c>
      <c r="I1041" s="19">
        <f t="shared" ref="I1041:I1044" si="392">H1041*D1041</f>
        <v>14295.599999999999</v>
      </c>
      <c r="J1041" s="18">
        <f>J1040+I1041</f>
        <v>14295.599999999999</v>
      </c>
    </row>
    <row r="1042" spans="1:10" x14ac:dyDescent="0.3">
      <c r="B1042" s="82">
        <v>45863</v>
      </c>
      <c r="C1042" s="81" t="s">
        <v>830</v>
      </c>
      <c r="D1042" s="19">
        <v>6</v>
      </c>
      <c r="E1042" s="19">
        <v>330</v>
      </c>
      <c r="F1042" s="19">
        <f t="shared" si="390"/>
        <v>1980</v>
      </c>
      <c r="G1042" s="19">
        <v>3.61</v>
      </c>
      <c r="H1042" s="19">
        <f t="shared" si="391"/>
        <v>1191.3</v>
      </c>
      <c r="I1042" s="19">
        <f t="shared" si="392"/>
        <v>7147.7999999999993</v>
      </c>
      <c r="J1042" s="18">
        <f t="shared" ref="J1042:J1054" si="393">J1041+I1042</f>
        <v>21443.399999999998</v>
      </c>
    </row>
    <row r="1043" spans="1:10" x14ac:dyDescent="0.3">
      <c r="B1043" s="82">
        <v>45863</v>
      </c>
      <c r="C1043" s="81" t="s">
        <v>828</v>
      </c>
      <c r="D1043" s="19">
        <v>14</v>
      </c>
      <c r="E1043" s="19">
        <v>590</v>
      </c>
      <c r="F1043" s="19">
        <f t="shared" si="390"/>
        <v>8260</v>
      </c>
      <c r="G1043" s="19">
        <v>3.61</v>
      </c>
      <c r="H1043" s="19">
        <f t="shared" si="391"/>
        <v>2129.9</v>
      </c>
      <c r="I1043" s="19">
        <f t="shared" si="392"/>
        <v>29818.600000000002</v>
      </c>
      <c r="J1043" s="18">
        <f t="shared" si="393"/>
        <v>51262</v>
      </c>
    </row>
    <row r="1044" spans="1:10" x14ac:dyDescent="0.3">
      <c r="B1044" s="82">
        <v>45863</v>
      </c>
      <c r="C1044" s="81" t="s">
        <v>829</v>
      </c>
      <c r="D1044" s="19">
        <v>21</v>
      </c>
      <c r="E1044" s="19">
        <v>390</v>
      </c>
      <c r="F1044" s="19">
        <f t="shared" si="390"/>
        <v>8190</v>
      </c>
      <c r="G1044" s="19">
        <v>3.61</v>
      </c>
      <c r="H1044" s="19">
        <f t="shared" si="391"/>
        <v>1407.8999999999999</v>
      </c>
      <c r="I1044" s="19">
        <f t="shared" si="392"/>
        <v>29565.899999999998</v>
      </c>
      <c r="J1044" s="18">
        <f t="shared" si="393"/>
        <v>80827.899999999994</v>
      </c>
    </row>
    <row r="1045" spans="1:10" x14ac:dyDescent="0.3">
      <c r="B1045" s="82">
        <v>45863</v>
      </c>
      <c r="C1045" s="81" t="s">
        <v>880</v>
      </c>
      <c r="D1045" s="19">
        <v>14</v>
      </c>
      <c r="E1045" s="19">
        <v>425</v>
      </c>
      <c r="F1045" s="19">
        <f t="shared" si="390"/>
        <v>5950</v>
      </c>
      <c r="G1045" s="19">
        <v>3.61</v>
      </c>
      <c r="H1045" s="19">
        <f t="shared" ref="H1045:H1047" si="394">E1045*G1045</f>
        <v>1534.25</v>
      </c>
      <c r="I1045" s="19">
        <f t="shared" ref="I1045:I1047" si="395">H1045*D1045</f>
        <v>21479.5</v>
      </c>
      <c r="J1045" s="18">
        <f t="shared" si="393"/>
        <v>102307.4</v>
      </c>
    </row>
    <row r="1046" spans="1:10" x14ac:dyDescent="0.3">
      <c r="B1046" s="82">
        <v>45863</v>
      </c>
      <c r="C1046" s="81" t="s">
        <v>989</v>
      </c>
      <c r="D1046" s="19">
        <v>5</v>
      </c>
      <c r="E1046" s="19">
        <v>470</v>
      </c>
      <c r="F1046" s="19">
        <f t="shared" si="390"/>
        <v>2350</v>
      </c>
      <c r="G1046" s="19">
        <v>3.61</v>
      </c>
      <c r="H1046" s="19">
        <f t="shared" si="394"/>
        <v>1696.7</v>
      </c>
      <c r="I1046" s="19">
        <f t="shared" si="395"/>
        <v>8483.5</v>
      </c>
      <c r="J1046" s="18">
        <f t="shared" si="393"/>
        <v>110790.9</v>
      </c>
    </row>
    <row r="1047" spans="1:10" x14ac:dyDescent="0.3">
      <c r="B1047" s="82">
        <v>45863</v>
      </c>
      <c r="C1047" s="81" t="s">
        <v>990</v>
      </c>
      <c r="D1047" s="19">
        <v>6</v>
      </c>
      <c r="E1047" s="19">
        <v>445</v>
      </c>
      <c r="F1047" s="19">
        <f t="shared" si="390"/>
        <v>2670</v>
      </c>
      <c r="G1047" s="19">
        <v>3.61</v>
      </c>
      <c r="H1047" s="19">
        <f t="shared" si="394"/>
        <v>1606.45</v>
      </c>
      <c r="I1047" s="19">
        <f t="shared" si="395"/>
        <v>9638.7000000000007</v>
      </c>
      <c r="J1047" s="18">
        <f t="shared" si="393"/>
        <v>120429.59999999999</v>
      </c>
    </row>
    <row r="1048" spans="1:10" x14ac:dyDescent="0.3">
      <c r="B1048" s="82">
        <v>45863</v>
      </c>
      <c r="C1048" s="81" t="s">
        <v>991</v>
      </c>
      <c r="D1048" s="19">
        <v>3</v>
      </c>
      <c r="E1048" s="19">
        <v>1000</v>
      </c>
      <c r="F1048" s="19">
        <f t="shared" si="390"/>
        <v>3000</v>
      </c>
      <c r="G1048" s="19">
        <v>3.61</v>
      </c>
      <c r="H1048" s="19">
        <f t="shared" ref="H1048:H1053" si="396">E1048*G1048</f>
        <v>3610</v>
      </c>
      <c r="I1048" s="19">
        <f t="shared" ref="I1048:I1053" si="397">H1048*D1048</f>
        <v>10830</v>
      </c>
      <c r="J1048" s="18">
        <f t="shared" si="393"/>
        <v>131259.59999999998</v>
      </c>
    </row>
    <row r="1049" spans="1:10" x14ac:dyDescent="0.3">
      <c r="B1049" s="82">
        <v>45863</v>
      </c>
      <c r="C1049" s="81" t="s">
        <v>992</v>
      </c>
      <c r="D1049" s="19">
        <v>1</v>
      </c>
      <c r="E1049" s="19">
        <v>470</v>
      </c>
      <c r="F1049" s="19">
        <f t="shared" si="390"/>
        <v>470</v>
      </c>
      <c r="G1049" s="19">
        <v>3.61</v>
      </c>
      <c r="H1049" s="19">
        <f t="shared" si="396"/>
        <v>1696.7</v>
      </c>
      <c r="I1049" s="19">
        <f t="shared" si="397"/>
        <v>1696.7</v>
      </c>
      <c r="J1049" s="18">
        <f t="shared" si="393"/>
        <v>132956.29999999999</v>
      </c>
    </row>
    <row r="1050" spans="1:10" x14ac:dyDescent="0.3">
      <c r="B1050" s="82">
        <v>45863</v>
      </c>
      <c r="C1050" s="81" t="s">
        <v>993</v>
      </c>
      <c r="D1050" s="19">
        <v>1</v>
      </c>
      <c r="E1050" s="19">
        <v>420</v>
      </c>
      <c r="F1050" s="19">
        <f t="shared" si="390"/>
        <v>420</v>
      </c>
      <c r="G1050" s="19">
        <v>3.61</v>
      </c>
      <c r="H1050" s="19">
        <f t="shared" si="396"/>
        <v>1516.2</v>
      </c>
      <c r="I1050" s="19">
        <f t="shared" si="397"/>
        <v>1516.2</v>
      </c>
      <c r="J1050" s="18">
        <f t="shared" si="393"/>
        <v>134472.5</v>
      </c>
    </row>
    <row r="1051" spans="1:10" x14ac:dyDescent="0.3">
      <c r="B1051" s="82">
        <v>45863</v>
      </c>
      <c r="C1051" s="81" t="s">
        <v>136</v>
      </c>
      <c r="D1051" s="19">
        <v>4</v>
      </c>
      <c r="E1051" s="19">
        <v>685</v>
      </c>
      <c r="F1051" s="19">
        <f t="shared" si="390"/>
        <v>2740</v>
      </c>
      <c r="G1051" s="19">
        <v>3.61</v>
      </c>
      <c r="H1051" s="19">
        <f t="shared" si="396"/>
        <v>2472.85</v>
      </c>
      <c r="I1051" s="19">
        <f t="shared" si="397"/>
        <v>9891.4</v>
      </c>
      <c r="J1051" s="18">
        <f t="shared" si="393"/>
        <v>144363.9</v>
      </c>
    </row>
    <row r="1052" spans="1:10" x14ac:dyDescent="0.3">
      <c r="B1052" s="82">
        <v>45863</v>
      </c>
      <c r="C1052" s="81" t="s">
        <v>1004</v>
      </c>
      <c r="D1052" s="19">
        <v>2</v>
      </c>
      <c r="E1052" s="19">
        <v>550</v>
      </c>
      <c r="F1052" s="19">
        <f t="shared" si="390"/>
        <v>1100</v>
      </c>
      <c r="G1052" s="19">
        <v>3.61</v>
      </c>
      <c r="H1052" s="19">
        <f t="shared" si="396"/>
        <v>1985.5</v>
      </c>
      <c r="I1052" s="19">
        <f t="shared" si="397"/>
        <v>3971</v>
      </c>
      <c r="J1052" s="18">
        <f t="shared" si="393"/>
        <v>148334.9</v>
      </c>
    </row>
    <row r="1053" spans="1:10" x14ac:dyDescent="0.3">
      <c r="B1053" s="82">
        <v>45863</v>
      </c>
      <c r="C1053" s="81" t="s">
        <v>1005</v>
      </c>
      <c r="D1053" s="19">
        <v>2</v>
      </c>
      <c r="E1053" s="19">
        <v>635</v>
      </c>
      <c r="F1053" s="19">
        <f t="shared" si="390"/>
        <v>1270</v>
      </c>
      <c r="G1053" s="19">
        <v>3.61</v>
      </c>
      <c r="H1053" s="19">
        <f t="shared" si="396"/>
        <v>2292.35</v>
      </c>
      <c r="I1053" s="19">
        <f t="shared" si="397"/>
        <v>4584.7</v>
      </c>
      <c r="J1053" s="18">
        <f t="shared" si="393"/>
        <v>152919.6</v>
      </c>
    </row>
    <row r="1054" spans="1:10" x14ac:dyDescent="0.3">
      <c r="J1054" s="18">
        <f t="shared" si="393"/>
        <v>152919.6</v>
      </c>
    </row>
    <row r="1056" spans="1:10" ht="21" x14ac:dyDescent="0.4">
      <c r="A1056" t="s">
        <v>127</v>
      </c>
      <c r="B1056" s="492" t="s">
        <v>20</v>
      </c>
      <c r="C1056" s="492"/>
      <c r="D1056" s="492"/>
      <c r="E1056" s="492"/>
      <c r="F1056" s="492"/>
      <c r="G1056" s="492"/>
      <c r="H1056" s="492"/>
      <c r="I1056" s="492"/>
      <c r="J1056" s="492"/>
    </row>
    <row r="1057" spans="1:10" ht="18" x14ac:dyDescent="0.35">
      <c r="A1057" t="s">
        <v>26</v>
      </c>
      <c r="B1057" s="4" t="s">
        <v>1</v>
      </c>
      <c r="C1057" s="4" t="s">
        <v>2</v>
      </c>
      <c r="D1057" s="4" t="s">
        <v>3</v>
      </c>
      <c r="E1057" s="4" t="s">
        <v>4</v>
      </c>
      <c r="F1057" s="4" t="s">
        <v>36</v>
      </c>
      <c r="G1057" s="4" t="s">
        <v>5</v>
      </c>
      <c r="H1057" s="4" t="s">
        <v>6</v>
      </c>
      <c r="I1057" s="4" t="s">
        <v>7</v>
      </c>
      <c r="J1057" s="4"/>
    </row>
    <row r="1058" spans="1:10" x14ac:dyDescent="0.3">
      <c r="B1058" s="82">
        <v>45869</v>
      </c>
      <c r="C1058" s="235" t="s">
        <v>1026</v>
      </c>
      <c r="D1058" s="19">
        <v>4</v>
      </c>
      <c r="E1058" s="382">
        <v>574</v>
      </c>
      <c r="F1058" s="19">
        <f>E1058*D1058</f>
        <v>2296</v>
      </c>
      <c r="G1058" s="19">
        <v>2.3774000000000002</v>
      </c>
      <c r="H1058" s="19">
        <f>E1058*G1058</f>
        <v>1364.6276</v>
      </c>
      <c r="I1058" s="19">
        <f>H1058*D1058</f>
        <v>5458.5104000000001</v>
      </c>
      <c r="J1058" s="18">
        <f>J1057+I1058</f>
        <v>5458.5104000000001</v>
      </c>
    </row>
    <row r="1059" spans="1:10" x14ac:dyDescent="0.3">
      <c r="B1059" s="104">
        <v>45869</v>
      </c>
      <c r="C1059" s="381" t="s">
        <v>1033</v>
      </c>
      <c r="D1059" s="310">
        <v>2</v>
      </c>
      <c r="E1059" s="310">
        <v>640</v>
      </c>
      <c r="F1059" s="310">
        <f t="shared" ref="F1059:F1066" si="398">E1059*D1059</f>
        <v>1280</v>
      </c>
      <c r="G1059" s="310">
        <v>2.3774000000000002</v>
      </c>
      <c r="H1059" s="310">
        <f t="shared" ref="H1059:H1066" si="399">E1059*G1059</f>
        <v>1521.5360000000001</v>
      </c>
      <c r="I1059" s="310">
        <f t="shared" ref="I1059:I1066" si="400">H1059*D1059</f>
        <v>3043.0720000000001</v>
      </c>
      <c r="J1059" s="95">
        <f t="shared" ref="J1059:J1066" si="401">J1058+I1059</f>
        <v>8501.5823999999993</v>
      </c>
    </row>
    <row r="1060" spans="1:10" x14ac:dyDescent="0.3">
      <c r="B1060" s="82">
        <v>45869</v>
      </c>
      <c r="C1060" s="235" t="s">
        <v>1027</v>
      </c>
      <c r="D1060" s="19">
        <v>2</v>
      </c>
      <c r="E1060" s="382">
        <v>714</v>
      </c>
      <c r="F1060" s="19">
        <f t="shared" si="398"/>
        <v>1428</v>
      </c>
      <c r="G1060" s="19">
        <v>2.3774000000000002</v>
      </c>
      <c r="H1060" s="19">
        <f t="shared" si="399"/>
        <v>1697.4636</v>
      </c>
      <c r="I1060" s="19">
        <f t="shared" si="400"/>
        <v>3394.9272000000001</v>
      </c>
      <c r="J1060" s="18">
        <f t="shared" si="401"/>
        <v>11896.509599999999</v>
      </c>
    </row>
    <row r="1061" spans="1:10" x14ac:dyDescent="0.3">
      <c r="B1061" s="82">
        <v>45869</v>
      </c>
      <c r="C1061" s="235" t="s">
        <v>1028</v>
      </c>
      <c r="D1061" s="19">
        <v>2</v>
      </c>
      <c r="E1061" s="382">
        <v>574</v>
      </c>
      <c r="F1061" s="19">
        <f t="shared" si="398"/>
        <v>1148</v>
      </c>
      <c r="G1061" s="19">
        <v>2.3774000000000002</v>
      </c>
      <c r="H1061" s="19">
        <f t="shared" si="399"/>
        <v>1364.6276</v>
      </c>
      <c r="I1061" s="19">
        <f t="shared" si="400"/>
        <v>2729.2552000000001</v>
      </c>
      <c r="J1061" s="18">
        <f t="shared" si="401"/>
        <v>14625.764799999999</v>
      </c>
    </row>
    <row r="1062" spans="1:10" x14ac:dyDescent="0.3">
      <c r="B1062" s="82">
        <v>45869</v>
      </c>
      <c r="C1062" s="235" t="s">
        <v>1029</v>
      </c>
      <c r="D1062" s="19">
        <v>2</v>
      </c>
      <c r="E1062" s="382">
        <v>549</v>
      </c>
      <c r="F1062" s="19">
        <f t="shared" si="398"/>
        <v>1098</v>
      </c>
      <c r="G1062" s="19">
        <v>2.3774000000000002</v>
      </c>
      <c r="H1062" s="19">
        <f t="shared" si="399"/>
        <v>1305.1926000000001</v>
      </c>
      <c r="I1062" s="19">
        <f t="shared" si="400"/>
        <v>2610.3852000000002</v>
      </c>
      <c r="J1062" s="18">
        <f t="shared" si="401"/>
        <v>17236.149999999998</v>
      </c>
    </row>
    <row r="1063" spans="1:10" x14ac:dyDescent="0.3">
      <c r="B1063" s="82">
        <v>45869</v>
      </c>
      <c r="C1063" s="235" t="s">
        <v>1034</v>
      </c>
      <c r="D1063" s="19">
        <v>6</v>
      </c>
      <c r="E1063" s="382">
        <v>87</v>
      </c>
      <c r="F1063" s="19">
        <f t="shared" si="398"/>
        <v>522</v>
      </c>
      <c r="G1063" s="19">
        <v>2.3774000000000002</v>
      </c>
      <c r="H1063" s="19">
        <f t="shared" si="399"/>
        <v>206.83380000000002</v>
      </c>
      <c r="I1063" s="19">
        <f t="shared" si="400"/>
        <v>1241.0028000000002</v>
      </c>
      <c r="J1063" s="18">
        <f t="shared" si="401"/>
        <v>18477.152799999996</v>
      </c>
    </row>
    <row r="1064" spans="1:10" x14ac:dyDescent="0.3">
      <c r="B1064" s="82">
        <v>45869</v>
      </c>
      <c r="C1064" s="235" t="s">
        <v>1031</v>
      </c>
      <c r="D1064" s="19">
        <v>4</v>
      </c>
      <c r="E1064" s="382">
        <v>51</v>
      </c>
      <c r="F1064" s="19">
        <f t="shared" si="398"/>
        <v>204</v>
      </c>
      <c r="G1064" s="19">
        <v>2.3774000000000002</v>
      </c>
      <c r="H1064" s="19">
        <f t="shared" si="399"/>
        <v>121.24740000000001</v>
      </c>
      <c r="I1064" s="19">
        <f t="shared" si="400"/>
        <v>484.98960000000005</v>
      </c>
      <c r="J1064" s="18">
        <f t="shared" si="401"/>
        <v>18962.142399999997</v>
      </c>
    </row>
    <row r="1065" spans="1:10" x14ac:dyDescent="0.3">
      <c r="B1065" s="82">
        <v>45869</v>
      </c>
      <c r="C1065" s="235" t="s">
        <v>1032</v>
      </c>
      <c r="D1065" s="19">
        <v>7</v>
      </c>
      <c r="E1065" s="382">
        <v>19</v>
      </c>
      <c r="F1065" s="19">
        <f t="shared" si="398"/>
        <v>133</v>
      </c>
      <c r="G1065" s="19">
        <v>2.3774000000000002</v>
      </c>
      <c r="H1065" s="19">
        <f t="shared" si="399"/>
        <v>45.1706</v>
      </c>
      <c r="I1065" s="19">
        <f t="shared" si="400"/>
        <v>316.19420000000002</v>
      </c>
      <c r="J1065" s="18">
        <f t="shared" si="401"/>
        <v>19278.336599999999</v>
      </c>
    </row>
    <row r="1066" spans="1:10" x14ac:dyDescent="0.3">
      <c r="B1066" s="19"/>
      <c r="C1066" s="19"/>
      <c r="D1066" s="19"/>
      <c r="E1066" s="19"/>
      <c r="F1066" s="19">
        <f t="shared" si="398"/>
        <v>0</v>
      </c>
      <c r="G1066" s="19"/>
      <c r="H1066" s="19">
        <f t="shared" si="399"/>
        <v>0</v>
      </c>
      <c r="I1066" s="19">
        <f t="shared" si="400"/>
        <v>0</v>
      </c>
      <c r="J1066" s="18">
        <f t="shared" si="401"/>
        <v>19278.336599999999</v>
      </c>
    </row>
    <row r="1069" spans="1:10" ht="21" x14ac:dyDescent="0.4">
      <c r="A1069" t="s">
        <v>127</v>
      </c>
      <c r="B1069" s="492" t="s">
        <v>35</v>
      </c>
      <c r="C1069" s="492"/>
      <c r="D1069" s="492"/>
      <c r="E1069" s="492"/>
      <c r="F1069" s="492"/>
      <c r="G1069" s="492"/>
      <c r="H1069" s="492"/>
      <c r="I1069" s="492"/>
      <c r="J1069" s="492"/>
    </row>
    <row r="1070" spans="1:10" ht="18" x14ac:dyDescent="0.35">
      <c r="A1070" t="s">
        <v>26</v>
      </c>
      <c r="B1070" s="4" t="s">
        <v>1</v>
      </c>
      <c r="C1070" s="4" t="s">
        <v>2</v>
      </c>
      <c r="D1070" s="4" t="s">
        <v>3</v>
      </c>
      <c r="E1070" s="4" t="s">
        <v>148</v>
      </c>
      <c r="F1070" s="4" t="s">
        <v>147</v>
      </c>
      <c r="G1070" s="4" t="s">
        <v>5</v>
      </c>
      <c r="H1070" s="4" t="s">
        <v>6</v>
      </c>
      <c r="I1070" s="4" t="s">
        <v>7</v>
      </c>
      <c r="J1070" s="4"/>
    </row>
    <row r="1071" spans="1:10" x14ac:dyDescent="0.3">
      <c r="B1071" s="97">
        <v>45864</v>
      </c>
      <c r="C1071" s="109" t="s">
        <v>1035</v>
      </c>
      <c r="D1071" s="126">
        <v>10</v>
      </c>
      <c r="E1071" s="126">
        <v>738</v>
      </c>
      <c r="F1071" s="126">
        <f>E1071*D1071</f>
        <v>7380</v>
      </c>
      <c r="G1071" s="126">
        <v>2.23</v>
      </c>
      <c r="H1071" s="126">
        <f>E1071*G1071</f>
        <v>1645.74</v>
      </c>
      <c r="I1071" s="126">
        <f>H1071*D1071</f>
        <v>16457.400000000001</v>
      </c>
      <c r="J1071" s="109">
        <f>J1070+I1071</f>
        <v>16457.400000000001</v>
      </c>
    </row>
    <row r="1072" spans="1:10" x14ac:dyDescent="0.3">
      <c r="B1072" s="97">
        <v>45864</v>
      </c>
      <c r="C1072" s="109" t="s">
        <v>1036</v>
      </c>
      <c r="D1072" s="126">
        <v>10</v>
      </c>
      <c r="E1072" s="126">
        <v>738</v>
      </c>
      <c r="F1072" s="126">
        <f>E1072*D1072</f>
        <v>7380</v>
      </c>
      <c r="G1072" s="126">
        <v>2.23</v>
      </c>
      <c r="H1072" s="126">
        <f>E1072*G1072</f>
        <v>1645.74</v>
      </c>
      <c r="I1072" s="126">
        <f>H1072*D1072</f>
        <v>16457.400000000001</v>
      </c>
      <c r="J1072" s="109">
        <f t="shared" ref="J1072:J1078" si="402">J1071+I1072</f>
        <v>32914.800000000003</v>
      </c>
    </row>
    <row r="1073" spans="1:10" x14ac:dyDescent="0.3">
      <c r="B1073" s="82"/>
      <c r="C1073" s="18"/>
      <c r="D1073" s="19"/>
      <c r="E1073" s="19"/>
      <c r="F1073" s="19">
        <f>E1073*D1073</f>
        <v>0</v>
      </c>
      <c r="G1073" s="19">
        <v>2.23</v>
      </c>
      <c r="H1073" s="19">
        <f>E1073*G1073</f>
        <v>0</v>
      </c>
      <c r="I1073" s="19">
        <f>H1073*D1073</f>
        <v>0</v>
      </c>
      <c r="J1073" s="18">
        <f t="shared" si="402"/>
        <v>32914.800000000003</v>
      </c>
    </row>
    <row r="1074" spans="1:10" x14ac:dyDescent="0.3">
      <c r="B1074" s="82"/>
      <c r="C1074" s="18"/>
      <c r="D1074" s="19"/>
      <c r="E1074" s="19"/>
      <c r="F1074" s="19">
        <f>E1074*D1074</f>
        <v>0</v>
      </c>
      <c r="G1074" s="19">
        <v>2.23</v>
      </c>
      <c r="H1074" s="19">
        <f>E1074*G1074</f>
        <v>0</v>
      </c>
      <c r="I1074" s="19">
        <f>H1074*D1074</f>
        <v>0</v>
      </c>
      <c r="J1074" s="18">
        <f t="shared" si="402"/>
        <v>32914.800000000003</v>
      </c>
    </row>
    <row r="1075" spans="1:10" x14ac:dyDescent="0.3">
      <c r="B1075" s="82"/>
      <c r="C1075" s="18"/>
      <c r="D1075" s="383"/>
      <c r="E1075" s="383"/>
      <c r="F1075" s="19">
        <f>E1075*D1075</f>
        <v>0</v>
      </c>
      <c r="G1075" s="19">
        <v>2.23</v>
      </c>
      <c r="H1075" s="19">
        <f>E1075*G1075</f>
        <v>0</v>
      </c>
      <c r="I1075" s="19">
        <f>H1075*D1075</f>
        <v>0</v>
      </c>
      <c r="J1075" s="18">
        <f t="shared" si="402"/>
        <v>32914.800000000003</v>
      </c>
    </row>
    <row r="1076" spans="1:10" x14ac:dyDescent="0.3">
      <c r="B1076" s="19"/>
      <c r="C1076" s="81"/>
      <c r="D1076" s="19"/>
      <c r="E1076" s="19"/>
      <c r="F1076" s="19">
        <f t="shared" ref="F1076:F1078" si="403">E1076*D1076</f>
        <v>0</v>
      </c>
      <c r="G1076" s="19">
        <v>2.23</v>
      </c>
      <c r="H1076" s="19">
        <f t="shared" ref="H1076:H1078" si="404">E1076*G1076</f>
        <v>0</v>
      </c>
      <c r="I1076" s="19">
        <f t="shared" ref="I1076:I1078" si="405">H1076*D1076</f>
        <v>0</v>
      </c>
      <c r="J1076" s="18">
        <f t="shared" si="402"/>
        <v>32914.800000000003</v>
      </c>
    </row>
    <row r="1077" spans="1:10" x14ac:dyDescent="0.3">
      <c r="B1077" s="19"/>
      <c r="C1077" s="19"/>
      <c r="D1077" s="19"/>
      <c r="E1077" s="19"/>
      <c r="F1077" s="19">
        <f t="shared" si="403"/>
        <v>0</v>
      </c>
      <c r="G1077" s="19"/>
      <c r="H1077" s="19">
        <f t="shared" si="404"/>
        <v>0</v>
      </c>
      <c r="I1077" s="19">
        <f t="shared" si="405"/>
        <v>0</v>
      </c>
      <c r="J1077" s="18">
        <f t="shared" si="402"/>
        <v>32914.800000000003</v>
      </c>
    </row>
    <row r="1078" spans="1:10" x14ac:dyDescent="0.3">
      <c r="B1078" s="19"/>
      <c r="C1078" s="19"/>
      <c r="D1078" s="19"/>
      <c r="E1078" s="19"/>
      <c r="F1078" s="19">
        <f t="shared" si="403"/>
        <v>0</v>
      </c>
      <c r="G1078" s="19"/>
      <c r="H1078" s="19">
        <f t="shared" si="404"/>
        <v>0</v>
      </c>
      <c r="I1078" s="19">
        <f t="shared" si="405"/>
        <v>0</v>
      </c>
      <c r="J1078" s="18">
        <f t="shared" si="402"/>
        <v>32914.800000000003</v>
      </c>
    </row>
    <row r="1082" spans="1:10" ht="21" x14ac:dyDescent="0.4">
      <c r="A1082" t="s">
        <v>127</v>
      </c>
      <c r="B1082" s="492" t="s">
        <v>20</v>
      </c>
      <c r="C1082" s="492"/>
      <c r="D1082" s="492"/>
      <c r="E1082" s="492"/>
      <c r="F1082" s="492"/>
      <c r="G1082" s="492"/>
      <c r="H1082" s="492"/>
      <c r="I1082" s="492"/>
      <c r="J1082" s="492"/>
    </row>
    <row r="1083" spans="1:10" ht="18" x14ac:dyDescent="0.35">
      <c r="A1083" t="s">
        <v>26</v>
      </c>
      <c r="B1083" s="4" t="s">
        <v>1</v>
      </c>
      <c r="C1083" s="4" t="s">
        <v>2</v>
      </c>
      <c r="D1083" s="4" t="s">
        <v>3</v>
      </c>
      <c r="E1083" s="4" t="s">
        <v>4</v>
      </c>
      <c r="F1083" s="4" t="s">
        <v>36</v>
      </c>
      <c r="G1083" s="4" t="s">
        <v>5</v>
      </c>
      <c r="H1083" s="4" t="s">
        <v>6</v>
      </c>
      <c r="I1083" s="4" t="s">
        <v>7</v>
      </c>
      <c r="J1083" s="4"/>
    </row>
    <row r="1084" spans="1:10" x14ac:dyDescent="0.3">
      <c r="B1084" s="82">
        <v>45873</v>
      </c>
      <c r="C1084" s="18" t="s">
        <v>1041</v>
      </c>
      <c r="D1084" s="19">
        <v>1</v>
      </c>
      <c r="E1084" s="19">
        <v>285</v>
      </c>
      <c r="F1084" s="19">
        <f>E1084*D1084</f>
        <v>285</v>
      </c>
      <c r="G1084" s="19">
        <v>2.3774000000000002</v>
      </c>
      <c r="H1084" s="19">
        <f>E1084*G1084</f>
        <v>677.55900000000008</v>
      </c>
      <c r="I1084" s="19">
        <f>H1084*D1084</f>
        <v>677.55900000000008</v>
      </c>
      <c r="J1084" s="18">
        <f>J1083+I1084</f>
        <v>677.55900000000008</v>
      </c>
    </row>
    <row r="1085" spans="1:10" x14ac:dyDescent="0.3">
      <c r="B1085" s="82">
        <v>45873</v>
      </c>
      <c r="C1085" s="18" t="s">
        <v>1041</v>
      </c>
      <c r="D1085" s="19">
        <v>2</v>
      </c>
      <c r="E1085" s="19">
        <v>285</v>
      </c>
      <c r="F1085" s="19">
        <f t="shared" ref="F1085:F1092" si="406">E1085*D1085</f>
        <v>570</v>
      </c>
      <c r="G1085" s="19">
        <v>2.3774000000000002</v>
      </c>
      <c r="H1085" s="19">
        <f t="shared" ref="H1085:H1092" si="407">E1085*G1085</f>
        <v>677.55900000000008</v>
      </c>
      <c r="I1085" s="19">
        <f t="shared" ref="I1085:I1092" si="408">H1085*D1085</f>
        <v>1355.1180000000002</v>
      </c>
      <c r="J1085" s="18">
        <f t="shared" ref="J1085:J1092" si="409">J1084+I1085</f>
        <v>2032.6770000000001</v>
      </c>
    </row>
    <row r="1086" spans="1:10" x14ac:dyDescent="0.3">
      <c r="B1086" s="82">
        <v>45875</v>
      </c>
      <c r="C1086" s="18" t="s">
        <v>1042</v>
      </c>
      <c r="D1086" s="19">
        <v>1</v>
      </c>
      <c r="E1086" s="19">
        <v>274</v>
      </c>
      <c r="F1086" s="19">
        <f t="shared" si="406"/>
        <v>274</v>
      </c>
      <c r="G1086" s="19">
        <v>2.3774000000000002</v>
      </c>
      <c r="H1086" s="19">
        <f t="shared" si="407"/>
        <v>651.4076</v>
      </c>
      <c r="I1086" s="19">
        <f t="shared" si="408"/>
        <v>651.4076</v>
      </c>
      <c r="J1086" s="18">
        <f t="shared" si="409"/>
        <v>2684.0846000000001</v>
      </c>
    </row>
    <row r="1087" spans="1:10" x14ac:dyDescent="0.3">
      <c r="B1087" s="97">
        <v>45876</v>
      </c>
      <c r="C1087" s="109" t="s">
        <v>1046</v>
      </c>
      <c r="D1087" s="126">
        <v>30</v>
      </c>
      <c r="E1087" s="126">
        <v>274</v>
      </c>
      <c r="F1087" s="126">
        <f t="shared" si="406"/>
        <v>8220</v>
      </c>
      <c r="G1087" s="126">
        <v>2.3774000000000002</v>
      </c>
      <c r="H1087" s="126">
        <f t="shared" si="407"/>
        <v>651.4076</v>
      </c>
      <c r="I1087" s="126">
        <f t="shared" si="408"/>
        <v>19542.227999999999</v>
      </c>
      <c r="J1087" s="109">
        <f t="shared" si="409"/>
        <v>22226.312599999997</v>
      </c>
    </row>
    <row r="1088" spans="1:10" x14ac:dyDescent="0.3">
      <c r="B1088" s="82">
        <v>45880</v>
      </c>
      <c r="C1088" s="18" t="s">
        <v>1043</v>
      </c>
      <c r="D1088" s="19">
        <v>4</v>
      </c>
      <c r="E1088" s="19">
        <v>274</v>
      </c>
      <c r="F1088" s="19">
        <f t="shared" si="406"/>
        <v>1096</v>
      </c>
      <c r="G1088" s="19">
        <v>2.3774000000000002</v>
      </c>
      <c r="H1088" s="19">
        <f t="shared" si="407"/>
        <v>651.4076</v>
      </c>
      <c r="I1088" s="19">
        <f t="shared" si="408"/>
        <v>2605.6304</v>
      </c>
      <c r="J1088" s="18">
        <f t="shared" si="409"/>
        <v>24831.942999999999</v>
      </c>
    </row>
    <row r="1089" spans="1:10" x14ac:dyDescent="0.3">
      <c r="B1089" s="82">
        <v>45880</v>
      </c>
      <c r="C1089" s="18" t="s">
        <v>1044</v>
      </c>
      <c r="D1089" s="19">
        <v>4</v>
      </c>
      <c r="E1089" s="19">
        <v>274</v>
      </c>
      <c r="F1089" s="19">
        <f t="shared" si="406"/>
        <v>1096</v>
      </c>
      <c r="G1089" s="19">
        <v>2.3774000000000002</v>
      </c>
      <c r="H1089" s="19">
        <f t="shared" si="407"/>
        <v>651.4076</v>
      </c>
      <c r="I1089" s="19">
        <f t="shared" si="408"/>
        <v>2605.6304</v>
      </c>
      <c r="J1089" s="18">
        <f t="shared" si="409"/>
        <v>27437.573400000001</v>
      </c>
    </row>
    <row r="1090" spans="1:10" x14ac:dyDescent="0.3">
      <c r="B1090" s="82">
        <v>45880</v>
      </c>
      <c r="C1090" s="18" t="s">
        <v>1045</v>
      </c>
      <c r="D1090" s="19">
        <v>2</v>
      </c>
      <c r="E1090" s="19">
        <v>274</v>
      </c>
      <c r="F1090" s="19">
        <f t="shared" si="406"/>
        <v>548</v>
      </c>
      <c r="G1090" s="19">
        <v>2.3774000000000002</v>
      </c>
      <c r="H1090" s="19">
        <f t="shared" si="407"/>
        <v>651.4076</v>
      </c>
      <c r="I1090" s="19">
        <f t="shared" si="408"/>
        <v>1302.8152</v>
      </c>
      <c r="J1090" s="18">
        <f t="shared" si="409"/>
        <v>28740.388600000002</v>
      </c>
    </row>
    <row r="1091" spans="1:10" x14ac:dyDescent="0.3">
      <c r="B1091" s="19"/>
      <c r="C1091" s="19"/>
      <c r="D1091" s="19"/>
      <c r="E1091" s="19"/>
      <c r="F1091" s="19">
        <f t="shared" si="406"/>
        <v>0</v>
      </c>
      <c r="G1091" s="19"/>
      <c r="H1091" s="19">
        <f t="shared" si="407"/>
        <v>0</v>
      </c>
      <c r="I1091" s="19">
        <f t="shared" si="408"/>
        <v>0</v>
      </c>
      <c r="J1091" s="18">
        <f t="shared" si="409"/>
        <v>28740.388600000002</v>
      </c>
    </row>
    <row r="1092" spans="1:10" x14ac:dyDescent="0.3">
      <c r="B1092" s="19"/>
      <c r="C1092" s="19"/>
      <c r="D1092" s="19"/>
      <c r="E1092" s="19"/>
      <c r="F1092" s="19">
        <f t="shared" si="406"/>
        <v>0</v>
      </c>
      <c r="G1092" s="19"/>
      <c r="H1092" s="19">
        <f t="shared" si="407"/>
        <v>0</v>
      </c>
      <c r="I1092" s="19">
        <f t="shared" si="408"/>
        <v>0</v>
      </c>
      <c r="J1092" s="18">
        <f t="shared" si="409"/>
        <v>28740.388600000002</v>
      </c>
    </row>
    <row r="1095" spans="1:10" ht="21" x14ac:dyDescent="0.4">
      <c r="A1095" t="s">
        <v>127</v>
      </c>
      <c r="B1095" s="492" t="s">
        <v>35</v>
      </c>
      <c r="C1095" s="492"/>
      <c r="D1095" s="492"/>
      <c r="E1095" s="492"/>
      <c r="F1095" s="492"/>
      <c r="G1095" s="492"/>
      <c r="H1095" s="492"/>
      <c r="I1095" s="492"/>
      <c r="J1095" s="492"/>
    </row>
    <row r="1096" spans="1:10" ht="18" x14ac:dyDescent="0.35">
      <c r="A1096" t="s">
        <v>26</v>
      </c>
      <c r="B1096" s="4" t="s">
        <v>1</v>
      </c>
      <c r="C1096" s="4" t="s">
        <v>2</v>
      </c>
      <c r="D1096" s="4" t="s">
        <v>3</v>
      </c>
      <c r="E1096" s="4" t="s">
        <v>4</v>
      </c>
      <c r="F1096" s="4" t="s">
        <v>36</v>
      </c>
      <c r="G1096" s="4" t="s">
        <v>5</v>
      </c>
      <c r="H1096" s="4" t="s">
        <v>6</v>
      </c>
      <c r="I1096" s="4" t="s">
        <v>7</v>
      </c>
      <c r="J1096" s="4"/>
    </row>
    <row r="1097" spans="1:10" x14ac:dyDescent="0.3">
      <c r="B1097" s="97">
        <v>45873</v>
      </c>
      <c r="C1097" s="109" t="s">
        <v>1060</v>
      </c>
      <c r="D1097" s="126">
        <v>50</v>
      </c>
      <c r="E1097" s="146">
        <v>329</v>
      </c>
      <c r="F1097" s="126">
        <f>E1097*D1097</f>
        <v>16450</v>
      </c>
      <c r="G1097" s="126">
        <v>2.23</v>
      </c>
      <c r="H1097" s="126">
        <f>E1097*G1097</f>
        <v>733.67</v>
      </c>
      <c r="I1097" s="126">
        <f>H1097*D1097</f>
        <v>36683.5</v>
      </c>
      <c r="J1097" s="109">
        <f>J1096+I1097</f>
        <v>36683.5</v>
      </c>
    </row>
    <row r="1098" spans="1:10" x14ac:dyDescent="0.3">
      <c r="B1098" s="82">
        <v>45874</v>
      </c>
      <c r="C1098" s="18" t="s">
        <v>1048</v>
      </c>
      <c r="D1098" s="19">
        <v>1</v>
      </c>
      <c r="E1098" s="145">
        <v>1449</v>
      </c>
      <c r="F1098" s="19">
        <f t="shared" ref="F1098:F1112" si="410">E1098*D1098</f>
        <v>1449</v>
      </c>
      <c r="G1098" s="19">
        <v>2.23</v>
      </c>
      <c r="H1098" s="19">
        <f t="shared" ref="H1098:H1105" si="411">E1098*G1098</f>
        <v>3231.27</v>
      </c>
      <c r="I1098" s="19">
        <f t="shared" ref="I1098:I1105" si="412">H1098*D1098</f>
        <v>3231.27</v>
      </c>
      <c r="J1098" s="18">
        <f t="shared" ref="J1098:J1105" si="413">J1097+I1098</f>
        <v>39914.769999999997</v>
      </c>
    </row>
    <row r="1099" spans="1:10" x14ac:dyDescent="0.3">
      <c r="B1099" s="82">
        <v>45874</v>
      </c>
      <c r="C1099" s="18" t="s">
        <v>1049</v>
      </c>
      <c r="D1099" s="19">
        <v>1</v>
      </c>
      <c r="E1099" s="145">
        <v>1449</v>
      </c>
      <c r="F1099" s="19">
        <f t="shared" si="410"/>
        <v>1449</v>
      </c>
      <c r="G1099" s="19">
        <v>2.23</v>
      </c>
      <c r="H1099" s="19">
        <f t="shared" si="411"/>
        <v>3231.27</v>
      </c>
      <c r="I1099" s="19">
        <f t="shared" si="412"/>
        <v>3231.27</v>
      </c>
      <c r="J1099" s="18">
        <f t="shared" si="413"/>
        <v>43146.039999999994</v>
      </c>
    </row>
    <row r="1100" spans="1:10" x14ac:dyDescent="0.3">
      <c r="B1100" s="82">
        <v>45874</v>
      </c>
      <c r="C1100" s="18" t="s">
        <v>1050</v>
      </c>
      <c r="D1100" s="19">
        <v>2</v>
      </c>
      <c r="E1100" s="145">
        <v>1449</v>
      </c>
      <c r="F1100" s="19">
        <f t="shared" si="410"/>
        <v>2898</v>
      </c>
      <c r="G1100" s="19">
        <v>2.23</v>
      </c>
      <c r="H1100" s="19">
        <f t="shared" si="411"/>
        <v>3231.27</v>
      </c>
      <c r="I1100" s="19">
        <f t="shared" si="412"/>
        <v>6462.54</v>
      </c>
      <c r="J1100" s="18">
        <f t="shared" si="413"/>
        <v>49608.579999999994</v>
      </c>
    </row>
    <row r="1101" spans="1:10" x14ac:dyDescent="0.3">
      <c r="B1101" s="82">
        <v>45876</v>
      </c>
      <c r="C1101" s="18" t="s">
        <v>1051</v>
      </c>
      <c r="D1101" s="19">
        <v>4</v>
      </c>
      <c r="E1101" s="19">
        <v>299</v>
      </c>
      <c r="F1101" s="19">
        <f t="shared" si="410"/>
        <v>1196</v>
      </c>
      <c r="G1101" s="19">
        <v>2.23</v>
      </c>
      <c r="H1101" s="19">
        <f t="shared" si="411"/>
        <v>666.77</v>
      </c>
      <c r="I1101" s="19">
        <f t="shared" si="412"/>
        <v>2667.08</v>
      </c>
      <c r="J1101" s="18">
        <f t="shared" si="413"/>
        <v>52275.659999999996</v>
      </c>
    </row>
    <row r="1102" spans="1:10" x14ac:dyDescent="0.3">
      <c r="B1102" s="82">
        <v>45876</v>
      </c>
      <c r="C1102" s="18" t="s">
        <v>1052</v>
      </c>
      <c r="D1102" s="19">
        <v>2</v>
      </c>
      <c r="E1102" s="19">
        <v>299</v>
      </c>
      <c r="F1102" s="19">
        <f t="shared" si="410"/>
        <v>598</v>
      </c>
      <c r="G1102" s="19">
        <v>2.23</v>
      </c>
      <c r="H1102" s="19">
        <f t="shared" si="411"/>
        <v>666.77</v>
      </c>
      <c r="I1102" s="19">
        <f t="shared" si="412"/>
        <v>1333.54</v>
      </c>
      <c r="J1102" s="18">
        <f t="shared" si="413"/>
        <v>53609.2</v>
      </c>
    </row>
    <row r="1103" spans="1:10" x14ac:dyDescent="0.3">
      <c r="B1103" s="82">
        <v>45876</v>
      </c>
      <c r="C1103" s="18" t="s">
        <v>1053</v>
      </c>
      <c r="D1103" s="19">
        <v>2</v>
      </c>
      <c r="E1103" s="19">
        <v>299</v>
      </c>
      <c r="F1103" s="19">
        <f t="shared" si="410"/>
        <v>598</v>
      </c>
      <c r="G1103" s="19">
        <v>2.23</v>
      </c>
      <c r="H1103" s="19">
        <f t="shared" si="411"/>
        <v>666.77</v>
      </c>
      <c r="I1103" s="19">
        <f t="shared" si="412"/>
        <v>1333.54</v>
      </c>
      <c r="J1103" s="18">
        <f t="shared" si="413"/>
        <v>54942.74</v>
      </c>
    </row>
    <row r="1104" spans="1:10" x14ac:dyDescent="0.3">
      <c r="B1104" s="82">
        <v>45876</v>
      </c>
      <c r="C1104" s="18" t="s">
        <v>1054</v>
      </c>
      <c r="D1104" s="19">
        <v>7</v>
      </c>
      <c r="E1104" s="19">
        <v>299</v>
      </c>
      <c r="F1104" s="19">
        <f t="shared" si="410"/>
        <v>2093</v>
      </c>
      <c r="G1104" s="19">
        <v>2.23</v>
      </c>
      <c r="H1104" s="19">
        <f t="shared" si="411"/>
        <v>666.77</v>
      </c>
      <c r="I1104" s="19">
        <f t="shared" si="412"/>
        <v>4667.3899999999994</v>
      </c>
      <c r="J1104" s="18">
        <f t="shared" si="413"/>
        <v>59610.13</v>
      </c>
    </row>
    <row r="1105" spans="1:10" x14ac:dyDescent="0.3">
      <c r="B1105" s="82">
        <v>45876</v>
      </c>
      <c r="C1105" s="18" t="s">
        <v>1055</v>
      </c>
      <c r="D1105" s="19">
        <v>8</v>
      </c>
      <c r="E1105" s="19">
        <v>299</v>
      </c>
      <c r="F1105" s="19">
        <f t="shared" si="410"/>
        <v>2392</v>
      </c>
      <c r="G1105" s="19">
        <v>2.23</v>
      </c>
      <c r="H1105" s="19">
        <f t="shared" si="411"/>
        <v>666.77</v>
      </c>
      <c r="I1105" s="19">
        <f t="shared" si="412"/>
        <v>5334.16</v>
      </c>
      <c r="J1105" s="18">
        <f t="shared" si="413"/>
        <v>64944.289999999994</v>
      </c>
    </row>
    <row r="1106" spans="1:10" x14ac:dyDescent="0.3">
      <c r="B1106" s="82">
        <v>45876</v>
      </c>
      <c r="C1106" s="18" t="s">
        <v>1056</v>
      </c>
      <c r="D1106" s="19">
        <v>20</v>
      </c>
      <c r="E1106" s="19">
        <v>299</v>
      </c>
      <c r="F1106" s="19">
        <f t="shared" si="410"/>
        <v>5980</v>
      </c>
      <c r="G1106" s="19">
        <v>2.23</v>
      </c>
      <c r="H1106" s="19">
        <f t="shared" ref="H1106:H1112" si="414">E1106*G1106</f>
        <v>666.77</v>
      </c>
      <c r="I1106" s="19">
        <f t="shared" ref="I1106:I1112" si="415">H1106*D1106</f>
        <v>13335.4</v>
      </c>
      <c r="J1106" s="18">
        <f t="shared" ref="J1106:J1112" si="416">J1105+I1106</f>
        <v>78279.689999999988</v>
      </c>
    </row>
    <row r="1107" spans="1:10" x14ac:dyDescent="0.3">
      <c r="B1107" s="82">
        <v>45876</v>
      </c>
      <c r="C1107" s="18" t="s">
        <v>1057</v>
      </c>
      <c r="D1107" s="19">
        <v>26</v>
      </c>
      <c r="E1107" s="19">
        <v>299</v>
      </c>
      <c r="F1107" s="19">
        <f t="shared" si="410"/>
        <v>7774</v>
      </c>
      <c r="G1107" s="19">
        <v>2.23</v>
      </c>
      <c r="H1107" s="19">
        <f t="shared" si="414"/>
        <v>666.77</v>
      </c>
      <c r="I1107" s="19">
        <f t="shared" si="415"/>
        <v>17336.02</v>
      </c>
      <c r="J1107" s="18">
        <f t="shared" si="416"/>
        <v>95615.709999999992</v>
      </c>
    </row>
    <row r="1108" spans="1:10" x14ac:dyDescent="0.3">
      <c r="B1108" s="82">
        <v>45876</v>
      </c>
      <c r="C1108" s="18" t="s">
        <v>1058</v>
      </c>
      <c r="D1108" s="19">
        <v>40</v>
      </c>
      <c r="E1108" s="19">
        <v>299</v>
      </c>
      <c r="F1108" s="19">
        <f t="shared" si="410"/>
        <v>11960</v>
      </c>
      <c r="G1108" s="19">
        <v>2.23</v>
      </c>
      <c r="H1108" s="19">
        <f t="shared" si="414"/>
        <v>666.77</v>
      </c>
      <c r="I1108" s="19">
        <f t="shared" si="415"/>
        <v>26670.799999999999</v>
      </c>
      <c r="J1108" s="18">
        <f t="shared" si="416"/>
        <v>122286.51</v>
      </c>
    </row>
    <row r="1109" spans="1:10" x14ac:dyDescent="0.3">
      <c r="B1109" s="82">
        <v>45877</v>
      </c>
      <c r="C1109" s="18" t="s">
        <v>1059</v>
      </c>
      <c r="D1109" s="19">
        <v>2</v>
      </c>
      <c r="E1109" s="19">
        <v>299</v>
      </c>
      <c r="F1109" s="19">
        <f t="shared" si="410"/>
        <v>598</v>
      </c>
      <c r="G1109" s="19">
        <v>2.23</v>
      </c>
      <c r="H1109" s="19">
        <f t="shared" si="414"/>
        <v>666.77</v>
      </c>
      <c r="I1109" s="19">
        <f t="shared" si="415"/>
        <v>1333.54</v>
      </c>
      <c r="J1109" s="18">
        <f t="shared" si="416"/>
        <v>123620.04999999999</v>
      </c>
    </row>
    <row r="1110" spans="1:10" x14ac:dyDescent="0.3">
      <c r="B1110" s="82">
        <v>45877</v>
      </c>
      <c r="C1110" s="319" t="s">
        <v>1047</v>
      </c>
      <c r="D1110" s="19">
        <v>1</v>
      </c>
      <c r="E1110" s="19">
        <v>1600</v>
      </c>
      <c r="F1110" s="19">
        <f t="shared" si="410"/>
        <v>1600</v>
      </c>
      <c r="G1110" s="19">
        <v>2.23</v>
      </c>
      <c r="H1110" s="19">
        <f t="shared" si="414"/>
        <v>3568</v>
      </c>
      <c r="I1110" s="19">
        <f t="shared" si="415"/>
        <v>3568</v>
      </c>
      <c r="J1110" s="18">
        <f t="shared" si="416"/>
        <v>127188.04999999999</v>
      </c>
    </row>
    <row r="1111" spans="1:10" x14ac:dyDescent="0.3">
      <c r="B1111" s="19"/>
      <c r="C1111" s="19"/>
      <c r="D1111" s="19"/>
      <c r="E1111" s="19"/>
      <c r="F1111" s="19">
        <f t="shared" si="410"/>
        <v>0</v>
      </c>
      <c r="G1111" s="19"/>
      <c r="H1111" s="19">
        <f t="shared" si="414"/>
        <v>0</v>
      </c>
      <c r="I1111" s="19">
        <f t="shared" si="415"/>
        <v>0</v>
      </c>
      <c r="J1111" s="18">
        <f t="shared" si="416"/>
        <v>127188.04999999999</v>
      </c>
    </row>
    <row r="1112" spans="1:10" x14ac:dyDescent="0.3">
      <c r="B1112" s="19"/>
      <c r="C1112" s="19"/>
      <c r="D1112" s="19"/>
      <c r="E1112" s="19"/>
      <c r="F1112" s="19">
        <f t="shared" si="410"/>
        <v>0</v>
      </c>
      <c r="G1112" s="19"/>
      <c r="H1112" s="19">
        <f t="shared" si="414"/>
        <v>0</v>
      </c>
      <c r="I1112" s="19">
        <f t="shared" si="415"/>
        <v>0</v>
      </c>
      <c r="J1112" s="18">
        <f t="shared" si="416"/>
        <v>127188.04999999999</v>
      </c>
    </row>
    <row r="1115" spans="1:10" ht="21" x14ac:dyDescent="0.4">
      <c r="A1115" t="s">
        <v>127</v>
      </c>
      <c r="B1115" s="495" t="s">
        <v>20</v>
      </c>
      <c r="C1115" s="495"/>
      <c r="D1115" s="495"/>
      <c r="E1115" s="495"/>
      <c r="F1115" s="495"/>
      <c r="G1115" s="495"/>
      <c r="H1115" s="495"/>
      <c r="I1115" s="495"/>
      <c r="J1115" s="495"/>
    </row>
    <row r="1116" spans="1:10" ht="18" x14ac:dyDescent="0.35">
      <c r="A1116" t="s">
        <v>212</v>
      </c>
      <c r="B1116" s="373" t="s">
        <v>1</v>
      </c>
      <c r="C1116" s="373" t="s">
        <v>2</v>
      </c>
      <c r="D1116" s="373" t="s">
        <v>3</v>
      </c>
      <c r="E1116" s="373" t="s">
        <v>4</v>
      </c>
      <c r="F1116" s="373" t="s">
        <v>36</v>
      </c>
      <c r="G1116" s="373" t="s">
        <v>5</v>
      </c>
      <c r="H1116" s="373" t="s">
        <v>6</v>
      </c>
      <c r="I1116" s="373" t="s">
        <v>7</v>
      </c>
      <c r="J1116" s="373"/>
    </row>
    <row r="1117" spans="1:10" x14ac:dyDescent="0.3">
      <c r="B1117" s="82">
        <v>45881</v>
      </c>
      <c r="C1117" s="18" t="s">
        <v>1105</v>
      </c>
      <c r="D1117" s="19">
        <v>4</v>
      </c>
      <c r="E1117" s="145">
        <v>274</v>
      </c>
      <c r="F1117" s="19">
        <f>E1117*D1117</f>
        <v>1096</v>
      </c>
      <c r="G1117" s="19">
        <v>2.3774000000000002</v>
      </c>
      <c r="H1117" s="19">
        <f>E1117*G1117</f>
        <v>651.4076</v>
      </c>
      <c r="I1117" s="19">
        <f>H1117*D1117</f>
        <v>2605.6304</v>
      </c>
      <c r="J1117" s="18">
        <f>J1116+I1117</f>
        <v>2605.6304</v>
      </c>
    </row>
    <row r="1118" spans="1:10" x14ac:dyDescent="0.3">
      <c r="B1118" s="82">
        <v>45881</v>
      </c>
      <c r="C1118" s="18" t="s">
        <v>1105</v>
      </c>
      <c r="D1118" s="19">
        <v>8</v>
      </c>
      <c r="E1118" s="145">
        <v>274</v>
      </c>
      <c r="F1118" s="19">
        <f t="shared" ref="F1118:F1136" si="417">E1118*D1118</f>
        <v>2192</v>
      </c>
      <c r="G1118" s="19">
        <v>2.3774000000000002</v>
      </c>
      <c r="H1118" s="19">
        <f t="shared" ref="H1118:H1136" si="418">E1118*G1118</f>
        <v>651.4076</v>
      </c>
      <c r="I1118" s="19">
        <f t="shared" ref="I1118:I1136" si="419">H1118*D1118</f>
        <v>5211.2608</v>
      </c>
      <c r="J1118" s="18">
        <f t="shared" ref="J1118" si="420">J1117+I1118</f>
        <v>7816.8912</v>
      </c>
    </row>
    <row r="1119" spans="1:10" x14ac:dyDescent="0.3">
      <c r="B1119" s="82">
        <v>45881</v>
      </c>
      <c r="C1119" s="18" t="s">
        <v>1106</v>
      </c>
      <c r="D1119" s="19">
        <v>4</v>
      </c>
      <c r="E1119" s="145">
        <v>274</v>
      </c>
      <c r="F1119" s="19">
        <f t="shared" si="417"/>
        <v>1096</v>
      </c>
      <c r="G1119" s="19">
        <v>2.3774000000000002</v>
      </c>
      <c r="H1119" s="19">
        <f t="shared" si="418"/>
        <v>651.4076</v>
      </c>
      <c r="I1119" s="19">
        <f t="shared" si="419"/>
        <v>2605.6304</v>
      </c>
      <c r="J1119" s="18">
        <f t="shared" ref="J1119:J1125" si="421">J1118+I1119</f>
        <v>10422.5216</v>
      </c>
    </row>
    <row r="1120" spans="1:10" x14ac:dyDescent="0.3">
      <c r="B1120" s="82">
        <v>45881</v>
      </c>
      <c r="C1120" s="18" t="s">
        <v>1107</v>
      </c>
      <c r="D1120" s="19">
        <v>4</v>
      </c>
      <c r="E1120" s="145">
        <v>274</v>
      </c>
      <c r="F1120" s="19">
        <f t="shared" si="417"/>
        <v>1096</v>
      </c>
      <c r="G1120" s="19">
        <v>2.3774000000000002</v>
      </c>
      <c r="H1120" s="19">
        <f t="shared" si="418"/>
        <v>651.4076</v>
      </c>
      <c r="I1120" s="19">
        <f t="shared" si="419"/>
        <v>2605.6304</v>
      </c>
      <c r="J1120" s="18">
        <f t="shared" si="421"/>
        <v>13028.152</v>
      </c>
    </row>
    <row r="1121" spans="2:11" x14ac:dyDescent="0.3">
      <c r="B1121" s="82">
        <v>45881</v>
      </c>
      <c r="C1121" s="18" t="s">
        <v>1107</v>
      </c>
      <c r="D1121" s="19">
        <v>12</v>
      </c>
      <c r="E1121" s="145">
        <v>274</v>
      </c>
      <c r="F1121" s="19">
        <f t="shared" si="417"/>
        <v>3288</v>
      </c>
      <c r="G1121" s="19">
        <v>2.3774000000000002</v>
      </c>
      <c r="H1121" s="19">
        <f t="shared" si="418"/>
        <v>651.4076</v>
      </c>
      <c r="I1121" s="19">
        <f t="shared" si="419"/>
        <v>7816.8912</v>
      </c>
      <c r="J1121" s="18">
        <f t="shared" si="421"/>
        <v>20845.0432</v>
      </c>
    </row>
    <row r="1122" spans="2:11" x14ac:dyDescent="0.3">
      <c r="B1122" s="82">
        <v>45881</v>
      </c>
      <c r="C1122" s="18" t="s">
        <v>1044</v>
      </c>
      <c r="D1122" s="19">
        <v>4</v>
      </c>
      <c r="E1122" s="145">
        <v>274</v>
      </c>
      <c r="F1122" s="19">
        <f t="shared" si="417"/>
        <v>1096</v>
      </c>
      <c r="G1122" s="19">
        <v>2.3774000000000002</v>
      </c>
      <c r="H1122" s="19">
        <f t="shared" si="418"/>
        <v>651.4076</v>
      </c>
      <c r="I1122" s="19">
        <f t="shared" si="419"/>
        <v>2605.6304</v>
      </c>
      <c r="J1122" s="18">
        <f t="shared" si="421"/>
        <v>23450.673600000002</v>
      </c>
    </row>
    <row r="1123" spans="2:11" x14ac:dyDescent="0.3">
      <c r="B1123" s="82">
        <v>45882</v>
      </c>
      <c r="C1123" s="18" t="s">
        <v>1044</v>
      </c>
      <c r="D1123" s="19">
        <v>2</v>
      </c>
      <c r="E1123" s="145">
        <v>274</v>
      </c>
      <c r="F1123" s="19">
        <f t="shared" si="417"/>
        <v>548</v>
      </c>
      <c r="G1123" s="19">
        <v>2.3774000000000002</v>
      </c>
      <c r="H1123" s="19">
        <f t="shared" si="418"/>
        <v>651.4076</v>
      </c>
      <c r="I1123" s="19">
        <f t="shared" si="419"/>
        <v>1302.8152</v>
      </c>
      <c r="J1123" s="18">
        <f t="shared" si="421"/>
        <v>24753.488800000003</v>
      </c>
    </row>
    <row r="1124" spans="2:11" x14ac:dyDescent="0.3">
      <c r="B1124" s="82">
        <v>45882</v>
      </c>
      <c r="C1124" s="18" t="s">
        <v>1044</v>
      </c>
      <c r="D1124" s="19">
        <v>2</v>
      </c>
      <c r="E1124" s="145">
        <v>274</v>
      </c>
      <c r="F1124" s="19">
        <f t="shared" si="417"/>
        <v>548</v>
      </c>
      <c r="G1124" s="19">
        <v>2.3774000000000002</v>
      </c>
      <c r="H1124" s="19">
        <f t="shared" si="418"/>
        <v>651.4076</v>
      </c>
      <c r="I1124" s="19">
        <f t="shared" si="419"/>
        <v>1302.8152</v>
      </c>
      <c r="J1124" s="18">
        <f t="shared" si="421"/>
        <v>26056.304000000004</v>
      </c>
    </row>
    <row r="1125" spans="2:11" x14ac:dyDescent="0.3">
      <c r="B1125" s="82">
        <v>45882</v>
      </c>
      <c r="C1125" s="18" t="s">
        <v>1108</v>
      </c>
      <c r="D1125" s="19">
        <v>2</v>
      </c>
      <c r="E1125" s="145">
        <v>274</v>
      </c>
      <c r="F1125" s="19">
        <f t="shared" si="417"/>
        <v>548</v>
      </c>
      <c r="G1125" s="19">
        <v>2.3774000000000002</v>
      </c>
      <c r="H1125" s="19">
        <f t="shared" si="418"/>
        <v>651.4076</v>
      </c>
      <c r="I1125" s="19">
        <f t="shared" si="419"/>
        <v>1302.8152</v>
      </c>
      <c r="J1125" s="18">
        <f t="shared" si="421"/>
        <v>27359.119200000005</v>
      </c>
    </row>
    <row r="1126" spans="2:11" x14ac:dyDescent="0.3">
      <c r="B1126" s="82">
        <v>45882</v>
      </c>
      <c r="C1126" s="18" t="s">
        <v>1109</v>
      </c>
      <c r="D1126" s="19">
        <v>4</v>
      </c>
      <c r="E1126" s="145">
        <v>274</v>
      </c>
      <c r="F1126" s="19">
        <f t="shared" si="417"/>
        <v>1096</v>
      </c>
      <c r="G1126" s="19">
        <v>2.3774000000000002</v>
      </c>
      <c r="H1126" s="19">
        <f t="shared" si="418"/>
        <v>651.4076</v>
      </c>
      <c r="I1126" s="19">
        <f t="shared" si="419"/>
        <v>2605.6304</v>
      </c>
      <c r="J1126" s="18">
        <f t="shared" ref="J1126:J1136" si="422">J1125+I1126</f>
        <v>29964.749600000003</v>
      </c>
    </row>
    <row r="1127" spans="2:11" x14ac:dyDescent="0.3">
      <c r="B1127" s="82">
        <v>45882</v>
      </c>
      <c r="C1127" s="18" t="s">
        <v>1110</v>
      </c>
      <c r="D1127" s="19">
        <v>6</v>
      </c>
      <c r="E1127" s="145">
        <v>274</v>
      </c>
      <c r="F1127" s="19">
        <f t="shared" si="417"/>
        <v>1644</v>
      </c>
      <c r="G1127" s="19">
        <v>2.3774000000000002</v>
      </c>
      <c r="H1127" s="19">
        <f t="shared" si="418"/>
        <v>651.4076</v>
      </c>
      <c r="I1127" s="19">
        <f t="shared" si="419"/>
        <v>3908.4456</v>
      </c>
      <c r="J1127" s="18">
        <f t="shared" si="422"/>
        <v>33873.195200000002</v>
      </c>
    </row>
    <row r="1128" spans="2:11" x14ac:dyDescent="0.3">
      <c r="B1128" s="82">
        <v>45882</v>
      </c>
      <c r="C1128" s="18" t="s">
        <v>1111</v>
      </c>
      <c r="D1128" s="19">
        <v>2</v>
      </c>
      <c r="E1128" s="145">
        <v>274</v>
      </c>
      <c r="F1128" s="19">
        <f t="shared" si="417"/>
        <v>548</v>
      </c>
      <c r="G1128" s="19">
        <v>2.3774000000000002</v>
      </c>
      <c r="H1128" s="19">
        <f t="shared" si="418"/>
        <v>651.4076</v>
      </c>
      <c r="I1128" s="19">
        <f t="shared" si="419"/>
        <v>1302.8152</v>
      </c>
      <c r="J1128" s="18">
        <f t="shared" si="422"/>
        <v>35176.010399999999</v>
      </c>
    </row>
    <row r="1129" spans="2:11" x14ac:dyDescent="0.3">
      <c r="B1129" s="82">
        <v>45882</v>
      </c>
      <c r="C1129" s="18" t="s">
        <v>1112</v>
      </c>
      <c r="D1129" s="19">
        <v>4</v>
      </c>
      <c r="E1129" s="145">
        <v>274</v>
      </c>
      <c r="F1129" s="19">
        <f t="shared" si="417"/>
        <v>1096</v>
      </c>
      <c r="G1129" s="19">
        <v>2.3774000000000002</v>
      </c>
      <c r="H1129" s="19">
        <f t="shared" si="418"/>
        <v>651.4076</v>
      </c>
      <c r="I1129" s="19">
        <f t="shared" si="419"/>
        <v>2605.6304</v>
      </c>
      <c r="J1129" s="18">
        <f t="shared" si="422"/>
        <v>37781.640800000001</v>
      </c>
    </row>
    <row r="1130" spans="2:11" x14ac:dyDescent="0.3">
      <c r="B1130" s="82">
        <v>45882</v>
      </c>
      <c r="C1130" s="18" t="s">
        <v>1113</v>
      </c>
      <c r="D1130" s="19">
        <v>6</v>
      </c>
      <c r="E1130" s="145">
        <v>274</v>
      </c>
      <c r="F1130" s="19">
        <f t="shared" si="417"/>
        <v>1644</v>
      </c>
      <c r="G1130" s="19">
        <v>2.3774000000000002</v>
      </c>
      <c r="H1130" s="19">
        <f t="shared" si="418"/>
        <v>651.4076</v>
      </c>
      <c r="I1130" s="19">
        <f t="shared" si="419"/>
        <v>3908.4456</v>
      </c>
      <c r="J1130" s="18">
        <f t="shared" si="422"/>
        <v>41690.0864</v>
      </c>
    </row>
    <row r="1131" spans="2:11" x14ac:dyDescent="0.3">
      <c r="B1131" s="82">
        <v>45882</v>
      </c>
      <c r="C1131" s="18" t="s">
        <v>1113</v>
      </c>
      <c r="D1131" s="19">
        <v>2</v>
      </c>
      <c r="E1131" s="145">
        <v>274</v>
      </c>
      <c r="F1131" s="19">
        <f t="shared" si="417"/>
        <v>548</v>
      </c>
      <c r="G1131" s="19">
        <v>2.3774000000000002</v>
      </c>
      <c r="H1131" s="19">
        <f t="shared" si="418"/>
        <v>651.4076</v>
      </c>
      <c r="I1131" s="19">
        <f t="shared" si="419"/>
        <v>1302.8152</v>
      </c>
      <c r="J1131" s="18">
        <f t="shared" si="422"/>
        <v>42992.901599999997</v>
      </c>
    </row>
    <row r="1132" spans="2:11" x14ac:dyDescent="0.3">
      <c r="B1132" s="82">
        <v>45882</v>
      </c>
      <c r="C1132" s="18" t="s">
        <v>1114</v>
      </c>
      <c r="D1132" s="19">
        <v>7</v>
      </c>
      <c r="E1132" s="145">
        <v>274</v>
      </c>
      <c r="F1132" s="19">
        <f t="shared" si="417"/>
        <v>1918</v>
      </c>
      <c r="G1132" s="19">
        <v>2.3774000000000002</v>
      </c>
      <c r="H1132" s="19">
        <f t="shared" si="418"/>
        <v>651.4076</v>
      </c>
      <c r="I1132" s="19">
        <f t="shared" si="419"/>
        <v>4559.8531999999996</v>
      </c>
      <c r="J1132" s="18">
        <f t="shared" si="422"/>
        <v>47552.754799999995</v>
      </c>
    </row>
    <row r="1133" spans="2:11" x14ac:dyDescent="0.3">
      <c r="B1133" s="82">
        <v>45883</v>
      </c>
      <c r="C1133" s="18" t="s">
        <v>1115</v>
      </c>
      <c r="D1133" s="19">
        <v>8</v>
      </c>
      <c r="E1133" s="145">
        <v>274</v>
      </c>
      <c r="F1133" s="19">
        <f t="shared" si="417"/>
        <v>2192</v>
      </c>
      <c r="G1133" s="19">
        <v>2.3774000000000002</v>
      </c>
      <c r="H1133" s="19">
        <f t="shared" si="418"/>
        <v>651.4076</v>
      </c>
      <c r="I1133" s="19">
        <f t="shared" si="419"/>
        <v>5211.2608</v>
      </c>
      <c r="J1133" s="18">
        <f t="shared" si="422"/>
        <v>52764.015599999999</v>
      </c>
    </row>
    <row r="1134" spans="2:11" x14ac:dyDescent="0.3">
      <c r="B1134" s="140">
        <v>45883</v>
      </c>
      <c r="C1134" s="143" t="s">
        <v>1196</v>
      </c>
      <c r="D1134" s="142">
        <v>24</v>
      </c>
      <c r="E1134" s="446">
        <v>274</v>
      </c>
      <c r="F1134" s="142">
        <f t="shared" si="417"/>
        <v>6576</v>
      </c>
      <c r="G1134" s="142">
        <v>2.3774000000000002</v>
      </c>
      <c r="H1134" s="142">
        <f t="shared" si="418"/>
        <v>651.4076</v>
      </c>
      <c r="I1134" s="142">
        <f t="shared" si="419"/>
        <v>15633.7824</v>
      </c>
      <c r="J1134" s="143">
        <f t="shared" si="422"/>
        <v>68397.797999999995</v>
      </c>
    </row>
    <row r="1135" spans="2:11" x14ac:dyDescent="0.3">
      <c r="B1135" s="140">
        <v>45883</v>
      </c>
      <c r="C1135" s="143" t="s">
        <v>1197</v>
      </c>
      <c r="D1135" s="142">
        <v>20</v>
      </c>
      <c r="E1135" s="446">
        <v>274</v>
      </c>
      <c r="F1135" s="142">
        <f t="shared" si="417"/>
        <v>5480</v>
      </c>
      <c r="G1135" s="142">
        <v>2.3774000000000002</v>
      </c>
      <c r="H1135" s="142">
        <f t="shared" si="418"/>
        <v>651.4076</v>
      </c>
      <c r="I1135" s="142">
        <f t="shared" si="419"/>
        <v>13028.152</v>
      </c>
      <c r="J1135" s="143">
        <f t="shared" si="422"/>
        <v>81425.95</v>
      </c>
    </row>
    <row r="1136" spans="2:11" x14ac:dyDescent="0.3">
      <c r="B1136" s="167">
        <v>45883</v>
      </c>
      <c r="C1136" s="426" t="s">
        <v>1118</v>
      </c>
      <c r="D1136" s="176">
        <v>20</v>
      </c>
      <c r="E1136" s="427">
        <v>274</v>
      </c>
      <c r="F1136" s="176">
        <f t="shared" si="417"/>
        <v>5480</v>
      </c>
      <c r="G1136" s="176">
        <v>2.3774000000000002</v>
      </c>
      <c r="H1136" s="176">
        <f t="shared" si="418"/>
        <v>651.4076</v>
      </c>
      <c r="I1136" s="176">
        <f t="shared" si="419"/>
        <v>13028.152</v>
      </c>
      <c r="J1136" s="426">
        <f t="shared" si="422"/>
        <v>94454.101999999999</v>
      </c>
      <c r="K1136" t="s">
        <v>1158</v>
      </c>
    </row>
    <row r="1139" spans="1:10" ht="21" x14ac:dyDescent="0.4">
      <c r="A1139" t="s">
        <v>127</v>
      </c>
      <c r="B1139" s="495" t="s">
        <v>20</v>
      </c>
      <c r="C1139" s="495"/>
      <c r="D1139" s="495"/>
      <c r="E1139" s="495"/>
      <c r="F1139" s="495"/>
      <c r="G1139" s="495"/>
      <c r="H1139" s="495"/>
      <c r="I1139" s="495"/>
      <c r="J1139" s="495"/>
    </row>
    <row r="1140" spans="1:10" ht="18" x14ac:dyDescent="0.35">
      <c r="A1140" t="s">
        <v>212</v>
      </c>
      <c r="B1140" s="373" t="s">
        <v>1</v>
      </c>
      <c r="C1140" s="373" t="s">
        <v>2</v>
      </c>
      <c r="D1140" s="373" t="s">
        <v>3</v>
      </c>
      <c r="E1140" s="373" t="s">
        <v>4</v>
      </c>
      <c r="F1140" s="373" t="s">
        <v>36</v>
      </c>
      <c r="G1140" s="373" t="s">
        <v>5</v>
      </c>
      <c r="H1140" s="373" t="s">
        <v>6</v>
      </c>
      <c r="I1140" s="373" t="s">
        <v>7</v>
      </c>
      <c r="J1140" s="373"/>
    </row>
    <row r="1141" spans="1:10" x14ac:dyDescent="0.3">
      <c r="B1141" s="101" t="s">
        <v>1160</v>
      </c>
      <c r="C1141" s="102" t="s">
        <v>1166</v>
      </c>
      <c r="D1141" s="101">
        <v>5</v>
      </c>
      <c r="E1141" s="430">
        <v>274</v>
      </c>
      <c r="F1141" s="101">
        <f>E1141*D1141</f>
        <v>1370</v>
      </c>
      <c r="G1141" s="101">
        <v>2.3477000000000001</v>
      </c>
      <c r="H1141" s="101">
        <f>E1141*G1141</f>
        <v>643.26980000000003</v>
      </c>
      <c r="I1141" s="101">
        <f>H1141*D1141</f>
        <v>3216.3490000000002</v>
      </c>
      <c r="J1141" s="102">
        <f>J1140+I1141</f>
        <v>3216.3490000000002</v>
      </c>
    </row>
    <row r="1142" spans="1:10" x14ac:dyDescent="0.3">
      <c r="B1142" s="382" t="s">
        <v>1160</v>
      </c>
      <c r="C1142" s="235" t="s">
        <v>1161</v>
      </c>
      <c r="D1142" s="382">
        <v>8</v>
      </c>
      <c r="E1142" s="431">
        <v>3750</v>
      </c>
      <c r="F1142" s="19">
        <f t="shared" ref="F1142:F1154" si="423">E1142*D1142</f>
        <v>30000</v>
      </c>
      <c r="G1142" s="19">
        <v>2.3477000000000001</v>
      </c>
      <c r="H1142" s="19">
        <f t="shared" ref="H1142:H1149" si="424">E1142*G1142</f>
        <v>8803.875</v>
      </c>
      <c r="I1142" s="19">
        <f t="shared" ref="I1142:I1149" si="425">H1142*D1142</f>
        <v>70431</v>
      </c>
      <c r="J1142" s="18">
        <f t="shared" ref="J1142:J1149" si="426">J1141+I1142</f>
        <v>73647.349000000002</v>
      </c>
    </row>
    <row r="1143" spans="1:10" x14ac:dyDescent="0.3">
      <c r="B1143" s="19" t="s">
        <v>1160</v>
      </c>
      <c r="C1143" s="18" t="s">
        <v>892</v>
      </c>
      <c r="D1143" s="19">
        <v>2</v>
      </c>
      <c r="E1143" s="145">
        <v>655</v>
      </c>
      <c r="F1143" s="19">
        <f t="shared" si="423"/>
        <v>1310</v>
      </c>
      <c r="G1143" s="19">
        <v>2.3477000000000001</v>
      </c>
      <c r="H1143" s="19">
        <f t="shared" si="424"/>
        <v>1537.7435</v>
      </c>
      <c r="I1143" s="19">
        <f t="shared" si="425"/>
        <v>3075.4870000000001</v>
      </c>
      <c r="J1143" s="18">
        <f t="shared" si="426"/>
        <v>76722.835999999996</v>
      </c>
    </row>
    <row r="1144" spans="1:10" x14ac:dyDescent="0.3">
      <c r="B1144" s="19" t="s">
        <v>1160</v>
      </c>
      <c r="C1144" s="18" t="s">
        <v>1162</v>
      </c>
      <c r="D1144" s="19">
        <v>5</v>
      </c>
      <c r="E1144" s="145">
        <v>433</v>
      </c>
      <c r="F1144" s="19">
        <f t="shared" si="423"/>
        <v>2165</v>
      </c>
      <c r="G1144" s="19">
        <v>2.3477000000000001</v>
      </c>
      <c r="H1144" s="19">
        <f t="shared" si="424"/>
        <v>1016.5541000000001</v>
      </c>
      <c r="I1144" s="19">
        <f t="shared" si="425"/>
        <v>5082.7705000000005</v>
      </c>
      <c r="J1144" s="18">
        <f t="shared" si="426"/>
        <v>81805.606499999994</v>
      </c>
    </row>
    <row r="1145" spans="1:10" x14ac:dyDescent="0.3">
      <c r="B1145" s="19" t="s">
        <v>1160</v>
      </c>
      <c r="C1145" s="18" t="s">
        <v>1163</v>
      </c>
      <c r="D1145" s="19">
        <v>2</v>
      </c>
      <c r="E1145" s="145">
        <v>573</v>
      </c>
      <c r="F1145" s="19">
        <f t="shared" si="423"/>
        <v>1146</v>
      </c>
      <c r="G1145" s="19">
        <v>2.3477000000000001</v>
      </c>
      <c r="H1145" s="19">
        <f t="shared" si="424"/>
        <v>1345.2321000000002</v>
      </c>
      <c r="I1145" s="19">
        <f t="shared" si="425"/>
        <v>2690.4642000000003</v>
      </c>
      <c r="J1145" s="18">
        <f t="shared" si="426"/>
        <v>84496.070699999997</v>
      </c>
    </row>
    <row r="1146" spans="1:10" x14ac:dyDescent="0.3">
      <c r="B1146" s="19" t="s">
        <v>1160</v>
      </c>
      <c r="C1146" s="18" t="s">
        <v>1164</v>
      </c>
      <c r="D1146" s="19">
        <v>15</v>
      </c>
      <c r="E1146" s="145">
        <v>560</v>
      </c>
      <c r="F1146" s="19">
        <f t="shared" si="423"/>
        <v>8400</v>
      </c>
      <c r="G1146" s="19">
        <v>2.3477000000000001</v>
      </c>
      <c r="H1146" s="19">
        <f t="shared" si="424"/>
        <v>1314.712</v>
      </c>
      <c r="I1146" s="19">
        <f t="shared" si="425"/>
        <v>19720.68</v>
      </c>
      <c r="J1146" s="18">
        <f t="shared" si="426"/>
        <v>104216.7507</v>
      </c>
    </row>
    <row r="1147" spans="1:10" x14ac:dyDescent="0.3">
      <c r="B1147" s="19" t="s">
        <v>1160</v>
      </c>
      <c r="C1147" s="18" t="s">
        <v>1165</v>
      </c>
      <c r="D1147" s="19">
        <v>1</v>
      </c>
      <c r="E1147" s="145">
        <v>713</v>
      </c>
      <c r="F1147" s="19">
        <f t="shared" si="423"/>
        <v>713</v>
      </c>
      <c r="G1147" s="19">
        <v>2.3477000000000001</v>
      </c>
      <c r="H1147" s="19">
        <f t="shared" si="424"/>
        <v>1673.9101000000001</v>
      </c>
      <c r="I1147" s="19">
        <f t="shared" si="425"/>
        <v>1673.9101000000001</v>
      </c>
      <c r="J1147" s="18">
        <f t="shared" si="426"/>
        <v>105890.6608</v>
      </c>
    </row>
    <row r="1148" spans="1:10" x14ac:dyDescent="0.3">
      <c r="B1148" s="19"/>
      <c r="C1148" s="19"/>
      <c r="D1148" s="19"/>
      <c r="E1148" s="19"/>
      <c r="F1148" s="19">
        <f t="shared" si="423"/>
        <v>0</v>
      </c>
      <c r="G1148" s="19">
        <v>2.3477000000000001</v>
      </c>
      <c r="H1148" s="19">
        <f t="shared" si="424"/>
        <v>0</v>
      </c>
      <c r="I1148" s="19">
        <f t="shared" si="425"/>
        <v>0</v>
      </c>
      <c r="J1148" s="18">
        <f t="shared" si="426"/>
        <v>105890.6608</v>
      </c>
    </row>
    <row r="1149" spans="1:10" x14ac:dyDescent="0.3">
      <c r="B1149" s="82">
        <v>45860</v>
      </c>
      <c r="C1149" s="235" t="s">
        <v>1167</v>
      </c>
      <c r="D1149" s="382">
        <v>5</v>
      </c>
      <c r="E1149" s="431">
        <v>751</v>
      </c>
      <c r="F1149" s="19">
        <f t="shared" si="423"/>
        <v>3755</v>
      </c>
      <c r="G1149" s="19">
        <v>2.3477000000000001</v>
      </c>
      <c r="H1149" s="19">
        <f t="shared" si="424"/>
        <v>1763.1227000000001</v>
      </c>
      <c r="I1149" s="19">
        <f t="shared" si="425"/>
        <v>8815.6135000000013</v>
      </c>
      <c r="J1149" s="18">
        <f t="shared" si="426"/>
        <v>114706.2743</v>
      </c>
    </row>
    <row r="1150" spans="1:10" x14ac:dyDescent="0.3">
      <c r="B1150" s="82">
        <v>45860</v>
      </c>
      <c r="C1150" s="235" t="s">
        <v>1168</v>
      </c>
      <c r="D1150" s="382">
        <v>2</v>
      </c>
      <c r="E1150" s="431">
        <v>2288</v>
      </c>
      <c r="F1150" s="19">
        <f t="shared" si="423"/>
        <v>4576</v>
      </c>
      <c r="G1150" s="19">
        <v>2.3477000000000001</v>
      </c>
      <c r="H1150" s="19">
        <f t="shared" ref="H1150:H1154" si="427">E1150*G1150</f>
        <v>5371.5376000000006</v>
      </c>
      <c r="I1150" s="19">
        <f t="shared" ref="I1150:I1154" si="428">H1150*D1150</f>
        <v>10743.075200000001</v>
      </c>
      <c r="J1150" s="18">
        <f t="shared" ref="J1150:J1154" si="429">J1149+I1150</f>
        <v>125449.34950000001</v>
      </c>
    </row>
    <row r="1151" spans="1:10" x14ac:dyDescent="0.3">
      <c r="B1151" s="82">
        <v>45860</v>
      </c>
      <c r="C1151" s="235" t="s">
        <v>1169</v>
      </c>
      <c r="D1151" s="382">
        <v>12</v>
      </c>
      <c r="E1151" s="431">
        <v>1063</v>
      </c>
      <c r="F1151" s="19">
        <f t="shared" si="423"/>
        <v>12756</v>
      </c>
      <c r="G1151" s="19">
        <v>2.3477000000000001</v>
      </c>
      <c r="H1151" s="19">
        <f t="shared" si="427"/>
        <v>2495.6051000000002</v>
      </c>
      <c r="I1151" s="19">
        <f t="shared" si="428"/>
        <v>29947.261200000001</v>
      </c>
      <c r="J1151" s="18">
        <f t="shared" si="429"/>
        <v>155396.61070000002</v>
      </c>
    </row>
    <row r="1152" spans="1:10" x14ac:dyDescent="0.3">
      <c r="B1152" s="19"/>
      <c r="C1152" s="19"/>
      <c r="D1152" s="19"/>
      <c r="E1152" s="19"/>
      <c r="F1152" s="19">
        <f t="shared" si="423"/>
        <v>0</v>
      </c>
      <c r="G1152" s="19"/>
      <c r="H1152" s="19">
        <f t="shared" si="427"/>
        <v>0</v>
      </c>
      <c r="I1152" s="19">
        <f t="shared" si="428"/>
        <v>0</v>
      </c>
      <c r="J1152" s="18">
        <f t="shared" si="429"/>
        <v>155396.61070000002</v>
      </c>
    </row>
    <row r="1153" spans="1:10" x14ac:dyDescent="0.3">
      <c r="B1153" s="19"/>
      <c r="C1153" s="19"/>
      <c r="D1153" s="19"/>
      <c r="E1153" s="19"/>
      <c r="F1153" s="19">
        <f t="shared" si="423"/>
        <v>0</v>
      </c>
      <c r="G1153" s="19"/>
      <c r="H1153" s="19">
        <f t="shared" si="427"/>
        <v>0</v>
      </c>
      <c r="I1153" s="19">
        <f t="shared" si="428"/>
        <v>0</v>
      </c>
      <c r="J1153" s="18">
        <f t="shared" si="429"/>
        <v>155396.61070000002</v>
      </c>
    </row>
    <row r="1154" spans="1:10" x14ac:dyDescent="0.3">
      <c r="B1154" s="19"/>
      <c r="C1154" s="19"/>
      <c r="D1154" s="19"/>
      <c r="E1154" s="19"/>
      <c r="F1154" s="19">
        <f t="shared" si="423"/>
        <v>0</v>
      </c>
      <c r="G1154" s="19"/>
      <c r="H1154" s="19">
        <f t="shared" si="427"/>
        <v>0</v>
      </c>
      <c r="I1154" s="19">
        <f t="shared" si="428"/>
        <v>0</v>
      </c>
      <c r="J1154" s="18">
        <f t="shared" si="429"/>
        <v>155396.61070000002</v>
      </c>
    </row>
    <row r="1158" spans="1:10" ht="21" x14ac:dyDescent="0.4">
      <c r="A1158" t="s">
        <v>127</v>
      </c>
      <c r="B1158" s="495" t="s">
        <v>391</v>
      </c>
      <c r="C1158" s="495"/>
      <c r="D1158" s="495"/>
      <c r="E1158" s="495"/>
      <c r="F1158" s="495"/>
      <c r="G1158" s="495"/>
      <c r="H1158" s="495"/>
      <c r="I1158" s="495"/>
      <c r="J1158" s="495"/>
    </row>
    <row r="1159" spans="1:10" ht="18" x14ac:dyDescent="0.35">
      <c r="B1159" s="373" t="s">
        <v>1</v>
      </c>
      <c r="C1159" s="373" t="s">
        <v>2</v>
      </c>
      <c r="D1159" s="373" t="s">
        <v>3</v>
      </c>
      <c r="E1159" s="373" t="s">
        <v>134</v>
      </c>
      <c r="F1159" s="373" t="s">
        <v>135</v>
      </c>
      <c r="G1159" s="373" t="s">
        <v>5</v>
      </c>
      <c r="H1159" s="373" t="s">
        <v>6</v>
      </c>
      <c r="I1159" s="373" t="s">
        <v>7</v>
      </c>
      <c r="J1159" s="373"/>
    </row>
    <row r="1160" spans="1:10" x14ac:dyDescent="0.3">
      <c r="B1160" s="82">
        <v>45894</v>
      </c>
      <c r="C1160" s="18" t="s">
        <v>830</v>
      </c>
      <c r="D1160" s="19">
        <v>3</v>
      </c>
      <c r="E1160" s="19">
        <v>330</v>
      </c>
      <c r="F1160" s="19">
        <f>E1160*D1160</f>
        <v>990</v>
      </c>
      <c r="G1160" s="19">
        <v>3.6</v>
      </c>
      <c r="H1160" s="19">
        <f>E1160*G1160</f>
        <v>1188</v>
      </c>
      <c r="I1160" s="19">
        <f>H1160*D1160</f>
        <v>3564</v>
      </c>
      <c r="J1160" s="18">
        <f>J1159+I1160</f>
        <v>3564</v>
      </c>
    </row>
    <row r="1161" spans="1:10" x14ac:dyDescent="0.3">
      <c r="B1161" s="82">
        <v>45894</v>
      </c>
      <c r="C1161" s="18" t="s">
        <v>828</v>
      </c>
      <c r="D1161" s="19">
        <v>11</v>
      </c>
      <c r="E1161" s="19">
        <v>600</v>
      </c>
      <c r="F1161" s="19">
        <f t="shared" ref="F1161:F1169" si="430">E1161*D1161</f>
        <v>6600</v>
      </c>
      <c r="G1161" s="19">
        <v>3.6</v>
      </c>
      <c r="H1161" s="19">
        <f t="shared" ref="H1161:H1169" si="431">E1161*G1161</f>
        <v>2160</v>
      </c>
      <c r="I1161" s="19">
        <f t="shared" ref="I1161:I1169" si="432">H1161*D1161</f>
        <v>23760</v>
      </c>
      <c r="J1161" s="18">
        <f t="shared" ref="J1161:J1169" si="433">J1160+I1161</f>
        <v>27324</v>
      </c>
    </row>
    <row r="1162" spans="1:10" x14ac:dyDescent="0.3">
      <c r="B1162" s="82">
        <v>45894</v>
      </c>
      <c r="C1162" s="18" t="s">
        <v>829</v>
      </c>
      <c r="D1162" s="19">
        <v>4</v>
      </c>
      <c r="E1162" s="19">
        <v>390</v>
      </c>
      <c r="F1162" s="19">
        <f t="shared" si="430"/>
        <v>1560</v>
      </c>
      <c r="G1162" s="19">
        <v>3.6</v>
      </c>
      <c r="H1162" s="19">
        <f t="shared" si="431"/>
        <v>1404</v>
      </c>
      <c r="I1162" s="19">
        <f t="shared" si="432"/>
        <v>5616</v>
      </c>
      <c r="J1162" s="18">
        <f t="shared" si="433"/>
        <v>32940</v>
      </c>
    </row>
    <row r="1163" spans="1:10" x14ac:dyDescent="0.3">
      <c r="B1163" s="82">
        <v>45894</v>
      </c>
      <c r="C1163" s="18" t="s">
        <v>880</v>
      </c>
      <c r="D1163" s="19">
        <v>7</v>
      </c>
      <c r="E1163" s="19">
        <v>425</v>
      </c>
      <c r="F1163" s="19">
        <f t="shared" si="430"/>
        <v>2975</v>
      </c>
      <c r="G1163" s="19">
        <v>3.6</v>
      </c>
      <c r="H1163" s="19">
        <f t="shared" si="431"/>
        <v>1530</v>
      </c>
      <c r="I1163" s="19">
        <f t="shared" si="432"/>
        <v>10710</v>
      </c>
      <c r="J1163" s="18">
        <f t="shared" si="433"/>
        <v>43650</v>
      </c>
    </row>
    <row r="1164" spans="1:10" x14ac:dyDescent="0.3">
      <c r="B1164" s="82">
        <v>45894</v>
      </c>
      <c r="C1164" s="18" t="s">
        <v>1170</v>
      </c>
      <c r="D1164" s="19">
        <v>1</v>
      </c>
      <c r="E1164" s="19">
        <v>220</v>
      </c>
      <c r="F1164" s="19">
        <f t="shared" si="430"/>
        <v>220</v>
      </c>
      <c r="G1164" s="19">
        <v>3.6</v>
      </c>
      <c r="H1164" s="19">
        <f t="shared" si="431"/>
        <v>792</v>
      </c>
      <c r="I1164" s="19">
        <f t="shared" si="432"/>
        <v>792</v>
      </c>
      <c r="J1164" s="18">
        <f t="shared" si="433"/>
        <v>44442</v>
      </c>
    </row>
    <row r="1165" spans="1:10" x14ac:dyDescent="0.3">
      <c r="B1165" s="82">
        <v>45894</v>
      </c>
      <c r="C1165" s="18" t="s">
        <v>1171</v>
      </c>
      <c r="D1165" s="19">
        <v>2</v>
      </c>
      <c r="E1165" s="19"/>
      <c r="F1165" s="19">
        <f t="shared" si="430"/>
        <v>0</v>
      </c>
      <c r="G1165" s="19">
        <v>3.6</v>
      </c>
      <c r="H1165" s="19">
        <f t="shared" si="431"/>
        <v>0</v>
      </c>
      <c r="I1165" s="19">
        <f t="shared" si="432"/>
        <v>0</v>
      </c>
      <c r="J1165" s="18">
        <f t="shared" si="433"/>
        <v>44442</v>
      </c>
    </row>
    <row r="1166" spans="1:10" x14ac:dyDescent="0.3">
      <c r="B1166" s="82">
        <v>45894</v>
      </c>
      <c r="C1166" s="18" t="s">
        <v>1172</v>
      </c>
      <c r="D1166" s="19">
        <v>4</v>
      </c>
      <c r="E1166" s="19">
        <v>1900</v>
      </c>
      <c r="F1166" s="19">
        <f t="shared" si="430"/>
        <v>7600</v>
      </c>
      <c r="G1166" s="19">
        <v>3.6</v>
      </c>
      <c r="H1166" s="19">
        <f t="shared" si="431"/>
        <v>6840</v>
      </c>
      <c r="I1166" s="19">
        <f t="shared" si="432"/>
        <v>27360</v>
      </c>
      <c r="J1166" s="18">
        <f t="shared" si="433"/>
        <v>71802</v>
      </c>
    </row>
    <row r="1167" spans="1:10" x14ac:dyDescent="0.3">
      <c r="B1167" s="82">
        <v>45894</v>
      </c>
      <c r="C1167" s="18" t="s">
        <v>1172</v>
      </c>
      <c r="D1167" s="19">
        <v>4</v>
      </c>
      <c r="E1167" s="19">
        <v>2020</v>
      </c>
      <c r="F1167" s="19">
        <f t="shared" si="430"/>
        <v>8080</v>
      </c>
      <c r="G1167" s="19">
        <v>3.6</v>
      </c>
      <c r="H1167" s="19">
        <f t="shared" si="431"/>
        <v>7272</v>
      </c>
      <c r="I1167" s="19">
        <f t="shared" si="432"/>
        <v>29088</v>
      </c>
      <c r="J1167" s="18"/>
    </row>
    <row r="1168" spans="1:10" x14ac:dyDescent="0.3">
      <c r="B1168" s="82">
        <v>45894</v>
      </c>
      <c r="C1168" s="18" t="s">
        <v>1173</v>
      </c>
      <c r="D1168" s="19">
        <v>2</v>
      </c>
      <c r="E1168" s="19">
        <v>1320</v>
      </c>
      <c r="F1168" s="19">
        <f t="shared" si="430"/>
        <v>2640</v>
      </c>
      <c r="G1168" s="19">
        <v>3.6</v>
      </c>
      <c r="H1168" s="19">
        <f t="shared" si="431"/>
        <v>4752</v>
      </c>
      <c r="I1168" s="19">
        <f t="shared" si="432"/>
        <v>9504</v>
      </c>
      <c r="J1168" s="18">
        <f>J1166+I1168</f>
        <v>81306</v>
      </c>
    </row>
    <row r="1169" spans="2:10" x14ac:dyDescent="0.3">
      <c r="B1169" s="82">
        <v>45894</v>
      </c>
      <c r="C1169" s="18" t="s">
        <v>1174</v>
      </c>
      <c r="D1169" s="19">
        <v>1</v>
      </c>
      <c r="E1169" s="19">
        <v>1680</v>
      </c>
      <c r="F1169" s="19">
        <f t="shared" si="430"/>
        <v>1680</v>
      </c>
      <c r="G1169" s="19">
        <v>3.6</v>
      </c>
      <c r="H1169" s="19">
        <f t="shared" si="431"/>
        <v>6048</v>
      </c>
      <c r="I1169" s="19">
        <f t="shared" si="432"/>
        <v>6048</v>
      </c>
      <c r="J1169" s="18">
        <f t="shared" si="433"/>
        <v>87354</v>
      </c>
    </row>
    <row r="1170" spans="2:10" x14ac:dyDescent="0.3">
      <c r="B1170" s="82">
        <v>45894</v>
      </c>
      <c r="C1170" s="419" t="s">
        <v>941</v>
      </c>
      <c r="D1170" s="19">
        <v>2</v>
      </c>
      <c r="E1170" s="19">
        <v>1030</v>
      </c>
      <c r="F1170" s="19">
        <f t="shared" ref="F1170:F1182" si="434">E1170*D1170</f>
        <v>2060</v>
      </c>
      <c r="G1170" s="19">
        <v>3.6</v>
      </c>
      <c r="H1170" s="19">
        <f t="shared" ref="H1170:H1182" si="435">E1170*G1170</f>
        <v>3708</v>
      </c>
      <c r="I1170" s="19">
        <f t="shared" ref="I1170:I1182" si="436">H1170*D1170</f>
        <v>7416</v>
      </c>
      <c r="J1170" s="18">
        <f t="shared" ref="J1170:J1182" si="437">J1169+I1170</f>
        <v>94770</v>
      </c>
    </row>
    <row r="1171" spans="2:10" x14ac:dyDescent="0.3">
      <c r="B1171" s="82">
        <v>45894</v>
      </c>
      <c r="C1171" s="419" t="s">
        <v>945</v>
      </c>
      <c r="D1171" s="19">
        <v>2</v>
      </c>
      <c r="E1171" s="19">
        <v>1180</v>
      </c>
      <c r="F1171" s="19">
        <f t="shared" si="434"/>
        <v>2360</v>
      </c>
      <c r="G1171" s="19">
        <v>3.6</v>
      </c>
      <c r="H1171" s="19">
        <f t="shared" si="435"/>
        <v>4248</v>
      </c>
      <c r="I1171" s="19">
        <f t="shared" si="436"/>
        <v>8496</v>
      </c>
      <c r="J1171" s="18">
        <f t="shared" si="437"/>
        <v>103266</v>
      </c>
    </row>
    <row r="1172" spans="2:10" x14ac:dyDescent="0.3">
      <c r="B1172" s="82">
        <v>45894</v>
      </c>
      <c r="C1172" s="419" t="s">
        <v>1175</v>
      </c>
      <c r="D1172" s="19">
        <v>1</v>
      </c>
      <c r="E1172" s="19">
        <v>1325</v>
      </c>
      <c r="F1172" s="19">
        <f t="shared" si="434"/>
        <v>1325</v>
      </c>
      <c r="G1172" s="19">
        <v>3.6</v>
      </c>
      <c r="H1172" s="19">
        <f t="shared" si="435"/>
        <v>4770</v>
      </c>
      <c r="I1172" s="19">
        <f t="shared" si="436"/>
        <v>4770</v>
      </c>
      <c r="J1172" s="18">
        <f t="shared" si="437"/>
        <v>108036</v>
      </c>
    </row>
    <row r="1173" spans="2:10" x14ac:dyDescent="0.3">
      <c r="B1173" s="82">
        <v>45894</v>
      </c>
      <c r="C1173" s="18" t="s">
        <v>1002</v>
      </c>
      <c r="D1173" s="19">
        <v>2</v>
      </c>
      <c r="E1173" s="19">
        <v>440</v>
      </c>
      <c r="F1173" s="19">
        <f t="shared" si="434"/>
        <v>880</v>
      </c>
      <c r="G1173" s="19">
        <v>3.6</v>
      </c>
      <c r="H1173" s="19">
        <f t="shared" si="435"/>
        <v>1584</v>
      </c>
      <c r="I1173" s="19">
        <f t="shared" si="436"/>
        <v>3168</v>
      </c>
      <c r="J1173" s="18">
        <f t="shared" si="437"/>
        <v>111204</v>
      </c>
    </row>
    <row r="1174" spans="2:10" x14ac:dyDescent="0.3">
      <c r="B1174" s="82">
        <v>45894</v>
      </c>
      <c r="C1174" s="18" t="s">
        <v>942</v>
      </c>
      <c r="D1174" s="19">
        <v>1</v>
      </c>
      <c r="E1174" s="19">
        <v>630</v>
      </c>
      <c r="F1174" s="19">
        <f t="shared" si="434"/>
        <v>630</v>
      </c>
      <c r="G1174" s="19">
        <v>3.6</v>
      </c>
      <c r="H1174" s="19">
        <f t="shared" si="435"/>
        <v>2268</v>
      </c>
      <c r="I1174" s="19">
        <f t="shared" si="436"/>
        <v>2268</v>
      </c>
      <c r="J1174" s="18">
        <f t="shared" si="437"/>
        <v>113472</v>
      </c>
    </row>
    <row r="1175" spans="2:10" x14ac:dyDescent="0.3">
      <c r="B1175" s="82">
        <v>45894</v>
      </c>
      <c r="C1175" s="419" t="s">
        <v>950</v>
      </c>
      <c r="D1175" s="19">
        <v>1</v>
      </c>
      <c r="E1175" s="311">
        <v>1160</v>
      </c>
      <c r="F1175" s="19">
        <f t="shared" si="434"/>
        <v>1160</v>
      </c>
      <c r="G1175" s="19">
        <v>3.6</v>
      </c>
      <c r="H1175" s="19">
        <f t="shared" si="435"/>
        <v>4176</v>
      </c>
      <c r="I1175" s="19">
        <f t="shared" si="436"/>
        <v>4176</v>
      </c>
      <c r="J1175" s="18">
        <f t="shared" si="437"/>
        <v>117648</v>
      </c>
    </row>
    <row r="1176" spans="2:10" x14ac:dyDescent="0.3">
      <c r="B1176" s="82">
        <v>45894</v>
      </c>
      <c r="C1176" s="419" t="s">
        <v>136</v>
      </c>
      <c r="D1176" s="19">
        <v>2</v>
      </c>
      <c r="E1176" s="311">
        <v>1000</v>
      </c>
      <c r="F1176" s="19">
        <f t="shared" si="434"/>
        <v>2000</v>
      </c>
      <c r="G1176" s="19">
        <v>3.6</v>
      </c>
      <c r="H1176" s="19">
        <f t="shared" si="435"/>
        <v>3600</v>
      </c>
      <c r="I1176" s="19">
        <f t="shared" si="436"/>
        <v>7200</v>
      </c>
      <c r="J1176" s="18">
        <f t="shared" si="437"/>
        <v>124848</v>
      </c>
    </row>
    <row r="1177" spans="2:10" x14ac:dyDescent="0.3">
      <c r="B1177" s="82">
        <v>45894</v>
      </c>
      <c r="C1177" s="419" t="s">
        <v>136</v>
      </c>
      <c r="D1177" s="19">
        <v>4</v>
      </c>
      <c r="E1177" s="19">
        <v>710</v>
      </c>
      <c r="F1177" s="19">
        <f t="shared" si="434"/>
        <v>2840</v>
      </c>
      <c r="G1177" s="19">
        <v>3.6</v>
      </c>
      <c r="H1177" s="19">
        <f t="shared" si="435"/>
        <v>2556</v>
      </c>
      <c r="I1177" s="19">
        <f t="shared" si="436"/>
        <v>10224</v>
      </c>
      <c r="J1177" s="18">
        <f t="shared" si="437"/>
        <v>135072</v>
      </c>
    </row>
    <row r="1178" spans="2:10" x14ac:dyDescent="0.3">
      <c r="B1178" s="82">
        <v>45894</v>
      </c>
      <c r="C1178" s="419" t="s">
        <v>136</v>
      </c>
      <c r="D1178" s="19">
        <v>3</v>
      </c>
      <c r="E1178" s="19">
        <v>710</v>
      </c>
      <c r="F1178" s="19">
        <f t="shared" si="434"/>
        <v>2130</v>
      </c>
      <c r="G1178" s="19">
        <v>3.6</v>
      </c>
      <c r="H1178" s="19">
        <f t="shared" si="435"/>
        <v>2556</v>
      </c>
      <c r="I1178" s="19">
        <f t="shared" si="436"/>
        <v>7668</v>
      </c>
      <c r="J1178" s="18">
        <f t="shared" si="437"/>
        <v>142740</v>
      </c>
    </row>
    <row r="1179" spans="2:10" x14ac:dyDescent="0.3">
      <c r="B1179" s="82">
        <v>45894</v>
      </c>
      <c r="C1179" s="419" t="s">
        <v>136</v>
      </c>
      <c r="D1179" s="19">
        <v>4</v>
      </c>
      <c r="E1179" s="19">
        <v>710</v>
      </c>
      <c r="F1179" s="19">
        <f t="shared" si="434"/>
        <v>2840</v>
      </c>
      <c r="G1179" s="19">
        <v>3.6</v>
      </c>
      <c r="H1179" s="19">
        <f t="shared" si="435"/>
        <v>2556</v>
      </c>
      <c r="I1179" s="19">
        <f t="shared" si="436"/>
        <v>10224</v>
      </c>
      <c r="J1179" s="18">
        <f t="shared" si="437"/>
        <v>152964</v>
      </c>
    </row>
    <row r="1180" spans="2:10" x14ac:dyDescent="0.3">
      <c r="B1180" s="82">
        <v>45894</v>
      </c>
      <c r="C1180" s="18" t="s">
        <v>1176</v>
      </c>
      <c r="D1180" s="19">
        <v>4</v>
      </c>
      <c r="E1180" s="19">
        <v>240</v>
      </c>
      <c r="F1180" s="19">
        <f t="shared" si="434"/>
        <v>960</v>
      </c>
      <c r="G1180" s="19">
        <v>3.6</v>
      </c>
      <c r="H1180" s="19">
        <f t="shared" si="435"/>
        <v>864</v>
      </c>
      <c r="I1180" s="19">
        <f t="shared" si="436"/>
        <v>3456</v>
      </c>
      <c r="J1180" s="18">
        <f t="shared" si="437"/>
        <v>156420</v>
      </c>
    </row>
    <row r="1181" spans="2:10" x14ac:dyDescent="0.3">
      <c r="B1181" s="82">
        <v>45894</v>
      </c>
      <c r="C1181" s="18" t="s">
        <v>169</v>
      </c>
      <c r="D1181" s="19">
        <v>1</v>
      </c>
      <c r="E1181" s="311">
        <v>830</v>
      </c>
      <c r="F1181" s="19">
        <f t="shared" si="434"/>
        <v>830</v>
      </c>
      <c r="G1181" s="19">
        <v>3.6</v>
      </c>
      <c r="H1181" s="19">
        <f t="shared" si="435"/>
        <v>2988</v>
      </c>
      <c r="I1181" s="19">
        <f t="shared" si="436"/>
        <v>2988</v>
      </c>
      <c r="J1181" s="18">
        <f t="shared" si="437"/>
        <v>159408</v>
      </c>
    </row>
    <row r="1182" spans="2:10" x14ac:dyDescent="0.3">
      <c r="B1182" s="82">
        <v>45894</v>
      </c>
      <c r="C1182" s="419" t="s">
        <v>136</v>
      </c>
      <c r="D1182" s="19">
        <v>1</v>
      </c>
      <c r="E1182" s="19">
        <v>600</v>
      </c>
      <c r="F1182" s="19">
        <f t="shared" si="434"/>
        <v>600</v>
      </c>
      <c r="G1182" s="19">
        <v>3.6</v>
      </c>
      <c r="H1182" s="19">
        <f t="shared" si="435"/>
        <v>2160</v>
      </c>
      <c r="I1182" s="19">
        <f t="shared" si="436"/>
        <v>2160</v>
      </c>
      <c r="J1182" s="18">
        <f t="shared" si="437"/>
        <v>161568</v>
      </c>
    </row>
    <row r="1186" spans="1:10" ht="21" x14ac:dyDescent="0.4">
      <c r="A1186" t="s">
        <v>127</v>
      </c>
      <c r="B1186" s="492" t="s">
        <v>20</v>
      </c>
      <c r="C1186" s="492"/>
      <c r="D1186" s="492"/>
      <c r="E1186" s="492"/>
      <c r="F1186" s="492"/>
      <c r="G1186" s="492"/>
      <c r="H1186" s="492"/>
      <c r="I1186" s="492"/>
      <c r="J1186" s="492"/>
    </row>
    <row r="1187" spans="1:10" ht="18" x14ac:dyDescent="0.35">
      <c r="A1187" t="s">
        <v>212</v>
      </c>
      <c r="B1187" s="4" t="s">
        <v>1</v>
      </c>
      <c r="C1187" s="4" t="s">
        <v>2</v>
      </c>
      <c r="D1187" s="4" t="s">
        <v>3</v>
      </c>
      <c r="E1187" s="4" t="s">
        <v>4</v>
      </c>
      <c r="F1187" s="4" t="s">
        <v>36</v>
      </c>
      <c r="G1187" s="4" t="s">
        <v>5</v>
      </c>
      <c r="H1187" s="4" t="s">
        <v>6</v>
      </c>
      <c r="I1187" s="4" t="s">
        <v>7</v>
      </c>
      <c r="J1187" s="4"/>
    </row>
    <row r="1188" spans="1:10" x14ac:dyDescent="0.3">
      <c r="B1188" s="437">
        <v>45889</v>
      </c>
      <c r="C1188" s="235" t="s">
        <v>1178</v>
      </c>
      <c r="D1188" s="382">
        <v>5</v>
      </c>
      <c r="E1188" s="431">
        <v>690</v>
      </c>
      <c r="F1188" s="19">
        <f>E1188*D1188</f>
        <v>3450</v>
      </c>
      <c r="G1188" s="19">
        <v>2.3477000000000001</v>
      </c>
      <c r="H1188" s="19">
        <f>E1188*G1188</f>
        <v>1619.913</v>
      </c>
      <c r="I1188" s="19">
        <f>H1188*D1188</f>
        <v>8099.5650000000005</v>
      </c>
      <c r="J1188" s="18">
        <f>J1187+I1188</f>
        <v>8099.5650000000005</v>
      </c>
    </row>
    <row r="1189" spans="1:10" x14ac:dyDescent="0.3">
      <c r="B1189" s="437">
        <v>45891</v>
      </c>
      <c r="C1189" s="235" t="s">
        <v>1179</v>
      </c>
      <c r="D1189" s="382">
        <v>400</v>
      </c>
      <c r="E1189" s="431">
        <v>274</v>
      </c>
      <c r="F1189" s="19">
        <f t="shared" ref="F1189:F1196" si="438">E1189*D1189</f>
        <v>109600</v>
      </c>
      <c r="G1189" s="19">
        <v>2.3477000000000001</v>
      </c>
      <c r="H1189" s="19">
        <f t="shared" ref="H1189:H1196" si="439">E1189*G1189</f>
        <v>643.26980000000003</v>
      </c>
      <c r="I1189" s="19">
        <f t="shared" ref="I1189:I1196" si="440">H1189*D1189</f>
        <v>257307.92</v>
      </c>
      <c r="J1189" s="18">
        <f t="shared" ref="J1189:J1196" si="441">J1188+I1189</f>
        <v>265407.48499999999</v>
      </c>
    </row>
    <row r="1190" spans="1:10" x14ac:dyDescent="0.3">
      <c r="B1190" s="437">
        <v>45895</v>
      </c>
      <c r="C1190" s="235" t="s">
        <v>1181</v>
      </c>
      <c r="D1190" s="382">
        <v>60</v>
      </c>
      <c r="E1190" s="431">
        <v>274</v>
      </c>
      <c r="F1190" s="382">
        <f t="shared" si="438"/>
        <v>16440</v>
      </c>
      <c r="G1190" s="382">
        <v>2.3477000000000001</v>
      </c>
      <c r="H1190" s="382">
        <f t="shared" si="439"/>
        <v>643.26980000000003</v>
      </c>
      <c r="I1190" s="382">
        <f t="shared" si="440"/>
        <v>38596.188000000002</v>
      </c>
      <c r="J1190" s="235">
        <f t="shared" si="441"/>
        <v>304003.67300000001</v>
      </c>
    </row>
    <row r="1191" spans="1:10" x14ac:dyDescent="0.3">
      <c r="B1191" s="437">
        <v>45891</v>
      </c>
      <c r="C1191" s="235" t="s">
        <v>1180</v>
      </c>
      <c r="D1191" s="382">
        <v>57</v>
      </c>
      <c r="E1191" s="431">
        <v>300</v>
      </c>
      <c r="F1191" s="19">
        <f t="shared" si="438"/>
        <v>17100</v>
      </c>
      <c r="G1191" s="19">
        <v>2.3477000000000001</v>
      </c>
      <c r="H1191" s="19">
        <f t="shared" si="439"/>
        <v>704.31000000000006</v>
      </c>
      <c r="I1191" s="19">
        <f t="shared" si="440"/>
        <v>40145.670000000006</v>
      </c>
      <c r="J1191" s="18">
        <f t="shared" si="441"/>
        <v>344149.34299999999</v>
      </c>
    </row>
    <row r="1192" spans="1:10" x14ac:dyDescent="0.3">
      <c r="B1192" s="437">
        <v>45883</v>
      </c>
      <c r="C1192" s="235" t="s">
        <v>1183</v>
      </c>
      <c r="D1192" s="382">
        <v>56</v>
      </c>
      <c r="E1192" s="431">
        <v>274</v>
      </c>
      <c r="F1192" s="382">
        <f t="shared" si="438"/>
        <v>15344</v>
      </c>
      <c r="G1192" s="382">
        <v>2.3477000000000001</v>
      </c>
      <c r="H1192" s="382">
        <f t="shared" si="439"/>
        <v>643.26980000000003</v>
      </c>
      <c r="I1192" s="382">
        <f t="shared" si="440"/>
        <v>36023.108800000002</v>
      </c>
      <c r="J1192" s="235">
        <f t="shared" si="441"/>
        <v>380172.45179999998</v>
      </c>
    </row>
    <row r="1193" spans="1:10" x14ac:dyDescent="0.3">
      <c r="B1193" s="382"/>
      <c r="C1193" s="382"/>
      <c r="D1193" s="382"/>
      <c r="E1193" s="382"/>
      <c r="F1193" s="19">
        <f t="shared" si="438"/>
        <v>0</v>
      </c>
      <c r="G1193" s="19"/>
      <c r="H1193" s="19">
        <f t="shared" si="439"/>
        <v>0</v>
      </c>
      <c r="I1193" s="19">
        <f t="shared" si="440"/>
        <v>0</v>
      </c>
      <c r="J1193" s="18">
        <f t="shared" si="441"/>
        <v>380172.45179999998</v>
      </c>
    </row>
    <row r="1194" spans="1:10" x14ac:dyDescent="0.3">
      <c r="B1194" s="19"/>
      <c r="C1194" s="19"/>
      <c r="D1194" s="19"/>
      <c r="E1194" s="19"/>
      <c r="F1194" s="19">
        <f t="shared" si="438"/>
        <v>0</v>
      </c>
      <c r="G1194" s="19"/>
      <c r="H1194" s="19">
        <f t="shared" si="439"/>
        <v>0</v>
      </c>
      <c r="I1194" s="19">
        <f t="shared" si="440"/>
        <v>0</v>
      </c>
      <c r="J1194" s="18">
        <f t="shared" si="441"/>
        <v>380172.45179999998</v>
      </c>
    </row>
    <row r="1195" spans="1:10" x14ac:dyDescent="0.3">
      <c r="B1195" s="19"/>
      <c r="C1195" s="19"/>
      <c r="D1195" s="19"/>
      <c r="E1195" s="19"/>
      <c r="F1195" s="19">
        <f t="shared" si="438"/>
        <v>0</v>
      </c>
      <c r="G1195" s="19"/>
      <c r="H1195" s="19">
        <f t="shared" si="439"/>
        <v>0</v>
      </c>
      <c r="I1195" s="19">
        <f t="shared" si="440"/>
        <v>0</v>
      </c>
      <c r="J1195" s="18">
        <f t="shared" si="441"/>
        <v>380172.45179999998</v>
      </c>
    </row>
    <row r="1196" spans="1:10" x14ac:dyDescent="0.3">
      <c r="B1196" s="19"/>
      <c r="C1196" s="19"/>
      <c r="D1196" s="19"/>
      <c r="E1196" s="19"/>
      <c r="F1196" s="19">
        <f t="shared" si="438"/>
        <v>0</v>
      </c>
      <c r="G1196" s="19"/>
      <c r="H1196" s="19">
        <f t="shared" si="439"/>
        <v>0</v>
      </c>
      <c r="I1196" s="19">
        <f t="shared" si="440"/>
        <v>0</v>
      </c>
      <c r="J1196" s="18">
        <f t="shared" si="441"/>
        <v>380172.45179999998</v>
      </c>
    </row>
    <row r="1200" spans="1:10" ht="21" x14ac:dyDescent="0.4">
      <c r="A1200" t="s">
        <v>127</v>
      </c>
      <c r="B1200" s="492" t="s">
        <v>35</v>
      </c>
      <c r="C1200" s="492"/>
      <c r="D1200" s="492"/>
      <c r="E1200" s="492"/>
      <c r="F1200" s="492"/>
      <c r="G1200" s="492"/>
      <c r="H1200" s="492"/>
      <c r="I1200" s="492"/>
      <c r="J1200" s="492"/>
    </row>
    <row r="1201" spans="1:10" ht="18" x14ac:dyDescent="0.35">
      <c r="A1201" t="s">
        <v>212</v>
      </c>
      <c r="B1201" s="4" t="s">
        <v>1</v>
      </c>
      <c r="C1201" s="4" t="s">
        <v>2</v>
      </c>
      <c r="D1201" s="4" t="s">
        <v>3</v>
      </c>
      <c r="E1201" s="4" t="s">
        <v>4</v>
      </c>
      <c r="F1201" s="4" t="s">
        <v>36</v>
      </c>
      <c r="G1201" s="4" t="s">
        <v>5</v>
      </c>
      <c r="H1201" s="4" t="s">
        <v>6</v>
      </c>
      <c r="I1201" s="4" t="s">
        <v>7</v>
      </c>
      <c r="J1201" s="4"/>
    </row>
    <row r="1202" spans="1:10" x14ac:dyDescent="0.3">
      <c r="B1202" s="97">
        <v>45889</v>
      </c>
      <c r="C1202" s="109" t="s">
        <v>1184</v>
      </c>
      <c r="D1202" s="126">
        <v>5</v>
      </c>
      <c r="E1202" s="126">
        <v>779.9</v>
      </c>
      <c r="F1202" s="126">
        <f>E1202*D1202</f>
        <v>3899.5</v>
      </c>
      <c r="G1202" s="126">
        <v>2.1800000000000002</v>
      </c>
      <c r="H1202" s="126">
        <f>E1202*G1202</f>
        <v>1700.182</v>
      </c>
      <c r="I1202" s="126">
        <f>H1202*D1202</f>
        <v>8500.91</v>
      </c>
      <c r="J1202" s="109">
        <f>J1201+I1202</f>
        <v>8500.91</v>
      </c>
    </row>
    <row r="1203" spans="1:10" x14ac:dyDescent="0.3">
      <c r="B1203" s="140">
        <v>45889</v>
      </c>
      <c r="C1203" s="143" t="s">
        <v>1192</v>
      </c>
      <c r="D1203" s="142">
        <v>1</v>
      </c>
      <c r="E1203" s="142">
        <v>779.9</v>
      </c>
      <c r="F1203" s="142">
        <f t="shared" ref="F1203:F1210" si="442">E1203*D1203</f>
        <v>779.9</v>
      </c>
      <c r="G1203" s="142">
        <v>2.1800000000000002</v>
      </c>
      <c r="H1203" s="142">
        <f t="shared" ref="H1203:H1210" si="443">E1203*G1203</f>
        <v>1700.182</v>
      </c>
      <c r="I1203" s="142">
        <f t="shared" ref="I1203:I1210" si="444">H1203*D1203</f>
        <v>1700.182</v>
      </c>
      <c r="J1203" s="143">
        <f t="shared" ref="J1203:J1210" si="445">J1202+I1203</f>
        <v>10201.092000000001</v>
      </c>
    </row>
    <row r="1204" spans="1:10" x14ac:dyDescent="0.3">
      <c r="B1204" s="140">
        <v>45889</v>
      </c>
      <c r="C1204" s="143" t="s">
        <v>1191</v>
      </c>
      <c r="D1204" s="142">
        <v>1</v>
      </c>
      <c r="E1204" s="142">
        <v>775</v>
      </c>
      <c r="F1204" s="142">
        <f t="shared" si="442"/>
        <v>775</v>
      </c>
      <c r="G1204" s="142">
        <v>2.1800000000000002</v>
      </c>
      <c r="H1204" s="142">
        <f t="shared" si="443"/>
        <v>1689.5000000000002</v>
      </c>
      <c r="I1204" s="142">
        <f t="shared" si="444"/>
        <v>1689.5000000000002</v>
      </c>
      <c r="J1204" s="143">
        <f t="shared" si="445"/>
        <v>11890.592000000001</v>
      </c>
    </row>
    <row r="1205" spans="1:10" x14ac:dyDescent="0.3">
      <c r="B1205" s="97">
        <v>45889</v>
      </c>
      <c r="C1205" s="109" t="s">
        <v>1187</v>
      </c>
      <c r="D1205" s="126">
        <v>4</v>
      </c>
      <c r="E1205" s="126">
        <v>750</v>
      </c>
      <c r="F1205" s="126">
        <f t="shared" si="442"/>
        <v>3000</v>
      </c>
      <c r="G1205" s="126">
        <v>2.1800000000000002</v>
      </c>
      <c r="H1205" s="126">
        <f t="shared" si="443"/>
        <v>1635.0000000000002</v>
      </c>
      <c r="I1205" s="126">
        <f t="shared" si="444"/>
        <v>6540.0000000000009</v>
      </c>
      <c r="J1205" s="109">
        <f t="shared" si="445"/>
        <v>18430.592000000001</v>
      </c>
    </row>
    <row r="1206" spans="1:10" x14ac:dyDescent="0.3">
      <c r="B1206" s="97">
        <v>45895</v>
      </c>
      <c r="C1206" s="109" t="s">
        <v>1188</v>
      </c>
      <c r="D1206" s="126">
        <v>50</v>
      </c>
      <c r="E1206" s="126">
        <v>329</v>
      </c>
      <c r="F1206" s="126">
        <f t="shared" si="442"/>
        <v>16450</v>
      </c>
      <c r="G1206" s="126">
        <v>2.1800000000000002</v>
      </c>
      <c r="H1206" s="126">
        <f t="shared" si="443"/>
        <v>717.22</v>
      </c>
      <c r="I1206" s="126">
        <f t="shared" si="444"/>
        <v>35861</v>
      </c>
      <c r="J1206" s="109">
        <f t="shared" si="445"/>
        <v>54291.592000000004</v>
      </c>
    </row>
    <row r="1207" spans="1:10" x14ac:dyDescent="0.3">
      <c r="B1207" s="97">
        <v>45895</v>
      </c>
      <c r="C1207" s="109" t="s">
        <v>1189</v>
      </c>
      <c r="D1207" s="343">
        <v>50</v>
      </c>
      <c r="E1207" s="343">
        <v>329</v>
      </c>
      <c r="F1207" s="126">
        <f t="shared" si="442"/>
        <v>16450</v>
      </c>
      <c r="G1207" s="126">
        <v>2.1800000000000002</v>
      </c>
      <c r="H1207" s="126">
        <f t="shared" si="443"/>
        <v>717.22</v>
      </c>
      <c r="I1207" s="126">
        <f t="shared" si="444"/>
        <v>35861</v>
      </c>
      <c r="J1207" s="109">
        <f t="shared" si="445"/>
        <v>90152.592000000004</v>
      </c>
    </row>
    <row r="1208" spans="1:10" x14ac:dyDescent="0.3">
      <c r="B1208" s="19"/>
      <c r="C1208" s="19"/>
      <c r="D1208" s="19"/>
      <c r="E1208" s="19"/>
      <c r="F1208" s="19">
        <f t="shared" si="442"/>
        <v>0</v>
      </c>
      <c r="G1208" s="382"/>
      <c r="H1208" s="19">
        <f t="shared" si="443"/>
        <v>0</v>
      </c>
      <c r="I1208" s="19">
        <f t="shared" si="444"/>
        <v>0</v>
      </c>
      <c r="J1208" s="18">
        <f t="shared" si="445"/>
        <v>90152.592000000004</v>
      </c>
    </row>
    <row r="1209" spans="1:10" x14ac:dyDescent="0.3">
      <c r="B1209" s="19"/>
      <c r="C1209" s="19"/>
      <c r="D1209" s="19"/>
      <c r="E1209" s="19"/>
      <c r="F1209" s="19">
        <f t="shared" si="442"/>
        <v>0</v>
      </c>
      <c r="G1209" s="382"/>
      <c r="H1209" s="19">
        <f t="shared" si="443"/>
        <v>0</v>
      </c>
      <c r="I1209" s="19">
        <f t="shared" si="444"/>
        <v>0</v>
      </c>
      <c r="J1209" s="18">
        <f t="shared" si="445"/>
        <v>90152.592000000004</v>
      </c>
    </row>
    <row r="1210" spans="1:10" x14ac:dyDescent="0.3">
      <c r="B1210" s="19"/>
      <c r="C1210" s="19"/>
      <c r="D1210" s="19"/>
      <c r="E1210" s="19"/>
      <c r="F1210" s="19">
        <f t="shared" si="442"/>
        <v>0</v>
      </c>
      <c r="G1210" s="382"/>
      <c r="H1210" s="19">
        <f t="shared" si="443"/>
        <v>0</v>
      </c>
      <c r="I1210" s="19">
        <f t="shared" si="444"/>
        <v>0</v>
      </c>
      <c r="J1210" s="18">
        <f t="shared" si="445"/>
        <v>90152.592000000004</v>
      </c>
    </row>
    <row r="1214" spans="1:10" ht="21" x14ac:dyDescent="0.4">
      <c r="A1214" t="s">
        <v>127</v>
      </c>
      <c r="B1214" s="495" t="s">
        <v>391</v>
      </c>
      <c r="C1214" s="495"/>
      <c r="D1214" s="495"/>
      <c r="E1214" s="495"/>
      <c r="F1214" s="495"/>
      <c r="G1214" s="495"/>
      <c r="H1214" s="495"/>
      <c r="I1214" s="495"/>
      <c r="J1214" s="495"/>
    </row>
    <row r="1215" spans="1:10" ht="18" x14ac:dyDescent="0.35">
      <c r="B1215" s="4" t="s">
        <v>1</v>
      </c>
      <c r="C1215" s="4" t="s">
        <v>2</v>
      </c>
      <c r="D1215" s="4" t="s">
        <v>3</v>
      </c>
      <c r="E1215" s="373" t="s">
        <v>134</v>
      </c>
      <c r="F1215" s="373" t="s">
        <v>135</v>
      </c>
      <c r="G1215" s="4" t="s">
        <v>5</v>
      </c>
      <c r="H1215" s="4" t="s">
        <v>6</v>
      </c>
      <c r="I1215" s="4" t="s">
        <v>7</v>
      </c>
      <c r="J1215" s="4"/>
    </row>
    <row r="1216" spans="1:10" x14ac:dyDescent="0.3">
      <c r="B1216" s="82">
        <v>45902</v>
      </c>
      <c r="C1216" s="18" t="s">
        <v>1170</v>
      </c>
      <c r="D1216" s="19">
        <v>116</v>
      </c>
      <c r="E1216" s="19">
        <v>220</v>
      </c>
      <c r="F1216" s="19">
        <f>E1216*D1216</f>
        <v>25520</v>
      </c>
      <c r="G1216" s="19">
        <v>3.58</v>
      </c>
      <c r="H1216" s="19">
        <f>E1216*G1216</f>
        <v>787.6</v>
      </c>
      <c r="I1216" s="19">
        <f>H1216*D1216</f>
        <v>91361.600000000006</v>
      </c>
      <c r="J1216" s="18">
        <f>J1215+I1216</f>
        <v>91361.600000000006</v>
      </c>
    </row>
    <row r="1217" spans="1:10" x14ac:dyDescent="0.3">
      <c r="B1217" s="82">
        <v>45902</v>
      </c>
      <c r="C1217" s="18" t="s">
        <v>1210</v>
      </c>
      <c r="D1217" s="19">
        <v>1</v>
      </c>
      <c r="E1217" s="19">
        <v>750</v>
      </c>
      <c r="F1217" s="19">
        <f t="shared" ref="F1217:F1223" si="446">E1217*D1217</f>
        <v>750</v>
      </c>
      <c r="G1217" s="19">
        <v>3.58</v>
      </c>
      <c r="H1217" s="19">
        <f t="shared" ref="H1217:H1223" si="447">E1217*G1217</f>
        <v>2685</v>
      </c>
      <c r="I1217" s="19">
        <f t="shared" ref="I1217:I1223" si="448">H1217*D1217</f>
        <v>2685</v>
      </c>
      <c r="J1217" s="18">
        <f t="shared" ref="J1217:J1223" si="449">J1216+I1217</f>
        <v>94046.6</v>
      </c>
    </row>
    <row r="1218" spans="1:10" x14ac:dyDescent="0.3">
      <c r="B1218" s="82">
        <v>45902</v>
      </c>
      <c r="C1218" s="18" t="s">
        <v>1211</v>
      </c>
      <c r="D1218" s="19">
        <v>1</v>
      </c>
      <c r="E1218" s="19">
        <v>300</v>
      </c>
      <c r="F1218" s="19">
        <f t="shared" si="446"/>
        <v>300</v>
      </c>
      <c r="G1218" s="19">
        <v>3.58</v>
      </c>
      <c r="H1218" s="19">
        <f t="shared" si="447"/>
        <v>1074</v>
      </c>
      <c r="I1218" s="19">
        <f t="shared" si="448"/>
        <v>1074</v>
      </c>
      <c r="J1218" s="18">
        <f t="shared" si="449"/>
        <v>95120.6</v>
      </c>
    </row>
    <row r="1219" spans="1:10" x14ac:dyDescent="0.3">
      <c r="B1219" s="82">
        <v>45902</v>
      </c>
      <c r="C1219" s="18" t="s">
        <v>1212</v>
      </c>
      <c r="D1219" s="19">
        <v>7</v>
      </c>
      <c r="E1219" s="19">
        <v>425</v>
      </c>
      <c r="F1219" s="19">
        <f t="shared" si="446"/>
        <v>2975</v>
      </c>
      <c r="G1219" s="19">
        <v>3.58</v>
      </c>
      <c r="H1219" s="19">
        <f t="shared" si="447"/>
        <v>1521.5</v>
      </c>
      <c r="I1219" s="19">
        <f t="shared" si="448"/>
        <v>10650.5</v>
      </c>
      <c r="J1219" s="18">
        <f t="shared" si="449"/>
        <v>105771.1</v>
      </c>
    </row>
    <row r="1220" spans="1:10" x14ac:dyDescent="0.3">
      <c r="B1220" s="82">
        <v>45902</v>
      </c>
      <c r="C1220" s="18" t="s">
        <v>1213</v>
      </c>
      <c r="D1220" s="19">
        <v>1</v>
      </c>
      <c r="E1220" s="19"/>
      <c r="F1220" s="19">
        <f t="shared" si="446"/>
        <v>0</v>
      </c>
      <c r="G1220" s="19">
        <v>3.58</v>
      </c>
      <c r="H1220" s="19">
        <f t="shared" si="447"/>
        <v>0</v>
      </c>
      <c r="I1220" s="19">
        <f t="shared" si="448"/>
        <v>0</v>
      </c>
      <c r="J1220" s="18">
        <f t="shared" si="449"/>
        <v>105771.1</v>
      </c>
    </row>
    <row r="1221" spans="1:10" x14ac:dyDescent="0.3">
      <c r="B1221" s="82">
        <v>45902</v>
      </c>
      <c r="C1221" s="18" t="s">
        <v>828</v>
      </c>
      <c r="D1221" s="19">
        <v>3</v>
      </c>
      <c r="E1221" s="19">
        <v>590</v>
      </c>
      <c r="F1221" s="19">
        <f t="shared" si="446"/>
        <v>1770</v>
      </c>
      <c r="G1221" s="19">
        <v>3.58</v>
      </c>
      <c r="H1221" s="19">
        <f t="shared" si="447"/>
        <v>2112.1999999999998</v>
      </c>
      <c r="I1221" s="19">
        <f t="shared" si="448"/>
        <v>6336.5999999999995</v>
      </c>
      <c r="J1221" s="18">
        <f t="shared" si="449"/>
        <v>112107.70000000001</v>
      </c>
    </row>
    <row r="1222" spans="1:10" x14ac:dyDescent="0.3">
      <c r="B1222" s="82">
        <v>45902</v>
      </c>
      <c r="C1222" s="18" t="s">
        <v>829</v>
      </c>
      <c r="D1222" s="19">
        <v>1</v>
      </c>
      <c r="E1222" s="19">
        <v>390</v>
      </c>
      <c r="F1222" s="19">
        <f t="shared" si="446"/>
        <v>390</v>
      </c>
      <c r="G1222" s="19">
        <v>3.58</v>
      </c>
      <c r="H1222" s="19">
        <f t="shared" si="447"/>
        <v>1396.2</v>
      </c>
      <c r="I1222" s="19">
        <f t="shared" si="448"/>
        <v>1396.2</v>
      </c>
      <c r="J1222" s="18">
        <f t="shared" si="449"/>
        <v>113503.90000000001</v>
      </c>
    </row>
    <row r="1223" spans="1:10" x14ac:dyDescent="0.3">
      <c r="B1223" s="82">
        <v>45902</v>
      </c>
      <c r="C1223" s="81" t="s">
        <v>156</v>
      </c>
      <c r="D1223" s="19">
        <v>6</v>
      </c>
      <c r="E1223" s="19">
        <v>0</v>
      </c>
      <c r="F1223" s="19">
        <f t="shared" si="446"/>
        <v>0</v>
      </c>
      <c r="G1223" s="19">
        <v>3.58</v>
      </c>
      <c r="H1223" s="19">
        <f t="shared" si="447"/>
        <v>0</v>
      </c>
      <c r="I1223" s="19">
        <f t="shared" si="448"/>
        <v>0</v>
      </c>
      <c r="J1223" s="18">
        <f t="shared" si="449"/>
        <v>113503.90000000001</v>
      </c>
    </row>
    <row r="1224" spans="1:10" x14ac:dyDescent="0.3">
      <c r="B1224" s="82">
        <v>45902</v>
      </c>
      <c r="C1224" s="452" t="s">
        <v>137</v>
      </c>
      <c r="D1224" s="19">
        <v>3</v>
      </c>
      <c r="E1224" s="19">
        <v>820</v>
      </c>
      <c r="F1224" s="19">
        <f t="shared" ref="F1224:F1228" si="450">E1224*D1224</f>
        <v>2460</v>
      </c>
      <c r="G1224" s="19">
        <v>3.58</v>
      </c>
      <c r="H1224" s="19">
        <f t="shared" ref="H1224:H1228" si="451">E1224*G1224</f>
        <v>2935.6</v>
      </c>
      <c r="I1224" s="19">
        <f t="shared" ref="I1224:I1226" si="452">H1224*D1224</f>
        <v>8806.7999999999993</v>
      </c>
      <c r="J1224" s="18">
        <f t="shared" ref="J1224:J1226" si="453">J1223+I1224</f>
        <v>122310.70000000001</v>
      </c>
    </row>
    <row r="1225" spans="1:10" x14ac:dyDescent="0.3">
      <c r="B1225" s="82">
        <v>45902</v>
      </c>
      <c r="C1225" s="452" t="s">
        <v>941</v>
      </c>
      <c r="D1225" s="19">
        <v>3</v>
      </c>
      <c r="E1225" s="19">
        <v>1000</v>
      </c>
      <c r="F1225" s="19">
        <f t="shared" si="450"/>
        <v>3000</v>
      </c>
      <c r="G1225" s="19">
        <v>3.58</v>
      </c>
      <c r="H1225" s="19">
        <f t="shared" si="451"/>
        <v>3580</v>
      </c>
      <c r="I1225" s="19">
        <f t="shared" si="452"/>
        <v>10740</v>
      </c>
      <c r="J1225" s="18">
        <f t="shared" si="453"/>
        <v>133050.70000000001</v>
      </c>
    </row>
    <row r="1226" spans="1:10" x14ac:dyDescent="0.3">
      <c r="B1226" s="82">
        <v>45902</v>
      </c>
      <c r="C1226" s="452" t="s">
        <v>945</v>
      </c>
      <c r="D1226" s="19">
        <v>1</v>
      </c>
      <c r="E1226" s="19">
        <v>1180</v>
      </c>
      <c r="F1226" s="19">
        <f t="shared" si="450"/>
        <v>1180</v>
      </c>
      <c r="G1226" s="19">
        <v>3.58</v>
      </c>
      <c r="H1226" s="19">
        <f t="shared" si="451"/>
        <v>4224.3999999999996</v>
      </c>
      <c r="I1226" s="19">
        <f t="shared" si="452"/>
        <v>4224.3999999999996</v>
      </c>
      <c r="J1226" s="18">
        <f t="shared" si="453"/>
        <v>137275.1</v>
      </c>
    </row>
    <row r="1227" spans="1:10" x14ac:dyDescent="0.3">
      <c r="B1227" s="82">
        <v>45902</v>
      </c>
      <c r="C1227" s="452" t="s">
        <v>1214</v>
      </c>
      <c r="D1227" s="19">
        <v>1</v>
      </c>
      <c r="E1227" s="19">
        <v>1275</v>
      </c>
      <c r="F1227" s="19">
        <f t="shared" si="450"/>
        <v>1275</v>
      </c>
      <c r="G1227" s="19">
        <v>3.58</v>
      </c>
      <c r="H1227" s="19">
        <f t="shared" si="451"/>
        <v>4564.5</v>
      </c>
      <c r="I1227" s="19">
        <f t="shared" ref="I1227:I1228" si="454">H1227*D1227</f>
        <v>4564.5</v>
      </c>
      <c r="J1227" s="18">
        <f t="shared" ref="J1227:J1228" si="455">J1226+I1227</f>
        <v>141839.6</v>
      </c>
    </row>
    <row r="1228" spans="1:10" x14ac:dyDescent="0.3">
      <c r="B1228" s="82">
        <v>45902</v>
      </c>
      <c r="C1228" s="235" t="s">
        <v>1173</v>
      </c>
      <c r="D1228" s="19">
        <v>1</v>
      </c>
      <c r="E1228" s="19">
        <v>1250</v>
      </c>
      <c r="F1228" s="19">
        <f t="shared" si="450"/>
        <v>1250</v>
      </c>
      <c r="G1228" s="19">
        <v>3.58</v>
      </c>
      <c r="H1228" s="19">
        <f t="shared" si="451"/>
        <v>4475</v>
      </c>
      <c r="I1228" s="19">
        <f t="shared" si="454"/>
        <v>4475</v>
      </c>
      <c r="J1228" s="18">
        <f t="shared" si="455"/>
        <v>146314.6</v>
      </c>
    </row>
    <row r="1231" spans="1:10" ht="21" x14ac:dyDescent="0.4">
      <c r="A1231" t="s">
        <v>127</v>
      </c>
      <c r="B1231" s="492" t="s">
        <v>20</v>
      </c>
      <c r="C1231" s="492"/>
      <c r="D1231" s="492"/>
      <c r="E1231" s="492"/>
      <c r="F1231" s="492"/>
      <c r="G1231" s="492"/>
      <c r="H1231" s="492"/>
      <c r="I1231" s="492"/>
      <c r="J1231" s="492"/>
    </row>
    <row r="1232" spans="1:10" ht="18" x14ac:dyDescent="0.35">
      <c r="A1232" t="s">
        <v>212</v>
      </c>
      <c r="B1232" s="4" t="s">
        <v>1</v>
      </c>
      <c r="C1232" s="4" t="s">
        <v>2</v>
      </c>
      <c r="D1232" s="4" t="s">
        <v>3</v>
      </c>
      <c r="E1232" s="4" t="s">
        <v>4</v>
      </c>
      <c r="F1232" s="4" t="s">
        <v>36</v>
      </c>
      <c r="G1232" s="4" t="s">
        <v>5</v>
      </c>
      <c r="H1232" s="4" t="s">
        <v>6</v>
      </c>
      <c r="I1232" s="4" t="s">
        <v>7</v>
      </c>
      <c r="J1232" s="4"/>
    </row>
    <row r="1233" spans="1:10" x14ac:dyDescent="0.3">
      <c r="B1233" s="437">
        <v>45883</v>
      </c>
      <c r="C1233" s="81" t="s">
        <v>1105</v>
      </c>
      <c r="D1233" s="19">
        <v>56</v>
      </c>
      <c r="E1233" s="19">
        <v>274</v>
      </c>
      <c r="F1233" s="19">
        <f>E1233*D1233</f>
        <v>15344</v>
      </c>
      <c r="G1233" s="382">
        <v>2.3793000000000002</v>
      </c>
      <c r="H1233" s="19">
        <f>E1233*G1233</f>
        <v>651.92820000000006</v>
      </c>
      <c r="I1233" s="19">
        <f>H1233*D1233</f>
        <v>36507.979200000002</v>
      </c>
      <c r="J1233" s="18">
        <f>J1232+I1233</f>
        <v>36507.979200000002</v>
      </c>
    </row>
    <row r="1234" spans="1:10" x14ac:dyDescent="0.3">
      <c r="B1234" s="97">
        <v>45897</v>
      </c>
      <c r="C1234" s="138" t="s">
        <v>1216</v>
      </c>
      <c r="D1234" s="126">
        <v>10</v>
      </c>
      <c r="E1234" s="126">
        <v>2600</v>
      </c>
      <c r="F1234" s="126">
        <f t="shared" ref="F1234:F1241" si="456">E1234*D1234</f>
        <v>26000</v>
      </c>
      <c r="G1234" s="126">
        <v>2.3793000000000002</v>
      </c>
      <c r="H1234" s="126">
        <f t="shared" ref="H1234:H1241" si="457">E1234*G1234</f>
        <v>6186.18</v>
      </c>
      <c r="I1234" s="126">
        <f t="shared" ref="I1234:I1241" si="458">H1234*D1234</f>
        <v>61861.8</v>
      </c>
      <c r="J1234" s="109">
        <f t="shared" ref="J1234:J1241" si="459">J1233+I1234</f>
        <v>98369.779200000004</v>
      </c>
    </row>
    <row r="1235" spans="1:10" x14ac:dyDescent="0.3">
      <c r="B1235" s="437">
        <v>45898</v>
      </c>
      <c r="C1235" s="81" t="s">
        <v>1215</v>
      </c>
      <c r="D1235" s="19">
        <v>30</v>
      </c>
      <c r="E1235" s="19">
        <v>274</v>
      </c>
      <c r="F1235" s="19">
        <f t="shared" si="456"/>
        <v>8220</v>
      </c>
      <c r="G1235" s="382">
        <v>2.3793000000000002</v>
      </c>
      <c r="H1235" s="19">
        <f t="shared" si="457"/>
        <v>651.92820000000006</v>
      </c>
      <c r="I1235" s="19">
        <f t="shared" si="458"/>
        <v>19557.846000000001</v>
      </c>
      <c r="J1235" s="18">
        <f t="shared" si="459"/>
        <v>117927.62520000001</v>
      </c>
    </row>
    <row r="1236" spans="1:10" x14ac:dyDescent="0.3">
      <c r="B1236" s="97">
        <v>45899</v>
      </c>
      <c r="C1236" s="138" t="s">
        <v>1217</v>
      </c>
      <c r="D1236" s="126">
        <v>20</v>
      </c>
      <c r="E1236" s="126">
        <v>560</v>
      </c>
      <c r="F1236" s="126">
        <f t="shared" si="456"/>
        <v>11200</v>
      </c>
      <c r="G1236" s="126">
        <v>2.3793000000000002</v>
      </c>
      <c r="H1236" s="126">
        <f t="shared" si="457"/>
        <v>1332.4080000000001</v>
      </c>
      <c r="I1236" s="126">
        <f t="shared" si="458"/>
        <v>26648.160000000003</v>
      </c>
      <c r="J1236" s="109">
        <f t="shared" si="459"/>
        <v>144575.78520000001</v>
      </c>
    </row>
    <row r="1237" spans="1:10" x14ac:dyDescent="0.3">
      <c r="B1237" s="19"/>
      <c r="C1237" s="81"/>
      <c r="D1237" s="19"/>
      <c r="E1237" s="19"/>
      <c r="F1237" s="19">
        <f t="shared" si="456"/>
        <v>0</v>
      </c>
      <c r="G1237" s="382">
        <v>2.3793000000000002</v>
      </c>
      <c r="H1237" s="19">
        <f t="shared" si="457"/>
        <v>0</v>
      </c>
      <c r="I1237" s="19">
        <f t="shared" si="458"/>
        <v>0</v>
      </c>
      <c r="J1237" s="18">
        <f t="shared" si="459"/>
        <v>144575.78520000001</v>
      </c>
    </row>
    <row r="1238" spans="1:10" x14ac:dyDescent="0.3">
      <c r="B1238" s="19"/>
      <c r="C1238" s="81"/>
      <c r="D1238" s="19"/>
      <c r="E1238" s="19"/>
      <c r="F1238" s="19">
        <f t="shared" si="456"/>
        <v>0</v>
      </c>
      <c r="G1238" s="382">
        <v>2.3793000000000002</v>
      </c>
      <c r="H1238" s="19">
        <f t="shared" si="457"/>
        <v>0</v>
      </c>
      <c r="I1238" s="19">
        <f t="shared" si="458"/>
        <v>0</v>
      </c>
      <c r="J1238" s="18">
        <f t="shared" si="459"/>
        <v>144575.78520000001</v>
      </c>
    </row>
    <row r="1239" spans="1:10" x14ac:dyDescent="0.3">
      <c r="B1239" s="19"/>
      <c r="C1239" s="81"/>
      <c r="D1239" s="19"/>
      <c r="E1239" s="19"/>
      <c r="F1239" s="19">
        <f t="shared" si="456"/>
        <v>0</v>
      </c>
      <c r="G1239" s="382">
        <v>2.3793000000000002</v>
      </c>
      <c r="H1239" s="19">
        <f t="shared" si="457"/>
        <v>0</v>
      </c>
      <c r="I1239" s="19">
        <f t="shared" si="458"/>
        <v>0</v>
      </c>
      <c r="J1239" s="18">
        <f t="shared" si="459"/>
        <v>144575.78520000001</v>
      </c>
    </row>
    <row r="1240" spans="1:10" x14ac:dyDescent="0.3">
      <c r="B1240" s="19"/>
      <c r="C1240" s="81"/>
      <c r="D1240" s="19"/>
      <c r="E1240" s="19"/>
      <c r="F1240" s="19">
        <f t="shared" si="456"/>
        <v>0</v>
      </c>
      <c r="G1240" s="382">
        <v>2.3793000000000002</v>
      </c>
      <c r="H1240" s="19">
        <f t="shared" si="457"/>
        <v>0</v>
      </c>
      <c r="I1240" s="19">
        <f t="shared" si="458"/>
        <v>0</v>
      </c>
      <c r="J1240" s="18">
        <f t="shared" si="459"/>
        <v>144575.78520000001</v>
      </c>
    </row>
    <row r="1241" spans="1:10" x14ac:dyDescent="0.3">
      <c r="B1241" s="19"/>
      <c r="C1241" s="81"/>
      <c r="D1241" s="19"/>
      <c r="E1241" s="19"/>
      <c r="F1241" s="19">
        <f t="shared" si="456"/>
        <v>0</v>
      </c>
      <c r="G1241" s="382">
        <v>2.3793000000000002</v>
      </c>
      <c r="H1241" s="19">
        <f t="shared" si="457"/>
        <v>0</v>
      </c>
      <c r="I1241" s="19">
        <f t="shared" si="458"/>
        <v>0</v>
      </c>
      <c r="J1241" s="18">
        <f t="shared" si="459"/>
        <v>144575.78520000001</v>
      </c>
    </row>
    <row r="1244" spans="1:10" ht="21" x14ac:dyDescent="0.4">
      <c r="A1244" t="s">
        <v>127</v>
      </c>
      <c r="B1244" s="495" t="s">
        <v>391</v>
      </c>
      <c r="C1244" s="495"/>
      <c r="D1244" s="495"/>
      <c r="E1244" s="495"/>
      <c r="F1244" s="495"/>
      <c r="G1244" s="495"/>
      <c r="H1244" s="495"/>
      <c r="I1244" s="495"/>
      <c r="J1244" s="495"/>
    </row>
    <row r="1245" spans="1:10" ht="18" x14ac:dyDescent="0.35">
      <c r="B1245" s="4" t="s">
        <v>1</v>
      </c>
      <c r="C1245" s="4" t="s">
        <v>2</v>
      </c>
      <c r="D1245" s="4" t="s">
        <v>3</v>
      </c>
      <c r="E1245" s="373" t="s">
        <v>134</v>
      </c>
      <c r="F1245" s="373" t="s">
        <v>135</v>
      </c>
      <c r="G1245" s="4" t="s">
        <v>5</v>
      </c>
      <c r="H1245" s="4" t="s">
        <v>6</v>
      </c>
      <c r="I1245" s="4" t="s">
        <v>7</v>
      </c>
      <c r="J1245" s="4"/>
    </row>
    <row r="1246" spans="1:10" x14ac:dyDescent="0.3">
      <c r="B1246" s="82">
        <v>45908</v>
      </c>
      <c r="C1246" s="18" t="s">
        <v>828</v>
      </c>
      <c r="D1246" s="19">
        <v>3</v>
      </c>
      <c r="E1246" s="19">
        <v>590</v>
      </c>
      <c r="F1246" s="19">
        <f>E1246*D1246</f>
        <v>1770</v>
      </c>
      <c r="G1246" s="19">
        <v>3.58</v>
      </c>
      <c r="H1246" s="19">
        <f>E1246*G1246</f>
        <v>2112.1999999999998</v>
      </c>
      <c r="I1246" s="19">
        <f>H1246*D1246</f>
        <v>6336.5999999999995</v>
      </c>
      <c r="J1246" s="18">
        <f>J1245+I1246</f>
        <v>6336.5999999999995</v>
      </c>
    </row>
    <row r="1247" spans="1:10" x14ac:dyDescent="0.3">
      <c r="B1247" s="82">
        <v>45908</v>
      </c>
      <c r="C1247" s="18" t="s">
        <v>829</v>
      </c>
      <c r="D1247" s="19">
        <v>2</v>
      </c>
      <c r="E1247" s="19">
        <v>390</v>
      </c>
      <c r="F1247" s="19">
        <f t="shared" ref="F1247:F1257" si="460">E1247*D1247</f>
        <v>780</v>
      </c>
      <c r="G1247" s="19">
        <v>3.58</v>
      </c>
      <c r="H1247" s="19">
        <f t="shared" ref="H1247:H1257" si="461">E1247*G1247</f>
        <v>1396.2</v>
      </c>
      <c r="I1247" s="19">
        <f t="shared" ref="I1247:I1263" si="462">H1247*D1247</f>
        <v>2792.4</v>
      </c>
      <c r="J1247" s="18">
        <f t="shared" ref="J1247:J1263" si="463">J1246+I1247</f>
        <v>9129</v>
      </c>
    </row>
    <row r="1248" spans="1:10" x14ac:dyDescent="0.3">
      <c r="B1248" s="82">
        <v>45908</v>
      </c>
      <c r="C1248" s="18" t="s">
        <v>1210</v>
      </c>
      <c r="D1248" s="19">
        <v>1</v>
      </c>
      <c r="E1248" s="19">
        <v>750</v>
      </c>
      <c r="F1248" s="19">
        <f t="shared" si="460"/>
        <v>750</v>
      </c>
      <c r="G1248" s="19">
        <v>3.58</v>
      </c>
      <c r="H1248" s="19">
        <f t="shared" si="461"/>
        <v>2685</v>
      </c>
      <c r="I1248" s="19">
        <f t="shared" si="462"/>
        <v>2685</v>
      </c>
      <c r="J1248" s="18">
        <f t="shared" si="463"/>
        <v>11814</v>
      </c>
    </row>
    <row r="1249" spans="2:10" x14ac:dyDescent="0.3">
      <c r="B1249" s="82">
        <v>45908</v>
      </c>
      <c r="C1249" s="18" t="s">
        <v>1170</v>
      </c>
      <c r="D1249" s="19">
        <v>4</v>
      </c>
      <c r="E1249" s="19">
        <v>220</v>
      </c>
      <c r="F1249" s="19">
        <f t="shared" si="460"/>
        <v>880</v>
      </c>
      <c r="G1249" s="19">
        <v>3.58</v>
      </c>
      <c r="H1249" s="19">
        <f t="shared" si="461"/>
        <v>787.6</v>
      </c>
      <c r="I1249" s="19">
        <f t="shared" si="462"/>
        <v>3150.4</v>
      </c>
      <c r="J1249" s="18">
        <f t="shared" si="463"/>
        <v>14964.4</v>
      </c>
    </row>
    <row r="1250" spans="2:10" x14ac:dyDescent="0.3">
      <c r="B1250" s="82">
        <v>45908</v>
      </c>
      <c r="C1250" s="452" t="s">
        <v>133</v>
      </c>
      <c r="D1250" s="19">
        <v>13</v>
      </c>
      <c r="E1250" s="19">
        <v>425</v>
      </c>
      <c r="F1250" s="19">
        <f t="shared" si="460"/>
        <v>5525</v>
      </c>
      <c r="G1250" s="19">
        <v>3.58</v>
      </c>
      <c r="H1250" s="19">
        <f t="shared" si="461"/>
        <v>1521.5</v>
      </c>
      <c r="I1250" s="19">
        <f t="shared" si="462"/>
        <v>19779.5</v>
      </c>
      <c r="J1250" s="18">
        <f t="shared" si="463"/>
        <v>34743.9</v>
      </c>
    </row>
    <row r="1251" spans="2:10" x14ac:dyDescent="0.3">
      <c r="B1251" s="82">
        <v>45908</v>
      </c>
      <c r="C1251" s="452" t="s">
        <v>941</v>
      </c>
      <c r="D1251" s="19">
        <v>4</v>
      </c>
      <c r="E1251" s="19">
        <v>1030</v>
      </c>
      <c r="F1251" s="19">
        <f t="shared" si="460"/>
        <v>4120</v>
      </c>
      <c r="G1251" s="19">
        <v>3.58</v>
      </c>
      <c r="H1251" s="19">
        <f t="shared" ref="H1251:H1253" si="464">E1251*G1251</f>
        <v>3687.4</v>
      </c>
      <c r="I1251" s="19">
        <f t="shared" si="462"/>
        <v>14749.6</v>
      </c>
      <c r="J1251" s="18">
        <f t="shared" si="463"/>
        <v>49493.5</v>
      </c>
    </row>
    <row r="1252" spans="2:10" x14ac:dyDescent="0.3">
      <c r="B1252" s="82">
        <v>45908</v>
      </c>
      <c r="C1252" s="452" t="s">
        <v>941</v>
      </c>
      <c r="D1252" s="19">
        <v>4</v>
      </c>
      <c r="E1252" s="19">
        <v>1000</v>
      </c>
      <c r="F1252" s="19">
        <f t="shared" si="460"/>
        <v>4000</v>
      </c>
      <c r="G1252" s="19">
        <v>3.58</v>
      </c>
      <c r="H1252" s="19">
        <f t="shared" ref="H1252" si="465">E1252*G1252</f>
        <v>3580</v>
      </c>
      <c r="I1252" s="19">
        <f t="shared" si="462"/>
        <v>14320</v>
      </c>
      <c r="J1252" s="18">
        <f t="shared" si="463"/>
        <v>63813.5</v>
      </c>
    </row>
    <row r="1253" spans="2:10" x14ac:dyDescent="0.3">
      <c r="B1253" s="82">
        <v>45908</v>
      </c>
      <c r="C1253" s="452" t="s">
        <v>137</v>
      </c>
      <c r="D1253" s="19">
        <v>1</v>
      </c>
      <c r="E1253" s="311">
        <v>1030</v>
      </c>
      <c r="F1253" s="19">
        <f t="shared" si="460"/>
        <v>1030</v>
      </c>
      <c r="G1253" s="19">
        <v>3.58</v>
      </c>
      <c r="H1253" s="19">
        <f t="shared" si="464"/>
        <v>3687.4</v>
      </c>
      <c r="I1253" s="19">
        <f t="shared" si="462"/>
        <v>3687.4</v>
      </c>
      <c r="J1253" s="18">
        <f t="shared" si="463"/>
        <v>67500.899999999994</v>
      </c>
    </row>
    <row r="1254" spans="2:10" x14ac:dyDescent="0.3">
      <c r="B1254" s="82">
        <v>45908</v>
      </c>
      <c r="C1254" s="452" t="s">
        <v>137</v>
      </c>
      <c r="D1254" s="19">
        <v>1</v>
      </c>
      <c r="E1254" s="19">
        <v>830</v>
      </c>
      <c r="F1254" s="19">
        <f t="shared" si="460"/>
        <v>830</v>
      </c>
      <c r="G1254" s="19">
        <v>3.58</v>
      </c>
      <c r="H1254" s="19">
        <f t="shared" ref="H1254" si="466">E1254*G1254</f>
        <v>2971.4</v>
      </c>
      <c r="I1254" s="19">
        <f t="shared" si="462"/>
        <v>2971.4</v>
      </c>
      <c r="J1254" s="18">
        <f t="shared" si="463"/>
        <v>70472.299999999988</v>
      </c>
    </row>
    <row r="1255" spans="2:10" x14ac:dyDescent="0.3">
      <c r="B1255" s="82">
        <v>45908</v>
      </c>
      <c r="C1255" s="452" t="s">
        <v>139</v>
      </c>
      <c r="D1255" s="19">
        <v>1</v>
      </c>
      <c r="E1255" s="311">
        <v>830</v>
      </c>
      <c r="F1255" s="19">
        <f t="shared" si="460"/>
        <v>830</v>
      </c>
      <c r="G1255" s="19">
        <v>3.58</v>
      </c>
      <c r="H1255" s="19">
        <f t="shared" si="461"/>
        <v>2971.4</v>
      </c>
      <c r="I1255" s="19">
        <f t="shared" si="462"/>
        <v>2971.4</v>
      </c>
      <c r="J1255" s="18">
        <f t="shared" si="463"/>
        <v>73443.699999999983</v>
      </c>
    </row>
    <row r="1256" spans="2:10" x14ac:dyDescent="0.3">
      <c r="B1256" s="82">
        <v>45908</v>
      </c>
      <c r="C1256" s="455" t="s">
        <v>1177</v>
      </c>
      <c r="D1256" s="19">
        <v>1</v>
      </c>
      <c r="E1256" s="19">
        <v>620</v>
      </c>
      <c r="F1256" s="19">
        <f t="shared" si="460"/>
        <v>620</v>
      </c>
      <c r="G1256" s="19">
        <v>3.58</v>
      </c>
      <c r="H1256" s="19">
        <f t="shared" si="461"/>
        <v>2219.6</v>
      </c>
      <c r="I1256" s="19">
        <f t="shared" si="462"/>
        <v>2219.6</v>
      </c>
      <c r="J1256" s="18">
        <f t="shared" si="463"/>
        <v>75663.299999999988</v>
      </c>
    </row>
    <row r="1257" spans="2:10" x14ac:dyDescent="0.3">
      <c r="B1257" s="82">
        <v>45908</v>
      </c>
      <c r="C1257" s="81" t="s">
        <v>1120</v>
      </c>
      <c r="D1257" s="19">
        <v>1</v>
      </c>
      <c r="E1257" s="19">
        <v>330</v>
      </c>
      <c r="F1257" s="19">
        <f t="shared" si="460"/>
        <v>330</v>
      </c>
      <c r="G1257" s="19">
        <v>3.58</v>
      </c>
      <c r="H1257" s="19">
        <f t="shared" si="461"/>
        <v>1181.4000000000001</v>
      </c>
      <c r="I1257" s="19">
        <f t="shared" si="462"/>
        <v>1181.4000000000001</v>
      </c>
      <c r="J1257" s="18">
        <f t="shared" si="463"/>
        <v>76844.699999999983</v>
      </c>
    </row>
    <row r="1258" spans="2:10" x14ac:dyDescent="0.3">
      <c r="B1258" s="82">
        <v>45908</v>
      </c>
      <c r="C1258" s="81" t="s">
        <v>1235</v>
      </c>
      <c r="D1258" s="19">
        <v>1</v>
      </c>
      <c r="E1258" s="19">
        <v>440</v>
      </c>
      <c r="F1258" s="19">
        <f t="shared" ref="F1258:F1259" si="467">E1258*D1258</f>
        <v>440</v>
      </c>
      <c r="G1258" s="19">
        <v>3.58</v>
      </c>
      <c r="H1258" s="19">
        <f t="shared" ref="H1258:H1259" si="468">E1258*G1258</f>
        <v>1575.2</v>
      </c>
      <c r="I1258" s="19">
        <f t="shared" si="462"/>
        <v>1575.2</v>
      </c>
      <c r="J1258" s="18">
        <f t="shared" si="463"/>
        <v>78419.89999999998</v>
      </c>
    </row>
    <row r="1259" spans="2:10" x14ac:dyDescent="0.3">
      <c r="B1259" s="82">
        <v>45908</v>
      </c>
      <c r="C1259" s="419" t="s">
        <v>136</v>
      </c>
      <c r="D1259" s="19">
        <v>9</v>
      </c>
      <c r="E1259" s="19">
        <v>720</v>
      </c>
      <c r="F1259" s="19">
        <f t="shared" si="467"/>
        <v>6480</v>
      </c>
      <c r="G1259" s="19">
        <v>3.58</v>
      </c>
      <c r="H1259" s="19">
        <f t="shared" si="468"/>
        <v>2577.6</v>
      </c>
      <c r="I1259" s="19">
        <f t="shared" si="462"/>
        <v>23198.399999999998</v>
      </c>
      <c r="J1259" s="18">
        <f t="shared" si="463"/>
        <v>101618.29999999997</v>
      </c>
    </row>
    <row r="1260" spans="2:10" x14ac:dyDescent="0.3">
      <c r="B1260" s="82">
        <v>45908</v>
      </c>
      <c r="C1260" s="419" t="s">
        <v>950</v>
      </c>
      <c r="D1260" s="19">
        <v>2</v>
      </c>
      <c r="E1260" s="19">
        <v>840</v>
      </c>
      <c r="F1260" s="19">
        <f t="shared" ref="F1260:F1263" si="469">E1260*D1260</f>
        <v>1680</v>
      </c>
      <c r="G1260" s="19">
        <v>3.58</v>
      </c>
      <c r="H1260" s="19">
        <f t="shared" ref="H1260:H1263" si="470">E1260*G1260</f>
        <v>3007.2000000000003</v>
      </c>
      <c r="I1260" s="19">
        <f t="shared" si="462"/>
        <v>6014.4000000000005</v>
      </c>
      <c r="J1260" s="18">
        <f t="shared" si="463"/>
        <v>107632.69999999997</v>
      </c>
    </row>
    <row r="1261" spans="2:10" x14ac:dyDescent="0.3">
      <c r="B1261" s="82">
        <v>45908</v>
      </c>
      <c r="C1261" s="419" t="s">
        <v>136</v>
      </c>
      <c r="D1261" s="19">
        <v>1</v>
      </c>
      <c r="E1261" s="19">
        <v>710</v>
      </c>
      <c r="F1261" s="19">
        <f t="shared" si="469"/>
        <v>710</v>
      </c>
      <c r="G1261" s="19">
        <v>3.58</v>
      </c>
      <c r="H1261" s="19">
        <f t="shared" si="470"/>
        <v>2541.8000000000002</v>
      </c>
      <c r="I1261" s="19">
        <f t="shared" si="462"/>
        <v>2541.8000000000002</v>
      </c>
      <c r="J1261" s="18">
        <f t="shared" si="463"/>
        <v>110174.49999999997</v>
      </c>
    </row>
    <row r="1262" spans="2:10" x14ac:dyDescent="0.3">
      <c r="B1262" s="82">
        <v>45908</v>
      </c>
      <c r="C1262" s="18" t="s">
        <v>169</v>
      </c>
      <c r="D1262" s="19">
        <v>1</v>
      </c>
      <c r="E1262" s="19">
        <v>560</v>
      </c>
      <c r="F1262" s="19">
        <f t="shared" si="469"/>
        <v>560</v>
      </c>
      <c r="G1262" s="19">
        <v>3.58</v>
      </c>
      <c r="H1262" s="19">
        <f t="shared" si="470"/>
        <v>2004.8</v>
      </c>
      <c r="I1262" s="19">
        <f t="shared" si="462"/>
        <v>2004.8</v>
      </c>
      <c r="J1262" s="18">
        <f t="shared" si="463"/>
        <v>112179.29999999997</v>
      </c>
    </row>
    <row r="1263" spans="2:10" x14ac:dyDescent="0.3">
      <c r="B1263" s="82">
        <v>45908</v>
      </c>
      <c r="C1263" s="81" t="s">
        <v>171</v>
      </c>
      <c r="D1263" s="19">
        <v>2</v>
      </c>
      <c r="E1263" s="19">
        <v>390</v>
      </c>
      <c r="F1263" s="19">
        <f t="shared" si="469"/>
        <v>780</v>
      </c>
      <c r="G1263" s="19">
        <v>3.58</v>
      </c>
      <c r="H1263" s="19">
        <f t="shared" si="470"/>
        <v>1396.2</v>
      </c>
      <c r="I1263" s="19">
        <f t="shared" si="462"/>
        <v>2792.4</v>
      </c>
      <c r="J1263" s="18">
        <f t="shared" si="463"/>
        <v>114971.69999999997</v>
      </c>
    </row>
    <row r="1266" spans="1:10" ht="21" x14ac:dyDescent="0.4">
      <c r="A1266" t="s">
        <v>127</v>
      </c>
      <c r="B1266" s="492" t="s">
        <v>35</v>
      </c>
      <c r="C1266" s="492"/>
      <c r="D1266" s="492"/>
      <c r="E1266" s="492"/>
      <c r="F1266" s="492"/>
      <c r="G1266" s="492"/>
      <c r="H1266" s="492"/>
      <c r="I1266" s="492"/>
      <c r="J1266" s="492"/>
    </row>
    <row r="1267" spans="1:10" ht="18" x14ac:dyDescent="0.35">
      <c r="A1267" t="s">
        <v>212</v>
      </c>
      <c r="B1267" s="4" t="s">
        <v>1</v>
      </c>
      <c r="C1267" s="4" t="s">
        <v>2</v>
      </c>
      <c r="D1267" s="4" t="s">
        <v>3</v>
      </c>
      <c r="E1267" s="4" t="s">
        <v>4</v>
      </c>
      <c r="F1267" s="4" t="s">
        <v>36</v>
      </c>
      <c r="G1267" s="4" t="s">
        <v>5</v>
      </c>
      <c r="H1267" s="4" t="s">
        <v>6</v>
      </c>
      <c r="I1267" s="4" t="s">
        <v>7</v>
      </c>
      <c r="J1267" s="4"/>
    </row>
    <row r="1268" spans="1:10" x14ac:dyDescent="0.3">
      <c r="B1268" s="463">
        <v>45909</v>
      </c>
      <c r="C1268" s="143" t="s">
        <v>1245</v>
      </c>
      <c r="D1268" s="142">
        <v>50</v>
      </c>
      <c r="E1268" s="142">
        <v>329</v>
      </c>
      <c r="F1268" s="142">
        <f>D1268*E1268</f>
        <v>16450</v>
      </c>
      <c r="G1268" s="142">
        <v>2.1800000000000002</v>
      </c>
      <c r="H1268" s="142">
        <f>E1268*G1268</f>
        <v>717.22</v>
      </c>
      <c r="I1268" s="142">
        <f>H1268*D1268</f>
        <v>35861</v>
      </c>
      <c r="J1268" s="143">
        <f>J1267+I1268</f>
        <v>35861</v>
      </c>
    </row>
    <row r="1269" spans="1:10" x14ac:dyDescent="0.3">
      <c r="B1269" s="463">
        <v>45909</v>
      </c>
      <c r="C1269" s="143" t="s">
        <v>1246</v>
      </c>
      <c r="D1269" s="142">
        <v>400</v>
      </c>
      <c r="E1269" s="142">
        <v>299</v>
      </c>
      <c r="F1269" s="142">
        <f t="shared" ref="F1269:F1272" si="471">D1269*E1269</f>
        <v>119600</v>
      </c>
      <c r="G1269" s="142">
        <v>2.1800000000000002</v>
      </c>
      <c r="H1269" s="142">
        <f t="shared" ref="H1269:H1272" si="472">E1269*G1269</f>
        <v>651.82000000000005</v>
      </c>
      <c r="I1269" s="142">
        <f t="shared" ref="I1269:I1272" si="473">H1269*D1269</f>
        <v>260728.00000000003</v>
      </c>
      <c r="J1269" s="143">
        <f t="shared" ref="J1269:J1272" si="474">J1268+I1269</f>
        <v>296589</v>
      </c>
    </row>
    <row r="1270" spans="1:10" x14ac:dyDescent="0.3">
      <c r="B1270" s="19"/>
      <c r="C1270" s="19"/>
      <c r="D1270" s="19"/>
      <c r="E1270" s="19"/>
      <c r="F1270" s="19">
        <f t="shared" si="471"/>
        <v>0</v>
      </c>
      <c r="G1270" s="19"/>
      <c r="H1270" s="19">
        <f t="shared" si="472"/>
        <v>0</v>
      </c>
      <c r="I1270" s="19">
        <f t="shared" si="473"/>
        <v>0</v>
      </c>
      <c r="J1270" s="18">
        <f t="shared" si="474"/>
        <v>296589</v>
      </c>
    </row>
    <row r="1271" spans="1:10" x14ac:dyDescent="0.3">
      <c r="B1271" s="19"/>
      <c r="C1271" s="19"/>
      <c r="D1271" s="19"/>
      <c r="E1271" s="19"/>
      <c r="F1271" s="19">
        <f t="shared" si="471"/>
        <v>0</v>
      </c>
      <c r="G1271" s="19"/>
      <c r="H1271" s="19">
        <f t="shared" si="472"/>
        <v>0</v>
      </c>
      <c r="I1271" s="19">
        <f t="shared" si="473"/>
        <v>0</v>
      </c>
      <c r="J1271" s="18">
        <f t="shared" si="474"/>
        <v>296589</v>
      </c>
    </row>
    <row r="1272" spans="1:10" x14ac:dyDescent="0.3">
      <c r="B1272" s="19"/>
      <c r="C1272" s="19"/>
      <c r="D1272" s="19"/>
      <c r="E1272" s="19"/>
      <c r="F1272" s="19">
        <f t="shared" si="471"/>
        <v>0</v>
      </c>
      <c r="G1272" s="19"/>
      <c r="H1272" s="19">
        <f t="shared" si="472"/>
        <v>0</v>
      </c>
      <c r="I1272" s="19">
        <f t="shared" si="473"/>
        <v>0</v>
      </c>
      <c r="J1272" s="18">
        <f t="shared" si="474"/>
        <v>296589</v>
      </c>
    </row>
    <row r="1275" spans="1:10" ht="21" x14ac:dyDescent="0.4">
      <c r="A1275" t="s">
        <v>127</v>
      </c>
      <c r="B1275" s="492" t="s">
        <v>20</v>
      </c>
      <c r="C1275" s="492"/>
      <c r="D1275" s="492"/>
      <c r="E1275" s="492"/>
      <c r="F1275" s="492"/>
      <c r="G1275" s="492"/>
      <c r="H1275" s="492"/>
      <c r="I1275" s="492"/>
      <c r="J1275" s="492"/>
    </row>
    <row r="1276" spans="1:10" ht="18" x14ac:dyDescent="0.35">
      <c r="A1276" t="s">
        <v>212</v>
      </c>
      <c r="B1276" s="4" t="s">
        <v>1</v>
      </c>
      <c r="C1276" s="4" t="s">
        <v>2</v>
      </c>
      <c r="D1276" s="4" t="s">
        <v>3</v>
      </c>
      <c r="E1276" s="4" t="s">
        <v>4</v>
      </c>
      <c r="F1276" s="4" t="s">
        <v>36</v>
      </c>
      <c r="G1276" s="4" t="s">
        <v>5</v>
      </c>
      <c r="H1276" s="4" t="s">
        <v>6</v>
      </c>
      <c r="I1276" s="4" t="s">
        <v>7</v>
      </c>
      <c r="J1276" s="4"/>
    </row>
    <row r="1277" spans="1:10" x14ac:dyDescent="0.3">
      <c r="B1277" s="437">
        <v>45909</v>
      </c>
      <c r="C1277" s="235" t="s">
        <v>1249</v>
      </c>
      <c r="D1277" s="382">
        <v>10</v>
      </c>
      <c r="E1277" s="431">
        <v>397</v>
      </c>
      <c r="F1277" s="382">
        <f>E1277*D1277</f>
        <v>3970</v>
      </c>
      <c r="G1277" s="382">
        <v>2.3839000000000001</v>
      </c>
      <c r="H1277" s="382">
        <f>E1277*G1277</f>
        <v>946.40830000000005</v>
      </c>
      <c r="I1277" s="382">
        <f>H1277*D1277</f>
        <v>9464.0830000000005</v>
      </c>
      <c r="J1277" s="235">
        <f>J1276+I1277</f>
        <v>9464.0830000000005</v>
      </c>
    </row>
    <row r="1278" spans="1:10" x14ac:dyDescent="0.3">
      <c r="B1278" s="437">
        <v>45909</v>
      </c>
      <c r="C1278" s="235" t="s">
        <v>1250</v>
      </c>
      <c r="D1278" s="382">
        <v>10</v>
      </c>
      <c r="E1278" s="464">
        <v>353</v>
      </c>
      <c r="F1278" s="382">
        <f t="shared" ref="F1278:F1286" si="475">E1278*D1278</f>
        <v>3530</v>
      </c>
      <c r="G1278" s="382">
        <v>2.3839000000000001</v>
      </c>
      <c r="H1278" s="382">
        <f t="shared" ref="H1278:H1286" si="476">E1278*G1278</f>
        <v>841.51670000000001</v>
      </c>
      <c r="I1278" s="382">
        <f t="shared" ref="I1278:I1286" si="477">H1278*D1278</f>
        <v>8415.1669999999995</v>
      </c>
      <c r="J1278" s="235">
        <f t="shared" ref="J1278:J1286" si="478">J1277+I1278</f>
        <v>17879.25</v>
      </c>
    </row>
    <row r="1279" spans="1:10" x14ac:dyDescent="0.3">
      <c r="B1279" s="437">
        <v>45910</v>
      </c>
      <c r="C1279" s="235" t="s">
        <v>1251</v>
      </c>
      <c r="D1279" s="382">
        <v>5</v>
      </c>
      <c r="E1279" s="464">
        <v>999</v>
      </c>
      <c r="F1279" s="382">
        <f t="shared" si="475"/>
        <v>4995</v>
      </c>
      <c r="G1279" s="382">
        <v>2.3839000000000001</v>
      </c>
      <c r="H1279" s="382">
        <f t="shared" si="476"/>
        <v>2381.5161000000003</v>
      </c>
      <c r="I1279" s="382">
        <f t="shared" si="477"/>
        <v>11907.580500000002</v>
      </c>
      <c r="J1279" s="235">
        <f t="shared" si="478"/>
        <v>29786.830500000004</v>
      </c>
    </row>
    <row r="1280" spans="1:10" x14ac:dyDescent="0.3">
      <c r="B1280" s="437">
        <v>45910</v>
      </c>
      <c r="C1280" s="235" t="s">
        <v>1252</v>
      </c>
      <c r="D1280" s="382">
        <v>15</v>
      </c>
      <c r="E1280" s="464">
        <v>1150</v>
      </c>
      <c r="F1280" s="382">
        <f t="shared" si="475"/>
        <v>17250</v>
      </c>
      <c r="G1280" s="382">
        <v>2.3839000000000001</v>
      </c>
      <c r="H1280" s="382">
        <f t="shared" si="476"/>
        <v>2741.4850000000001</v>
      </c>
      <c r="I1280" s="382">
        <f t="shared" si="477"/>
        <v>41122.275000000001</v>
      </c>
      <c r="J1280" s="235">
        <f t="shared" si="478"/>
        <v>70909.105500000005</v>
      </c>
    </row>
    <row r="1281" spans="1:15" x14ac:dyDescent="0.3">
      <c r="B1281" s="437">
        <v>45910</v>
      </c>
      <c r="C1281" s="235" t="s">
        <v>1253</v>
      </c>
      <c r="D1281" s="382">
        <v>10</v>
      </c>
      <c r="E1281" s="464">
        <v>1260</v>
      </c>
      <c r="F1281" s="382">
        <f t="shared" si="475"/>
        <v>12600</v>
      </c>
      <c r="G1281" s="382">
        <v>2.3839000000000001</v>
      </c>
      <c r="H1281" s="382">
        <f t="shared" si="476"/>
        <v>3003.7139999999999</v>
      </c>
      <c r="I1281" s="382">
        <f t="shared" si="477"/>
        <v>30037.14</v>
      </c>
      <c r="J1281" s="235">
        <f t="shared" si="478"/>
        <v>100946.2455</v>
      </c>
    </row>
    <row r="1282" spans="1:15" x14ac:dyDescent="0.3">
      <c r="B1282" s="437">
        <v>45910</v>
      </c>
      <c r="C1282" s="235" t="s">
        <v>1254</v>
      </c>
      <c r="D1282" s="382">
        <v>5</v>
      </c>
      <c r="E1282" s="464">
        <v>3300</v>
      </c>
      <c r="F1282" s="382">
        <f t="shared" si="475"/>
        <v>16500</v>
      </c>
      <c r="G1282" s="382">
        <v>2.3839000000000001</v>
      </c>
      <c r="H1282" s="382">
        <f t="shared" si="476"/>
        <v>7866.8700000000008</v>
      </c>
      <c r="I1282" s="382">
        <f t="shared" si="477"/>
        <v>39334.350000000006</v>
      </c>
      <c r="J1282" s="235">
        <f t="shared" si="478"/>
        <v>140280.5955</v>
      </c>
    </row>
    <row r="1283" spans="1:15" x14ac:dyDescent="0.3">
      <c r="B1283" s="437">
        <v>45910</v>
      </c>
      <c r="C1283" s="235" t="s">
        <v>1255</v>
      </c>
      <c r="D1283" s="382">
        <v>9</v>
      </c>
      <c r="E1283" s="464">
        <v>1063</v>
      </c>
      <c r="F1283" s="382">
        <f t="shared" si="475"/>
        <v>9567</v>
      </c>
      <c r="G1283" s="382">
        <v>2.3839000000000001</v>
      </c>
      <c r="H1283" s="382">
        <f t="shared" si="476"/>
        <v>2534.0857000000001</v>
      </c>
      <c r="I1283" s="382">
        <f t="shared" si="477"/>
        <v>22806.7713</v>
      </c>
      <c r="J1283" s="235">
        <f t="shared" si="478"/>
        <v>163087.36679999999</v>
      </c>
    </row>
    <row r="1284" spans="1:15" x14ac:dyDescent="0.3">
      <c r="B1284" s="437">
        <v>45910</v>
      </c>
      <c r="C1284" s="235" t="s">
        <v>1256</v>
      </c>
      <c r="D1284" s="382">
        <v>9</v>
      </c>
      <c r="E1284" s="464">
        <v>433</v>
      </c>
      <c r="F1284" s="382">
        <f t="shared" si="475"/>
        <v>3897</v>
      </c>
      <c r="G1284" s="382">
        <v>2.3839000000000001</v>
      </c>
      <c r="H1284" s="382">
        <f t="shared" si="476"/>
        <v>1032.2287000000001</v>
      </c>
      <c r="I1284" s="382">
        <f t="shared" si="477"/>
        <v>9290.0583000000006</v>
      </c>
      <c r="J1284" s="235">
        <f t="shared" si="478"/>
        <v>172377.42509999999</v>
      </c>
    </row>
    <row r="1285" spans="1:15" x14ac:dyDescent="0.3">
      <c r="B1285" s="437">
        <v>45910</v>
      </c>
      <c r="C1285" s="235" t="s">
        <v>802</v>
      </c>
      <c r="D1285" s="382">
        <v>1</v>
      </c>
      <c r="E1285" s="464">
        <v>655</v>
      </c>
      <c r="F1285" s="382">
        <f t="shared" si="475"/>
        <v>655</v>
      </c>
      <c r="G1285" s="382">
        <v>2.3839000000000001</v>
      </c>
      <c r="H1285" s="382">
        <f t="shared" si="476"/>
        <v>1561.4545000000001</v>
      </c>
      <c r="I1285" s="382">
        <f t="shared" si="477"/>
        <v>1561.4545000000001</v>
      </c>
      <c r="J1285" s="235">
        <f t="shared" si="478"/>
        <v>173938.87959999999</v>
      </c>
    </row>
    <row r="1286" spans="1:15" x14ac:dyDescent="0.3">
      <c r="B1286" s="82">
        <v>45910</v>
      </c>
      <c r="C1286" s="18" t="s">
        <v>1257</v>
      </c>
      <c r="D1286" s="19">
        <v>50</v>
      </c>
      <c r="E1286" s="464">
        <v>49</v>
      </c>
      <c r="F1286" s="19">
        <f t="shared" si="475"/>
        <v>2450</v>
      </c>
      <c r="G1286" s="382">
        <v>2.3839000000000001</v>
      </c>
      <c r="H1286" s="382">
        <f t="shared" si="476"/>
        <v>116.81110000000001</v>
      </c>
      <c r="I1286" s="382">
        <f t="shared" si="477"/>
        <v>5840.5550000000003</v>
      </c>
      <c r="J1286" s="235">
        <f t="shared" si="478"/>
        <v>179779.43459999998</v>
      </c>
    </row>
    <row r="1287" spans="1:15" x14ac:dyDescent="0.3">
      <c r="B1287" s="19"/>
      <c r="C1287" s="19"/>
      <c r="D1287" s="19"/>
      <c r="E1287" s="19"/>
      <c r="F1287" s="19">
        <f>E1287*D1287</f>
        <v>0</v>
      </c>
      <c r="G1287" s="382">
        <v>2.3839000000000001</v>
      </c>
      <c r="H1287" s="382">
        <f>E1287*G1287</f>
        <v>0</v>
      </c>
      <c r="I1287" s="382">
        <f t="shared" ref="I1287" si="479">H1287*D1287</f>
        <v>0</v>
      </c>
      <c r="J1287" s="235">
        <f t="shared" ref="J1287:J1288" si="480">J1286+I1287</f>
        <v>179779.43459999998</v>
      </c>
    </row>
    <row r="1288" spans="1:15" x14ac:dyDescent="0.3">
      <c r="B1288" s="491">
        <v>45910</v>
      </c>
      <c r="C1288" s="319" t="s">
        <v>1265</v>
      </c>
      <c r="D1288" s="382">
        <v>4</v>
      </c>
      <c r="E1288" s="490">
        <v>679</v>
      </c>
      <c r="F1288" s="19">
        <f>E1288*D1288</f>
        <v>2716</v>
      </c>
      <c r="G1288" s="382">
        <v>2.3839000000000001</v>
      </c>
      <c r="H1288" s="382">
        <f t="shared" ref="H1288" si="481">E1288*G1288</f>
        <v>1618.6681000000001</v>
      </c>
      <c r="I1288" s="382">
        <f>H1288*D1288</f>
        <v>6474.6724000000004</v>
      </c>
      <c r="J1288" s="235">
        <f t="shared" si="480"/>
        <v>186254.10699999999</v>
      </c>
    </row>
    <row r="1292" spans="1:15" ht="21" x14ac:dyDescent="0.4">
      <c r="A1292" t="s">
        <v>127</v>
      </c>
      <c r="B1292" s="493" t="s">
        <v>20</v>
      </c>
      <c r="C1292" s="493"/>
      <c r="D1292" s="493"/>
      <c r="E1292" s="493"/>
      <c r="F1292" s="493"/>
      <c r="G1292" s="493"/>
      <c r="H1292" s="493"/>
      <c r="I1292" s="493"/>
      <c r="J1292" s="493"/>
      <c r="K1292" s="493"/>
      <c r="L1292" s="493"/>
      <c r="M1292" s="493"/>
      <c r="N1292" s="493"/>
      <c r="O1292" s="493"/>
    </row>
    <row r="1293" spans="1:15" ht="18" x14ac:dyDescent="0.35">
      <c r="A1293" t="s">
        <v>212</v>
      </c>
      <c r="B1293" s="231" t="s">
        <v>1</v>
      </c>
      <c r="C1293" s="231" t="s">
        <v>2</v>
      </c>
      <c r="D1293" s="231" t="s">
        <v>459</v>
      </c>
      <c r="E1293" s="231" t="s">
        <v>33</v>
      </c>
      <c r="F1293" s="231" t="s">
        <v>3</v>
      </c>
      <c r="G1293" s="231" t="s">
        <v>460</v>
      </c>
      <c r="H1293" s="231" t="s">
        <v>466</v>
      </c>
      <c r="I1293" s="231" t="s">
        <v>461</v>
      </c>
      <c r="J1293" s="231" t="s">
        <v>462</v>
      </c>
      <c r="K1293" s="231" t="s">
        <v>463</v>
      </c>
      <c r="L1293" s="231" t="s">
        <v>464</v>
      </c>
      <c r="M1293" s="231" t="s">
        <v>465</v>
      </c>
      <c r="N1293" s="231" t="s">
        <v>7</v>
      </c>
      <c r="O1293" s="29"/>
    </row>
    <row r="1294" spans="1:15" x14ac:dyDescent="0.3">
      <c r="B1294" s="82">
        <v>45910</v>
      </c>
      <c r="C1294" s="18" t="s">
        <v>1260</v>
      </c>
      <c r="D1294" s="19"/>
      <c r="E1294" s="19"/>
      <c r="F1294" s="19">
        <v>5</v>
      </c>
      <c r="G1294" s="489">
        <v>751</v>
      </c>
      <c r="H1294" s="488">
        <v>10</v>
      </c>
      <c r="I1294" s="19">
        <f>G1294*H1294%</f>
        <v>75.100000000000009</v>
      </c>
      <c r="J1294" s="18">
        <f>G1294-I1294</f>
        <v>675.9</v>
      </c>
      <c r="K1294" s="18">
        <f>F1294*J1294</f>
        <v>3379.5</v>
      </c>
      <c r="L1294" s="382">
        <v>2.3839000000000001</v>
      </c>
      <c r="M1294" s="18">
        <f>J1294*L1294</f>
        <v>1611.27801</v>
      </c>
      <c r="N1294" s="18">
        <f>F1294*M1294</f>
        <v>8056.39005</v>
      </c>
      <c r="O1294" s="18">
        <f>O1293+N1294</f>
        <v>8056.39005</v>
      </c>
    </row>
    <row r="1295" spans="1:15" x14ac:dyDescent="0.3">
      <c r="B1295" s="82">
        <v>45910</v>
      </c>
      <c r="C1295" s="18" t="s">
        <v>1261</v>
      </c>
      <c r="D1295" s="19"/>
      <c r="E1295" s="19"/>
      <c r="F1295" s="19">
        <v>2</v>
      </c>
      <c r="G1295" s="489">
        <v>2800</v>
      </c>
      <c r="H1295" s="488">
        <v>10</v>
      </c>
      <c r="I1295" s="19">
        <f t="shared" ref="I1295:I1298" si="482">G1295*H1295%</f>
        <v>280</v>
      </c>
      <c r="J1295" s="18">
        <f t="shared" ref="J1295:J1298" si="483">G1295-I1295</f>
        <v>2520</v>
      </c>
      <c r="K1295" s="18">
        <f t="shared" ref="K1295:K1298" si="484">F1295*J1295</f>
        <v>5040</v>
      </c>
      <c r="L1295" s="382">
        <v>2.3839000000000001</v>
      </c>
      <c r="M1295" s="18">
        <f t="shared" ref="M1295:M1298" si="485">J1295*L1295</f>
        <v>6007.4279999999999</v>
      </c>
      <c r="N1295" s="18">
        <f t="shared" ref="N1295:N1298" si="486">F1295*M1295</f>
        <v>12014.856</v>
      </c>
      <c r="O1295" s="18">
        <f t="shared" ref="O1295:O1298" si="487">O1294+N1295</f>
        <v>20071.246050000002</v>
      </c>
    </row>
    <row r="1296" spans="1:15" x14ac:dyDescent="0.3">
      <c r="B1296" s="82">
        <v>45910</v>
      </c>
      <c r="C1296" s="235" t="s">
        <v>1262</v>
      </c>
      <c r="D1296" s="19"/>
      <c r="E1296" s="19"/>
      <c r="F1296" s="19">
        <v>20</v>
      </c>
      <c r="G1296" s="489">
        <v>560</v>
      </c>
      <c r="H1296" s="488">
        <v>10</v>
      </c>
      <c r="I1296" s="19">
        <f t="shared" si="482"/>
        <v>56</v>
      </c>
      <c r="J1296" s="18">
        <f t="shared" si="483"/>
        <v>504</v>
      </c>
      <c r="K1296" s="18">
        <f t="shared" si="484"/>
        <v>10080</v>
      </c>
      <c r="L1296" s="382">
        <v>2.3839000000000001</v>
      </c>
      <c r="M1296" s="18">
        <f t="shared" si="485"/>
        <v>1201.4856</v>
      </c>
      <c r="N1296" s="18">
        <f t="shared" si="486"/>
        <v>24029.712</v>
      </c>
      <c r="O1296" s="18">
        <f t="shared" si="487"/>
        <v>44100.958050000001</v>
      </c>
    </row>
    <row r="1297" spans="2:15" x14ac:dyDescent="0.3">
      <c r="B1297" s="82">
        <v>45910</v>
      </c>
      <c r="C1297" s="18" t="s">
        <v>1263</v>
      </c>
      <c r="D1297" s="19"/>
      <c r="E1297" s="19"/>
      <c r="F1297" s="19">
        <v>1</v>
      </c>
      <c r="G1297" s="489">
        <v>3690</v>
      </c>
      <c r="H1297" s="488">
        <v>10</v>
      </c>
      <c r="I1297" s="19">
        <f t="shared" si="482"/>
        <v>369</v>
      </c>
      <c r="J1297" s="18">
        <f t="shared" si="483"/>
        <v>3321</v>
      </c>
      <c r="K1297" s="18">
        <f t="shared" si="484"/>
        <v>3321</v>
      </c>
      <c r="L1297" s="382">
        <v>2.3839000000000001</v>
      </c>
      <c r="M1297" s="18">
        <f t="shared" si="485"/>
        <v>7916.9319000000005</v>
      </c>
      <c r="N1297" s="18">
        <f t="shared" si="486"/>
        <v>7916.9319000000005</v>
      </c>
      <c r="O1297" s="18">
        <f t="shared" si="487"/>
        <v>52017.889950000004</v>
      </c>
    </row>
    <row r="1298" spans="2:15" ht="12.6" customHeight="1" x14ac:dyDescent="0.3">
      <c r="B1298" s="19"/>
      <c r="C1298" s="19"/>
      <c r="D1298" s="19"/>
      <c r="E1298" s="19"/>
      <c r="F1298" s="19"/>
      <c r="G1298" s="19"/>
      <c r="H1298" s="19"/>
      <c r="I1298" s="19">
        <f t="shared" si="482"/>
        <v>0</v>
      </c>
      <c r="J1298" s="18">
        <f t="shared" si="483"/>
        <v>0</v>
      </c>
      <c r="K1298" s="18">
        <f t="shared" si="484"/>
        <v>0</v>
      </c>
      <c r="L1298" s="18"/>
      <c r="M1298" s="18">
        <f t="shared" si="485"/>
        <v>0</v>
      </c>
      <c r="N1298" s="18">
        <f t="shared" si="486"/>
        <v>0</v>
      </c>
      <c r="O1298" s="18">
        <f t="shared" si="487"/>
        <v>52017.889950000004</v>
      </c>
    </row>
  </sheetData>
  <mergeCells count="90">
    <mergeCell ref="B1266:J1266"/>
    <mergeCell ref="B1275:J1275"/>
    <mergeCell ref="B1292:O1292"/>
    <mergeCell ref="B1214:J1214"/>
    <mergeCell ref="B1231:J1231"/>
    <mergeCell ref="B1244:J1244"/>
    <mergeCell ref="B961:J961"/>
    <mergeCell ref="B852:J852"/>
    <mergeCell ref="B617:J617"/>
    <mergeCell ref="B884:J884"/>
    <mergeCell ref="B838:J838"/>
    <mergeCell ref="B806:J806"/>
    <mergeCell ref="B934:J934"/>
    <mergeCell ref="B874:J874"/>
    <mergeCell ref="B832:J832"/>
    <mergeCell ref="B891:J891"/>
    <mergeCell ref="B826:J826"/>
    <mergeCell ref="B897:J897"/>
    <mergeCell ref="B820:J820"/>
    <mergeCell ref="B952:J952"/>
    <mergeCell ref="B943:J943"/>
    <mergeCell ref="B988:J988"/>
    <mergeCell ref="B1186:J1186"/>
    <mergeCell ref="B1200:J1200"/>
    <mergeCell ref="B1139:J1139"/>
    <mergeCell ref="B1115:J1115"/>
    <mergeCell ref="B1056:J1056"/>
    <mergeCell ref="B1069:J1069"/>
    <mergeCell ref="B1082:J1082"/>
    <mergeCell ref="B1095:J1095"/>
    <mergeCell ref="B1001:J1001"/>
    <mergeCell ref="B1158:J1158"/>
    <mergeCell ref="B1026:J1026"/>
    <mergeCell ref="B1038:J1038"/>
    <mergeCell ref="B1014:J1014"/>
    <mergeCell ref="B596:J596"/>
    <mergeCell ref="B792:J792"/>
    <mergeCell ref="B634:J634"/>
    <mergeCell ref="B696:J696"/>
    <mergeCell ref="B779:J779"/>
    <mergeCell ref="B727:J727"/>
    <mergeCell ref="B713:J713"/>
    <mergeCell ref="B674:J674"/>
    <mergeCell ref="B681:J681"/>
    <mergeCell ref="B661:J661"/>
    <mergeCell ref="B765:J765"/>
    <mergeCell ref="B687:J687"/>
    <mergeCell ref="B569:J569"/>
    <mergeCell ref="B529:O529"/>
    <mergeCell ref="B864:J864"/>
    <mergeCell ref="N18:V18"/>
    <mergeCell ref="B42:J42"/>
    <mergeCell ref="B29:J29"/>
    <mergeCell ref="B472:J472"/>
    <mergeCell ref="B361:J361"/>
    <mergeCell ref="B320:J320"/>
    <mergeCell ref="B465:J465"/>
    <mergeCell ref="B284:J284"/>
    <mergeCell ref="B380:J380"/>
    <mergeCell ref="B386:J386"/>
    <mergeCell ref="B427:J427"/>
    <mergeCell ref="B411:J411"/>
    <mergeCell ref="N32:AA32"/>
    <mergeCell ref="B494:O494"/>
    <mergeCell ref="B479:J479"/>
    <mergeCell ref="B435:J435"/>
    <mergeCell ref="B306:J306"/>
    <mergeCell ref="B293:J293"/>
    <mergeCell ref="B418:J418"/>
    <mergeCell ref="B443:J443"/>
    <mergeCell ref="B456:J456"/>
    <mergeCell ref="B329:J329"/>
    <mergeCell ref="B342:J342"/>
    <mergeCell ref="B369:J369"/>
    <mergeCell ref="B975:J975"/>
    <mergeCell ref="B3:J3"/>
    <mergeCell ref="B16:J16"/>
    <mergeCell ref="B144:J144"/>
    <mergeCell ref="B126:J126"/>
    <mergeCell ref="B265:J265"/>
    <mergeCell ref="B252:J252"/>
    <mergeCell ref="B184:J184"/>
    <mergeCell ref="B239:J239"/>
    <mergeCell ref="B165:J165"/>
    <mergeCell ref="B157:J157"/>
    <mergeCell ref="B55:J55"/>
    <mergeCell ref="B114:J114"/>
    <mergeCell ref="B92:J92"/>
    <mergeCell ref="B70:J70"/>
    <mergeCell ref="B272:J27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8576"/>
  <sheetViews>
    <sheetView zoomScale="115" zoomScaleNormal="115" workbookViewId="0">
      <pane ySplit="1" topLeftCell="A1900" activePane="bottomLeft" state="frozen"/>
      <selection activeCell="B143" sqref="B143"/>
      <selection pane="bottomLeft" activeCell="A1783" sqref="A1783:E1908"/>
    </sheetView>
  </sheetViews>
  <sheetFormatPr defaultRowHeight="21" x14ac:dyDescent="0.4"/>
  <cols>
    <col min="1" max="1" width="18.6640625" style="33" customWidth="1"/>
    <col min="2" max="2" width="44.77734375" style="190" customWidth="1"/>
    <col min="3" max="3" width="33.33203125" style="33" customWidth="1"/>
    <col min="4" max="4" width="16.21875" style="33" customWidth="1"/>
    <col min="5" max="5" width="15.109375" customWidth="1"/>
    <col min="6" max="6" width="24.44140625" customWidth="1"/>
    <col min="7" max="7" width="14.6640625" customWidth="1"/>
    <col min="8" max="8" width="30.88671875" customWidth="1"/>
    <col min="9" max="9" width="21.5546875" customWidth="1"/>
    <col min="14" max="14" width="40.5546875" customWidth="1"/>
  </cols>
  <sheetData>
    <row r="1" spans="1:15" s="41" customFormat="1" ht="23.4" x14ac:dyDescent="0.45">
      <c r="A1" s="40" t="s">
        <v>1</v>
      </c>
      <c r="B1" s="359" t="s">
        <v>2</v>
      </c>
      <c r="C1" s="40" t="s">
        <v>47</v>
      </c>
      <c r="D1" s="40" t="s">
        <v>48</v>
      </c>
      <c r="E1" s="40" t="s">
        <v>33</v>
      </c>
    </row>
    <row r="2" spans="1:15" x14ac:dyDescent="0.3">
      <c r="A2" s="42" t="s">
        <v>77</v>
      </c>
      <c r="B2" s="93" t="s">
        <v>76</v>
      </c>
      <c r="C2" s="36" t="s">
        <v>75</v>
      </c>
      <c r="D2" s="36">
        <v>220</v>
      </c>
    </row>
    <row r="3" spans="1:15" x14ac:dyDescent="0.3">
      <c r="A3" s="42" t="s">
        <v>77</v>
      </c>
      <c r="B3" s="93" t="s">
        <v>78</v>
      </c>
      <c r="C3" s="36" t="s">
        <v>75</v>
      </c>
      <c r="D3" s="36">
        <v>300</v>
      </c>
      <c r="N3" s="93" t="s">
        <v>76</v>
      </c>
    </row>
    <row r="4" spans="1:15" ht="42" x14ac:dyDescent="0.3">
      <c r="A4" s="42" t="s">
        <v>77</v>
      </c>
      <c r="B4" s="93" t="s">
        <v>79</v>
      </c>
      <c r="C4" s="36" t="s">
        <v>75</v>
      </c>
      <c r="D4" s="36">
        <v>0</v>
      </c>
      <c r="F4" s="148" t="s">
        <v>321</v>
      </c>
      <c r="N4" s="93" t="s">
        <v>78</v>
      </c>
    </row>
    <row r="5" spans="1:15" ht="23.25" customHeight="1" x14ac:dyDescent="0.3">
      <c r="A5" s="42" t="s">
        <v>77</v>
      </c>
      <c r="B5" s="93" t="s">
        <v>80</v>
      </c>
      <c r="C5" s="36" t="s">
        <v>75</v>
      </c>
      <c r="D5" s="36">
        <v>205</v>
      </c>
      <c r="F5" s="148" t="s">
        <v>320</v>
      </c>
      <c r="N5" s="93" t="s">
        <v>79</v>
      </c>
    </row>
    <row r="6" spans="1:15" x14ac:dyDescent="0.3">
      <c r="A6" s="42" t="s">
        <v>77</v>
      </c>
      <c r="B6" s="93" t="s">
        <v>81</v>
      </c>
      <c r="C6" s="36" t="s">
        <v>75</v>
      </c>
      <c r="D6" s="36">
        <v>10</v>
      </c>
      <c r="N6" s="93" t="s">
        <v>80</v>
      </c>
    </row>
    <row r="7" spans="1:15" x14ac:dyDescent="0.3">
      <c r="A7" s="42" t="s">
        <v>77</v>
      </c>
      <c r="B7" s="93" t="s">
        <v>82</v>
      </c>
      <c r="C7" s="36" t="s">
        <v>75</v>
      </c>
      <c r="D7" s="36">
        <v>309</v>
      </c>
      <c r="N7" s="93" t="s">
        <v>81</v>
      </c>
    </row>
    <row r="8" spans="1:15" x14ac:dyDescent="0.3">
      <c r="A8" s="42" t="s">
        <v>77</v>
      </c>
      <c r="B8" s="93" t="s">
        <v>84</v>
      </c>
      <c r="C8" s="36" t="s">
        <v>75</v>
      </c>
      <c r="D8" s="36">
        <v>15</v>
      </c>
      <c r="N8" s="93" t="s">
        <v>82</v>
      </c>
      <c r="O8" t="s">
        <v>83</v>
      </c>
    </row>
    <row r="9" spans="1:15" x14ac:dyDescent="0.3">
      <c r="A9" s="42" t="s">
        <v>77</v>
      </c>
      <c r="B9" s="93" t="s">
        <v>85</v>
      </c>
      <c r="C9" s="36" t="s">
        <v>75</v>
      </c>
      <c r="D9" s="36">
        <v>7</v>
      </c>
      <c r="N9" s="93" t="s">
        <v>84</v>
      </c>
      <c r="O9" t="s">
        <v>83</v>
      </c>
    </row>
    <row r="10" spans="1:15" x14ac:dyDescent="0.4">
      <c r="A10" s="42" t="s">
        <v>77</v>
      </c>
      <c r="B10" s="94" t="s">
        <v>86</v>
      </c>
      <c r="C10" s="36" t="s">
        <v>75</v>
      </c>
      <c r="D10" s="36">
        <v>4</v>
      </c>
      <c r="N10" s="93" t="s">
        <v>85</v>
      </c>
      <c r="O10" t="s">
        <v>83</v>
      </c>
    </row>
    <row r="11" spans="1:15" x14ac:dyDescent="0.4">
      <c r="A11" s="42" t="s">
        <v>77</v>
      </c>
      <c r="B11" s="93" t="s">
        <v>88</v>
      </c>
      <c r="C11" s="36" t="s">
        <v>75</v>
      </c>
      <c r="D11" s="36">
        <v>2</v>
      </c>
      <c r="N11" s="94" t="s">
        <v>86</v>
      </c>
      <c r="O11" t="s">
        <v>83</v>
      </c>
    </row>
    <row r="12" spans="1:15" x14ac:dyDescent="0.4">
      <c r="A12" s="42" t="s">
        <v>77</v>
      </c>
      <c r="B12" s="93" t="s">
        <v>89</v>
      </c>
      <c r="C12" s="36" t="s">
        <v>75</v>
      </c>
      <c r="D12" s="36">
        <v>2</v>
      </c>
      <c r="N12" s="94" t="s">
        <v>87</v>
      </c>
      <c r="O12" t="s">
        <v>83</v>
      </c>
    </row>
    <row r="13" spans="1:15" x14ac:dyDescent="0.4">
      <c r="A13" s="42" t="s">
        <v>77</v>
      </c>
      <c r="B13" s="93" t="s">
        <v>90</v>
      </c>
      <c r="C13" s="36" t="s">
        <v>75</v>
      </c>
      <c r="D13" s="43">
        <v>2</v>
      </c>
      <c r="N13" s="93" t="s">
        <v>88</v>
      </c>
      <c r="O13" t="s">
        <v>83</v>
      </c>
    </row>
    <row r="14" spans="1:15" x14ac:dyDescent="0.4">
      <c r="A14" s="42" t="s">
        <v>77</v>
      </c>
      <c r="B14" s="94" t="s">
        <v>91</v>
      </c>
      <c r="C14" s="36" t="s">
        <v>75</v>
      </c>
      <c r="D14" s="43">
        <v>2</v>
      </c>
      <c r="N14" s="93" t="s">
        <v>89</v>
      </c>
      <c r="O14" t="s">
        <v>83</v>
      </c>
    </row>
    <row r="15" spans="1:15" x14ac:dyDescent="0.4">
      <c r="A15" s="42" t="s">
        <v>77</v>
      </c>
      <c r="B15" s="94" t="s">
        <v>92</v>
      </c>
      <c r="C15" s="36" t="s">
        <v>75</v>
      </c>
      <c r="D15" s="43">
        <v>21</v>
      </c>
      <c r="N15" s="93" t="s">
        <v>90</v>
      </c>
      <c r="O15" t="s">
        <v>83</v>
      </c>
    </row>
    <row r="16" spans="1:15" x14ac:dyDescent="0.4">
      <c r="A16" s="42" t="s">
        <v>77</v>
      </c>
      <c r="B16" s="94" t="s">
        <v>122</v>
      </c>
      <c r="C16" s="36" t="s">
        <v>75</v>
      </c>
      <c r="D16" s="43">
        <v>5</v>
      </c>
      <c r="N16" s="94" t="s">
        <v>91</v>
      </c>
      <c r="O16" t="s">
        <v>83</v>
      </c>
    </row>
    <row r="17" spans="1:15" x14ac:dyDescent="0.4">
      <c r="A17" s="42" t="s">
        <v>77</v>
      </c>
      <c r="B17" s="94" t="s">
        <v>93</v>
      </c>
      <c r="C17" s="36" t="s">
        <v>75</v>
      </c>
      <c r="D17" s="43">
        <v>1</v>
      </c>
      <c r="N17" s="94" t="s">
        <v>92</v>
      </c>
      <c r="O17" t="s">
        <v>83</v>
      </c>
    </row>
    <row r="18" spans="1:15" x14ac:dyDescent="0.4">
      <c r="A18" s="42" t="s">
        <v>77</v>
      </c>
      <c r="B18" s="94" t="s">
        <v>94</v>
      </c>
      <c r="C18" s="36" t="s">
        <v>75</v>
      </c>
      <c r="D18" s="43">
        <v>1</v>
      </c>
      <c r="N18" s="94" t="s">
        <v>122</v>
      </c>
      <c r="O18" t="s">
        <v>83</v>
      </c>
    </row>
    <row r="19" spans="1:15" x14ac:dyDescent="0.4">
      <c r="A19" s="42" t="s">
        <v>77</v>
      </c>
      <c r="B19" s="94" t="s">
        <v>95</v>
      </c>
      <c r="C19" s="36" t="s">
        <v>75</v>
      </c>
      <c r="D19" s="43">
        <v>2</v>
      </c>
      <c r="N19" s="94" t="s">
        <v>123</v>
      </c>
      <c r="O19" t="s">
        <v>83</v>
      </c>
    </row>
    <row r="20" spans="1:15" x14ac:dyDescent="0.4">
      <c r="A20" s="43"/>
      <c r="B20" s="94"/>
      <c r="C20" s="43"/>
      <c r="D20" s="43"/>
      <c r="N20" s="94" t="s">
        <v>124</v>
      </c>
      <c r="O20" t="s">
        <v>83</v>
      </c>
    </row>
    <row r="21" spans="1:15" x14ac:dyDescent="0.4">
      <c r="A21" s="43"/>
      <c r="B21" s="94"/>
      <c r="C21" s="43"/>
      <c r="D21" s="43"/>
      <c r="N21" s="94" t="s">
        <v>125</v>
      </c>
      <c r="O21" t="s">
        <v>83</v>
      </c>
    </row>
    <row r="22" spans="1:15" x14ac:dyDescent="0.4">
      <c r="A22" s="20">
        <v>45709</v>
      </c>
      <c r="B22" s="94" t="s">
        <v>86</v>
      </c>
      <c r="C22" s="36" t="s">
        <v>49</v>
      </c>
      <c r="D22" s="43">
        <v>9</v>
      </c>
      <c r="N22" s="94" t="s">
        <v>126</v>
      </c>
      <c r="O22" t="s">
        <v>83</v>
      </c>
    </row>
    <row r="23" spans="1:15" x14ac:dyDescent="0.4">
      <c r="A23" s="20">
        <v>45709</v>
      </c>
      <c r="B23" s="94" t="s">
        <v>87</v>
      </c>
      <c r="C23" s="36" t="s">
        <v>49</v>
      </c>
      <c r="D23" s="43">
        <v>9</v>
      </c>
      <c r="N23" s="94" t="s">
        <v>93</v>
      </c>
      <c r="O23" t="s">
        <v>83</v>
      </c>
    </row>
    <row r="24" spans="1:15" x14ac:dyDescent="0.4">
      <c r="A24" s="20">
        <v>45709</v>
      </c>
      <c r="B24" s="94" t="s">
        <v>122</v>
      </c>
      <c r="C24" s="36" t="s">
        <v>49</v>
      </c>
      <c r="D24" s="43">
        <v>10</v>
      </c>
      <c r="N24" s="94" t="s">
        <v>94</v>
      </c>
      <c r="O24" t="s">
        <v>83</v>
      </c>
    </row>
    <row r="25" spans="1:15" x14ac:dyDescent="0.4">
      <c r="A25" s="20">
        <v>45709</v>
      </c>
      <c r="B25" s="94" t="s">
        <v>123</v>
      </c>
      <c r="C25" s="36" t="s">
        <v>49</v>
      </c>
      <c r="D25" s="43">
        <v>1</v>
      </c>
      <c r="N25" s="94" t="s">
        <v>95</v>
      </c>
      <c r="O25" t="s">
        <v>83</v>
      </c>
    </row>
    <row r="26" spans="1:15" x14ac:dyDescent="0.4">
      <c r="A26" s="20">
        <v>45709</v>
      </c>
      <c r="B26" s="94" t="s">
        <v>124</v>
      </c>
      <c r="C26" s="36" t="s">
        <v>49</v>
      </c>
      <c r="D26" s="43">
        <v>1</v>
      </c>
      <c r="N26" s="96"/>
    </row>
    <row r="27" spans="1:15" x14ac:dyDescent="0.4">
      <c r="A27" s="20">
        <v>45709</v>
      </c>
      <c r="B27" s="94" t="s">
        <v>125</v>
      </c>
      <c r="C27" s="36" t="s">
        <v>49</v>
      </c>
      <c r="D27" s="43">
        <v>1</v>
      </c>
      <c r="N27" s="85" t="s">
        <v>133</v>
      </c>
    </row>
    <row r="28" spans="1:15" x14ac:dyDescent="0.4">
      <c r="A28" s="20">
        <v>45709</v>
      </c>
      <c r="B28" s="94" t="s">
        <v>126</v>
      </c>
      <c r="C28" s="36" t="s">
        <v>49</v>
      </c>
      <c r="D28" s="43">
        <v>1</v>
      </c>
      <c r="N28" s="85" t="s">
        <v>136</v>
      </c>
    </row>
    <row r="29" spans="1:15" x14ac:dyDescent="0.4">
      <c r="A29" s="43"/>
      <c r="B29" s="94"/>
      <c r="C29" s="43"/>
      <c r="D29" s="43"/>
      <c r="N29" s="85" t="s">
        <v>137</v>
      </c>
    </row>
    <row r="30" spans="1:15" x14ac:dyDescent="0.4">
      <c r="A30" s="20">
        <v>45711</v>
      </c>
      <c r="B30" s="94" t="s">
        <v>86</v>
      </c>
      <c r="C30" s="36" t="s">
        <v>49</v>
      </c>
      <c r="D30" s="43">
        <v>13</v>
      </c>
      <c r="N30" s="94"/>
    </row>
    <row r="31" spans="1:15" x14ac:dyDescent="0.4">
      <c r="A31" s="20">
        <v>45711</v>
      </c>
      <c r="B31" s="94" t="s">
        <v>86</v>
      </c>
      <c r="C31" s="36" t="s">
        <v>49</v>
      </c>
      <c r="D31" s="43">
        <v>2</v>
      </c>
      <c r="N31" s="85" t="s">
        <v>139</v>
      </c>
    </row>
    <row r="32" spans="1:15" x14ac:dyDescent="0.4">
      <c r="A32" s="20">
        <v>45711</v>
      </c>
      <c r="B32" s="94" t="s">
        <v>87</v>
      </c>
      <c r="C32" s="36" t="s">
        <v>49</v>
      </c>
      <c r="D32" s="43">
        <v>13</v>
      </c>
      <c r="N32" s="85" t="s">
        <v>140</v>
      </c>
    </row>
    <row r="33" spans="1:14" x14ac:dyDescent="0.4">
      <c r="A33" s="20">
        <v>45711</v>
      </c>
      <c r="B33" s="94" t="s">
        <v>87</v>
      </c>
      <c r="C33" s="36" t="s">
        <v>49</v>
      </c>
      <c r="D33" s="43">
        <v>2</v>
      </c>
      <c r="N33" s="85" t="s">
        <v>141</v>
      </c>
    </row>
    <row r="34" spans="1:14" x14ac:dyDescent="0.4">
      <c r="A34" s="20">
        <v>45711</v>
      </c>
      <c r="B34" s="93" t="s">
        <v>85</v>
      </c>
      <c r="C34" s="36" t="s">
        <v>49</v>
      </c>
      <c r="D34" s="43">
        <v>1</v>
      </c>
      <c r="N34" s="96"/>
    </row>
    <row r="35" spans="1:14" x14ac:dyDescent="0.4">
      <c r="A35" s="20">
        <v>45711</v>
      </c>
      <c r="B35" s="94" t="s">
        <v>87</v>
      </c>
      <c r="C35" s="36" t="s">
        <v>132</v>
      </c>
      <c r="D35" s="33">
        <v>3</v>
      </c>
      <c r="N35" s="94" t="s">
        <v>168</v>
      </c>
    </row>
    <row r="36" spans="1:14" x14ac:dyDescent="0.4">
      <c r="N36" s="94" t="s">
        <v>169</v>
      </c>
    </row>
    <row r="37" spans="1:14" x14ac:dyDescent="0.4">
      <c r="N37" s="94" t="s">
        <v>156</v>
      </c>
    </row>
    <row r="38" spans="1:14" x14ac:dyDescent="0.4">
      <c r="N38" s="94" t="s">
        <v>157</v>
      </c>
    </row>
    <row r="39" spans="1:14" x14ac:dyDescent="0.4">
      <c r="N39" s="94" t="s">
        <v>161</v>
      </c>
    </row>
    <row r="40" spans="1:14" x14ac:dyDescent="0.4">
      <c r="A40" s="20">
        <v>45713</v>
      </c>
      <c r="B40" s="93" t="s">
        <v>84</v>
      </c>
      <c r="C40" s="43" t="s">
        <v>121</v>
      </c>
      <c r="D40" s="43">
        <v>-15</v>
      </c>
      <c r="N40" s="94" t="s">
        <v>170</v>
      </c>
    </row>
    <row r="41" spans="1:14" x14ac:dyDescent="0.4">
      <c r="A41" s="20">
        <v>45713</v>
      </c>
      <c r="B41" s="93" t="s">
        <v>80</v>
      </c>
      <c r="C41" s="43" t="s">
        <v>121</v>
      </c>
      <c r="D41" s="43">
        <v>-17</v>
      </c>
      <c r="N41" s="94" t="s">
        <v>171</v>
      </c>
    </row>
    <row r="42" spans="1:14" x14ac:dyDescent="0.4">
      <c r="A42" s="20">
        <v>45713</v>
      </c>
      <c r="B42" s="93" t="s">
        <v>76</v>
      </c>
      <c r="C42" s="43" t="s">
        <v>121</v>
      </c>
      <c r="D42" s="43">
        <v>-5</v>
      </c>
      <c r="N42" s="94" t="s">
        <v>172</v>
      </c>
    </row>
    <row r="43" spans="1:14" x14ac:dyDescent="0.4">
      <c r="A43" s="20">
        <v>45713</v>
      </c>
      <c r="B43" s="94" t="s">
        <v>92</v>
      </c>
      <c r="C43" s="43" t="s">
        <v>121</v>
      </c>
      <c r="D43" s="43">
        <v>-5</v>
      </c>
      <c r="N43" s="94" t="s">
        <v>173</v>
      </c>
    </row>
    <row r="44" spans="1:14" x14ac:dyDescent="0.4">
      <c r="A44" s="20">
        <v>45713</v>
      </c>
      <c r="B44" s="93" t="s">
        <v>76</v>
      </c>
      <c r="C44" s="43" t="s">
        <v>121</v>
      </c>
      <c r="D44" s="43">
        <v>-2</v>
      </c>
      <c r="N44" s="43" t="s">
        <v>302</v>
      </c>
    </row>
    <row r="45" spans="1:14" x14ac:dyDescent="0.4">
      <c r="A45" s="20">
        <v>45713</v>
      </c>
      <c r="B45" s="93" t="s">
        <v>76</v>
      </c>
      <c r="C45" s="43" t="s">
        <v>121</v>
      </c>
      <c r="D45" s="43">
        <v>-1</v>
      </c>
      <c r="N45" s="43" t="s">
        <v>266</v>
      </c>
    </row>
    <row r="46" spans="1:14" x14ac:dyDescent="0.4">
      <c r="N46" s="43" t="s">
        <v>187</v>
      </c>
    </row>
    <row r="47" spans="1:14" x14ac:dyDescent="0.4">
      <c r="A47" s="20">
        <v>45714</v>
      </c>
      <c r="B47" s="93" t="s">
        <v>76</v>
      </c>
      <c r="C47" s="43" t="s">
        <v>121</v>
      </c>
      <c r="D47" s="43">
        <v>-1</v>
      </c>
      <c r="N47" s="93" t="s">
        <v>201</v>
      </c>
    </row>
    <row r="48" spans="1:14" x14ac:dyDescent="0.4">
      <c r="A48" s="20">
        <v>45714</v>
      </c>
      <c r="B48" s="93" t="s">
        <v>78</v>
      </c>
      <c r="C48" s="43" t="s">
        <v>121</v>
      </c>
      <c r="D48" s="33">
        <v>-10</v>
      </c>
      <c r="N48" s="94" t="s">
        <v>202</v>
      </c>
    </row>
    <row r="49" spans="1:14" x14ac:dyDescent="0.4">
      <c r="N49" s="144" t="s">
        <v>274</v>
      </c>
    </row>
    <row r="50" spans="1:14" x14ac:dyDescent="0.4">
      <c r="A50" s="20">
        <v>45715</v>
      </c>
      <c r="B50" s="93" t="s">
        <v>76</v>
      </c>
      <c r="C50" s="43" t="s">
        <v>121</v>
      </c>
      <c r="D50" s="33">
        <v>-10</v>
      </c>
      <c r="E50" s="75">
        <v>0.1423611111111111</v>
      </c>
      <c r="N50" s="94" t="s">
        <v>303</v>
      </c>
    </row>
    <row r="51" spans="1:14" x14ac:dyDescent="0.4">
      <c r="A51" s="20">
        <v>45715</v>
      </c>
      <c r="B51" s="93" t="s">
        <v>85</v>
      </c>
      <c r="C51" s="43" t="s">
        <v>121</v>
      </c>
      <c r="D51" s="33">
        <v>-4</v>
      </c>
      <c r="N51" s="103" t="s">
        <v>304</v>
      </c>
    </row>
    <row r="52" spans="1:14" x14ac:dyDescent="0.4">
      <c r="A52" s="20">
        <v>45715</v>
      </c>
      <c r="B52" s="93" t="s">
        <v>85</v>
      </c>
      <c r="C52" s="43" t="s">
        <v>121</v>
      </c>
      <c r="D52" s="33">
        <v>-1</v>
      </c>
      <c r="N52" s="43" t="s">
        <v>334</v>
      </c>
    </row>
    <row r="53" spans="1:14" x14ac:dyDescent="0.4">
      <c r="A53" s="20">
        <v>45715</v>
      </c>
      <c r="B53" s="94" t="s">
        <v>95</v>
      </c>
      <c r="C53" s="43" t="s">
        <v>121</v>
      </c>
      <c r="D53" s="33">
        <v>-2</v>
      </c>
      <c r="N53" s="43" t="s">
        <v>337</v>
      </c>
    </row>
    <row r="54" spans="1:14" x14ac:dyDescent="0.4">
      <c r="A54" s="20">
        <v>45715</v>
      </c>
      <c r="B54" s="93" t="s">
        <v>76</v>
      </c>
      <c r="C54" s="43" t="s">
        <v>121</v>
      </c>
      <c r="D54" s="33">
        <v>-10</v>
      </c>
      <c r="E54" s="75">
        <v>0.3840277777777778</v>
      </c>
      <c r="N54" s="43" t="s">
        <v>380</v>
      </c>
    </row>
    <row r="55" spans="1:14" x14ac:dyDescent="0.4">
      <c r="A55" s="20"/>
      <c r="B55" s="93"/>
      <c r="N55" s="144" t="s">
        <v>381</v>
      </c>
    </row>
    <row r="56" spans="1:14" x14ac:dyDescent="0.4">
      <c r="A56" s="20">
        <v>45715</v>
      </c>
      <c r="B56" s="93" t="s">
        <v>76</v>
      </c>
      <c r="C56" s="43" t="s">
        <v>121</v>
      </c>
      <c r="D56" s="33">
        <v>-10</v>
      </c>
      <c r="N56" s="43" t="s">
        <v>390</v>
      </c>
    </row>
    <row r="57" spans="1:14" x14ac:dyDescent="0.4">
      <c r="A57" s="20">
        <v>45715</v>
      </c>
      <c r="B57" s="93" t="s">
        <v>76</v>
      </c>
      <c r="C57" s="43" t="s">
        <v>121</v>
      </c>
      <c r="D57" s="33">
        <v>-6</v>
      </c>
      <c r="N57" s="43" t="s">
        <v>397</v>
      </c>
    </row>
    <row r="58" spans="1:14" x14ac:dyDescent="0.4">
      <c r="A58" s="20">
        <v>45715</v>
      </c>
      <c r="B58" s="93" t="s">
        <v>76</v>
      </c>
      <c r="C58" s="43" t="s">
        <v>121</v>
      </c>
      <c r="D58" s="33">
        <v>-14</v>
      </c>
      <c r="N58" s="43" t="s">
        <v>398</v>
      </c>
    </row>
    <row r="59" spans="1:14" x14ac:dyDescent="0.4">
      <c r="N59" s="43" t="s">
        <v>399</v>
      </c>
    </row>
    <row r="60" spans="1:14" x14ac:dyDescent="0.4">
      <c r="A60" s="20">
        <v>45716</v>
      </c>
      <c r="B60" s="93" t="s">
        <v>78</v>
      </c>
      <c r="C60" s="43" t="s">
        <v>121</v>
      </c>
      <c r="D60" s="33">
        <v>-3</v>
      </c>
      <c r="N60" s="43" t="s">
        <v>400</v>
      </c>
    </row>
    <row r="61" spans="1:14" x14ac:dyDescent="0.4">
      <c r="A61" s="20">
        <v>45716</v>
      </c>
      <c r="B61" s="93" t="s">
        <v>76</v>
      </c>
      <c r="C61" s="43" t="s">
        <v>121</v>
      </c>
      <c r="D61" s="33">
        <v>-8</v>
      </c>
      <c r="N61" s="43" t="s">
        <v>423</v>
      </c>
    </row>
    <row r="62" spans="1:14" x14ac:dyDescent="0.4">
      <c r="A62" s="20">
        <v>45716</v>
      </c>
      <c r="B62" s="93" t="s">
        <v>76</v>
      </c>
      <c r="C62" s="43" t="s">
        <v>121</v>
      </c>
      <c r="D62" s="33">
        <v>-2</v>
      </c>
      <c r="N62" s="85" t="s">
        <v>425</v>
      </c>
    </row>
    <row r="63" spans="1:14" x14ac:dyDescent="0.4">
      <c r="A63" s="20">
        <v>45716</v>
      </c>
      <c r="B63" s="93" t="s">
        <v>76</v>
      </c>
      <c r="C63" s="43" t="s">
        <v>121</v>
      </c>
      <c r="D63" s="33">
        <v>-50</v>
      </c>
      <c r="N63" s="85" t="s">
        <v>455</v>
      </c>
    </row>
    <row r="64" spans="1:14" x14ac:dyDescent="0.4">
      <c r="A64" s="20">
        <v>45716</v>
      </c>
      <c r="B64" s="93" t="s">
        <v>78</v>
      </c>
      <c r="C64" s="43" t="s">
        <v>121</v>
      </c>
      <c r="D64" s="33">
        <v>-50</v>
      </c>
      <c r="N64" s="85" t="s">
        <v>482</v>
      </c>
    </row>
    <row r="65" spans="1:14" x14ac:dyDescent="0.4">
      <c r="A65" s="20">
        <v>45716</v>
      </c>
      <c r="B65" s="93" t="s">
        <v>76</v>
      </c>
      <c r="C65" s="43" t="s">
        <v>121</v>
      </c>
      <c r="D65" s="33">
        <v>-30</v>
      </c>
      <c r="N65" s="85" t="s">
        <v>492</v>
      </c>
    </row>
    <row r="66" spans="1:14" x14ac:dyDescent="0.4">
      <c r="A66" s="20">
        <v>45716</v>
      </c>
      <c r="B66" s="93" t="s">
        <v>76</v>
      </c>
      <c r="C66" s="43" t="s">
        <v>121</v>
      </c>
      <c r="D66" s="33">
        <v>-1</v>
      </c>
      <c r="N66" s="94" t="s">
        <v>497</v>
      </c>
    </row>
    <row r="67" spans="1:14" x14ac:dyDescent="0.4">
      <c r="N67" s="43" t="s">
        <v>502</v>
      </c>
    </row>
    <row r="68" spans="1:14" x14ac:dyDescent="0.4">
      <c r="A68" s="20">
        <v>45717</v>
      </c>
      <c r="B68" s="93" t="s">
        <v>76</v>
      </c>
      <c r="C68" s="43" t="s">
        <v>121</v>
      </c>
      <c r="D68" s="33">
        <v>-3</v>
      </c>
      <c r="N68" s="85" t="s">
        <v>512</v>
      </c>
    </row>
    <row r="69" spans="1:14" x14ac:dyDescent="0.4">
      <c r="A69" s="20">
        <v>45717</v>
      </c>
      <c r="B69" s="93" t="s">
        <v>76</v>
      </c>
      <c r="C69" s="43" t="s">
        <v>121</v>
      </c>
      <c r="D69" s="33">
        <v>-7</v>
      </c>
      <c r="N69" s="85" t="s">
        <v>513</v>
      </c>
    </row>
    <row r="70" spans="1:14" x14ac:dyDescent="0.4">
      <c r="A70" s="20">
        <v>45717</v>
      </c>
      <c r="B70" s="93" t="s">
        <v>76</v>
      </c>
      <c r="C70" s="43" t="s">
        <v>121</v>
      </c>
      <c r="D70" s="33">
        <v>-10</v>
      </c>
      <c r="N70" s="85" t="s">
        <v>529</v>
      </c>
    </row>
    <row r="71" spans="1:14" x14ac:dyDescent="0.4">
      <c r="A71" s="20">
        <v>45717</v>
      </c>
      <c r="B71" s="93" t="s">
        <v>76</v>
      </c>
      <c r="C71" s="43" t="s">
        <v>121</v>
      </c>
      <c r="D71" s="33">
        <v>-15</v>
      </c>
      <c r="N71" s="85" t="s">
        <v>528</v>
      </c>
    </row>
    <row r="72" spans="1:14" x14ac:dyDescent="0.4">
      <c r="A72" s="20">
        <v>45717</v>
      </c>
      <c r="B72" s="93" t="s">
        <v>76</v>
      </c>
      <c r="C72" s="43" t="s">
        <v>121</v>
      </c>
      <c r="D72" s="33">
        <v>-7</v>
      </c>
      <c r="N72" s="103" t="s">
        <v>549</v>
      </c>
    </row>
    <row r="73" spans="1:14" x14ac:dyDescent="0.4">
      <c r="N73" s="103" t="s">
        <v>550</v>
      </c>
    </row>
    <row r="74" spans="1:14" x14ac:dyDescent="0.4">
      <c r="A74" s="20">
        <v>45717</v>
      </c>
      <c r="B74" s="94" t="s">
        <v>86</v>
      </c>
      <c r="C74" s="36" t="s">
        <v>49</v>
      </c>
      <c r="D74" s="33">
        <v>20</v>
      </c>
    </row>
    <row r="75" spans="1:14" x14ac:dyDescent="0.4">
      <c r="A75" s="20">
        <v>45717</v>
      </c>
      <c r="B75" s="94" t="s">
        <v>87</v>
      </c>
      <c r="C75" s="36" t="s">
        <v>49</v>
      </c>
      <c r="D75" s="33">
        <v>20</v>
      </c>
      <c r="N75" s="94" t="s">
        <v>597</v>
      </c>
    </row>
    <row r="76" spans="1:14" x14ac:dyDescent="0.4">
      <c r="N76" s="94" t="s">
        <v>598</v>
      </c>
    </row>
    <row r="77" spans="1:14" x14ac:dyDescent="0.4">
      <c r="N77" s="85" t="s">
        <v>638</v>
      </c>
    </row>
    <row r="78" spans="1:14" x14ac:dyDescent="0.4">
      <c r="A78" s="20">
        <v>45718</v>
      </c>
      <c r="B78" s="93" t="s">
        <v>78</v>
      </c>
      <c r="C78" s="43" t="s">
        <v>121</v>
      </c>
      <c r="D78" s="33">
        <v>-5</v>
      </c>
      <c r="N78" s="93" t="s">
        <v>653</v>
      </c>
    </row>
    <row r="79" spans="1:14" x14ac:dyDescent="0.4">
      <c r="N79" s="93" t="s">
        <v>660</v>
      </c>
    </row>
    <row r="80" spans="1:14" x14ac:dyDescent="0.4">
      <c r="A80" s="20">
        <v>45719</v>
      </c>
      <c r="B80" s="93" t="s">
        <v>76</v>
      </c>
      <c r="C80" s="43" t="s">
        <v>121</v>
      </c>
      <c r="D80" s="33">
        <v>-8</v>
      </c>
      <c r="N80" s="93" t="s">
        <v>661</v>
      </c>
    </row>
    <row r="81" spans="1:14" x14ac:dyDescent="0.4">
      <c r="A81" s="20">
        <v>45719</v>
      </c>
      <c r="B81" s="94" t="s">
        <v>87</v>
      </c>
      <c r="C81" s="43" t="s">
        <v>121</v>
      </c>
      <c r="D81" s="33">
        <v>-21</v>
      </c>
      <c r="N81" s="93" t="s">
        <v>689</v>
      </c>
    </row>
    <row r="82" spans="1:14" x14ac:dyDescent="0.4">
      <c r="A82" s="20">
        <v>45719</v>
      </c>
      <c r="B82" s="93" t="s">
        <v>82</v>
      </c>
      <c r="C82" s="43" t="s">
        <v>121</v>
      </c>
      <c r="D82" s="33">
        <v>-100</v>
      </c>
      <c r="N82" s="93" t="s">
        <v>690</v>
      </c>
    </row>
    <row r="83" spans="1:14" x14ac:dyDescent="0.4">
      <c r="N83" s="93" t="s">
        <v>681</v>
      </c>
    </row>
    <row r="84" spans="1:14" x14ac:dyDescent="0.4">
      <c r="N84" s="93" t="s">
        <v>691</v>
      </c>
    </row>
    <row r="85" spans="1:14" x14ac:dyDescent="0.4">
      <c r="A85" s="82">
        <v>45719</v>
      </c>
      <c r="B85" s="85" t="s">
        <v>133</v>
      </c>
      <c r="C85" s="19" t="s">
        <v>143</v>
      </c>
      <c r="D85" s="33">
        <v>13</v>
      </c>
      <c r="N85" s="85" t="s">
        <v>694</v>
      </c>
    </row>
    <row r="86" spans="1:14" x14ac:dyDescent="0.4">
      <c r="A86" s="82">
        <v>45719</v>
      </c>
      <c r="B86" s="85" t="s">
        <v>136</v>
      </c>
      <c r="C86" s="19" t="s">
        <v>143</v>
      </c>
      <c r="D86" s="33">
        <v>20</v>
      </c>
      <c r="N86" s="94" t="s">
        <v>700</v>
      </c>
    </row>
    <row r="87" spans="1:14" x14ac:dyDescent="0.4">
      <c r="A87" s="82">
        <v>45719</v>
      </c>
      <c r="B87" s="85" t="s">
        <v>137</v>
      </c>
      <c r="C87" s="19" t="s">
        <v>143</v>
      </c>
      <c r="D87" s="33">
        <v>4</v>
      </c>
      <c r="N87" s="94" t="s">
        <v>827</v>
      </c>
    </row>
    <row r="88" spans="1:14" x14ac:dyDescent="0.4">
      <c r="A88" s="82">
        <v>45719</v>
      </c>
      <c r="B88" s="94" t="s">
        <v>87</v>
      </c>
      <c r="C88" s="19" t="s">
        <v>143</v>
      </c>
      <c r="D88" s="33">
        <v>4</v>
      </c>
      <c r="N88" s="94" t="s">
        <v>828</v>
      </c>
    </row>
    <row r="89" spans="1:14" x14ac:dyDescent="0.4">
      <c r="A89" s="82">
        <v>45719</v>
      </c>
      <c r="B89" s="85" t="s">
        <v>139</v>
      </c>
      <c r="C89" s="19" t="s">
        <v>143</v>
      </c>
      <c r="D89" s="33">
        <v>14</v>
      </c>
      <c r="N89" s="94" t="s">
        <v>829</v>
      </c>
    </row>
    <row r="90" spans="1:14" x14ac:dyDescent="0.4">
      <c r="A90" s="82">
        <v>45719</v>
      </c>
      <c r="B90" s="85" t="s">
        <v>140</v>
      </c>
      <c r="C90" s="19" t="s">
        <v>143</v>
      </c>
      <c r="D90" s="33">
        <v>2</v>
      </c>
      <c r="N90" s="94" t="s">
        <v>830</v>
      </c>
    </row>
    <row r="91" spans="1:14" x14ac:dyDescent="0.4">
      <c r="A91" s="82">
        <v>45719</v>
      </c>
      <c r="B91" s="85" t="s">
        <v>141</v>
      </c>
      <c r="C91" s="19" t="s">
        <v>143</v>
      </c>
      <c r="D91" s="33">
        <v>1</v>
      </c>
      <c r="E91" t="s">
        <v>127</v>
      </c>
    </row>
    <row r="93" spans="1:14" x14ac:dyDescent="0.4">
      <c r="A93" s="82">
        <v>45722</v>
      </c>
      <c r="B93" s="94" t="s">
        <v>86</v>
      </c>
      <c r="C93" s="43" t="s">
        <v>121</v>
      </c>
      <c r="D93" s="43">
        <v>-23</v>
      </c>
    </row>
    <row r="94" spans="1:14" x14ac:dyDescent="0.4">
      <c r="A94" s="82">
        <v>45722</v>
      </c>
      <c r="B94" s="85" t="s">
        <v>139</v>
      </c>
      <c r="C94" s="43" t="s">
        <v>121</v>
      </c>
      <c r="D94" s="43">
        <v>-13</v>
      </c>
    </row>
    <row r="95" spans="1:14" x14ac:dyDescent="0.4">
      <c r="A95" s="82">
        <v>45722</v>
      </c>
      <c r="B95" s="85" t="s">
        <v>137</v>
      </c>
      <c r="C95" s="43" t="s">
        <v>121</v>
      </c>
      <c r="D95" s="43">
        <v>-4</v>
      </c>
    </row>
    <row r="96" spans="1:14" x14ac:dyDescent="0.4">
      <c r="A96" s="82">
        <v>45722</v>
      </c>
      <c r="B96" s="85" t="s">
        <v>136</v>
      </c>
      <c r="C96" s="43" t="s">
        <v>121</v>
      </c>
      <c r="D96" s="43">
        <v>-19</v>
      </c>
      <c r="E96" t="s">
        <v>127</v>
      </c>
    </row>
    <row r="97" spans="1:10" x14ac:dyDescent="0.4">
      <c r="A97" s="82">
        <v>45722</v>
      </c>
      <c r="B97" s="93" t="s">
        <v>78</v>
      </c>
      <c r="C97" s="43" t="s">
        <v>121</v>
      </c>
      <c r="D97" s="33">
        <v>-50</v>
      </c>
      <c r="E97" t="s">
        <v>127</v>
      </c>
    </row>
    <row r="99" spans="1:10" x14ac:dyDescent="0.4">
      <c r="A99" s="82">
        <v>45723</v>
      </c>
      <c r="B99" s="93" t="s">
        <v>78</v>
      </c>
      <c r="C99" s="43" t="s">
        <v>121</v>
      </c>
      <c r="D99" s="33">
        <v>-44</v>
      </c>
    </row>
    <row r="100" spans="1:10" x14ac:dyDescent="0.4">
      <c r="A100" s="82">
        <v>45723</v>
      </c>
      <c r="B100" s="93" t="s">
        <v>88</v>
      </c>
      <c r="C100" s="43" t="s">
        <v>121</v>
      </c>
      <c r="D100" s="33">
        <v>-1</v>
      </c>
      <c r="E100" t="s">
        <v>127</v>
      </c>
    </row>
    <row r="101" spans="1:10" x14ac:dyDescent="0.4">
      <c r="A101" s="82">
        <v>45723</v>
      </c>
      <c r="B101" s="93" t="s">
        <v>82</v>
      </c>
      <c r="C101" s="43" t="s">
        <v>121</v>
      </c>
      <c r="D101" s="33">
        <v>-20</v>
      </c>
      <c r="E101" t="s">
        <v>127</v>
      </c>
    </row>
    <row r="102" spans="1:10" x14ac:dyDescent="0.4">
      <c r="A102" s="82">
        <v>45723</v>
      </c>
      <c r="B102" s="93" t="s">
        <v>82</v>
      </c>
      <c r="C102" s="43" t="s">
        <v>121</v>
      </c>
      <c r="D102" s="33">
        <v>-102</v>
      </c>
      <c r="E102" t="s">
        <v>127</v>
      </c>
    </row>
    <row r="104" spans="1:10" x14ac:dyDescent="0.4">
      <c r="A104" s="82">
        <v>45727</v>
      </c>
      <c r="B104" s="93" t="s">
        <v>76</v>
      </c>
      <c r="C104" s="43" t="s">
        <v>152</v>
      </c>
      <c r="D104" s="43">
        <v>153</v>
      </c>
      <c r="E104" t="s">
        <v>127</v>
      </c>
    </row>
    <row r="105" spans="1:10" x14ac:dyDescent="0.4">
      <c r="A105" s="82">
        <v>45727</v>
      </c>
      <c r="B105" s="93" t="s">
        <v>82</v>
      </c>
      <c r="C105" s="43" t="s">
        <v>152</v>
      </c>
      <c r="D105" s="43">
        <v>250</v>
      </c>
      <c r="E105" t="s">
        <v>127</v>
      </c>
    </row>
    <row r="107" spans="1:10" x14ac:dyDescent="0.4">
      <c r="A107" s="82">
        <v>45728</v>
      </c>
      <c r="B107" s="94" t="s">
        <v>168</v>
      </c>
      <c r="C107" s="43" t="s">
        <v>174</v>
      </c>
      <c r="D107" s="43">
        <v>2</v>
      </c>
      <c r="E107" t="s">
        <v>127</v>
      </c>
    </row>
    <row r="108" spans="1:10" x14ac:dyDescent="0.4">
      <c r="A108" s="82">
        <v>45728</v>
      </c>
      <c r="B108" s="94" t="s">
        <v>169</v>
      </c>
      <c r="C108" s="43" t="s">
        <v>174</v>
      </c>
      <c r="D108" s="43">
        <v>1</v>
      </c>
      <c r="E108" t="s">
        <v>127</v>
      </c>
    </row>
    <row r="109" spans="1:10" x14ac:dyDescent="0.4">
      <c r="A109" s="153">
        <v>45728</v>
      </c>
      <c r="B109" s="475" t="s">
        <v>133</v>
      </c>
      <c r="C109" s="83" t="s">
        <v>174</v>
      </c>
      <c r="D109" s="83">
        <v>2</v>
      </c>
      <c r="E109" t="s">
        <v>127</v>
      </c>
    </row>
    <row r="110" spans="1:10" x14ac:dyDescent="0.4">
      <c r="A110" s="82">
        <v>45728</v>
      </c>
      <c r="B110" s="94" t="s">
        <v>156</v>
      </c>
      <c r="C110" s="43" t="s">
        <v>174</v>
      </c>
      <c r="D110" s="43">
        <v>12</v>
      </c>
      <c r="E110" s="18" t="s">
        <v>127</v>
      </c>
      <c r="F110" s="18"/>
      <c r="G110" s="18"/>
      <c r="H110" s="18"/>
      <c r="I110" s="18"/>
      <c r="J110" s="18"/>
    </row>
    <row r="111" spans="1:10" x14ac:dyDescent="0.4">
      <c r="A111" s="485">
        <v>45728</v>
      </c>
      <c r="B111" s="288" t="s">
        <v>157</v>
      </c>
      <c r="C111" s="289" t="s">
        <v>174</v>
      </c>
      <c r="D111" s="289">
        <v>12</v>
      </c>
      <c r="E111" t="s">
        <v>127</v>
      </c>
    </row>
    <row r="112" spans="1:10" x14ac:dyDescent="0.4">
      <c r="A112" s="82">
        <v>45728</v>
      </c>
      <c r="B112" s="94" t="s">
        <v>161</v>
      </c>
      <c r="C112" s="43" t="s">
        <v>174</v>
      </c>
      <c r="D112" s="43">
        <v>12</v>
      </c>
      <c r="E112" t="s">
        <v>127</v>
      </c>
    </row>
    <row r="113" spans="1:5" x14ac:dyDescent="0.4">
      <c r="A113" s="82">
        <v>45728</v>
      </c>
      <c r="B113" s="94" t="s">
        <v>170</v>
      </c>
      <c r="C113" s="43" t="s">
        <v>174</v>
      </c>
      <c r="D113" s="43">
        <v>12</v>
      </c>
      <c r="E113" t="s">
        <v>127</v>
      </c>
    </row>
    <row r="114" spans="1:5" x14ac:dyDescent="0.4">
      <c r="A114" s="82">
        <v>45728</v>
      </c>
      <c r="B114" s="94" t="s">
        <v>171</v>
      </c>
      <c r="C114" s="43" t="s">
        <v>174</v>
      </c>
      <c r="D114" s="43">
        <v>12</v>
      </c>
      <c r="E114" t="s">
        <v>127</v>
      </c>
    </row>
    <row r="115" spans="1:5" x14ac:dyDescent="0.4">
      <c r="A115" s="82">
        <v>45728</v>
      </c>
      <c r="B115" s="94" t="s">
        <v>172</v>
      </c>
      <c r="C115" s="43" t="s">
        <v>174</v>
      </c>
      <c r="D115" s="43">
        <v>12</v>
      </c>
      <c r="E115" t="s">
        <v>127</v>
      </c>
    </row>
    <row r="116" spans="1:5" x14ac:dyDescent="0.4">
      <c r="A116" s="82">
        <v>45728</v>
      </c>
      <c r="B116" s="94" t="s">
        <v>173</v>
      </c>
      <c r="C116" s="43" t="s">
        <v>174</v>
      </c>
      <c r="D116" s="43">
        <v>12</v>
      </c>
      <c r="E116" t="s">
        <v>127</v>
      </c>
    </row>
    <row r="117" spans="1:5" x14ac:dyDescent="0.4">
      <c r="A117" s="82">
        <v>45728</v>
      </c>
      <c r="B117" s="85" t="s">
        <v>136</v>
      </c>
      <c r="C117" s="43" t="s">
        <v>174</v>
      </c>
      <c r="D117" s="43">
        <v>12</v>
      </c>
      <c r="E117" t="s">
        <v>127</v>
      </c>
    </row>
    <row r="118" spans="1:5" x14ac:dyDescent="0.4">
      <c r="A118" s="82">
        <v>45728</v>
      </c>
      <c r="C118" s="43" t="s">
        <v>174</v>
      </c>
      <c r="D118" s="43">
        <v>12</v>
      </c>
      <c r="E118" t="s">
        <v>127</v>
      </c>
    </row>
    <row r="119" spans="1:5" x14ac:dyDescent="0.4">
      <c r="A119" s="82">
        <v>45728</v>
      </c>
      <c r="B119" s="93" t="s">
        <v>78</v>
      </c>
      <c r="C119" s="43" t="s">
        <v>174</v>
      </c>
      <c r="D119" s="43">
        <v>12</v>
      </c>
      <c r="E119" t="s">
        <v>127</v>
      </c>
    </row>
    <row r="120" spans="1:5" x14ac:dyDescent="0.4">
      <c r="A120" s="82">
        <v>45728</v>
      </c>
      <c r="C120" s="43" t="s">
        <v>174</v>
      </c>
      <c r="D120" s="43">
        <v>12</v>
      </c>
      <c r="E120" t="s">
        <v>127</v>
      </c>
    </row>
    <row r="121" spans="1:5" x14ac:dyDescent="0.4">
      <c r="A121" s="82">
        <v>45728</v>
      </c>
      <c r="B121" s="93" t="s">
        <v>80</v>
      </c>
      <c r="C121" s="43" t="s">
        <v>174</v>
      </c>
      <c r="D121" s="43">
        <v>12</v>
      </c>
      <c r="E121" t="s">
        <v>127</v>
      </c>
    </row>
    <row r="122" spans="1:5" x14ac:dyDescent="0.4">
      <c r="A122" s="82">
        <v>45728</v>
      </c>
      <c r="B122" s="85" t="s">
        <v>133</v>
      </c>
      <c r="C122" s="43" t="s">
        <v>174</v>
      </c>
      <c r="D122" s="43">
        <v>12</v>
      </c>
      <c r="E122" t="s">
        <v>127</v>
      </c>
    </row>
    <row r="123" spans="1:5" x14ac:dyDescent="0.4">
      <c r="A123" s="82">
        <v>45728</v>
      </c>
      <c r="B123" s="94" t="s">
        <v>156</v>
      </c>
      <c r="C123" s="43" t="s">
        <v>174</v>
      </c>
      <c r="D123" s="43">
        <v>12</v>
      </c>
      <c r="E123" t="s">
        <v>127</v>
      </c>
    </row>
    <row r="124" spans="1:5" x14ac:dyDescent="0.4">
      <c r="A124" s="82">
        <v>45728</v>
      </c>
      <c r="B124" s="94" t="s">
        <v>87</v>
      </c>
      <c r="C124" s="43" t="s">
        <v>174</v>
      </c>
      <c r="D124" s="43">
        <v>12</v>
      </c>
      <c r="E124" t="s">
        <v>127</v>
      </c>
    </row>
    <row r="125" spans="1:5" x14ac:dyDescent="0.4">
      <c r="A125" s="82">
        <v>45728</v>
      </c>
      <c r="B125" s="85" t="s">
        <v>133</v>
      </c>
      <c r="C125" s="43" t="s">
        <v>174</v>
      </c>
      <c r="D125" s="43">
        <v>12</v>
      </c>
      <c r="E125" t="s">
        <v>127</v>
      </c>
    </row>
    <row r="126" spans="1:5" x14ac:dyDescent="0.4">
      <c r="A126" s="82">
        <v>45728</v>
      </c>
      <c r="B126" s="94" t="s">
        <v>157</v>
      </c>
      <c r="C126" s="43" t="s">
        <v>174</v>
      </c>
      <c r="D126" s="43">
        <v>12</v>
      </c>
      <c r="E126" t="s">
        <v>127</v>
      </c>
    </row>
    <row r="127" spans="1:5" x14ac:dyDescent="0.4">
      <c r="A127" s="82">
        <v>45728</v>
      </c>
      <c r="B127" s="94" t="s">
        <v>161</v>
      </c>
      <c r="C127" s="43" t="s">
        <v>174</v>
      </c>
      <c r="D127" s="43">
        <v>12</v>
      </c>
      <c r="E127" t="s">
        <v>127</v>
      </c>
    </row>
    <row r="128" spans="1:5" x14ac:dyDescent="0.4">
      <c r="A128" s="82">
        <v>45728</v>
      </c>
      <c r="B128" s="85" t="s">
        <v>133</v>
      </c>
      <c r="C128" s="43" t="s">
        <v>174</v>
      </c>
      <c r="D128" s="43">
        <v>12</v>
      </c>
      <c r="E128" t="s">
        <v>127</v>
      </c>
    </row>
    <row r="129" spans="1:10" x14ac:dyDescent="0.4">
      <c r="A129" s="82">
        <v>45728</v>
      </c>
      <c r="B129" s="93" t="s">
        <v>78</v>
      </c>
      <c r="C129" s="43" t="s">
        <v>174</v>
      </c>
      <c r="D129" s="43">
        <v>12</v>
      </c>
      <c r="E129" t="s">
        <v>127</v>
      </c>
    </row>
    <row r="130" spans="1:10" x14ac:dyDescent="0.4">
      <c r="A130" s="82">
        <v>45728</v>
      </c>
      <c r="B130" s="360" t="s">
        <v>85</v>
      </c>
      <c r="C130" s="43" t="s">
        <v>174</v>
      </c>
      <c r="D130" s="43">
        <v>12</v>
      </c>
      <c r="E130" t="s">
        <v>127</v>
      </c>
    </row>
    <row r="131" spans="1:10" x14ac:dyDescent="0.4">
      <c r="A131" s="82">
        <v>45728</v>
      </c>
      <c r="B131" s="85" t="s">
        <v>140</v>
      </c>
      <c r="C131" s="43" t="s">
        <v>174</v>
      </c>
      <c r="D131" s="43">
        <v>12</v>
      </c>
      <c r="E131" t="s">
        <v>127</v>
      </c>
    </row>
    <row r="132" spans="1:10" x14ac:dyDescent="0.4">
      <c r="A132" s="82">
        <v>45728</v>
      </c>
      <c r="B132" s="85" t="s">
        <v>141</v>
      </c>
      <c r="C132" s="43" t="s">
        <v>174</v>
      </c>
      <c r="D132" s="43">
        <v>12</v>
      </c>
      <c r="E132" t="s">
        <v>127</v>
      </c>
    </row>
    <row r="133" spans="1:10" x14ac:dyDescent="0.4">
      <c r="A133" s="82">
        <v>45728</v>
      </c>
      <c r="B133" s="94" t="s">
        <v>93</v>
      </c>
      <c r="C133" s="43" t="s">
        <v>174</v>
      </c>
      <c r="D133" s="43">
        <v>12</v>
      </c>
      <c r="E133" t="s">
        <v>127</v>
      </c>
    </row>
    <row r="134" spans="1:10" x14ac:dyDescent="0.4">
      <c r="A134" s="82">
        <v>45728</v>
      </c>
      <c r="C134" s="43" t="s">
        <v>174</v>
      </c>
      <c r="D134" s="43">
        <v>12</v>
      </c>
      <c r="E134" t="s">
        <v>127</v>
      </c>
    </row>
    <row r="135" spans="1:10" x14ac:dyDescent="0.4">
      <c r="A135" s="82">
        <v>45728</v>
      </c>
      <c r="B135" s="93" t="s">
        <v>89</v>
      </c>
      <c r="C135" s="43" t="s">
        <v>174</v>
      </c>
      <c r="D135" s="43">
        <v>12</v>
      </c>
      <c r="E135" t="s">
        <v>127</v>
      </c>
    </row>
    <row r="136" spans="1:10" x14ac:dyDescent="0.4">
      <c r="A136" s="153">
        <v>45728</v>
      </c>
      <c r="C136" s="83" t="s">
        <v>174</v>
      </c>
      <c r="D136" s="83">
        <v>12</v>
      </c>
      <c r="E136" t="s">
        <v>127</v>
      </c>
    </row>
    <row r="137" spans="1:10" x14ac:dyDescent="0.4">
      <c r="A137" s="82">
        <v>45728</v>
      </c>
      <c r="B137" s="94" t="s">
        <v>86</v>
      </c>
      <c r="C137" s="43" t="s">
        <v>174</v>
      </c>
      <c r="D137" s="43">
        <v>12</v>
      </c>
      <c r="E137" s="18" t="s">
        <v>127</v>
      </c>
      <c r="F137" s="18"/>
      <c r="G137" s="18"/>
      <c r="H137" s="18"/>
      <c r="I137" s="18"/>
      <c r="J137" s="18"/>
    </row>
    <row r="138" spans="1:10" x14ac:dyDescent="0.4">
      <c r="A138" s="82">
        <v>45728</v>
      </c>
      <c r="B138" s="94" t="s">
        <v>187</v>
      </c>
      <c r="C138" s="43" t="s">
        <v>174</v>
      </c>
      <c r="D138" s="43">
        <v>12</v>
      </c>
      <c r="E138" s="18" t="s">
        <v>127</v>
      </c>
      <c r="F138" s="18"/>
      <c r="G138" s="18"/>
      <c r="H138" s="18"/>
      <c r="I138" s="18"/>
      <c r="J138" s="18"/>
    </row>
    <row r="139" spans="1:10" x14ac:dyDescent="0.4">
      <c r="A139" s="82">
        <v>45728</v>
      </c>
      <c r="B139" s="94" t="s">
        <v>87</v>
      </c>
      <c r="C139" s="43" t="s">
        <v>174</v>
      </c>
      <c r="D139" s="43">
        <v>12</v>
      </c>
      <c r="E139" s="18" t="s">
        <v>127</v>
      </c>
      <c r="F139" s="18"/>
      <c r="G139" s="18"/>
      <c r="H139" s="18"/>
      <c r="I139" s="18"/>
      <c r="J139" s="18"/>
    </row>
    <row r="140" spans="1:10" x14ac:dyDescent="0.4">
      <c r="A140" s="82">
        <v>45728</v>
      </c>
      <c r="B140" s="94"/>
      <c r="C140" s="43" t="s">
        <v>174</v>
      </c>
      <c r="D140" s="43">
        <v>12</v>
      </c>
      <c r="E140" s="18" t="s">
        <v>127</v>
      </c>
      <c r="F140" s="18"/>
      <c r="G140" s="18"/>
      <c r="H140" s="18"/>
      <c r="I140" s="18"/>
      <c r="J140" s="18"/>
    </row>
    <row r="141" spans="1:10" x14ac:dyDescent="0.4">
      <c r="A141" s="485">
        <v>45731</v>
      </c>
      <c r="B141" s="288" t="s">
        <v>202</v>
      </c>
      <c r="C141" s="289" t="s">
        <v>188</v>
      </c>
      <c r="D141" s="289">
        <v>6</v>
      </c>
      <c r="E141" s="290" t="s">
        <v>127</v>
      </c>
      <c r="G141" s="440">
        <v>45734</v>
      </c>
      <c r="H141" s="486" t="s">
        <v>86</v>
      </c>
      <c r="I141" s="487" t="s">
        <v>213</v>
      </c>
      <c r="J141" s="487">
        <v>-35</v>
      </c>
    </row>
    <row r="142" spans="1:10" x14ac:dyDescent="0.4">
      <c r="A142" s="82">
        <v>45731</v>
      </c>
      <c r="B142" s="93" t="s">
        <v>84</v>
      </c>
      <c r="C142" s="43" t="s">
        <v>188</v>
      </c>
      <c r="D142" s="43">
        <v>5</v>
      </c>
      <c r="E142" s="18" t="s">
        <v>127</v>
      </c>
    </row>
    <row r="143" spans="1:10" x14ac:dyDescent="0.4">
      <c r="A143" s="82">
        <v>45731</v>
      </c>
      <c r="B143" s="94" t="s">
        <v>202</v>
      </c>
      <c r="C143" s="43" t="s">
        <v>188</v>
      </c>
      <c r="D143" s="43">
        <v>8</v>
      </c>
      <c r="E143" s="18" t="s">
        <v>127</v>
      </c>
    </row>
    <row r="144" spans="1:10" x14ac:dyDescent="0.4">
      <c r="A144" s="82">
        <v>45731</v>
      </c>
      <c r="B144" s="93" t="s">
        <v>84</v>
      </c>
      <c r="C144" s="43" t="s">
        <v>188</v>
      </c>
      <c r="D144" s="43">
        <v>2</v>
      </c>
      <c r="E144" s="18" t="s">
        <v>127</v>
      </c>
    </row>
    <row r="145" spans="1:5" x14ac:dyDescent="0.4">
      <c r="A145" s="82">
        <v>45731</v>
      </c>
      <c r="B145" s="93" t="s">
        <v>84</v>
      </c>
      <c r="C145" s="43" t="s">
        <v>188</v>
      </c>
      <c r="D145" s="43">
        <v>3</v>
      </c>
      <c r="E145" s="18" t="s">
        <v>127</v>
      </c>
    </row>
    <row r="146" spans="1:5" x14ac:dyDescent="0.4">
      <c r="A146" s="82">
        <v>45731</v>
      </c>
      <c r="B146" s="93" t="s">
        <v>84</v>
      </c>
      <c r="C146" s="43" t="s">
        <v>188</v>
      </c>
      <c r="D146" s="43">
        <v>2</v>
      </c>
      <c r="E146" s="18" t="s">
        <v>127</v>
      </c>
    </row>
    <row r="147" spans="1:5" x14ac:dyDescent="0.4">
      <c r="A147" s="106"/>
      <c r="B147" s="107"/>
    </row>
    <row r="148" spans="1:5" ht="14.4" x14ac:dyDescent="0.3">
      <c r="A148"/>
      <c r="B148" s="96"/>
      <c r="C148"/>
      <c r="D148"/>
    </row>
    <row r="150" spans="1:5" x14ac:dyDescent="0.4">
      <c r="A150" s="82">
        <v>45733</v>
      </c>
      <c r="B150" s="93" t="s">
        <v>84</v>
      </c>
      <c r="C150" s="43" t="s">
        <v>188</v>
      </c>
      <c r="D150" s="43">
        <v>5</v>
      </c>
      <c r="E150" s="18" t="s">
        <v>127</v>
      </c>
    </row>
    <row r="151" spans="1:5" x14ac:dyDescent="0.4">
      <c r="A151" s="82">
        <v>45733</v>
      </c>
      <c r="B151" s="94" t="s">
        <v>202</v>
      </c>
      <c r="C151" s="43" t="s">
        <v>200</v>
      </c>
      <c r="D151" s="43">
        <v>3</v>
      </c>
      <c r="E151" s="18" t="s">
        <v>127</v>
      </c>
    </row>
    <row r="152" spans="1:5" x14ac:dyDescent="0.4">
      <c r="A152" s="82">
        <v>45733</v>
      </c>
      <c r="B152" s="94" t="s">
        <v>122</v>
      </c>
      <c r="C152" s="43" t="s">
        <v>188</v>
      </c>
      <c r="D152" s="43">
        <v>2</v>
      </c>
      <c r="E152" s="18" t="s">
        <v>127</v>
      </c>
    </row>
    <row r="153" spans="1:5" x14ac:dyDescent="0.4">
      <c r="A153" s="82">
        <v>45733</v>
      </c>
      <c r="B153" s="93" t="s">
        <v>84</v>
      </c>
      <c r="C153" s="43" t="s">
        <v>188</v>
      </c>
      <c r="D153" s="43">
        <v>3</v>
      </c>
      <c r="E153" s="18" t="s">
        <v>127</v>
      </c>
    </row>
    <row r="154" spans="1:5" x14ac:dyDescent="0.4">
      <c r="A154" s="82">
        <v>45733</v>
      </c>
      <c r="B154" s="94" t="s">
        <v>126</v>
      </c>
      <c r="C154" s="43" t="s">
        <v>188</v>
      </c>
      <c r="D154" s="43">
        <v>2</v>
      </c>
      <c r="E154" s="18" t="s">
        <v>127</v>
      </c>
    </row>
    <row r="155" spans="1:5" x14ac:dyDescent="0.4">
      <c r="A155" s="82">
        <v>45733</v>
      </c>
      <c r="B155" s="93" t="s">
        <v>78</v>
      </c>
      <c r="C155" s="43" t="s">
        <v>188</v>
      </c>
      <c r="D155" s="43">
        <v>17</v>
      </c>
      <c r="E155" s="18" t="s">
        <v>127</v>
      </c>
    </row>
    <row r="157" spans="1:5" x14ac:dyDescent="0.4">
      <c r="A157" s="82">
        <v>45731</v>
      </c>
      <c r="B157" s="94" t="s">
        <v>122</v>
      </c>
      <c r="C157" s="43" t="s">
        <v>121</v>
      </c>
      <c r="D157" s="43">
        <v>-5</v>
      </c>
      <c r="E157" s="18" t="s">
        <v>127</v>
      </c>
    </row>
    <row r="158" spans="1:5" x14ac:dyDescent="0.4">
      <c r="A158" s="82">
        <v>45731</v>
      </c>
      <c r="B158" s="94" t="s">
        <v>123</v>
      </c>
      <c r="C158" s="43" t="s">
        <v>121</v>
      </c>
      <c r="D158" s="43">
        <v>-1</v>
      </c>
      <c r="E158" s="18" t="s">
        <v>127</v>
      </c>
    </row>
    <row r="159" spans="1:5" x14ac:dyDescent="0.4">
      <c r="A159" s="82">
        <v>45731</v>
      </c>
      <c r="B159" s="94" t="s">
        <v>124</v>
      </c>
      <c r="C159" s="43" t="s">
        <v>121</v>
      </c>
      <c r="D159" s="43">
        <v>-1</v>
      </c>
      <c r="E159" s="18" t="s">
        <v>127</v>
      </c>
    </row>
    <row r="160" spans="1:5" x14ac:dyDescent="0.4">
      <c r="A160" s="82">
        <v>45731</v>
      </c>
      <c r="B160" s="94" t="s">
        <v>125</v>
      </c>
      <c r="C160" s="43" t="s">
        <v>121</v>
      </c>
      <c r="D160" s="43">
        <v>-1</v>
      </c>
      <c r="E160" s="18" t="s">
        <v>127</v>
      </c>
    </row>
    <row r="161" spans="1:5" x14ac:dyDescent="0.4">
      <c r="A161" s="82">
        <v>45731</v>
      </c>
      <c r="B161" s="94" t="s">
        <v>126</v>
      </c>
      <c r="C161" s="43" t="s">
        <v>121</v>
      </c>
      <c r="D161" s="43">
        <v>-1</v>
      </c>
      <c r="E161" s="18" t="s">
        <v>127</v>
      </c>
    </row>
    <row r="162" spans="1:5" x14ac:dyDescent="0.4">
      <c r="A162" s="82">
        <v>45731</v>
      </c>
      <c r="B162" s="94" t="s">
        <v>187</v>
      </c>
      <c r="C162" s="43" t="s">
        <v>121</v>
      </c>
      <c r="D162" s="43">
        <v>-11</v>
      </c>
      <c r="E162" s="18" t="s">
        <v>127</v>
      </c>
    </row>
    <row r="163" spans="1:5" x14ac:dyDescent="0.4">
      <c r="A163" s="97">
        <v>45731</v>
      </c>
      <c r="B163" s="108" t="s">
        <v>86</v>
      </c>
      <c r="C163" s="98" t="s">
        <v>176</v>
      </c>
      <c r="D163" s="98">
        <v>-10</v>
      </c>
      <c r="E163" s="109" t="s">
        <v>127</v>
      </c>
    </row>
    <row r="164" spans="1:5" x14ac:dyDescent="0.4">
      <c r="A164" s="82">
        <v>45733</v>
      </c>
      <c r="B164" s="93" t="s">
        <v>84</v>
      </c>
      <c r="C164" s="43" t="s">
        <v>121</v>
      </c>
      <c r="D164" s="43">
        <v>-2</v>
      </c>
      <c r="E164" s="18" t="s">
        <v>127</v>
      </c>
    </row>
    <row r="165" spans="1:5" x14ac:dyDescent="0.4">
      <c r="A165" s="82">
        <v>45733</v>
      </c>
      <c r="B165" s="94" t="s">
        <v>86</v>
      </c>
      <c r="C165" s="43" t="s">
        <v>121</v>
      </c>
      <c r="D165" s="43">
        <v>-2</v>
      </c>
      <c r="E165" s="18" t="s">
        <v>127</v>
      </c>
    </row>
    <row r="166" spans="1:5" x14ac:dyDescent="0.4">
      <c r="A166" s="82">
        <v>45733</v>
      </c>
      <c r="B166" s="94" t="s">
        <v>87</v>
      </c>
      <c r="C166" s="43" t="s">
        <v>121</v>
      </c>
      <c r="D166" s="43">
        <v>-5</v>
      </c>
      <c r="E166" s="18" t="s">
        <v>127</v>
      </c>
    </row>
    <row r="168" spans="1:5" x14ac:dyDescent="0.4">
      <c r="A168" s="82">
        <v>45734</v>
      </c>
      <c r="B168" s="93" t="s">
        <v>84</v>
      </c>
      <c r="C168" s="43" t="s">
        <v>188</v>
      </c>
      <c r="D168" s="43">
        <v>3</v>
      </c>
      <c r="E168" s="18" t="s">
        <v>127</v>
      </c>
    </row>
    <row r="170" spans="1:5" x14ac:dyDescent="0.4">
      <c r="A170" s="82">
        <v>45734</v>
      </c>
      <c r="B170" s="94" t="s">
        <v>87</v>
      </c>
      <c r="C170" s="43" t="s">
        <v>121</v>
      </c>
      <c r="D170" s="43">
        <v>-63</v>
      </c>
      <c r="E170" s="18" t="s">
        <v>127</v>
      </c>
    </row>
    <row r="171" spans="1:5" x14ac:dyDescent="0.4">
      <c r="A171" s="82">
        <v>45734</v>
      </c>
      <c r="B171" s="93" t="s">
        <v>82</v>
      </c>
      <c r="C171" s="43" t="s">
        <v>121</v>
      </c>
      <c r="D171" s="43">
        <v>-80</v>
      </c>
      <c r="E171" s="18" t="s">
        <v>127</v>
      </c>
    </row>
    <row r="172" spans="1:5" x14ac:dyDescent="0.4">
      <c r="A172" s="97">
        <v>45734</v>
      </c>
      <c r="B172" s="108" t="s">
        <v>86</v>
      </c>
      <c r="C172" s="98" t="s">
        <v>213</v>
      </c>
      <c r="D172" s="98">
        <v>-35</v>
      </c>
      <c r="E172" s="109" t="s">
        <v>127</v>
      </c>
    </row>
    <row r="173" spans="1:5" x14ac:dyDescent="0.4">
      <c r="A173" s="82">
        <v>45734</v>
      </c>
      <c r="B173" s="93" t="s">
        <v>78</v>
      </c>
      <c r="C173" s="43" t="s">
        <v>121</v>
      </c>
      <c r="D173" s="43">
        <v>-3</v>
      </c>
      <c r="E173" s="18" t="s">
        <v>127</v>
      </c>
    </row>
    <row r="175" spans="1:5" x14ac:dyDescent="0.4">
      <c r="A175" s="82">
        <v>45735</v>
      </c>
      <c r="B175" s="93" t="s">
        <v>84</v>
      </c>
      <c r="C175" s="43" t="s">
        <v>49</v>
      </c>
      <c r="D175" s="43">
        <v>10</v>
      </c>
      <c r="E175" s="18" t="s">
        <v>127</v>
      </c>
    </row>
    <row r="176" spans="1:5" x14ac:dyDescent="0.4">
      <c r="A176" s="82">
        <v>45735</v>
      </c>
      <c r="B176" s="94" t="s">
        <v>202</v>
      </c>
      <c r="C176" s="43" t="s">
        <v>49</v>
      </c>
      <c r="D176" s="43">
        <v>4</v>
      </c>
      <c r="E176" s="18" t="s">
        <v>127</v>
      </c>
    </row>
    <row r="178" spans="1:5" x14ac:dyDescent="0.4">
      <c r="A178" s="82">
        <v>45736</v>
      </c>
      <c r="B178" s="93" t="s">
        <v>84</v>
      </c>
      <c r="C178" s="43" t="s">
        <v>49</v>
      </c>
      <c r="D178" s="43">
        <v>1</v>
      </c>
      <c r="E178" s="18" t="s">
        <v>127</v>
      </c>
    </row>
    <row r="179" spans="1:5" x14ac:dyDescent="0.4">
      <c r="A179" s="82">
        <v>45736</v>
      </c>
      <c r="B179" s="94" t="s">
        <v>87</v>
      </c>
      <c r="C179" s="43" t="s">
        <v>49</v>
      </c>
      <c r="D179" s="43">
        <v>1</v>
      </c>
      <c r="E179" s="18" t="s">
        <v>127</v>
      </c>
    </row>
    <row r="180" spans="1:5" x14ac:dyDescent="0.4">
      <c r="A180" s="104">
        <v>45736</v>
      </c>
      <c r="B180" s="127" t="s">
        <v>84</v>
      </c>
      <c r="C180" s="105" t="s">
        <v>258</v>
      </c>
      <c r="D180" s="105"/>
      <c r="E180" s="18" t="s">
        <v>127</v>
      </c>
    </row>
    <row r="181" spans="1:5" x14ac:dyDescent="0.4">
      <c r="A181" s="82">
        <v>45737</v>
      </c>
      <c r="B181" s="94" t="s">
        <v>202</v>
      </c>
      <c r="C181" s="43" t="s">
        <v>254</v>
      </c>
      <c r="D181" s="43">
        <v>1</v>
      </c>
      <c r="E181" s="18" t="s">
        <v>127</v>
      </c>
    </row>
    <row r="183" spans="1:5" x14ac:dyDescent="0.4">
      <c r="A183" s="82">
        <v>45738</v>
      </c>
      <c r="B183" s="93" t="s">
        <v>78</v>
      </c>
      <c r="C183" s="137" t="s">
        <v>121</v>
      </c>
      <c r="D183" s="137">
        <v>-4</v>
      </c>
      <c r="E183" s="18" t="s">
        <v>127</v>
      </c>
    </row>
    <row r="185" spans="1:5" x14ac:dyDescent="0.4">
      <c r="A185" s="82">
        <v>45739</v>
      </c>
      <c r="B185" s="94" t="s">
        <v>266</v>
      </c>
      <c r="C185" s="43" t="s">
        <v>49</v>
      </c>
      <c r="D185" s="43">
        <v>1</v>
      </c>
      <c r="E185" s="18"/>
    </row>
    <row r="186" spans="1:5" x14ac:dyDescent="0.4">
      <c r="A186" s="104">
        <v>45739</v>
      </c>
      <c r="B186" s="139" t="s">
        <v>266</v>
      </c>
      <c r="C186" s="105" t="s">
        <v>267</v>
      </c>
      <c r="D186" s="105">
        <v>1</v>
      </c>
      <c r="E186" s="18"/>
    </row>
    <row r="187" spans="1:5" x14ac:dyDescent="0.4">
      <c r="A187" s="82">
        <v>45739</v>
      </c>
      <c r="B187" s="94" t="s">
        <v>266</v>
      </c>
      <c r="C187" s="43" t="s">
        <v>49</v>
      </c>
      <c r="D187" s="43">
        <v>2</v>
      </c>
      <c r="E187" s="18"/>
    </row>
    <row r="188" spans="1:5" x14ac:dyDescent="0.4">
      <c r="A188" s="82">
        <v>45739</v>
      </c>
      <c r="B188" s="94" t="s">
        <v>123</v>
      </c>
      <c r="C188" s="43" t="s">
        <v>49</v>
      </c>
      <c r="D188" s="43">
        <v>1</v>
      </c>
      <c r="E188" s="18"/>
    </row>
    <row r="190" spans="1:5" x14ac:dyDescent="0.4">
      <c r="A190" s="82">
        <v>45740</v>
      </c>
      <c r="B190" s="94" t="s">
        <v>266</v>
      </c>
      <c r="C190" s="43" t="s">
        <v>49</v>
      </c>
      <c r="D190" s="43">
        <v>2</v>
      </c>
      <c r="E190" s="18" t="s">
        <v>127</v>
      </c>
    </row>
    <row r="191" spans="1:5" x14ac:dyDescent="0.4">
      <c r="A191" s="82">
        <v>45740</v>
      </c>
      <c r="B191" s="94" t="s">
        <v>266</v>
      </c>
      <c r="C191" s="43" t="s">
        <v>49</v>
      </c>
      <c r="D191" s="43">
        <v>2</v>
      </c>
      <c r="E191" s="18" t="s">
        <v>127</v>
      </c>
    </row>
    <row r="192" spans="1:5" x14ac:dyDescent="0.4">
      <c r="A192" s="82">
        <v>45740</v>
      </c>
      <c r="B192" s="93" t="s">
        <v>84</v>
      </c>
      <c r="C192" s="43" t="s">
        <v>49</v>
      </c>
      <c r="D192" s="43">
        <v>2</v>
      </c>
      <c r="E192" s="18" t="s">
        <v>127</v>
      </c>
    </row>
    <row r="194" spans="1:5" x14ac:dyDescent="0.4">
      <c r="A194" s="104">
        <v>45742</v>
      </c>
      <c r="B194" s="139" t="s">
        <v>266</v>
      </c>
      <c r="C194" s="105" t="s">
        <v>49</v>
      </c>
      <c r="D194" s="105">
        <v>10</v>
      </c>
      <c r="E194" s="95" t="s">
        <v>127</v>
      </c>
    </row>
    <row r="195" spans="1:5" x14ac:dyDescent="0.4">
      <c r="A195" s="82">
        <v>45742</v>
      </c>
      <c r="B195" s="93" t="s">
        <v>84</v>
      </c>
      <c r="C195" s="43" t="s">
        <v>49</v>
      </c>
      <c r="D195" s="43">
        <v>2</v>
      </c>
      <c r="E195" s="18" t="s">
        <v>127</v>
      </c>
    </row>
    <row r="197" spans="1:5" x14ac:dyDescent="0.4">
      <c r="A197" s="82">
        <v>45742</v>
      </c>
      <c r="B197" s="94" t="s">
        <v>86</v>
      </c>
      <c r="C197" s="43" t="s">
        <v>273</v>
      </c>
      <c r="D197" s="43">
        <v>10</v>
      </c>
      <c r="E197" s="18" t="s">
        <v>127</v>
      </c>
    </row>
    <row r="199" spans="1:5" x14ac:dyDescent="0.4">
      <c r="A199" s="82">
        <v>45742</v>
      </c>
      <c r="B199" s="94" t="s">
        <v>86</v>
      </c>
      <c r="C199" s="43" t="s">
        <v>121</v>
      </c>
      <c r="D199" s="43">
        <v>-2</v>
      </c>
      <c r="E199" s="18" t="s">
        <v>127</v>
      </c>
    </row>
    <row r="200" spans="1:5" x14ac:dyDescent="0.4">
      <c r="A200" s="82">
        <v>45742</v>
      </c>
      <c r="B200" s="93" t="s">
        <v>78</v>
      </c>
      <c r="C200" s="43" t="s">
        <v>121</v>
      </c>
      <c r="D200" s="43">
        <v>-25</v>
      </c>
      <c r="E200" s="18" t="s">
        <v>127</v>
      </c>
    </row>
    <row r="201" spans="1:5" x14ac:dyDescent="0.4">
      <c r="A201" s="82">
        <v>45742</v>
      </c>
      <c r="B201" s="93" t="s">
        <v>78</v>
      </c>
      <c r="C201" s="43" t="s">
        <v>121</v>
      </c>
      <c r="D201" s="43">
        <v>-1</v>
      </c>
      <c r="E201" s="18" t="s">
        <v>127</v>
      </c>
    </row>
    <row r="203" spans="1:5" x14ac:dyDescent="0.4">
      <c r="A203" s="82">
        <v>45742</v>
      </c>
      <c r="B203" s="94" t="s">
        <v>274</v>
      </c>
      <c r="C203" s="43" t="s">
        <v>275</v>
      </c>
      <c r="D203" s="43">
        <v>100</v>
      </c>
      <c r="E203" s="18" t="s">
        <v>127</v>
      </c>
    </row>
    <row r="204" spans="1:5" x14ac:dyDescent="0.4">
      <c r="A204" s="82">
        <v>45742</v>
      </c>
      <c r="B204" s="94" t="s">
        <v>86</v>
      </c>
      <c r="C204" s="43" t="s">
        <v>121</v>
      </c>
      <c r="D204" s="43">
        <v>-3</v>
      </c>
      <c r="E204" s="18" t="s">
        <v>127</v>
      </c>
    </row>
    <row r="205" spans="1:5" x14ac:dyDescent="0.4">
      <c r="A205" s="82">
        <v>45742</v>
      </c>
      <c r="B205" s="93" t="s">
        <v>76</v>
      </c>
      <c r="C205" s="43" t="s">
        <v>121</v>
      </c>
      <c r="D205" s="43">
        <v>-10</v>
      </c>
      <c r="E205" s="18" t="s">
        <v>127</v>
      </c>
    </row>
    <row r="206" spans="1:5" x14ac:dyDescent="0.4">
      <c r="A206" s="82">
        <v>45742</v>
      </c>
      <c r="B206" s="93" t="s">
        <v>76</v>
      </c>
      <c r="C206" s="43" t="s">
        <v>121</v>
      </c>
      <c r="D206" s="43">
        <v>-25</v>
      </c>
      <c r="E206" s="18" t="s">
        <v>127</v>
      </c>
    </row>
    <row r="208" spans="1:5" x14ac:dyDescent="0.4">
      <c r="A208" s="82">
        <v>45743</v>
      </c>
      <c r="B208" s="93" t="s">
        <v>76</v>
      </c>
      <c r="C208" s="43" t="s">
        <v>121</v>
      </c>
      <c r="D208" s="43">
        <v>-9</v>
      </c>
      <c r="E208" s="18" t="s">
        <v>127</v>
      </c>
    </row>
    <row r="209" spans="1:5" x14ac:dyDescent="0.4">
      <c r="A209" s="82">
        <v>45743</v>
      </c>
      <c r="B209" s="94" t="s">
        <v>274</v>
      </c>
      <c r="C209" s="43" t="s">
        <v>121</v>
      </c>
      <c r="D209" s="43">
        <v>-5</v>
      </c>
      <c r="E209" s="18" t="s">
        <v>127</v>
      </c>
    </row>
    <row r="210" spans="1:5" x14ac:dyDescent="0.4">
      <c r="A210" s="82">
        <v>45743</v>
      </c>
      <c r="B210" s="93" t="s">
        <v>78</v>
      </c>
      <c r="C210" s="43" t="s">
        <v>121</v>
      </c>
      <c r="D210" s="43">
        <v>-20</v>
      </c>
      <c r="E210" s="18" t="s">
        <v>127</v>
      </c>
    </row>
    <row r="211" spans="1:5" x14ac:dyDescent="0.4">
      <c r="A211" s="82">
        <v>45743</v>
      </c>
      <c r="B211" s="93" t="s">
        <v>76</v>
      </c>
      <c r="C211" s="43" t="s">
        <v>121</v>
      </c>
      <c r="D211" s="43">
        <v>-4</v>
      </c>
      <c r="E211" s="18" t="s">
        <v>127</v>
      </c>
    </row>
    <row r="212" spans="1:5" x14ac:dyDescent="0.4">
      <c r="A212" s="82">
        <v>45743</v>
      </c>
      <c r="B212" s="93" t="s">
        <v>78</v>
      </c>
      <c r="C212" s="43" t="s">
        <v>121</v>
      </c>
      <c r="D212" s="43">
        <v>-60</v>
      </c>
      <c r="E212" s="18" t="s">
        <v>127</v>
      </c>
    </row>
    <row r="214" spans="1:5" x14ac:dyDescent="0.4">
      <c r="A214" s="82">
        <v>45744</v>
      </c>
      <c r="B214" s="93" t="s">
        <v>76</v>
      </c>
      <c r="C214" s="43" t="s">
        <v>121</v>
      </c>
      <c r="D214" s="43">
        <v>-4</v>
      </c>
      <c r="E214" s="18" t="s">
        <v>127</v>
      </c>
    </row>
    <row r="216" spans="1:5" x14ac:dyDescent="0.4">
      <c r="A216" s="82">
        <v>45744</v>
      </c>
      <c r="B216" s="93" t="s">
        <v>78</v>
      </c>
      <c r="C216" s="43" t="s">
        <v>275</v>
      </c>
      <c r="D216" s="43">
        <v>79</v>
      </c>
      <c r="E216" s="18" t="s">
        <v>127</v>
      </c>
    </row>
    <row r="218" spans="1:5" x14ac:dyDescent="0.4">
      <c r="A218" s="82">
        <v>45744</v>
      </c>
      <c r="B218" s="93" t="s">
        <v>78</v>
      </c>
      <c r="C218" s="43" t="s">
        <v>121</v>
      </c>
      <c r="D218" s="43">
        <v>-63</v>
      </c>
      <c r="E218" s="18" t="s">
        <v>127</v>
      </c>
    </row>
    <row r="219" spans="1:5" x14ac:dyDescent="0.4">
      <c r="A219" s="82">
        <v>45744</v>
      </c>
      <c r="B219" s="93" t="s">
        <v>78</v>
      </c>
      <c r="C219" s="43" t="s">
        <v>121</v>
      </c>
      <c r="D219" s="43">
        <v>-26</v>
      </c>
      <c r="E219" s="18" t="s">
        <v>127</v>
      </c>
    </row>
    <row r="220" spans="1:5" x14ac:dyDescent="0.4">
      <c r="A220" s="82">
        <v>45744</v>
      </c>
      <c r="B220" s="93" t="s">
        <v>76</v>
      </c>
      <c r="C220" s="43" t="s">
        <v>121</v>
      </c>
      <c r="D220" s="43">
        <v>-3</v>
      </c>
      <c r="E220" s="18" t="s">
        <v>127</v>
      </c>
    </row>
    <row r="221" spans="1:5" x14ac:dyDescent="0.4">
      <c r="A221" s="82">
        <v>45744</v>
      </c>
      <c r="B221" s="94" t="s">
        <v>202</v>
      </c>
      <c r="C221" s="43" t="s">
        <v>121</v>
      </c>
      <c r="D221" s="43">
        <v>-7</v>
      </c>
      <c r="E221" s="18" t="s">
        <v>127</v>
      </c>
    </row>
    <row r="222" spans="1:5" x14ac:dyDescent="0.4">
      <c r="A222" s="82">
        <v>45744</v>
      </c>
      <c r="B222" s="94" t="s">
        <v>126</v>
      </c>
      <c r="C222" s="43" t="s">
        <v>121</v>
      </c>
      <c r="D222" s="43">
        <v>-1</v>
      </c>
      <c r="E222" s="18" t="s">
        <v>127</v>
      </c>
    </row>
    <row r="223" spans="1:5" x14ac:dyDescent="0.4">
      <c r="A223" s="82">
        <v>45744</v>
      </c>
      <c r="B223" s="94" t="s">
        <v>122</v>
      </c>
      <c r="C223" s="43" t="s">
        <v>121</v>
      </c>
      <c r="D223" s="43">
        <v>-1</v>
      </c>
      <c r="E223" s="18" t="s">
        <v>127</v>
      </c>
    </row>
    <row r="225" spans="1:5" x14ac:dyDescent="0.4">
      <c r="A225" s="82">
        <v>45744</v>
      </c>
      <c r="B225" s="94" t="s">
        <v>274</v>
      </c>
      <c r="C225" s="43" t="s">
        <v>275</v>
      </c>
      <c r="D225" s="43">
        <v>174</v>
      </c>
      <c r="E225" s="18" t="s">
        <v>127</v>
      </c>
    </row>
    <row r="227" spans="1:5" x14ac:dyDescent="0.4">
      <c r="A227" s="82">
        <v>45744</v>
      </c>
      <c r="B227" s="94" t="s">
        <v>274</v>
      </c>
      <c r="C227" s="43" t="s">
        <v>121</v>
      </c>
      <c r="D227" s="43">
        <v>-269</v>
      </c>
      <c r="E227" s="18" t="s">
        <v>127</v>
      </c>
    </row>
    <row r="228" spans="1:5" x14ac:dyDescent="0.4">
      <c r="A228" s="82">
        <v>45744</v>
      </c>
      <c r="B228" s="94" t="s">
        <v>86</v>
      </c>
      <c r="C228" s="43" t="s">
        <v>121</v>
      </c>
      <c r="D228" s="43">
        <v>-3</v>
      </c>
      <c r="E228" s="18" t="s">
        <v>127</v>
      </c>
    </row>
    <row r="230" spans="1:5" x14ac:dyDescent="0.4">
      <c r="A230" s="82">
        <v>45744</v>
      </c>
      <c r="B230" s="93" t="s">
        <v>84</v>
      </c>
      <c r="C230" s="43" t="s">
        <v>49</v>
      </c>
      <c r="D230" s="43">
        <v>1</v>
      </c>
      <c r="E230" s="18" t="s">
        <v>127</v>
      </c>
    </row>
    <row r="231" spans="1:5" x14ac:dyDescent="0.4">
      <c r="A231" s="82">
        <v>45744</v>
      </c>
      <c r="B231" s="94" t="s">
        <v>266</v>
      </c>
      <c r="C231" s="43" t="s">
        <v>49</v>
      </c>
      <c r="D231" s="43">
        <v>6</v>
      </c>
      <c r="E231" s="18" t="s">
        <v>127</v>
      </c>
    </row>
    <row r="232" spans="1:5" x14ac:dyDescent="0.4">
      <c r="A232" s="82">
        <v>45744</v>
      </c>
      <c r="B232" s="85" t="s">
        <v>136</v>
      </c>
      <c r="C232" s="43" t="s">
        <v>49</v>
      </c>
      <c r="D232" s="43">
        <v>2</v>
      </c>
      <c r="E232" s="18" t="s">
        <v>127</v>
      </c>
    </row>
    <row r="233" spans="1:5" x14ac:dyDescent="0.4">
      <c r="A233" s="82">
        <v>45744</v>
      </c>
      <c r="B233" s="94" t="s">
        <v>266</v>
      </c>
      <c r="C233" s="43" t="s">
        <v>49</v>
      </c>
      <c r="D233" s="43">
        <v>10</v>
      </c>
      <c r="E233" s="18" t="s">
        <v>127</v>
      </c>
    </row>
    <row r="234" spans="1:5" x14ac:dyDescent="0.4">
      <c r="A234" s="82">
        <v>45744</v>
      </c>
      <c r="B234" s="94" t="s">
        <v>302</v>
      </c>
      <c r="C234" s="43" t="s">
        <v>49</v>
      </c>
      <c r="D234" s="43">
        <v>2</v>
      </c>
      <c r="E234" s="18" t="s">
        <v>127</v>
      </c>
    </row>
    <row r="235" spans="1:5" x14ac:dyDescent="0.4">
      <c r="A235" s="82">
        <v>45744</v>
      </c>
      <c r="B235" s="94" t="s">
        <v>266</v>
      </c>
      <c r="C235" s="43" t="s">
        <v>49</v>
      </c>
      <c r="D235" s="43">
        <v>2</v>
      </c>
      <c r="E235" s="18" t="s">
        <v>127</v>
      </c>
    </row>
    <row r="236" spans="1:5" x14ac:dyDescent="0.4">
      <c r="A236" s="82">
        <v>45744</v>
      </c>
      <c r="B236" s="94" t="s">
        <v>302</v>
      </c>
      <c r="C236" s="43" t="s">
        <v>49</v>
      </c>
      <c r="D236" s="43">
        <v>1</v>
      </c>
      <c r="E236" s="18" t="s">
        <v>127</v>
      </c>
    </row>
    <row r="237" spans="1:5" x14ac:dyDescent="0.4">
      <c r="A237" s="82">
        <v>45744</v>
      </c>
      <c r="B237" s="94" t="s">
        <v>123</v>
      </c>
      <c r="C237" s="43" t="s">
        <v>49</v>
      </c>
      <c r="D237" s="43">
        <v>2</v>
      </c>
      <c r="E237" s="18" t="s">
        <v>127</v>
      </c>
    </row>
    <row r="238" spans="1:5" x14ac:dyDescent="0.4">
      <c r="A238" s="82">
        <v>45744</v>
      </c>
      <c r="B238" s="94" t="s">
        <v>303</v>
      </c>
      <c r="C238" s="43" t="s">
        <v>49</v>
      </c>
      <c r="D238" s="43">
        <v>6</v>
      </c>
      <c r="E238" s="18" t="s">
        <v>127</v>
      </c>
    </row>
    <row r="239" spans="1:5" x14ac:dyDescent="0.4">
      <c r="A239" s="82">
        <v>45744</v>
      </c>
      <c r="B239" s="94" t="s">
        <v>304</v>
      </c>
      <c r="C239" s="43" t="s">
        <v>49</v>
      </c>
      <c r="D239" s="43">
        <v>2</v>
      </c>
      <c r="E239" s="18" t="s">
        <v>127</v>
      </c>
    </row>
    <row r="240" spans="1:5" x14ac:dyDescent="0.4">
      <c r="A240" s="82">
        <v>45744</v>
      </c>
      <c r="B240" s="94" t="s">
        <v>123</v>
      </c>
      <c r="C240" s="43" t="s">
        <v>49</v>
      </c>
      <c r="D240" s="43">
        <v>4</v>
      </c>
      <c r="E240" s="18" t="s">
        <v>127</v>
      </c>
    </row>
    <row r="241" spans="1:5" x14ac:dyDescent="0.4">
      <c r="A241" s="82">
        <v>45744</v>
      </c>
      <c r="B241" s="94" t="s">
        <v>303</v>
      </c>
      <c r="C241" s="43" t="s">
        <v>49</v>
      </c>
      <c r="D241" s="43">
        <v>3</v>
      </c>
      <c r="E241" s="18" t="s">
        <v>127</v>
      </c>
    </row>
    <row r="242" spans="1:5" x14ac:dyDescent="0.4">
      <c r="A242" s="82">
        <v>45744</v>
      </c>
      <c r="B242" s="85" t="s">
        <v>136</v>
      </c>
      <c r="C242" s="43" t="s">
        <v>317</v>
      </c>
      <c r="D242" s="33">
        <v>-1</v>
      </c>
      <c r="E242" s="18" t="s">
        <v>127</v>
      </c>
    </row>
    <row r="243" spans="1:5" x14ac:dyDescent="0.4">
      <c r="A243" s="82">
        <v>45745</v>
      </c>
      <c r="B243" s="94" t="s">
        <v>266</v>
      </c>
      <c r="C243" s="43" t="s">
        <v>49</v>
      </c>
      <c r="D243" s="43">
        <v>2</v>
      </c>
      <c r="E243" s="18" t="s">
        <v>127</v>
      </c>
    </row>
    <row r="244" spans="1:5" x14ac:dyDescent="0.4">
      <c r="A244" s="82">
        <v>45745</v>
      </c>
      <c r="B244" s="94" t="s">
        <v>302</v>
      </c>
      <c r="C244" s="43" t="s">
        <v>49</v>
      </c>
      <c r="D244" s="43">
        <v>2</v>
      </c>
      <c r="E244" s="18" t="s">
        <v>127</v>
      </c>
    </row>
    <row r="245" spans="1:5" x14ac:dyDescent="0.4">
      <c r="A245" s="82">
        <v>45745</v>
      </c>
      <c r="B245" s="93" t="s">
        <v>84</v>
      </c>
      <c r="C245" s="43" t="s">
        <v>49</v>
      </c>
      <c r="D245" s="43">
        <v>1</v>
      </c>
      <c r="E245" s="18" t="s">
        <v>127</v>
      </c>
    </row>
    <row r="247" spans="1:5" x14ac:dyDescent="0.4">
      <c r="A247" s="82">
        <v>45745</v>
      </c>
      <c r="B247" s="93" t="s">
        <v>76</v>
      </c>
      <c r="C247" s="43" t="s">
        <v>121</v>
      </c>
      <c r="D247" s="43">
        <v>-5</v>
      </c>
      <c r="E247" s="18" t="s">
        <v>127</v>
      </c>
    </row>
    <row r="249" spans="1:5" x14ac:dyDescent="0.4">
      <c r="A249" s="82">
        <v>45747</v>
      </c>
      <c r="B249" s="94" t="s">
        <v>266</v>
      </c>
      <c r="C249" s="43" t="s">
        <v>49</v>
      </c>
      <c r="D249" s="43">
        <v>2</v>
      </c>
      <c r="E249" s="18"/>
    </row>
    <row r="250" spans="1:5" x14ac:dyDescent="0.4">
      <c r="A250" s="82">
        <v>45747</v>
      </c>
      <c r="B250" s="94" t="s">
        <v>334</v>
      </c>
      <c r="C250" s="43" t="s">
        <v>49</v>
      </c>
      <c r="D250" s="43">
        <v>4</v>
      </c>
      <c r="E250" s="18"/>
    </row>
    <row r="251" spans="1:5" x14ac:dyDescent="0.4">
      <c r="A251" s="82">
        <v>45747</v>
      </c>
      <c r="B251" s="94" t="s">
        <v>123</v>
      </c>
      <c r="C251" s="43" t="s">
        <v>49</v>
      </c>
      <c r="D251" s="43">
        <v>10</v>
      </c>
      <c r="E251" s="18"/>
    </row>
    <row r="252" spans="1:5" x14ac:dyDescent="0.4">
      <c r="A252" s="82">
        <v>45747</v>
      </c>
      <c r="B252" s="94" t="s">
        <v>303</v>
      </c>
      <c r="C252" s="43" t="s">
        <v>49</v>
      </c>
      <c r="D252" s="43">
        <v>10</v>
      </c>
      <c r="E252" s="18"/>
    </row>
    <row r="257" spans="1:5" x14ac:dyDescent="0.4">
      <c r="A257" s="82"/>
      <c r="B257" s="93"/>
      <c r="C257" s="43"/>
      <c r="D257" s="43"/>
      <c r="E257" s="18"/>
    </row>
    <row r="258" spans="1:5" x14ac:dyDescent="0.4">
      <c r="A258" s="82">
        <v>45749</v>
      </c>
      <c r="B258" s="94" t="s">
        <v>334</v>
      </c>
      <c r="C258" s="43" t="s">
        <v>49</v>
      </c>
      <c r="D258" s="43">
        <v>4</v>
      </c>
      <c r="E258" s="18" t="s">
        <v>127</v>
      </c>
    </row>
    <row r="259" spans="1:5" x14ac:dyDescent="0.4">
      <c r="A259" s="82">
        <v>45749</v>
      </c>
      <c r="B259" s="94" t="s">
        <v>266</v>
      </c>
      <c r="C259" s="43" t="s">
        <v>49</v>
      </c>
      <c r="D259" s="43">
        <v>11</v>
      </c>
      <c r="E259" s="18" t="s">
        <v>127</v>
      </c>
    </row>
    <row r="260" spans="1:5" x14ac:dyDescent="0.4">
      <c r="A260" s="82">
        <v>45749</v>
      </c>
      <c r="B260" s="94" t="s">
        <v>202</v>
      </c>
      <c r="C260" s="43" t="s">
        <v>49</v>
      </c>
      <c r="D260" s="43">
        <v>8</v>
      </c>
      <c r="E260" s="18" t="s">
        <v>127</v>
      </c>
    </row>
    <row r="261" spans="1:5" x14ac:dyDescent="0.4">
      <c r="A261" s="82">
        <v>45749</v>
      </c>
      <c r="B261" s="93" t="s">
        <v>84</v>
      </c>
      <c r="C261" s="43" t="s">
        <v>49</v>
      </c>
      <c r="D261" s="43">
        <v>1</v>
      </c>
      <c r="E261" s="18" t="s">
        <v>127</v>
      </c>
    </row>
    <row r="262" spans="1:5" x14ac:dyDescent="0.4">
      <c r="A262" s="82">
        <v>45749</v>
      </c>
      <c r="B262" s="85" t="s">
        <v>133</v>
      </c>
      <c r="C262" s="43" t="s">
        <v>49</v>
      </c>
      <c r="D262" s="43">
        <v>1</v>
      </c>
      <c r="E262" s="18" t="s">
        <v>127</v>
      </c>
    </row>
    <row r="263" spans="1:5" x14ac:dyDescent="0.4">
      <c r="A263" s="82">
        <v>45749</v>
      </c>
      <c r="B263" s="94" t="s">
        <v>337</v>
      </c>
      <c r="C263" s="43" t="s">
        <v>49</v>
      </c>
      <c r="D263" s="43">
        <v>1</v>
      </c>
      <c r="E263" s="18" t="s">
        <v>127</v>
      </c>
    </row>
    <row r="265" spans="1:5" x14ac:dyDescent="0.4">
      <c r="A265" s="82">
        <v>45750</v>
      </c>
      <c r="B265" s="93" t="s">
        <v>84</v>
      </c>
      <c r="C265" s="43" t="s">
        <v>348</v>
      </c>
      <c r="D265" s="43">
        <v>10</v>
      </c>
      <c r="E265" s="18" t="s">
        <v>127</v>
      </c>
    </row>
    <row r="266" spans="1:5" x14ac:dyDescent="0.4">
      <c r="A266" s="82">
        <v>45750</v>
      </c>
      <c r="B266" s="85" t="s">
        <v>133</v>
      </c>
      <c r="C266" s="43" t="s">
        <v>49</v>
      </c>
      <c r="D266" s="43">
        <v>1</v>
      </c>
      <c r="E266" s="18" t="s">
        <v>127</v>
      </c>
    </row>
    <row r="267" spans="1:5" x14ac:dyDescent="0.4">
      <c r="A267" s="82">
        <v>45750</v>
      </c>
      <c r="B267" s="93" t="s">
        <v>84</v>
      </c>
      <c r="C267" s="43" t="s">
        <v>49</v>
      </c>
      <c r="D267" s="43">
        <v>1</v>
      </c>
      <c r="E267" s="18" t="s">
        <v>127</v>
      </c>
    </row>
    <row r="269" spans="1:5" x14ac:dyDescent="0.4">
      <c r="A269" s="82">
        <v>45751</v>
      </c>
      <c r="B269" s="94" t="s">
        <v>303</v>
      </c>
      <c r="C269" s="43" t="s">
        <v>49</v>
      </c>
      <c r="D269" s="43">
        <v>6</v>
      </c>
      <c r="E269" s="18" t="s">
        <v>127</v>
      </c>
    </row>
    <row r="270" spans="1:5" x14ac:dyDescent="0.4">
      <c r="A270" s="82">
        <v>45751</v>
      </c>
      <c r="B270" s="94" t="s">
        <v>302</v>
      </c>
      <c r="C270" s="43" t="s">
        <v>49</v>
      </c>
      <c r="D270" s="43">
        <v>1</v>
      </c>
      <c r="E270" s="18" t="s">
        <v>127</v>
      </c>
    </row>
    <row r="271" spans="1:5" x14ac:dyDescent="0.4">
      <c r="A271" s="82">
        <v>45751</v>
      </c>
      <c r="B271" s="94" t="s">
        <v>266</v>
      </c>
      <c r="C271" s="43" t="s">
        <v>49</v>
      </c>
      <c r="D271" s="43">
        <v>1</v>
      </c>
      <c r="E271" s="18" t="s">
        <v>127</v>
      </c>
    </row>
    <row r="272" spans="1:5" x14ac:dyDescent="0.4">
      <c r="A272" s="82"/>
    </row>
    <row r="273" spans="1:6" x14ac:dyDescent="0.4">
      <c r="A273" s="82">
        <v>45752</v>
      </c>
      <c r="B273" s="94" t="s">
        <v>266</v>
      </c>
      <c r="C273" s="43" t="s">
        <v>49</v>
      </c>
      <c r="D273" s="43">
        <v>1</v>
      </c>
      <c r="E273" s="18" t="s">
        <v>127</v>
      </c>
    </row>
    <row r="274" spans="1:6" x14ac:dyDescent="0.4">
      <c r="A274" s="82">
        <v>45752</v>
      </c>
      <c r="B274" s="191" t="s">
        <v>381</v>
      </c>
      <c r="C274" s="43" t="s">
        <v>49</v>
      </c>
      <c r="D274" s="43">
        <v>1</v>
      </c>
      <c r="E274" s="18" t="s">
        <v>127</v>
      </c>
    </row>
    <row r="275" spans="1:6" x14ac:dyDescent="0.4">
      <c r="A275" s="82">
        <v>45752</v>
      </c>
      <c r="B275" s="94" t="s">
        <v>380</v>
      </c>
      <c r="C275" s="43" t="s">
        <v>49</v>
      </c>
      <c r="D275" s="43">
        <v>1</v>
      </c>
      <c r="E275" s="18" t="s">
        <v>127</v>
      </c>
    </row>
    <row r="276" spans="1:6" x14ac:dyDescent="0.4">
      <c r="A276" s="82">
        <v>45752</v>
      </c>
      <c r="B276" s="94" t="s">
        <v>382</v>
      </c>
      <c r="C276" s="43" t="s">
        <v>49</v>
      </c>
      <c r="D276" s="33">
        <v>7</v>
      </c>
      <c r="E276" s="18" t="s">
        <v>127</v>
      </c>
    </row>
    <row r="277" spans="1:6" x14ac:dyDescent="0.4">
      <c r="A277" s="82"/>
      <c r="B277" s="94"/>
      <c r="C277" s="43"/>
      <c r="D277" s="43"/>
      <c r="E277" s="18"/>
    </row>
    <row r="278" spans="1:6" x14ac:dyDescent="0.4">
      <c r="A278" s="82">
        <v>45752</v>
      </c>
      <c r="B278" s="94" t="s">
        <v>266</v>
      </c>
      <c r="C278" s="43" t="s">
        <v>49</v>
      </c>
      <c r="D278" s="43">
        <v>6</v>
      </c>
      <c r="E278" s="18" t="s">
        <v>127</v>
      </c>
      <c r="F278" t="s">
        <v>422</v>
      </c>
    </row>
    <row r="280" spans="1:6" x14ac:dyDescent="0.4">
      <c r="A280" s="82">
        <v>45754</v>
      </c>
      <c r="B280" s="93" t="s">
        <v>84</v>
      </c>
      <c r="C280" s="43" t="s">
        <v>144</v>
      </c>
      <c r="D280" s="43">
        <v>10</v>
      </c>
      <c r="E280" s="18" t="s">
        <v>127</v>
      </c>
    </row>
    <row r="282" spans="1:6" x14ac:dyDescent="0.4">
      <c r="A282" s="212">
        <v>45755</v>
      </c>
      <c r="B282" s="361" t="s">
        <v>266</v>
      </c>
      <c r="C282" s="213" t="s">
        <v>49</v>
      </c>
      <c r="D282" s="213"/>
      <c r="E282" s="209" t="s">
        <v>383</v>
      </c>
      <c r="F282" t="s">
        <v>388</v>
      </c>
    </row>
    <row r="284" spans="1:6" x14ac:dyDescent="0.4">
      <c r="A284" s="82">
        <v>45755</v>
      </c>
      <c r="B284" s="93" t="s">
        <v>84</v>
      </c>
      <c r="C284" s="43" t="s">
        <v>121</v>
      </c>
      <c r="D284" s="43">
        <v>-10</v>
      </c>
      <c r="E284" s="18" t="s">
        <v>127</v>
      </c>
    </row>
    <row r="285" spans="1:6" x14ac:dyDescent="0.4">
      <c r="A285" s="82">
        <v>45755</v>
      </c>
      <c r="B285" s="94" t="s">
        <v>86</v>
      </c>
      <c r="C285" s="43" t="s">
        <v>121</v>
      </c>
      <c r="D285" s="43">
        <v>-2</v>
      </c>
      <c r="E285" s="18" t="s">
        <v>127</v>
      </c>
    </row>
    <row r="287" spans="1:6" x14ac:dyDescent="0.4">
      <c r="A287" s="82">
        <v>45756</v>
      </c>
      <c r="B287" s="93" t="s">
        <v>76</v>
      </c>
      <c r="C287" s="43" t="s">
        <v>121</v>
      </c>
      <c r="D287" s="43">
        <v>-50</v>
      </c>
      <c r="E287" s="18" t="s">
        <v>127</v>
      </c>
    </row>
    <row r="288" spans="1:6" x14ac:dyDescent="0.4">
      <c r="A288" s="82">
        <v>45756</v>
      </c>
      <c r="B288" s="94" t="s">
        <v>303</v>
      </c>
      <c r="C288" s="43" t="s">
        <v>121</v>
      </c>
      <c r="D288" s="43">
        <v>-15</v>
      </c>
      <c r="E288" s="18" t="s">
        <v>127</v>
      </c>
    </row>
    <row r="289" spans="1:6" x14ac:dyDescent="0.4">
      <c r="A289" s="82">
        <v>45756</v>
      </c>
      <c r="B289" s="94" t="s">
        <v>202</v>
      </c>
      <c r="C289" s="43" t="s">
        <v>121</v>
      </c>
      <c r="D289" s="43">
        <v>-23</v>
      </c>
      <c r="E289" s="18" t="s">
        <v>127</v>
      </c>
    </row>
    <row r="290" spans="1:6" x14ac:dyDescent="0.4">
      <c r="A290" s="82">
        <v>45756</v>
      </c>
      <c r="B290" s="94" t="s">
        <v>126</v>
      </c>
      <c r="C290" s="43" t="s">
        <v>121</v>
      </c>
      <c r="D290" s="43">
        <v>-1</v>
      </c>
      <c r="E290" s="18" t="s">
        <v>127</v>
      </c>
    </row>
    <row r="291" spans="1:6" x14ac:dyDescent="0.4">
      <c r="A291" s="82">
        <v>45756</v>
      </c>
      <c r="B291" s="94" t="s">
        <v>122</v>
      </c>
      <c r="C291" s="43" t="s">
        <v>121</v>
      </c>
      <c r="D291" s="43">
        <v>-1</v>
      </c>
      <c r="E291" s="18" t="s">
        <v>127</v>
      </c>
    </row>
    <row r="292" spans="1:6" x14ac:dyDescent="0.4">
      <c r="A292" s="82">
        <v>45756</v>
      </c>
      <c r="B292" s="94" t="s">
        <v>123</v>
      </c>
      <c r="C292" s="43" t="s">
        <v>121</v>
      </c>
      <c r="D292" s="43">
        <v>-7</v>
      </c>
      <c r="E292" s="18" t="s">
        <v>127</v>
      </c>
    </row>
    <row r="293" spans="1:6" x14ac:dyDescent="0.4">
      <c r="A293" s="82">
        <v>45756</v>
      </c>
      <c r="B293" s="93" t="s">
        <v>82</v>
      </c>
      <c r="C293" s="43" t="s">
        <v>121</v>
      </c>
      <c r="D293" s="43">
        <v>-100</v>
      </c>
      <c r="E293" s="18" t="s">
        <v>127</v>
      </c>
    </row>
    <row r="294" spans="1:6" x14ac:dyDescent="0.4">
      <c r="A294" s="82">
        <v>45756</v>
      </c>
      <c r="B294" s="94" t="s">
        <v>87</v>
      </c>
      <c r="C294" s="43" t="s">
        <v>121</v>
      </c>
      <c r="D294" s="43">
        <v>-4</v>
      </c>
      <c r="E294" s="18" t="s">
        <v>127</v>
      </c>
    </row>
    <row r="295" spans="1:6" x14ac:dyDescent="0.4">
      <c r="A295" s="82">
        <v>45756</v>
      </c>
      <c r="B295" s="94" t="s">
        <v>266</v>
      </c>
      <c r="C295" s="43" t="s">
        <v>121</v>
      </c>
      <c r="D295" s="43">
        <v>-6</v>
      </c>
      <c r="E295" s="18" t="s">
        <v>127</v>
      </c>
    </row>
    <row r="296" spans="1:6" x14ac:dyDescent="0.4">
      <c r="A296" s="82">
        <v>45756</v>
      </c>
      <c r="B296" s="93" t="s">
        <v>84</v>
      </c>
      <c r="C296" s="43" t="s">
        <v>121</v>
      </c>
      <c r="D296" s="43">
        <v>-45</v>
      </c>
      <c r="E296" s="18" t="s">
        <v>127</v>
      </c>
    </row>
    <row r="297" spans="1:6" x14ac:dyDescent="0.4">
      <c r="A297" s="82">
        <v>45756</v>
      </c>
      <c r="B297" s="85" t="s">
        <v>133</v>
      </c>
      <c r="C297" s="43" t="s">
        <v>121</v>
      </c>
      <c r="D297" s="43">
        <v>-2</v>
      </c>
      <c r="E297" s="18" t="s">
        <v>127</v>
      </c>
    </row>
    <row r="298" spans="1:6" x14ac:dyDescent="0.4">
      <c r="A298" s="82">
        <v>45756</v>
      </c>
      <c r="B298" s="94" t="s">
        <v>382</v>
      </c>
      <c r="C298" s="43" t="s">
        <v>121</v>
      </c>
      <c r="D298" s="43"/>
      <c r="E298" s="18" t="s">
        <v>127</v>
      </c>
      <c r="F298" t="s">
        <v>254</v>
      </c>
    </row>
    <row r="299" spans="1:6" x14ac:dyDescent="0.4">
      <c r="A299" s="82">
        <v>45756</v>
      </c>
      <c r="B299" s="191" t="s">
        <v>381</v>
      </c>
      <c r="C299" s="43" t="s">
        <v>121</v>
      </c>
      <c r="D299" s="43">
        <v>-1</v>
      </c>
      <c r="E299" s="18" t="s">
        <v>127</v>
      </c>
    </row>
    <row r="300" spans="1:6" x14ac:dyDescent="0.4">
      <c r="A300" s="82">
        <v>45756</v>
      </c>
      <c r="B300" s="94" t="s">
        <v>302</v>
      </c>
      <c r="C300" s="43" t="s">
        <v>121</v>
      </c>
      <c r="D300" s="43">
        <v>-2</v>
      </c>
      <c r="E300" s="18" t="s">
        <v>127</v>
      </c>
    </row>
    <row r="301" spans="1:6" x14ac:dyDescent="0.4">
      <c r="A301" s="82">
        <v>45756</v>
      </c>
      <c r="B301" s="94" t="s">
        <v>302</v>
      </c>
      <c r="C301" s="43" t="s">
        <v>121</v>
      </c>
      <c r="D301" s="43">
        <v>-1</v>
      </c>
      <c r="E301" s="18" t="s">
        <v>127</v>
      </c>
    </row>
    <row r="302" spans="1:6" x14ac:dyDescent="0.4">
      <c r="A302" s="82">
        <v>45756</v>
      </c>
      <c r="B302" s="93" t="s">
        <v>76</v>
      </c>
      <c r="C302" s="43" t="s">
        <v>121</v>
      </c>
      <c r="D302" s="43">
        <v>-25</v>
      </c>
      <c r="E302" s="18" t="s">
        <v>127</v>
      </c>
    </row>
    <row r="303" spans="1:6" x14ac:dyDescent="0.4">
      <c r="A303" s="82">
        <v>45756</v>
      </c>
      <c r="B303" s="93" t="s">
        <v>76</v>
      </c>
      <c r="C303" s="43" t="s">
        <v>121</v>
      </c>
      <c r="D303" s="43">
        <v>-4</v>
      </c>
      <c r="E303" s="18" t="s">
        <v>127</v>
      </c>
    </row>
    <row r="304" spans="1:6" x14ac:dyDescent="0.4">
      <c r="A304" s="82">
        <v>45756</v>
      </c>
      <c r="B304" s="94" t="s">
        <v>266</v>
      </c>
      <c r="C304" s="43" t="s">
        <v>121</v>
      </c>
      <c r="D304" s="43">
        <v>-1</v>
      </c>
      <c r="E304" s="18" t="s">
        <v>127</v>
      </c>
    </row>
    <row r="306" spans="1:6" x14ac:dyDescent="0.4">
      <c r="A306" s="82">
        <v>45757</v>
      </c>
      <c r="B306" s="94" t="s">
        <v>266</v>
      </c>
      <c r="C306" s="43" t="s">
        <v>121</v>
      </c>
      <c r="D306" s="43">
        <v>-4</v>
      </c>
      <c r="E306" s="18" t="s">
        <v>127</v>
      </c>
    </row>
    <row r="307" spans="1:6" x14ac:dyDescent="0.4">
      <c r="A307" s="82">
        <v>45757</v>
      </c>
      <c r="B307" s="94" t="s">
        <v>266</v>
      </c>
      <c r="C307" s="43" t="s">
        <v>121</v>
      </c>
      <c r="D307" s="43">
        <v>-2</v>
      </c>
      <c r="E307" s="18" t="s">
        <v>127</v>
      </c>
    </row>
    <row r="308" spans="1:6" x14ac:dyDescent="0.4">
      <c r="A308" s="82">
        <v>45757</v>
      </c>
      <c r="B308" s="94" t="s">
        <v>302</v>
      </c>
      <c r="C308" s="43" t="s">
        <v>121</v>
      </c>
      <c r="D308" s="43">
        <v>-2</v>
      </c>
      <c r="E308" s="18" t="s">
        <v>127</v>
      </c>
    </row>
    <row r="309" spans="1:6" x14ac:dyDescent="0.4">
      <c r="A309" s="82">
        <v>45757</v>
      </c>
      <c r="B309" s="93" t="s">
        <v>76</v>
      </c>
      <c r="C309" s="43" t="s">
        <v>121</v>
      </c>
      <c r="D309" s="43">
        <v>-10</v>
      </c>
      <c r="E309" s="18" t="s">
        <v>127</v>
      </c>
    </row>
    <row r="310" spans="1:6" x14ac:dyDescent="0.4">
      <c r="A310" s="82">
        <v>45757</v>
      </c>
      <c r="B310" s="85" t="s">
        <v>136</v>
      </c>
      <c r="C310" s="43" t="s">
        <v>121</v>
      </c>
      <c r="D310" s="43">
        <v>-2</v>
      </c>
      <c r="E310" s="18" t="s">
        <v>127</v>
      </c>
    </row>
    <row r="312" spans="1:6" x14ac:dyDescent="0.4">
      <c r="A312" s="243">
        <v>45758</v>
      </c>
      <c r="B312" s="244" t="s">
        <v>390</v>
      </c>
      <c r="C312" s="245" t="s">
        <v>144</v>
      </c>
      <c r="D312" s="245">
        <v>37</v>
      </c>
      <c r="E312" s="246" t="s">
        <v>127</v>
      </c>
    </row>
    <row r="313" spans="1:6" x14ac:dyDescent="0.4">
      <c r="A313" s="243">
        <v>45758</v>
      </c>
      <c r="B313" s="247" t="s">
        <v>133</v>
      </c>
      <c r="C313" s="245" t="s">
        <v>401</v>
      </c>
      <c r="D313" s="245">
        <v>9</v>
      </c>
      <c r="E313" s="246" t="s">
        <v>127</v>
      </c>
    </row>
    <row r="314" spans="1:6" x14ac:dyDescent="0.4">
      <c r="A314" s="243">
        <v>45758</v>
      </c>
      <c r="B314" s="244" t="s">
        <v>397</v>
      </c>
      <c r="C314" s="245" t="s">
        <v>401</v>
      </c>
      <c r="D314" s="245">
        <v>18</v>
      </c>
      <c r="E314" s="246" t="s">
        <v>127</v>
      </c>
    </row>
    <row r="315" spans="1:6" x14ac:dyDescent="0.4">
      <c r="A315" s="243">
        <v>45758</v>
      </c>
      <c r="B315" s="244" t="s">
        <v>398</v>
      </c>
      <c r="C315" s="245" t="s">
        <v>401</v>
      </c>
      <c r="D315" s="245">
        <v>1</v>
      </c>
      <c r="E315" s="246" t="s">
        <v>402</v>
      </c>
    </row>
    <row r="316" spans="1:6" x14ac:dyDescent="0.4">
      <c r="A316" s="243">
        <v>45758</v>
      </c>
      <c r="B316" s="244" t="s">
        <v>399</v>
      </c>
      <c r="C316" s="245" t="s">
        <v>401</v>
      </c>
      <c r="D316" s="245">
        <v>30</v>
      </c>
      <c r="E316" s="246" t="s">
        <v>127</v>
      </c>
    </row>
    <row r="317" spans="1:6" x14ac:dyDescent="0.4">
      <c r="A317" s="243">
        <v>45758</v>
      </c>
      <c r="B317" s="244" t="s">
        <v>400</v>
      </c>
      <c r="C317" s="245" t="s">
        <v>401</v>
      </c>
      <c r="D317" s="245">
        <v>12</v>
      </c>
      <c r="E317" s="246" t="s">
        <v>127</v>
      </c>
    </row>
    <row r="318" spans="1:6" x14ac:dyDescent="0.4">
      <c r="A318" s="243">
        <v>45758</v>
      </c>
      <c r="B318" s="244" t="s">
        <v>87</v>
      </c>
      <c r="C318" s="245" t="s">
        <v>401</v>
      </c>
      <c r="D318" s="245">
        <v>19</v>
      </c>
      <c r="E318" s="246" t="s">
        <v>127</v>
      </c>
      <c r="F318" t="s">
        <v>451</v>
      </c>
    </row>
    <row r="319" spans="1:6" x14ac:dyDescent="0.4">
      <c r="A319" s="243">
        <v>45758</v>
      </c>
      <c r="B319" s="244" t="s">
        <v>87</v>
      </c>
      <c r="C319" s="245" t="s">
        <v>401</v>
      </c>
      <c r="D319" s="245">
        <v>3</v>
      </c>
      <c r="E319" s="246" t="s">
        <v>127</v>
      </c>
      <c r="F319" t="s">
        <v>452</v>
      </c>
    </row>
    <row r="321" spans="1:6" x14ac:dyDescent="0.4">
      <c r="A321" s="82">
        <v>45758</v>
      </c>
      <c r="B321" s="94" t="s">
        <v>266</v>
      </c>
      <c r="C321" s="43" t="s">
        <v>121</v>
      </c>
      <c r="D321" s="43">
        <v>-6</v>
      </c>
      <c r="E321" s="18" t="s">
        <v>127</v>
      </c>
    </row>
    <row r="322" spans="1:6" x14ac:dyDescent="0.4">
      <c r="A322" s="82">
        <v>45758</v>
      </c>
      <c r="B322" s="93" t="s">
        <v>85</v>
      </c>
      <c r="C322" s="43" t="s">
        <v>121</v>
      </c>
      <c r="D322" s="43">
        <v>-1</v>
      </c>
      <c r="E322" s="18" t="s">
        <v>127</v>
      </c>
    </row>
    <row r="323" spans="1:6" x14ac:dyDescent="0.4">
      <c r="A323" s="82">
        <v>45758</v>
      </c>
      <c r="B323" s="94" t="s">
        <v>380</v>
      </c>
      <c r="C323" s="43" t="s">
        <v>121</v>
      </c>
      <c r="D323" s="43">
        <v>-1</v>
      </c>
      <c r="E323" s="18" t="s">
        <v>127</v>
      </c>
    </row>
    <row r="324" spans="1:6" x14ac:dyDescent="0.4">
      <c r="A324" s="82">
        <v>45758</v>
      </c>
      <c r="B324" s="94" t="s">
        <v>156</v>
      </c>
      <c r="C324" s="43" t="s">
        <v>121</v>
      </c>
      <c r="D324" s="43">
        <v>-2</v>
      </c>
      <c r="E324" s="18" t="s">
        <v>127</v>
      </c>
    </row>
    <row r="325" spans="1:6" x14ac:dyDescent="0.4">
      <c r="A325" s="82">
        <v>45758</v>
      </c>
      <c r="B325" s="94" t="s">
        <v>399</v>
      </c>
      <c r="C325" s="43" t="s">
        <v>121</v>
      </c>
      <c r="D325" s="43">
        <v>-30</v>
      </c>
      <c r="E325" s="18" t="s">
        <v>127</v>
      </c>
    </row>
    <row r="326" spans="1:6" x14ac:dyDescent="0.4">
      <c r="A326" s="82">
        <v>45758</v>
      </c>
      <c r="B326" s="94" t="s">
        <v>390</v>
      </c>
      <c r="C326" s="43" t="s">
        <v>121</v>
      </c>
      <c r="D326" s="43">
        <v>-37</v>
      </c>
      <c r="E326" s="18" t="s">
        <v>127</v>
      </c>
    </row>
    <row r="327" spans="1:6" x14ac:dyDescent="0.4">
      <c r="A327" s="82">
        <v>45758</v>
      </c>
      <c r="B327" s="94" t="s">
        <v>398</v>
      </c>
      <c r="C327" s="43" t="s">
        <v>121</v>
      </c>
      <c r="D327" s="43">
        <v>-1</v>
      </c>
      <c r="E327" s="18" t="s">
        <v>127</v>
      </c>
    </row>
    <row r="329" spans="1:6" x14ac:dyDescent="0.4">
      <c r="A329" s="82">
        <v>45758</v>
      </c>
      <c r="B329" s="93" t="s">
        <v>85</v>
      </c>
      <c r="C329" s="43" t="s">
        <v>254</v>
      </c>
      <c r="D329" s="43">
        <v>2</v>
      </c>
      <c r="E329" s="18" t="s">
        <v>127</v>
      </c>
    </row>
    <row r="330" spans="1:6" x14ac:dyDescent="0.4">
      <c r="A330" s="106"/>
      <c r="B330" s="107"/>
    </row>
    <row r="331" spans="1:6" x14ac:dyDescent="0.4">
      <c r="A331" s="82">
        <v>45758</v>
      </c>
      <c r="B331" s="93" t="s">
        <v>84</v>
      </c>
      <c r="C331" s="43" t="s">
        <v>49</v>
      </c>
      <c r="D331" s="43">
        <v>10</v>
      </c>
      <c r="E331" s="18" t="s">
        <v>127</v>
      </c>
      <c r="F331" t="s">
        <v>424</v>
      </c>
    </row>
    <row r="332" spans="1:6" x14ac:dyDescent="0.4">
      <c r="A332" s="82">
        <v>45758</v>
      </c>
      <c r="B332" s="94" t="s">
        <v>423</v>
      </c>
      <c r="C332" s="43" t="s">
        <v>49</v>
      </c>
      <c r="D332" s="43">
        <v>13</v>
      </c>
      <c r="E332" s="18" t="s">
        <v>127</v>
      </c>
    </row>
    <row r="333" spans="1:6" x14ac:dyDescent="0.4">
      <c r="A333" s="82">
        <v>45758</v>
      </c>
      <c r="B333" s="94" t="s">
        <v>266</v>
      </c>
      <c r="C333" s="43" t="s">
        <v>49</v>
      </c>
      <c r="D333" s="43">
        <v>5</v>
      </c>
      <c r="E333" s="18" t="s">
        <v>127</v>
      </c>
    </row>
    <row r="334" spans="1:6" x14ac:dyDescent="0.4">
      <c r="A334" s="82"/>
      <c r="B334" s="93"/>
      <c r="C334" s="43"/>
      <c r="D334" s="43"/>
      <c r="E334" s="18"/>
    </row>
    <row r="335" spans="1:6" x14ac:dyDescent="0.4">
      <c r="A335" s="106"/>
      <c r="B335" s="107"/>
    </row>
    <row r="336" spans="1:6" x14ac:dyDescent="0.4">
      <c r="A336" s="82">
        <v>45758</v>
      </c>
      <c r="B336" s="85" t="s">
        <v>425</v>
      </c>
      <c r="C336" s="43" t="s">
        <v>49</v>
      </c>
      <c r="D336" s="43">
        <v>1</v>
      </c>
      <c r="E336" s="18" t="s">
        <v>127</v>
      </c>
    </row>
    <row r="337" spans="1:6" x14ac:dyDescent="0.4">
      <c r="A337" s="82">
        <v>45758</v>
      </c>
      <c r="B337" s="93" t="s">
        <v>84</v>
      </c>
      <c r="C337" s="43" t="s">
        <v>49</v>
      </c>
      <c r="D337" s="43">
        <v>2</v>
      </c>
      <c r="E337" s="18" t="s">
        <v>127</v>
      </c>
      <c r="F337" t="s">
        <v>424</v>
      </c>
    </row>
    <row r="338" spans="1:6" s="106" customFormat="1" x14ac:dyDescent="0.4">
      <c r="A338" s="82">
        <v>45758</v>
      </c>
      <c r="B338" s="93" t="s">
        <v>84</v>
      </c>
      <c r="C338" s="43" t="s">
        <v>49</v>
      </c>
      <c r="D338" s="19">
        <v>8</v>
      </c>
      <c r="E338" s="18" t="s">
        <v>127</v>
      </c>
      <c r="F338" t="s">
        <v>424</v>
      </c>
    </row>
    <row r="339" spans="1:6" s="106" customFormat="1" x14ac:dyDescent="0.4">
      <c r="A339" s="82">
        <v>45758</v>
      </c>
      <c r="B339" s="93" t="s">
        <v>84</v>
      </c>
      <c r="C339" s="43" t="s">
        <v>49</v>
      </c>
      <c r="D339" s="19">
        <v>5</v>
      </c>
      <c r="E339" s="18" t="s">
        <v>127</v>
      </c>
      <c r="F339" t="s">
        <v>424</v>
      </c>
    </row>
    <row r="340" spans="1:6" s="106" customFormat="1" ht="14.4" x14ac:dyDescent="0.3">
      <c r="B340" s="217"/>
      <c r="D340" s="1"/>
    </row>
    <row r="341" spans="1:6" s="106" customFormat="1" x14ac:dyDescent="0.4">
      <c r="A341" s="82">
        <v>45758</v>
      </c>
      <c r="B341" s="93" t="s">
        <v>84</v>
      </c>
      <c r="C341" s="43" t="s">
        <v>49</v>
      </c>
      <c r="D341" s="19">
        <v>11</v>
      </c>
      <c r="E341" s="18" t="s">
        <v>127</v>
      </c>
      <c r="F341" t="s">
        <v>424</v>
      </c>
    </row>
    <row r="342" spans="1:6" s="106" customFormat="1" x14ac:dyDescent="0.4">
      <c r="A342" s="82">
        <v>45758</v>
      </c>
      <c r="B342" s="94" t="s">
        <v>380</v>
      </c>
      <c r="C342" s="43" t="s">
        <v>49</v>
      </c>
      <c r="D342" s="19">
        <v>4</v>
      </c>
      <c r="E342" s="18" t="s">
        <v>127</v>
      </c>
    </row>
    <row r="344" spans="1:6" x14ac:dyDescent="0.4">
      <c r="A344" s="82">
        <v>45759</v>
      </c>
      <c r="B344" s="93" t="s">
        <v>85</v>
      </c>
      <c r="C344" s="43" t="s">
        <v>121</v>
      </c>
      <c r="D344" s="43">
        <v>-2</v>
      </c>
      <c r="E344" s="18" t="s">
        <v>127</v>
      </c>
    </row>
    <row r="345" spans="1:6" x14ac:dyDescent="0.4">
      <c r="A345" s="82">
        <v>45759</v>
      </c>
      <c r="B345" s="94" t="s">
        <v>266</v>
      </c>
      <c r="C345" s="43" t="s">
        <v>121</v>
      </c>
      <c r="D345" s="43">
        <v>-10</v>
      </c>
      <c r="E345" s="18" t="s">
        <v>127</v>
      </c>
    </row>
    <row r="346" spans="1:6" x14ac:dyDescent="0.4">
      <c r="A346" s="82">
        <v>45759</v>
      </c>
      <c r="B346" s="94" t="s">
        <v>86</v>
      </c>
      <c r="C346" s="43" t="s">
        <v>121</v>
      </c>
      <c r="D346" s="43">
        <v>-9</v>
      </c>
      <c r="E346" s="18" t="s">
        <v>127</v>
      </c>
    </row>
    <row r="347" spans="1:6" x14ac:dyDescent="0.4">
      <c r="A347" s="82">
        <v>45759</v>
      </c>
      <c r="B347" s="85" t="s">
        <v>133</v>
      </c>
      <c r="C347" s="43" t="s">
        <v>121</v>
      </c>
      <c r="D347" s="33">
        <v>-5</v>
      </c>
      <c r="E347" s="18" t="s">
        <v>127</v>
      </c>
    </row>
    <row r="348" spans="1:6" x14ac:dyDescent="0.4">
      <c r="A348" s="82">
        <v>45761</v>
      </c>
      <c r="B348" s="94" t="s">
        <v>168</v>
      </c>
      <c r="C348" s="43" t="s">
        <v>454</v>
      </c>
      <c r="D348" s="43">
        <v>-1</v>
      </c>
      <c r="E348" s="18" t="s">
        <v>127</v>
      </c>
    </row>
    <row r="349" spans="1:6" x14ac:dyDescent="0.4">
      <c r="A349" s="82">
        <v>45761</v>
      </c>
      <c r="B349" s="94" t="s">
        <v>168</v>
      </c>
      <c r="C349" s="43" t="s">
        <v>454</v>
      </c>
      <c r="D349" s="43">
        <v>-1</v>
      </c>
      <c r="E349" s="18" t="s">
        <v>127</v>
      </c>
    </row>
    <row r="350" spans="1:6" x14ac:dyDescent="0.4">
      <c r="A350" s="82">
        <v>45761</v>
      </c>
      <c r="B350" s="94" t="s">
        <v>169</v>
      </c>
      <c r="C350" s="43" t="s">
        <v>454</v>
      </c>
      <c r="D350" s="43">
        <v>-1</v>
      </c>
      <c r="E350" s="18" t="s">
        <v>127</v>
      </c>
    </row>
    <row r="351" spans="1:6" x14ac:dyDescent="0.4">
      <c r="A351" s="82">
        <v>45761</v>
      </c>
      <c r="B351" s="85" t="s">
        <v>136</v>
      </c>
      <c r="C351" s="43" t="s">
        <v>454</v>
      </c>
      <c r="D351" s="43">
        <v>-1</v>
      </c>
      <c r="E351" s="18" t="s">
        <v>127</v>
      </c>
    </row>
    <row r="353" spans="1:9" x14ac:dyDescent="0.4">
      <c r="A353" s="219">
        <v>45761</v>
      </c>
      <c r="B353" s="241" t="s">
        <v>133</v>
      </c>
      <c r="C353" s="240" t="s">
        <v>456</v>
      </c>
      <c r="D353" s="240">
        <v>5</v>
      </c>
      <c r="E353" s="222" t="s">
        <v>127</v>
      </c>
    </row>
    <row r="354" spans="1:9" x14ac:dyDescent="0.4">
      <c r="A354" s="219">
        <v>45761</v>
      </c>
      <c r="B354" s="241" t="s">
        <v>455</v>
      </c>
      <c r="C354" s="240" t="s">
        <v>457</v>
      </c>
      <c r="D354" s="240">
        <v>3</v>
      </c>
      <c r="E354" s="222" t="s">
        <v>127</v>
      </c>
    </row>
    <row r="356" spans="1:9" x14ac:dyDescent="0.4">
      <c r="A356" s="82">
        <v>45761</v>
      </c>
      <c r="B356" s="85" t="s">
        <v>133</v>
      </c>
      <c r="C356" s="43" t="s">
        <v>121</v>
      </c>
      <c r="D356" s="43">
        <v>-5</v>
      </c>
      <c r="E356" s="18" t="s">
        <v>127</v>
      </c>
    </row>
    <row r="357" spans="1:9" x14ac:dyDescent="0.4">
      <c r="A357" s="82">
        <v>45761</v>
      </c>
      <c r="B357" s="85" t="s">
        <v>455</v>
      </c>
      <c r="C357" s="43" t="s">
        <v>121</v>
      </c>
      <c r="D357" s="43">
        <v>-3</v>
      </c>
      <c r="E357" s="18" t="s">
        <v>127</v>
      </c>
    </row>
    <row r="358" spans="1:9" x14ac:dyDescent="0.4">
      <c r="A358" s="82">
        <v>45761</v>
      </c>
      <c r="B358" s="94" t="s">
        <v>397</v>
      </c>
      <c r="C358" s="43" t="s">
        <v>121</v>
      </c>
      <c r="D358" s="33">
        <v>-18</v>
      </c>
      <c r="E358" s="18" t="s">
        <v>127</v>
      </c>
    </row>
    <row r="359" spans="1:9" x14ac:dyDescent="0.4">
      <c r="A359" s="82">
        <v>45761</v>
      </c>
      <c r="B359" s="94" t="s">
        <v>87</v>
      </c>
      <c r="C359" s="43" t="s">
        <v>121</v>
      </c>
      <c r="D359" s="33">
        <v>-22</v>
      </c>
      <c r="E359" s="18" t="s">
        <v>127</v>
      </c>
    </row>
    <row r="360" spans="1:9" x14ac:dyDescent="0.4">
      <c r="A360" s="82">
        <v>45761</v>
      </c>
      <c r="B360" s="94" t="s">
        <v>400</v>
      </c>
      <c r="C360" s="43" t="s">
        <v>121</v>
      </c>
      <c r="D360" s="33">
        <v>-12</v>
      </c>
      <c r="E360" s="18" t="s">
        <v>127</v>
      </c>
    </row>
    <row r="361" spans="1:9" ht="23.4" x14ac:dyDescent="0.45">
      <c r="H361" s="94" t="s">
        <v>266</v>
      </c>
      <c r="I361" s="41" t="s">
        <v>473</v>
      </c>
    </row>
    <row r="362" spans="1:9" x14ac:dyDescent="0.4">
      <c r="A362" s="104">
        <v>45761</v>
      </c>
      <c r="B362" s="139" t="s">
        <v>266</v>
      </c>
      <c r="C362" s="105" t="s">
        <v>49</v>
      </c>
      <c r="D362" s="105">
        <v>2</v>
      </c>
      <c r="E362" s="95" t="s">
        <v>127</v>
      </c>
    </row>
    <row r="363" spans="1:9" x14ac:dyDescent="0.4">
      <c r="A363" s="104">
        <v>45761</v>
      </c>
      <c r="B363" s="127" t="s">
        <v>84</v>
      </c>
      <c r="C363" s="105" t="s">
        <v>49</v>
      </c>
      <c r="D363" s="105">
        <v>1</v>
      </c>
      <c r="E363" s="95" t="s">
        <v>127</v>
      </c>
      <c r="F363" s="33" t="s">
        <v>474</v>
      </c>
    </row>
    <row r="364" spans="1:9" x14ac:dyDescent="0.4">
      <c r="A364" s="104">
        <v>45761</v>
      </c>
      <c r="B364" s="139" t="s">
        <v>398</v>
      </c>
      <c r="C364" s="105" t="s">
        <v>49</v>
      </c>
      <c r="D364" s="105">
        <v>3</v>
      </c>
      <c r="E364" s="95" t="s">
        <v>127</v>
      </c>
    </row>
    <row r="365" spans="1:9" x14ac:dyDescent="0.4">
      <c r="A365" s="236"/>
      <c r="B365" s="362"/>
      <c r="C365" s="236"/>
      <c r="D365" s="236"/>
      <c r="E365" s="237"/>
    </row>
    <row r="366" spans="1:9" x14ac:dyDescent="0.4">
      <c r="A366" s="104">
        <v>45761</v>
      </c>
      <c r="B366" s="139" t="s">
        <v>266</v>
      </c>
      <c r="C366" s="105" t="s">
        <v>49</v>
      </c>
      <c r="D366" s="105">
        <v>30</v>
      </c>
      <c r="E366" s="95" t="s">
        <v>127</v>
      </c>
    </row>
    <row r="367" spans="1:9" x14ac:dyDescent="0.4">
      <c r="A367" s="236"/>
      <c r="B367" s="362"/>
      <c r="C367" s="236"/>
      <c r="D367" s="236"/>
      <c r="E367" s="237"/>
    </row>
    <row r="368" spans="1:9" x14ac:dyDescent="0.4">
      <c r="A368" s="104">
        <v>45761</v>
      </c>
      <c r="B368" s="139" t="s">
        <v>380</v>
      </c>
      <c r="C368" s="105" t="s">
        <v>49</v>
      </c>
      <c r="D368" s="105">
        <v>10</v>
      </c>
      <c r="E368" s="95" t="s">
        <v>127</v>
      </c>
    </row>
    <row r="369" spans="1:7" x14ac:dyDescent="0.4">
      <c r="A369" s="236"/>
      <c r="B369" s="362"/>
      <c r="C369" s="236"/>
      <c r="D369" s="236"/>
      <c r="E369" s="237"/>
    </row>
    <row r="370" spans="1:7" x14ac:dyDescent="0.4">
      <c r="A370" s="104">
        <v>45761</v>
      </c>
      <c r="B370" s="139" t="s">
        <v>266</v>
      </c>
      <c r="C370" s="105" t="s">
        <v>49</v>
      </c>
      <c r="D370" s="105">
        <v>4</v>
      </c>
      <c r="E370" s="95" t="s">
        <v>127</v>
      </c>
    </row>
    <row r="371" spans="1:7" x14ac:dyDescent="0.4">
      <c r="A371" s="104">
        <v>45761</v>
      </c>
      <c r="B371" s="139" t="s">
        <v>380</v>
      </c>
      <c r="C371" s="105" t="s">
        <v>49</v>
      </c>
      <c r="D371" s="105">
        <v>3</v>
      </c>
      <c r="E371" s="95" t="s">
        <v>127</v>
      </c>
    </row>
    <row r="372" spans="1:7" x14ac:dyDescent="0.4">
      <c r="A372" s="236"/>
      <c r="B372" s="362"/>
      <c r="C372" s="236"/>
      <c r="D372" s="236"/>
      <c r="E372" s="237"/>
    </row>
    <row r="373" spans="1:7" x14ac:dyDescent="0.4">
      <c r="A373" s="104">
        <v>45761</v>
      </c>
      <c r="B373" s="139" t="s">
        <v>125</v>
      </c>
      <c r="C373" s="105" t="s">
        <v>49</v>
      </c>
      <c r="D373" s="105">
        <v>5</v>
      </c>
      <c r="E373" s="95" t="s">
        <v>127</v>
      </c>
    </row>
    <row r="374" spans="1:7" x14ac:dyDescent="0.4">
      <c r="A374" s="104">
        <v>45761</v>
      </c>
      <c r="B374" s="239" t="s">
        <v>482</v>
      </c>
      <c r="C374" s="105" t="s">
        <v>49</v>
      </c>
      <c r="D374" s="105">
        <v>6</v>
      </c>
      <c r="E374" s="95" t="s">
        <v>127</v>
      </c>
      <c r="G374" t="s">
        <v>498</v>
      </c>
    </row>
    <row r="375" spans="1:7" x14ac:dyDescent="0.4">
      <c r="A375" s="236"/>
      <c r="B375" s="362"/>
      <c r="C375" s="236"/>
      <c r="D375" s="236"/>
      <c r="E375" s="237"/>
    </row>
    <row r="376" spans="1:7" x14ac:dyDescent="0.4">
      <c r="A376" s="104">
        <v>45761</v>
      </c>
      <c r="B376" s="239" t="s">
        <v>482</v>
      </c>
      <c r="C376" s="105" t="s">
        <v>49</v>
      </c>
      <c r="D376" s="105">
        <v>20</v>
      </c>
      <c r="E376" s="95" t="s">
        <v>127</v>
      </c>
    </row>
    <row r="377" spans="1:7" x14ac:dyDescent="0.4">
      <c r="A377" s="236"/>
      <c r="B377" s="362"/>
      <c r="C377" s="236"/>
      <c r="D377" s="236"/>
      <c r="E377" s="237"/>
    </row>
    <row r="378" spans="1:7" x14ac:dyDescent="0.4">
      <c r="A378" s="104">
        <v>45761</v>
      </c>
      <c r="B378" s="239" t="s">
        <v>482</v>
      </c>
      <c r="C378" s="105" t="s">
        <v>49</v>
      </c>
      <c r="D378" s="105">
        <v>6</v>
      </c>
      <c r="E378" s="95" t="s">
        <v>127</v>
      </c>
    </row>
    <row r="379" spans="1:7" x14ac:dyDescent="0.4">
      <c r="A379" s="104">
        <v>45761</v>
      </c>
      <c r="B379" s="127" t="s">
        <v>84</v>
      </c>
      <c r="C379" s="105" t="s">
        <v>49</v>
      </c>
      <c r="D379" s="105">
        <v>5</v>
      </c>
      <c r="E379" s="95" t="s">
        <v>127</v>
      </c>
      <c r="F379" s="33" t="s">
        <v>474</v>
      </c>
    </row>
    <row r="380" spans="1:7" x14ac:dyDescent="0.4">
      <c r="A380" s="236"/>
      <c r="B380" s="362"/>
      <c r="C380" s="236"/>
      <c r="D380" s="236"/>
      <c r="E380" s="237"/>
    </row>
    <row r="381" spans="1:7" x14ac:dyDescent="0.4">
      <c r="A381" s="104">
        <v>45761</v>
      </c>
      <c r="B381" s="139" t="s">
        <v>266</v>
      </c>
      <c r="C381" s="105" t="s">
        <v>49</v>
      </c>
      <c r="D381" s="105">
        <v>1</v>
      </c>
      <c r="E381" s="95" t="s">
        <v>127</v>
      </c>
    </row>
    <row r="382" spans="1:7" x14ac:dyDescent="0.4">
      <c r="A382" s="104">
        <v>45761</v>
      </c>
      <c r="B382" s="139" t="s">
        <v>380</v>
      </c>
      <c r="C382" s="105" t="s">
        <v>49</v>
      </c>
      <c r="D382" s="105">
        <v>1</v>
      </c>
      <c r="E382" s="95" t="s">
        <v>127</v>
      </c>
    </row>
    <row r="383" spans="1:7" x14ac:dyDescent="0.4">
      <c r="A383" s="236"/>
      <c r="B383" s="362"/>
      <c r="C383" s="236"/>
      <c r="D383" s="236"/>
      <c r="E383" s="237"/>
    </row>
    <row r="384" spans="1:7" x14ac:dyDescent="0.4">
      <c r="A384" s="104">
        <v>45761</v>
      </c>
      <c r="B384" s="127" t="s">
        <v>84</v>
      </c>
      <c r="C384" s="105" t="s">
        <v>49</v>
      </c>
      <c r="D384" s="105">
        <v>17</v>
      </c>
      <c r="E384" s="95" t="s">
        <v>127</v>
      </c>
      <c r="F384" s="33" t="s">
        <v>474</v>
      </c>
    </row>
    <row r="385" spans="1:7" x14ac:dyDescent="0.4">
      <c r="A385" s="104">
        <v>45761</v>
      </c>
      <c r="B385" s="127" t="s">
        <v>84</v>
      </c>
      <c r="C385" s="105" t="s">
        <v>49</v>
      </c>
      <c r="D385" s="105">
        <v>1</v>
      </c>
      <c r="E385" s="95" t="s">
        <v>127</v>
      </c>
      <c r="F385" s="33" t="s">
        <v>474</v>
      </c>
    </row>
    <row r="386" spans="1:7" x14ac:dyDescent="0.4">
      <c r="A386" s="236"/>
      <c r="B386" s="362"/>
      <c r="C386" s="236"/>
      <c r="D386" s="236"/>
      <c r="E386" s="237"/>
    </row>
    <row r="387" spans="1:7" x14ac:dyDescent="0.4">
      <c r="A387" s="104">
        <v>45761</v>
      </c>
      <c r="B387" s="139" t="s">
        <v>380</v>
      </c>
      <c r="C387" s="105" t="s">
        <v>49</v>
      </c>
      <c r="D387" s="105">
        <v>3</v>
      </c>
      <c r="E387" s="95" t="s">
        <v>127</v>
      </c>
    </row>
    <row r="388" spans="1:7" x14ac:dyDescent="0.4">
      <c r="A388" s="104">
        <v>45761</v>
      </c>
      <c r="B388" s="139" t="s">
        <v>380</v>
      </c>
      <c r="C388" s="105" t="s">
        <v>49</v>
      </c>
      <c r="D388" s="105">
        <v>2</v>
      </c>
      <c r="E388" s="95" t="s">
        <v>127</v>
      </c>
    </row>
    <row r="389" spans="1:7" x14ac:dyDescent="0.4">
      <c r="A389" s="236"/>
      <c r="B389" s="362"/>
      <c r="C389" s="236"/>
      <c r="D389" s="236"/>
      <c r="E389" s="237"/>
    </row>
    <row r="390" spans="1:7" x14ac:dyDescent="0.4">
      <c r="A390" s="104">
        <v>45761</v>
      </c>
      <c r="B390" s="127" t="s">
        <v>84</v>
      </c>
      <c r="C390" s="105" t="s">
        <v>49</v>
      </c>
      <c r="D390" s="105">
        <v>10</v>
      </c>
      <c r="E390" s="95" t="s">
        <v>127</v>
      </c>
      <c r="F390" t="s">
        <v>491</v>
      </c>
    </row>
    <row r="391" spans="1:7" x14ac:dyDescent="0.4">
      <c r="A391" s="236"/>
      <c r="B391" s="239"/>
      <c r="C391" s="236"/>
      <c r="D391" s="236"/>
      <c r="E391" s="237"/>
    </row>
    <row r="392" spans="1:7" x14ac:dyDescent="0.4">
      <c r="A392" s="104">
        <v>45761</v>
      </c>
      <c r="B392" s="239" t="s">
        <v>492</v>
      </c>
      <c r="C392" s="105" t="s">
        <v>49</v>
      </c>
      <c r="D392" s="105">
        <v>1</v>
      </c>
      <c r="E392" s="95" t="s">
        <v>127</v>
      </c>
      <c r="G392" t="s">
        <v>498</v>
      </c>
    </row>
    <row r="393" spans="1:7" x14ac:dyDescent="0.4">
      <c r="A393" s="236"/>
      <c r="B393" s="362"/>
      <c r="C393" s="236"/>
      <c r="D393" s="236"/>
      <c r="E393" s="237"/>
    </row>
    <row r="394" spans="1:7" x14ac:dyDescent="0.4">
      <c r="A394" s="104">
        <v>45761</v>
      </c>
      <c r="B394" s="139" t="s">
        <v>123</v>
      </c>
      <c r="C394" s="105" t="s">
        <v>49</v>
      </c>
      <c r="D394" s="105">
        <v>3</v>
      </c>
      <c r="E394" s="95" t="s">
        <v>127</v>
      </c>
    </row>
    <row r="395" spans="1:7" x14ac:dyDescent="0.4">
      <c r="A395" s="104">
        <v>45761</v>
      </c>
      <c r="B395" s="139" t="s">
        <v>303</v>
      </c>
      <c r="C395" s="105" t="s">
        <v>49</v>
      </c>
      <c r="D395" s="105">
        <v>2</v>
      </c>
      <c r="E395" s="95" t="s">
        <v>127</v>
      </c>
    </row>
    <row r="396" spans="1:7" x14ac:dyDescent="0.4">
      <c r="A396" s="104">
        <v>45761</v>
      </c>
      <c r="B396" s="139" t="s">
        <v>497</v>
      </c>
      <c r="C396" s="105" t="s">
        <v>49</v>
      </c>
      <c r="D396" s="105">
        <v>8</v>
      </c>
      <c r="E396" s="95" t="s">
        <v>127</v>
      </c>
      <c r="G396" t="s">
        <v>498</v>
      </c>
    </row>
    <row r="397" spans="1:7" x14ac:dyDescent="0.4">
      <c r="A397" s="236"/>
      <c r="B397" s="362"/>
      <c r="C397" s="236"/>
      <c r="D397" s="236"/>
      <c r="E397" s="237"/>
    </row>
    <row r="398" spans="1:7" x14ac:dyDescent="0.4">
      <c r="A398" s="104">
        <v>45761</v>
      </c>
      <c r="B398" s="239" t="s">
        <v>482</v>
      </c>
      <c r="C398" s="105" t="s">
        <v>49</v>
      </c>
      <c r="D398" s="105">
        <v>20</v>
      </c>
      <c r="E398" s="95" t="s">
        <v>127</v>
      </c>
    </row>
    <row r="399" spans="1:7" x14ac:dyDescent="0.4">
      <c r="A399" s="236"/>
      <c r="B399" s="362"/>
      <c r="C399" s="236"/>
      <c r="D399" s="236"/>
      <c r="E399" s="237"/>
    </row>
    <row r="400" spans="1:7" x14ac:dyDescent="0.4">
      <c r="A400" s="104">
        <v>45761</v>
      </c>
      <c r="B400" s="127" t="s">
        <v>84</v>
      </c>
      <c r="C400" s="105" t="s">
        <v>49</v>
      </c>
      <c r="D400" s="105">
        <v>4</v>
      </c>
      <c r="E400" s="95" t="s">
        <v>127</v>
      </c>
      <c r="F400" s="33" t="s">
        <v>474</v>
      </c>
      <c r="G400" t="s">
        <v>610</v>
      </c>
    </row>
    <row r="401" spans="1:7" x14ac:dyDescent="0.4">
      <c r="A401" s="236"/>
      <c r="B401" s="362"/>
      <c r="C401" s="236"/>
      <c r="D401" s="236"/>
      <c r="E401" s="237"/>
    </row>
    <row r="402" spans="1:7" x14ac:dyDescent="0.4">
      <c r="A402" s="104">
        <v>45761</v>
      </c>
      <c r="B402" s="139" t="s">
        <v>266</v>
      </c>
      <c r="C402" s="105" t="s">
        <v>49</v>
      </c>
      <c r="D402" s="105">
        <v>1</v>
      </c>
      <c r="E402" s="95" t="s">
        <v>127</v>
      </c>
      <c r="G402" t="s">
        <v>511</v>
      </c>
    </row>
    <row r="403" spans="1:7" x14ac:dyDescent="0.4">
      <c r="A403" s="104">
        <v>45761</v>
      </c>
      <c r="B403" s="139" t="s">
        <v>380</v>
      </c>
      <c r="C403" s="105" t="s">
        <v>49</v>
      </c>
      <c r="D403" s="105">
        <v>1</v>
      </c>
      <c r="E403" s="95" t="s">
        <v>127</v>
      </c>
    </row>
    <row r="404" spans="1:7" x14ac:dyDescent="0.4">
      <c r="A404" s="236"/>
      <c r="B404" s="362"/>
      <c r="C404" s="236"/>
      <c r="D404" s="236"/>
      <c r="E404" s="237"/>
    </row>
    <row r="405" spans="1:7" x14ac:dyDescent="0.4">
      <c r="A405" s="104">
        <v>45761</v>
      </c>
      <c r="B405" s="139" t="s">
        <v>398</v>
      </c>
      <c r="C405" s="105" t="s">
        <v>49</v>
      </c>
      <c r="D405" s="105">
        <v>2</v>
      </c>
      <c r="E405" s="95" t="s">
        <v>127</v>
      </c>
    </row>
    <row r="406" spans="1:7" x14ac:dyDescent="0.4">
      <c r="A406" s="236"/>
      <c r="B406" s="362"/>
      <c r="C406" s="236"/>
      <c r="D406" s="236"/>
      <c r="E406" s="237"/>
    </row>
    <row r="407" spans="1:7" x14ac:dyDescent="0.4">
      <c r="A407" s="104">
        <v>45761</v>
      </c>
      <c r="B407" s="139" t="s">
        <v>497</v>
      </c>
      <c r="C407" s="105" t="s">
        <v>49</v>
      </c>
      <c r="D407" s="105">
        <v>12</v>
      </c>
      <c r="E407" s="95" t="s">
        <v>127</v>
      </c>
    </row>
    <row r="408" spans="1:7" x14ac:dyDescent="0.4">
      <c r="A408" s="104">
        <v>45761</v>
      </c>
      <c r="B408" s="139" t="s">
        <v>123</v>
      </c>
      <c r="C408" s="105" t="s">
        <v>49</v>
      </c>
      <c r="D408" s="105">
        <v>1</v>
      </c>
      <c r="E408" s="95" t="s">
        <v>127</v>
      </c>
    </row>
    <row r="409" spans="1:7" x14ac:dyDescent="0.4">
      <c r="A409" s="104">
        <v>45761</v>
      </c>
      <c r="B409" s="139" t="s">
        <v>303</v>
      </c>
      <c r="C409" s="105" t="s">
        <v>49</v>
      </c>
      <c r="D409" s="105">
        <v>3</v>
      </c>
      <c r="E409" s="95" t="s">
        <v>127</v>
      </c>
    </row>
    <row r="410" spans="1:7" x14ac:dyDescent="0.4">
      <c r="A410" s="236"/>
      <c r="B410" s="362"/>
      <c r="C410" s="236"/>
      <c r="D410" s="236"/>
      <c r="E410" s="237"/>
    </row>
    <row r="411" spans="1:7" x14ac:dyDescent="0.4">
      <c r="A411" s="104">
        <v>45761</v>
      </c>
      <c r="B411" s="139" t="s">
        <v>124</v>
      </c>
      <c r="C411" s="105" t="s">
        <v>49</v>
      </c>
      <c r="D411" s="105">
        <v>6</v>
      </c>
      <c r="E411" s="95" t="s">
        <v>127</v>
      </c>
    </row>
    <row r="412" spans="1:7" x14ac:dyDescent="0.4">
      <c r="A412" s="104">
        <v>45761</v>
      </c>
      <c r="B412" s="139" t="s">
        <v>124</v>
      </c>
      <c r="C412" s="105" t="s">
        <v>49</v>
      </c>
      <c r="D412" s="105">
        <v>3</v>
      </c>
      <c r="E412" s="95" t="s">
        <v>127</v>
      </c>
    </row>
    <row r="413" spans="1:7" x14ac:dyDescent="0.4">
      <c r="A413" s="104">
        <v>45761</v>
      </c>
      <c r="B413" s="139" t="s">
        <v>497</v>
      </c>
      <c r="C413" s="105" t="s">
        <v>49</v>
      </c>
      <c r="D413" s="105">
        <v>11</v>
      </c>
      <c r="E413" s="95" t="s">
        <v>127</v>
      </c>
    </row>
    <row r="414" spans="1:7" x14ac:dyDescent="0.4">
      <c r="A414" s="236"/>
      <c r="B414" s="362"/>
      <c r="C414" s="236"/>
      <c r="D414" s="236"/>
      <c r="E414" s="237"/>
    </row>
    <row r="415" spans="1:7" x14ac:dyDescent="0.4">
      <c r="A415" s="104">
        <v>45761</v>
      </c>
      <c r="B415" s="239" t="s">
        <v>512</v>
      </c>
      <c r="C415" s="105" t="s">
        <v>49</v>
      </c>
      <c r="D415" s="105">
        <v>5</v>
      </c>
      <c r="E415" s="95" t="s">
        <v>127</v>
      </c>
      <c r="G415" t="s">
        <v>511</v>
      </c>
    </row>
    <row r="416" spans="1:7" x14ac:dyDescent="0.4">
      <c r="A416" s="248">
        <v>45761</v>
      </c>
      <c r="B416" s="249" t="s">
        <v>513</v>
      </c>
      <c r="C416" s="250" t="s">
        <v>49</v>
      </c>
      <c r="D416" s="250">
        <v>1</v>
      </c>
      <c r="E416" s="251" t="s">
        <v>127</v>
      </c>
      <c r="G416" t="s">
        <v>511</v>
      </c>
    </row>
    <row r="417" spans="1:6" s="18" customFormat="1" x14ac:dyDescent="0.4">
      <c r="A417" s="248">
        <v>45761</v>
      </c>
      <c r="B417" s="239" t="s">
        <v>482</v>
      </c>
      <c r="C417" s="250" t="s">
        <v>49</v>
      </c>
      <c r="D417" s="105">
        <v>36</v>
      </c>
      <c r="E417" s="251" t="s">
        <v>127</v>
      </c>
      <c r="F417" s="18" t="s">
        <v>552</v>
      </c>
    </row>
    <row r="419" spans="1:6" x14ac:dyDescent="0.4">
      <c r="A419" s="82">
        <v>45762</v>
      </c>
      <c r="B419" s="93" t="s">
        <v>82</v>
      </c>
      <c r="C419" s="43" t="s">
        <v>121</v>
      </c>
      <c r="D419" s="43">
        <v>-152</v>
      </c>
      <c r="E419" s="18" t="s">
        <v>127</v>
      </c>
    </row>
    <row r="420" spans="1:6" x14ac:dyDescent="0.4">
      <c r="A420" s="82">
        <v>45762</v>
      </c>
      <c r="B420" s="85" t="s">
        <v>133</v>
      </c>
      <c r="C420" s="43" t="s">
        <v>121</v>
      </c>
      <c r="D420" s="43">
        <v>-2</v>
      </c>
      <c r="E420" s="18" t="s">
        <v>127</v>
      </c>
    </row>
    <row r="421" spans="1:6" x14ac:dyDescent="0.4">
      <c r="A421" s="82">
        <v>45762</v>
      </c>
      <c r="B421" s="94" t="s">
        <v>86</v>
      </c>
      <c r="C421" s="43" t="s">
        <v>121</v>
      </c>
      <c r="D421" s="43">
        <v>-1</v>
      </c>
      <c r="E421" s="18" t="s">
        <v>127</v>
      </c>
    </row>
    <row r="422" spans="1:6" x14ac:dyDescent="0.4">
      <c r="A422" s="82">
        <v>45762</v>
      </c>
      <c r="B422" s="94" t="s">
        <v>266</v>
      </c>
      <c r="C422" s="43" t="s">
        <v>121</v>
      </c>
      <c r="D422" s="43">
        <v>-11</v>
      </c>
      <c r="E422" s="18" t="s">
        <v>127</v>
      </c>
    </row>
    <row r="423" spans="1:6" x14ac:dyDescent="0.4">
      <c r="A423" s="82">
        <v>45762</v>
      </c>
      <c r="B423" s="94" t="s">
        <v>266</v>
      </c>
      <c r="C423" s="43" t="s">
        <v>121</v>
      </c>
      <c r="D423" s="43">
        <v>-9</v>
      </c>
      <c r="E423" s="18" t="s">
        <v>127</v>
      </c>
    </row>
    <row r="424" spans="1:6" x14ac:dyDescent="0.4">
      <c r="A424" s="219">
        <v>45762</v>
      </c>
      <c r="B424" s="241" t="s">
        <v>529</v>
      </c>
      <c r="C424" s="240" t="s">
        <v>530</v>
      </c>
      <c r="D424" s="242">
        <v>2</v>
      </c>
      <c r="E424" s="222" t="s">
        <v>127</v>
      </c>
    </row>
    <row r="425" spans="1:6" x14ac:dyDescent="0.4">
      <c r="A425" s="82">
        <v>45763</v>
      </c>
      <c r="B425" s="94" t="s">
        <v>266</v>
      </c>
      <c r="C425" s="43" t="s">
        <v>121</v>
      </c>
      <c r="D425" s="43">
        <v>-10</v>
      </c>
      <c r="E425" s="18" t="s">
        <v>127</v>
      </c>
    </row>
    <row r="427" spans="1:6" x14ac:dyDescent="0.4">
      <c r="A427" s="219">
        <v>45764</v>
      </c>
      <c r="B427" s="307" t="s">
        <v>84</v>
      </c>
      <c r="C427" s="240" t="s">
        <v>526</v>
      </c>
      <c r="D427" s="240">
        <v>5</v>
      </c>
      <c r="E427" s="222" t="s">
        <v>127</v>
      </c>
    </row>
    <row r="428" spans="1:6" x14ac:dyDescent="0.4">
      <c r="A428" s="219">
        <v>45764</v>
      </c>
      <c r="B428" s="241" t="s">
        <v>528</v>
      </c>
      <c r="C428" s="240" t="s">
        <v>530</v>
      </c>
      <c r="D428" s="240">
        <v>4</v>
      </c>
      <c r="E428" s="222" t="s">
        <v>127</v>
      </c>
    </row>
    <row r="430" spans="1:6" x14ac:dyDescent="0.4">
      <c r="A430" s="82">
        <v>45764</v>
      </c>
      <c r="B430" s="93" t="s">
        <v>84</v>
      </c>
      <c r="C430" s="43" t="s">
        <v>121</v>
      </c>
      <c r="D430" s="43">
        <v>-5</v>
      </c>
      <c r="E430" s="18" t="s">
        <v>127</v>
      </c>
    </row>
    <row r="431" spans="1:6" x14ac:dyDescent="0.4">
      <c r="A431" s="82">
        <v>45764</v>
      </c>
      <c r="B431" s="93" t="s">
        <v>76</v>
      </c>
      <c r="C431" s="43" t="s">
        <v>121</v>
      </c>
      <c r="D431" s="43">
        <v>-4</v>
      </c>
      <c r="E431" s="18" t="s">
        <v>127</v>
      </c>
    </row>
    <row r="432" spans="1:6" x14ac:dyDescent="0.4">
      <c r="A432" s="82">
        <v>45764</v>
      </c>
      <c r="B432" s="94" t="s">
        <v>334</v>
      </c>
      <c r="C432" s="43" t="s">
        <v>121</v>
      </c>
      <c r="D432" s="43">
        <v>-1</v>
      </c>
      <c r="E432" s="18" t="s">
        <v>127</v>
      </c>
    </row>
    <row r="434" spans="1:8" x14ac:dyDescent="0.4">
      <c r="A434" s="104">
        <v>45761</v>
      </c>
      <c r="B434" s="127" t="s">
        <v>84</v>
      </c>
      <c r="C434" s="105" t="s">
        <v>49</v>
      </c>
      <c r="D434" s="105">
        <v>6</v>
      </c>
      <c r="E434" s="95" t="s">
        <v>127</v>
      </c>
    </row>
    <row r="435" spans="1:8" x14ac:dyDescent="0.4">
      <c r="A435" s="104">
        <v>45762</v>
      </c>
      <c r="B435" s="139" t="s">
        <v>380</v>
      </c>
      <c r="C435" s="105" t="s">
        <v>49</v>
      </c>
      <c r="D435" s="105">
        <v>2</v>
      </c>
      <c r="E435" s="95" t="s">
        <v>127</v>
      </c>
    </row>
    <row r="436" spans="1:8" x14ac:dyDescent="0.4">
      <c r="A436" s="104">
        <v>45762</v>
      </c>
      <c r="B436" s="139" t="s">
        <v>380</v>
      </c>
      <c r="C436" s="105" t="s">
        <v>49</v>
      </c>
      <c r="D436" s="105">
        <v>1</v>
      </c>
      <c r="E436" s="95" t="s">
        <v>127</v>
      </c>
    </row>
    <row r="437" spans="1:8" x14ac:dyDescent="0.4">
      <c r="A437" s="104">
        <v>45762</v>
      </c>
      <c r="B437" s="139" t="s">
        <v>266</v>
      </c>
      <c r="C437" s="105" t="s">
        <v>49</v>
      </c>
      <c r="D437" s="105">
        <v>2</v>
      </c>
      <c r="E437" s="95" t="s">
        <v>127</v>
      </c>
    </row>
    <row r="438" spans="1:8" x14ac:dyDescent="0.4">
      <c r="A438" s="236"/>
      <c r="B438" s="362"/>
      <c r="C438" s="236"/>
      <c r="D438" s="236"/>
      <c r="E438" s="237"/>
    </row>
    <row r="439" spans="1:8" x14ac:dyDescent="0.4">
      <c r="A439" s="104">
        <v>45763</v>
      </c>
      <c r="B439" s="139" t="s">
        <v>390</v>
      </c>
      <c r="C439" s="105" t="s">
        <v>49</v>
      </c>
      <c r="D439" s="105">
        <v>2</v>
      </c>
      <c r="E439" s="95" t="s">
        <v>127</v>
      </c>
    </row>
    <row r="440" spans="1:8" x14ac:dyDescent="0.4">
      <c r="A440" s="104">
        <v>45763</v>
      </c>
      <c r="B440" s="139" t="s">
        <v>123</v>
      </c>
      <c r="C440" s="105" t="s">
        <v>49</v>
      </c>
      <c r="D440" s="105">
        <v>2</v>
      </c>
      <c r="E440" s="95" t="s">
        <v>127</v>
      </c>
    </row>
    <row r="441" spans="1:8" x14ac:dyDescent="0.4">
      <c r="A441" s="104">
        <v>45763</v>
      </c>
      <c r="B441" s="139" t="s">
        <v>497</v>
      </c>
      <c r="C441" s="105" t="s">
        <v>49</v>
      </c>
      <c r="D441" s="105">
        <v>6</v>
      </c>
      <c r="E441" s="95" t="s">
        <v>127</v>
      </c>
    </row>
    <row r="442" spans="1:8" x14ac:dyDescent="0.4">
      <c r="A442" s="236"/>
      <c r="B442" s="362"/>
      <c r="C442" s="236"/>
      <c r="D442" s="236"/>
      <c r="E442" s="237"/>
    </row>
    <row r="443" spans="1:8" x14ac:dyDescent="0.4">
      <c r="A443" s="104">
        <v>45763</v>
      </c>
      <c r="B443" s="139" t="s">
        <v>549</v>
      </c>
      <c r="C443" s="105" t="s">
        <v>49</v>
      </c>
      <c r="D443" s="105">
        <v>2</v>
      </c>
      <c r="E443" s="95" t="s">
        <v>127</v>
      </c>
    </row>
    <row r="444" spans="1:8" x14ac:dyDescent="0.4">
      <c r="A444" s="104">
        <v>45763</v>
      </c>
      <c r="B444" s="239" t="s">
        <v>492</v>
      </c>
      <c r="C444" s="105" t="s">
        <v>49</v>
      </c>
      <c r="D444" s="105">
        <v>4</v>
      </c>
      <c r="E444" s="95" t="s">
        <v>127</v>
      </c>
    </row>
    <row r="445" spans="1:8" x14ac:dyDescent="0.4">
      <c r="A445" s="104">
        <v>45763</v>
      </c>
      <c r="B445" s="139" t="s">
        <v>550</v>
      </c>
      <c r="C445" s="105" t="s">
        <v>49</v>
      </c>
      <c r="D445" s="105">
        <v>2</v>
      </c>
      <c r="E445" s="95" t="s">
        <v>127</v>
      </c>
    </row>
    <row r="446" spans="1:8" x14ac:dyDescent="0.4">
      <c r="A446" s="236"/>
      <c r="B446" s="362"/>
      <c r="C446" s="236"/>
      <c r="D446" s="236"/>
      <c r="E446" s="237"/>
    </row>
    <row r="447" spans="1:8" x14ac:dyDescent="0.4">
      <c r="A447" s="104">
        <v>45764</v>
      </c>
      <c r="B447" s="139" t="s">
        <v>390</v>
      </c>
      <c r="C447" s="105" t="s">
        <v>49</v>
      </c>
      <c r="D447" s="105">
        <v>15</v>
      </c>
      <c r="E447" s="95" t="s">
        <v>127</v>
      </c>
      <c r="H447" t="s">
        <v>551</v>
      </c>
    </row>
    <row r="448" spans="1:8" x14ac:dyDescent="0.4">
      <c r="A448" s="219">
        <v>45764</v>
      </c>
      <c r="B448" s="253" t="s">
        <v>136</v>
      </c>
      <c r="C448" s="240" t="s">
        <v>554</v>
      </c>
      <c r="D448" s="242">
        <v>2</v>
      </c>
      <c r="E448" s="222" t="s">
        <v>127</v>
      </c>
    </row>
    <row r="449" spans="1:5" x14ac:dyDescent="0.4">
      <c r="A449" s="82">
        <v>45765</v>
      </c>
      <c r="B449" s="93" t="s">
        <v>84</v>
      </c>
      <c r="C449" s="43" t="s">
        <v>121</v>
      </c>
      <c r="D449" s="43">
        <v>-57</v>
      </c>
      <c r="E449" s="18" t="s">
        <v>127</v>
      </c>
    </row>
    <row r="450" spans="1:5" x14ac:dyDescent="0.4">
      <c r="A450" s="82">
        <v>45765</v>
      </c>
      <c r="B450" s="93" t="s">
        <v>88</v>
      </c>
      <c r="C450" s="43" t="s">
        <v>121</v>
      </c>
      <c r="D450" s="43">
        <v>-1</v>
      </c>
      <c r="E450" s="18" t="s">
        <v>127</v>
      </c>
    </row>
    <row r="451" spans="1:5" x14ac:dyDescent="0.4">
      <c r="A451" s="82">
        <v>45765</v>
      </c>
      <c r="B451" s="93" t="s">
        <v>89</v>
      </c>
      <c r="C451" s="43" t="s">
        <v>121</v>
      </c>
      <c r="D451" s="43">
        <v>-1</v>
      </c>
      <c r="E451" s="18" t="s">
        <v>127</v>
      </c>
    </row>
    <row r="452" spans="1:5" x14ac:dyDescent="0.4">
      <c r="A452" s="82">
        <v>45766</v>
      </c>
      <c r="B452" s="85" t="s">
        <v>512</v>
      </c>
      <c r="C452" s="43" t="s">
        <v>121</v>
      </c>
      <c r="D452" s="43">
        <v>-4</v>
      </c>
      <c r="E452" s="18" t="s">
        <v>127</v>
      </c>
    </row>
    <row r="453" spans="1:5" x14ac:dyDescent="0.4">
      <c r="A453" s="82">
        <v>45766</v>
      </c>
      <c r="B453" s="94" t="s">
        <v>380</v>
      </c>
      <c r="C453" s="43" t="s">
        <v>121</v>
      </c>
      <c r="D453" s="43">
        <v>-5</v>
      </c>
      <c r="E453" s="18" t="s">
        <v>127</v>
      </c>
    </row>
    <row r="454" spans="1:5" x14ac:dyDescent="0.4">
      <c r="A454" s="82">
        <v>45766</v>
      </c>
      <c r="B454" s="94" t="s">
        <v>303</v>
      </c>
      <c r="C454" s="43" t="s">
        <v>121</v>
      </c>
      <c r="D454" s="43">
        <v>-1</v>
      </c>
      <c r="E454" s="18" t="s">
        <v>127</v>
      </c>
    </row>
    <row r="457" spans="1:5" x14ac:dyDescent="0.4">
      <c r="A457" s="219">
        <v>45767</v>
      </c>
      <c r="B457" s="253" t="s">
        <v>390</v>
      </c>
      <c r="C457" s="240" t="s">
        <v>556</v>
      </c>
      <c r="D457" s="240">
        <v>9</v>
      </c>
      <c r="E457" s="222" t="s">
        <v>127</v>
      </c>
    </row>
    <row r="459" spans="1:5" x14ac:dyDescent="0.4">
      <c r="A459" s="82">
        <v>45767</v>
      </c>
      <c r="B459" s="94" t="s">
        <v>303</v>
      </c>
      <c r="C459" s="43" t="s">
        <v>121</v>
      </c>
      <c r="D459" s="43">
        <v>-6</v>
      </c>
      <c r="E459" s="18" t="s">
        <v>127</v>
      </c>
    </row>
    <row r="460" spans="1:5" x14ac:dyDescent="0.4">
      <c r="A460" s="82">
        <v>45767</v>
      </c>
      <c r="B460" s="94" t="s">
        <v>398</v>
      </c>
      <c r="C460" s="43" t="s">
        <v>121</v>
      </c>
      <c r="D460" s="43">
        <v>-2</v>
      </c>
      <c r="E460" s="18" t="s">
        <v>127</v>
      </c>
    </row>
    <row r="461" spans="1:5" x14ac:dyDescent="0.4">
      <c r="A461" s="82">
        <v>45767</v>
      </c>
      <c r="B461" s="94" t="s">
        <v>390</v>
      </c>
      <c r="C461" s="43" t="s">
        <v>121</v>
      </c>
      <c r="D461" s="43">
        <v>-2</v>
      </c>
      <c r="E461" s="18" t="s">
        <v>127</v>
      </c>
    </row>
    <row r="462" spans="1:5" x14ac:dyDescent="0.4">
      <c r="A462" s="82">
        <v>45767</v>
      </c>
      <c r="B462" s="94" t="s">
        <v>390</v>
      </c>
      <c r="C462" s="43" t="s">
        <v>121</v>
      </c>
      <c r="D462" s="33">
        <v>-9</v>
      </c>
      <c r="E462" s="18" t="s">
        <v>127</v>
      </c>
    </row>
    <row r="463" spans="1:5" x14ac:dyDescent="0.4">
      <c r="A463" s="82">
        <v>45767</v>
      </c>
      <c r="B463" s="94" t="s">
        <v>86</v>
      </c>
      <c r="C463" s="43" t="s">
        <v>121</v>
      </c>
      <c r="D463" s="43">
        <v>-1</v>
      </c>
      <c r="E463" s="18" t="s">
        <v>127</v>
      </c>
    </row>
    <row r="464" spans="1:5" x14ac:dyDescent="0.4">
      <c r="A464" s="82">
        <v>45767</v>
      </c>
      <c r="B464" s="94" t="s">
        <v>302</v>
      </c>
      <c r="C464" s="43" t="s">
        <v>121</v>
      </c>
      <c r="D464" s="43">
        <v>-1</v>
      </c>
      <c r="E464" s="18" t="s">
        <v>127</v>
      </c>
    </row>
    <row r="466" spans="1:5" x14ac:dyDescent="0.4">
      <c r="A466" s="82">
        <v>45767</v>
      </c>
      <c r="B466" s="94" t="s">
        <v>125</v>
      </c>
      <c r="C466" s="43" t="s">
        <v>121</v>
      </c>
      <c r="D466" s="43">
        <v>-5</v>
      </c>
      <c r="E466" s="18" t="s">
        <v>127</v>
      </c>
    </row>
    <row r="467" spans="1:5" x14ac:dyDescent="0.4">
      <c r="A467" s="82">
        <v>45767</v>
      </c>
      <c r="B467" s="85" t="s">
        <v>425</v>
      </c>
      <c r="C467" s="43" t="s">
        <v>121</v>
      </c>
      <c r="D467" s="43">
        <v>-1</v>
      </c>
      <c r="E467" s="18" t="s">
        <v>127</v>
      </c>
    </row>
    <row r="468" spans="1:5" x14ac:dyDescent="0.4">
      <c r="A468" s="82">
        <v>45767</v>
      </c>
      <c r="B468" s="85" t="s">
        <v>124</v>
      </c>
      <c r="C468" s="43" t="s">
        <v>121</v>
      </c>
      <c r="D468" s="43">
        <v>-9</v>
      </c>
      <c r="E468" s="18" t="s">
        <v>127</v>
      </c>
    </row>
    <row r="469" spans="1:5" x14ac:dyDescent="0.4">
      <c r="A469" s="82">
        <v>45767</v>
      </c>
      <c r="B469" s="85" t="s">
        <v>492</v>
      </c>
      <c r="C469" s="43" t="s">
        <v>121</v>
      </c>
      <c r="D469" s="43">
        <v>-1</v>
      </c>
      <c r="E469" s="18" t="s">
        <v>127</v>
      </c>
    </row>
    <row r="470" spans="1:5" x14ac:dyDescent="0.4">
      <c r="A470" s="82">
        <v>45767</v>
      </c>
      <c r="B470" s="94" t="s">
        <v>497</v>
      </c>
      <c r="C470" s="43" t="s">
        <v>121</v>
      </c>
      <c r="D470" s="43">
        <v>-5</v>
      </c>
      <c r="E470" s="18" t="s">
        <v>127</v>
      </c>
    </row>
    <row r="471" spans="1:5" x14ac:dyDescent="0.4">
      <c r="A471" s="82">
        <v>45768</v>
      </c>
      <c r="B471" s="85" t="s">
        <v>513</v>
      </c>
      <c r="C471" s="43" t="s">
        <v>121</v>
      </c>
      <c r="D471" s="43">
        <v>-1</v>
      </c>
      <c r="E471" s="18" t="s">
        <v>127</v>
      </c>
    </row>
    <row r="472" spans="1:5" x14ac:dyDescent="0.4">
      <c r="A472" s="82">
        <v>45768</v>
      </c>
      <c r="B472" s="94" t="s">
        <v>123</v>
      </c>
      <c r="C472" s="43" t="s">
        <v>121</v>
      </c>
      <c r="D472" s="43">
        <v>-14</v>
      </c>
      <c r="E472" s="18" t="s">
        <v>127</v>
      </c>
    </row>
    <row r="473" spans="1:5" x14ac:dyDescent="0.4">
      <c r="A473" s="82">
        <v>45768</v>
      </c>
      <c r="B473" s="94" t="s">
        <v>303</v>
      </c>
      <c r="C473" s="43" t="s">
        <v>121</v>
      </c>
      <c r="D473" s="43">
        <v>-8</v>
      </c>
      <c r="E473" s="18" t="s">
        <v>127</v>
      </c>
    </row>
    <row r="474" spans="1:5" x14ac:dyDescent="0.4">
      <c r="A474" s="82">
        <v>45768</v>
      </c>
      <c r="B474" s="94" t="s">
        <v>497</v>
      </c>
      <c r="C474" s="43" t="s">
        <v>121</v>
      </c>
      <c r="D474" s="43">
        <v>-16</v>
      </c>
      <c r="E474" s="18" t="s">
        <v>127</v>
      </c>
    </row>
    <row r="475" spans="1:5" x14ac:dyDescent="0.4">
      <c r="A475" s="82">
        <v>45768</v>
      </c>
      <c r="B475" s="94" t="s">
        <v>497</v>
      </c>
      <c r="C475" s="43" t="s">
        <v>121</v>
      </c>
      <c r="D475" s="43">
        <v>-10</v>
      </c>
      <c r="E475" s="18" t="s">
        <v>127</v>
      </c>
    </row>
    <row r="477" spans="1:5" x14ac:dyDescent="0.4">
      <c r="A477" s="219">
        <v>45769</v>
      </c>
      <c r="B477" s="253" t="s">
        <v>87</v>
      </c>
      <c r="C477" s="240" t="s">
        <v>555</v>
      </c>
      <c r="D477" s="240">
        <v>14</v>
      </c>
      <c r="E477" s="222" t="s">
        <v>127</v>
      </c>
    </row>
    <row r="479" spans="1:5" x14ac:dyDescent="0.4">
      <c r="A479" s="104">
        <v>45769</v>
      </c>
      <c r="B479" s="139" t="s">
        <v>390</v>
      </c>
      <c r="C479" s="105" t="s">
        <v>49</v>
      </c>
      <c r="D479" s="105">
        <v>9</v>
      </c>
      <c r="E479" s="18" t="s">
        <v>127</v>
      </c>
    </row>
    <row r="480" spans="1:5" x14ac:dyDescent="0.4">
      <c r="A480" s="104">
        <v>45769</v>
      </c>
      <c r="B480" s="139" t="s">
        <v>390</v>
      </c>
      <c r="C480" s="105" t="s">
        <v>49</v>
      </c>
      <c r="D480" s="105">
        <v>5</v>
      </c>
      <c r="E480" s="18" t="s">
        <v>127</v>
      </c>
    </row>
    <row r="481" spans="1:5" x14ac:dyDescent="0.4">
      <c r="A481" s="104">
        <v>45769</v>
      </c>
      <c r="B481" s="139" t="s">
        <v>550</v>
      </c>
      <c r="C481" s="105" t="s">
        <v>49</v>
      </c>
      <c r="D481" s="105">
        <v>1</v>
      </c>
      <c r="E481" s="18" t="s">
        <v>127</v>
      </c>
    </row>
    <row r="482" spans="1:5" x14ac:dyDescent="0.4">
      <c r="A482" s="104">
        <v>45769</v>
      </c>
      <c r="B482" s="239" t="s">
        <v>512</v>
      </c>
      <c r="C482" s="105" t="s">
        <v>49</v>
      </c>
      <c r="D482" s="105">
        <v>6</v>
      </c>
      <c r="E482" s="18" t="s">
        <v>127</v>
      </c>
    </row>
    <row r="483" spans="1:5" x14ac:dyDescent="0.4">
      <c r="A483" s="104">
        <v>45769</v>
      </c>
      <c r="B483" s="139" t="s">
        <v>497</v>
      </c>
      <c r="C483" s="105" t="s">
        <v>49</v>
      </c>
      <c r="D483" s="105">
        <v>5</v>
      </c>
      <c r="E483" s="18" t="s">
        <v>127</v>
      </c>
    </row>
    <row r="484" spans="1:5" x14ac:dyDescent="0.4">
      <c r="A484" s="104">
        <v>45769</v>
      </c>
      <c r="B484" s="139" t="s">
        <v>390</v>
      </c>
      <c r="C484" s="105" t="s">
        <v>49</v>
      </c>
      <c r="D484" s="105">
        <v>6</v>
      </c>
      <c r="E484" s="18" t="s">
        <v>127</v>
      </c>
    </row>
    <row r="485" spans="1:5" x14ac:dyDescent="0.4">
      <c r="A485" s="104">
        <v>45769</v>
      </c>
      <c r="B485" s="139" t="s">
        <v>390</v>
      </c>
      <c r="C485" s="105" t="s">
        <v>49</v>
      </c>
      <c r="D485" s="105">
        <v>2</v>
      </c>
      <c r="E485" s="18" t="s">
        <v>127</v>
      </c>
    </row>
    <row r="486" spans="1:5" x14ac:dyDescent="0.4">
      <c r="A486" s="104">
        <v>45769</v>
      </c>
      <c r="B486" s="139" t="s">
        <v>390</v>
      </c>
      <c r="C486" s="105" t="s">
        <v>49</v>
      </c>
      <c r="D486" s="105">
        <v>4</v>
      </c>
      <c r="E486" s="18" t="s">
        <v>127</v>
      </c>
    </row>
    <row r="487" spans="1:5" x14ac:dyDescent="0.4">
      <c r="A487" s="104">
        <v>45769</v>
      </c>
      <c r="B487" s="139" t="s">
        <v>390</v>
      </c>
      <c r="C487" s="105" t="s">
        <v>49</v>
      </c>
      <c r="D487" s="105">
        <v>4</v>
      </c>
      <c r="E487" s="18" t="s">
        <v>127</v>
      </c>
    </row>
    <row r="488" spans="1:5" x14ac:dyDescent="0.4">
      <c r="A488" s="104">
        <v>45769</v>
      </c>
      <c r="B488" s="139" t="s">
        <v>266</v>
      </c>
      <c r="C488" s="105" t="s">
        <v>49</v>
      </c>
      <c r="D488" s="105">
        <v>3</v>
      </c>
      <c r="E488" s="18" t="s">
        <v>127</v>
      </c>
    </row>
    <row r="489" spans="1:5" x14ac:dyDescent="0.4">
      <c r="A489" s="104">
        <v>45769</v>
      </c>
      <c r="B489" s="139" t="s">
        <v>266</v>
      </c>
      <c r="C489" s="105" t="s">
        <v>49</v>
      </c>
      <c r="D489" s="105">
        <v>6</v>
      </c>
      <c r="E489" s="18" t="s">
        <v>127</v>
      </c>
    </row>
    <row r="491" spans="1:5" x14ac:dyDescent="0.4">
      <c r="A491" s="104">
        <v>45769</v>
      </c>
      <c r="B491" s="139" t="s">
        <v>87</v>
      </c>
      <c r="C491" s="105" t="s">
        <v>49</v>
      </c>
      <c r="D491" s="105">
        <v>2</v>
      </c>
      <c r="E491" s="18" t="s">
        <v>127</v>
      </c>
    </row>
    <row r="492" spans="1:5" x14ac:dyDescent="0.4">
      <c r="A492" s="104">
        <v>45769</v>
      </c>
      <c r="B492" s="139" t="s">
        <v>303</v>
      </c>
      <c r="C492" s="105" t="s">
        <v>49</v>
      </c>
      <c r="D492" s="105">
        <v>17</v>
      </c>
      <c r="E492" s="18" t="s">
        <v>127</v>
      </c>
    </row>
    <row r="493" spans="1:5" x14ac:dyDescent="0.4">
      <c r="A493" s="104">
        <v>45769</v>
      </c>
      <c r="B493" s="239" t="s">
        <v>512</v>
      </c>
      <c r="C493" s="105" t="s">
        <v>49</v>
      </c>
      <c r="D493" s="105">
        <v>1</v>
      </c>
      <c r="E493" s="18" t="s">
        <v>127</v>
      </c>
    </row>
    <row r="494" spans="1:5" x14ac:dyDescent="0.4">
      <c r="A494" s="104">
        <v>45769</v>
      </c>
      <c r="B494" s="239" t="s">
        <v>513</v>
      </c>
      <c r="C494" s="105" t="s">
        <v>49</v>
      </c>
      <c r="D494" s="105">
        <v>1</v>
      </c>
      <c r="E494" s="18" t="s">
        <v>127</v>
      </c>
    </row>
    <row r="495" spans="1:5" x14ac:dyDescent="0.4">
      <c r="A495" s="104">
        <v>45769</v>
      </c>
      <c r="B495" s="139" t="s">
        <v>266</v>
      </c>
      <c r="C495" s="105" t="s">
        <v>49</v>
      </c>
      <c r="D495" s="105">
        <v>1</v>
      </c>
      <c r="E495" s="18" t="s">
        <v>127</v>
      </c>
    </row>
    <row r="496" spans="1:5" x14ac:dyDescent="0.4">
      <c r="A496" s="104">
        <v>45769</v>
      </c>
      <c r="B496" s="139" t="s">
        <v>380</v>
      </c>
      <c r="C496" s="105" t="s">
        <v>49</v>
      </c>
      <c r="D496" s="105">
        <v>1</v>
      </c>
      <c r="E496" s="18" t="s">
        <v>127</v>
      </c>
    </row>
    <row r="497" spans="1:5" x14ac:dyDescent="0.4">
      <c r="A497" s="104">
        <v>45769</v>
      </c>
      <c r="B497" s="139" t="s">
        <v>380</v>
      </c>
      <c r="C497" s="105" t="s">
        <v>49</v>
      </c>
      <c r="D497" s="105">
        <v>1</v>
      </c>
      <c r="E497" s="18" t="s">
        <v>127</v>
      </c>
    </row>
    <row r="498" spans="1:5" x14ac:dyDescent="0.4">
      <c r="A498" s="104">
        <v>45769</v>
      </c>
      <c r="B498" s="139" t="s">
        <v>266</v>
      </c>
      <c r="C498" s="105" t="s">
        <v>49</v>
      </c>
      <c r="D498" s="105">
        <v>3</v>
      </c>
      <c r="E498" s="18" t="s">
        <v>127</v>
      </c>
    </row>
    <row r="499" spans="1:5" x14ac:dyDescent="0.4">
      <c r="A499" s="104">
        <v>45769</v>
      </c>
      <c r="B499" s="139" t="s">
        <v>87</v>
      </c>
      <c r="C499" s="105" t="s">
        <v>49</v>
      </c>
      <c r="D499" s="105">
        <v>3</v>
      </c>
      <c r="E499" s="18" t="s">
        <v>127</v>
      </c>
    </row>
    <row r="500" spans="1:5" x14ac:dyDescent="0.4">
      <c r="A500" s="104">
        <v>45769</v>
      </c>
      <c r="B500" s="139" t="s">
        <v>303</v>
      </c>
      <c r="C500" s="105" t="s">
        <v>49</v>
      </c>
      <c r="D500" s="105">
        <v>1</v>
      </c>
      <c r="E500" s="18" t="s">
        <v>127</v>
      </c>
    </row>
    <row r="502" spans="1:5" x14ac:dyDescent="0.4">
      <c r="A502" s="82">
        <v>45769</v>
      </c>
      <c r="B502" s="94" t="s">
        <v>170</v>
      </c>
      <c r="C502" s="43" t="s">
        <v>121</v>
      </c>
      <c r="D502" s="43">
        <v>-1</v>
      </c>
      <c r="E502" s="18" t="s">
        <v>127</v>
      </c>
    </row>
    <row r="503" spans="1:5" x14ac:dyDescent="0.4">
      <c r="A503" s="82">
        <v>45769</v>
      </c>
      <c r="B503" s="94" t="s">
        <v>171</v>
      </c>
      <c r="C503" s="43" t="s">
        <v>121</v>
      </c>
      <c r="D503" s="43">
        <v>-1</v>
      </c>
      <c r="E503" s="18" t="s">
        <v>127</v>
      </c>
    </row>
    <row r="504" spans="1:5" x14ac:dyDescent="0.4">
      <c r="A504" s="82">
        <v>45769</v>
      </c>
      <c r="B504" s="94" t="s">
        <v>172</v>
      </c>
      <c r="C504" s="43" t="s">
        <v>121</v>
      </c>
      <c r="D504" s="43">
        <v>-1</v>
      </c>
      <c r="E504" s="18" t="s">
        <v>127</v>
      </c>
    </row>
    <row r="505" spans="1:5" x14ac:dyDescent="0.4">
      <c r="A505" s="82">
        <v>45769</v>
      </c>
      <c r="B505" s="94" t="s">
        <v>173</v>
      </c>
      <c r="C505" s="43" t="s">
        <v>121</v>
      </c>
      <c r="D505" s="43">
        <v>-1</v>
      </c>
      <c r="E505" s="18" t="s">
        <v>127</v>
      </c>
    </row>
    <row r="507" spans="1:5" x14ac:dyDescent="0.4">
      <c r="A507" s="82">
        <v>45770</v>
      </c>
      <c r="B507" s="85" t="s">
        <v>529</v>
      </c>
      <c r="C507" s="43" t="s">
        <v>121</v>
      </c>
      <c r="D507" s="43">
        <v>-1</v>
      </c>
      <c r="E507" s="18" t="s">
        <v>127</v>
      </c>
    </row>
    <row r="508" spans="1:5" x14ac:dyDescent="0.4">
      <c r="A508" s="82">
        <v>45770</v>
      </c>
      <c r="B508" s="85" t="s">
        <v>529</v>
      </c>
      <c r="C508" s="43" t="s">
        <v>121</v>
      </c>
      <c r="D508" s="43">
        <v>-1</v>
      </c>
      <c r="E508" s="18" t="s">
        <v>127</v>
      </c>
    </row>
    <row r="509" spans="1:5" x14ac:dyDescent="0.4">
      <c r="A509" s="82">
        <v>45770</v>
      </c>
      <c r="B509" s="94" t="s">
        <v>171</v>
      </c>
      <c r="C509" s="43" t="s">
        <v>121</v>
      </c>
      <c r="D509" s="43">
        <v>-2</v>
      </c>
      <c r="E509" s="18" t="s">
        <v>127</v>
      </c>
    </row>
    <row r="510" spans="1:5" x14ac:dyDescent="0.4">
      <c r="A510" s="82">
        <v>45770</v>
      </c>
      <c r="B510" s="85" t="s">
        <v>136</v>
      </c>
      <c r="C510" s="43" t="s">
        <v>121</v>
      </c>
      <c r="D510" s="43">
        <v>-1</v>
      </c>
      <c r="E510" s="18" t="s">
        <v>127</v>
      </c>
    </row>
    <row r="511" spans="1:5" x14ac:dyDescent="0.4">
      <c r="A511" s="82">
        <v>45770</v>
      </c>
      <c r="B511" s="85" t="s">
        <v>136</v>
      </c>
      <c r="C511" s="43" t="s">
        <v>121</v>
      </c>
      <c r="D511" s="43">
        <v>-1</v>
      </c>
      <c r="E511" s="18" t="s">
        <v>127</v>
      </c>
    </row>
    <row r="513" spans="1:5" x14ac:dyDescent="0.4">
      <c r="A513" s="82">
        <v>45770</v>
      </c>
      <c r="B513" s="94" t="s">
        <v>86</v>
      </c>
      <c r="C513" s="43" t="s">
        <v>121</v>
      </c>
      <c r="D513" s="43">
        <v>-1</v>
      </c>
      <c r="E513" s="18" t="s">
        <v>127</v>
      </c>
    </row>
    <row r="514" spans="1:5" x14ac:dyDescent="0.4">
      <c r="A514" s="82">
        <v>45770</v>
      </c>
      <c r="B514" s="94" t="s">
        <v>334</v>
      </c>
      <c r="C514" s="43" t="s">
        <v>121</v>
      </c>
      <c r="D514" s="43">
        <v>-7</v>
      </c>
      <c r="E514" s="18" t="s">
        <v>127</v>
      </c>
    </row>
    <row r="516" spans="1:5" x14ac:dyDescent="0.4">
      <c r="A516" s="219">
        <v>45771</v>
      </c>
      <c r="B516" s="241" t="s">
        <v>529</v>
      </c>
      <c r="C516" s="240" t="s">
        <v>275</v>
      </c>
      <c r="D516" s="240">
        <v>2</v>
      </c>
      <c r="E516" s="222" t="s">
        <v>127</v>
      </c>
    </row>
    <row r="517" spans="1:5" x14ac:dyDescent="0.4">
      <c r="A517" s="219">
        <v>45771</v>
      </c>
      <c r="B517" s="241" t="s">
        <v>136</v>
      </c>
      <c r="C517" s="240" t="s">
        <v>275</v>
      </c>
      <c r="D517" s="240">
        <v>2</v>
      </c>
      <c r="E517" s="222" t="s">
        <v>127</v>
      </c>
    </row>
    <row r="519" spans="1:5" x14ac:dyDescent="0.4">
      <c r="A519" s="104">
        <v>45771</v>
      </c>
      <c r="B519" s="239" t="s">
        <v>512</v>
      </c>
      <c r="C519" s="105" t="s">
        <v>49</v>
      </c>
      <c r="D519" s="105">
        <v>4</v>
      </c>
      <c r="E519" s="18" t="s">
        <v>127</v>
      </c>
    </row>
    <row r="520" spans="1:5" x14ac:dyDescent="0.4">
      <c r="A520" s="104">
        <v>45771</v>
      </c>
      <c r="B520" s="239" t="s">
        <v>513</v>
      </c>
      <c r="C520" s="105" t="s">
        <v>49</v>
      </c>
      <c r="D520" s="105">
        <v>4</v>
      </c>
      <c r="E520" s="18" t="s">
        <v>127</v>
      </c>
    </row>
    <row r="521" spans="1:5" x14ac:dyDescent="0.4">
      <c r="A521" s="104">
        <v>45771</v>
      </c>
      <c r="B521" s="139" t="s">
        <v>390</v>
      </c>
      <c r="C521" s="105" t="s">
        <v>49</v>
      </c>
      <c r="D521" s="105">
        <v>3</v>
      </c>
      <c r="E521" s="18" t="s">
        <v>127</v>
      </c>
    </row>
    <row r="522" spans="1:5" x14ac:dyDescent="0.4">
      <c r="A522" s="104">
        <v>45771</v>
      </c>
      <c r="B522" s="139" t="s">
        <v>598</v>
      </c>
      <c r="C522" s="105" t="s">
        <v>49</v>
      </c>
      <c r="D522" s="105">
        <v>12</v>
      </c>
      <c r="E522" s="18" t="s">
        <v>127</v>
      </c>
    </row>
    <row r="523" spans="1:5" x14ac:dyDescent="0.4">
      <c r="A523" s="104">
        <v>45771</v>
      </c>
      <c r="B523" s="139" t="s">
        <v>497</v>
      </c>
      <c r="C523" s="105" t="s">
        <v>49</v>
      </c>
      <c r="D523" s="105">
        <v>15</v>
      </c>
      <c r="E523" s="18" t="s">
        <v>127</v>
      </c>
    </row>
    <row r="524" spans="1:5" x14ac:dyDescent="0.4">
      <c r="A524" s="104">
        <v>45771</v>
      </c>
      <c r="B524" s="139" t="s">
        <v>598</v>
      </c>
      <c r="C524" s="105" t="s">
        <v>49</v>
      </c>
      <c r="D524" s="105">
        <v>35</v>
      </c>
      <c r="E524" s="18" t="s">
        <v>127</v>
      </c>
    </row>
    <row r="525" spans="1:5" x14ac:dyDescent="0.4">
      <c r="A525" s="104">
        <v>45771</v>
      </c>
      <c r="B525" s="139" t="s">
        <v>597</v>
      </c>
      <c r="C525" s="105" t="s">
        <v>49</v>
      </c>
      <c r="D525" s="105">
        <v>1</v>
      </c>
      <c r="E525" s="18" t="s">
        <v>127</v>
      </c>
    </row>
    <row r="526" spans="1:5" x14ac:dyDescent="0.4">
      <c r="A526" s="104">
        <v>45771</v>
      </c>
      <c r="B526" s="139" t="s">
        <v>124</v>
      </c>
      <c r="C526" s="105" t="s">
        <v>49</v>
      </c>
      <c r="D526" s="105">
        <v>2</v>
      </c>
      <c r="E526" s="18" t="s">
        <v>127</v>
      </c>
    </row>
    <row r="527" spans="1:5" x14ac:dyDescent="0.4">
      <c r="A527" s="104">
        <v>45771</v>
      </c>
      <c r="B527" s="139" t="s">
        <v>550</v>
      </c>
      <c r="C527" s="105" t="s">
        <v>49</v>
      </c>
      <c r="D527" s="105">
        <v>4</v>
      </c>
      <c r="E527" s="18" t="s">
        <v>127</v>
      </c>
    </row>
    <row r="528" spans="1:5" x14ac:dyDescent="0.4">
      <c r="A528" s="104">
        <v>45771</v>
      </c>
      <c r="B528" s="139" t="s">
        <v>123</v>
      </c>
      <c r="C528" s="105" t="s">
        <v>49</v>
      </c>
      <c r="D528" s="105">
        <v>4</v>
      </c>
      <c r="E528" s="18" t="s">
        <v>127</v>
      </c>
    </row>
    <row r="529" spans="1:6" x14ac:dyDescent="0.4">
      <c r="A529" s="104">
        <v>45771</v>
      </c>
      <c r="B529" s="139" t="s">
        <v>390</v>
      </c>
      <c r="C529" s="105" t="s">
        <v>49</v>
      </c>
      <c r="D529" s="105">
        <v>3</v>
      </c>
      <c r="E529" s="18" t="s">
        <v>127</v>
      </c>
    </row>
    <row r="530" spans="1:6" x14ac:dyDescent="0.4">
      <c r="A530" s="104">
        <v>45771</v>
      </c>
      <c r="B530" s="239" t="s">
        <v>513</v>
      </c>
      <c r="C530" s="105" t="s">
        <v>49</v>
      </c>
      <c r="D530" s="105">
        <v>2</v>
      </c>
      <c r="E530" s="18" t="s">
        <v>127</v>
      </c>
    </row>
    <row r="531" spans="1:6" x14ac:dyDescent="0.4">
      <c r="A531" s="104">
        <v>45771</v>
      </c>
      <c r="B531" s="139" t="s">
        <v>266</v>
      </c>
      <c r="C531" s="105" t="s">
        <v>49</v>
      </c>
      <c r="D531" s="105">
        <v>2</v>
      </c>
      <c r="E531" s="18" t="s">
        <v>127</v>
      </c>
    </row>
    <row r="533" spans="1:6" x14ac:dyDescent="0.4">
      <c r="A533" s="104">
        <v>45775</v>
      </c>
      <c r="B533" s="139" t="s">
        <v>390</v>
      </c>
      <c r="C533" s="105" t="s">
        <v>49</v>
      </c>
      <c r="D533" s="105">
        <v>3</v>
      </c>
      <c r="E533" s="18" t="s">
        <v>127</v>
      </c>
    </row>
    <row r="534" spans="1:6" x14ac:dyDescent="0.4">
      <c r="A534" s="104">
        <v>45775</v>
      </c>
      <c r="B534" s="239" t="s">
        <v>513</v>
      </c>
      <c r="C534" s="105" t="s">
        <v>49</v>
      </c>
      <c r="D534" s="105">
        <v>2</v>
      </c>
      <c r="E534" s="18" t="s">
        <v>127</v>
      </c>
    </row>
    <row r="535" spans="1:6" x14ac:dyDescent="0.4">
      <c r="A535" s="104">
        <v>45775</v>
      </c>
      <c r="B535" s="239" t="s">
        <v>512</v>
      </c>
      <c r="C535" s="105" t="s">
        <v>49</v>
      </c>
      <c r="D535" s="105">
        <v>1</v>
      </c>
      <c r="E535" s="18" t="s">
        <v>127</v>
      </c>
    </row>
    <row r="536" spans="1:6" x14ac:dyDescent="0.4">
      <c r="A536" s="104">
        <v>45775</v>
      </c>
      <c r="B536" s="239" t="s">
        <v>513</v>
      </c>
      <c r="C536" s="105" t="s">
        <v>49</v>
      </c>
      <c r="D536" s="105">
        <v>2</v>
      </c>
      <c r="E536" s="18" t="s">
        <v>127</v>
      </c>
    </row>
    <row r="537" spans="1:6" x14ac:dyDescent="0.4">
      <c r="A537" s="104">
        <v>45775</v>
      </c>
      <c r="B537" s="239" t="s">
        <v>512</v>
      </c>
      <c r="C537" s="105" t="s">
        <v>49</v>
      </c>
      <c r="D537" s="105">
        <v>2</v>
      </c>
      <c r="E537" s="18" t="s">
        <v>127</v>
      </c>
    </row>
    <row r="538" spans="1:6" x14ac:dyDescent="0.4">
      <c r="A538" s="104">
        <v>45775</v>
      </c>
      <c r="B538" s="139" t="s">
        <v>390</v>
      </c>
      <c r="C538" s="105" t="s">
        <v>49</v>
      </c>
      <c r="D538" s="105">
        <v>1</v>
      </c>
      <c r="E538" s="18" t="s">
        <v>127</v>
      </c>
    </row>
    <row r="540" spans="1:6" x14ac:dyDescent="0.4">
      <c r="A540" s="104">
        <v>45771</v>
      </c>
      <c r="B540" s="139" t="s">
        <v>266</v>
      </c>
      <c r="C540" s="105" t="s">
        <v>49</v>
      </c>
      <c r="D540" s="105"/>
      <c r="E540" t="s">
        <v>609</v>
      </c>
    </row>
    <row r="542" spans="1:6" x14ac:dyDescent="0.4">
      <c r="A542" s="82">
        <v>45776</v>
      </c>
      <c r="B542" s="85" t="s">
        <v>133</v>
      </c>
      <c r="C542" s="43" t="s">
        <v>121</v>
      </c>
      <c r="D542" s="43"/>
      <c r="E542" s="18" t="s">
        <v>127</v>
      </c>
      <c r="F542" t="s">
        <v>647</v>
      </c>
    </row>
    <row r="543" spans="1:6" x14ac:dyDescent="0.4">
      <c r="A543" s="82">
        <v>45776</v>
      </c>
      <c r="B543" s="94" t="s">
        <v>87</v>
      </c>
      <c r="C543" s="43" t="s">
        <v>121</v>
      </c>
      <c r="D543" s="43">
        <v>-2</v>
      </c>
      <c r="E543" s="18" t="s">
        <v>127</v>
      </c>
    </row>
    <row r="545" spans="1:6" x14ac:dyDescent="0.4">
      <c r="A545" s="104">
        <v>45776</v>
      </c>
      <c r="B545" s="139" t="s">
        <v>266</v>
      </c>
      <c r="C545" s="105" t="s">
        <v>49</v>
      </c>
      <c r="D545" s="105">
        <v>6</v>
      </c>
      <c r="E545" s="95" t="s">
        <v>127</v>
      </c>
      <c r="F545" t="s">
        <v>625</v>
      </c>
    </row>
    <row r="546" spans="1:6" x14ac:dyDescent="0.4">
      <c r="A546" s="104">
        <v>45777</v>
      </c>
      <c r="B546" s="139" t="s">
        <v>390</v>
      </c>
      <c r="C546" s="105" t="s">
        <v>49</v>
      </c>
      <c r="D546" s="105">
        <v>2</v>
      </c>
      <c r="E546" s="95" t="s">
        <v>127</v>
      </c>
    </row>
    <row r="548" spans="1:6" x14ac:dyDescent="0.4">
      <c r="A548" s="82">
        <v>45777</v>
      </c>
      <c r="B548" s="94" t="s">
        <v>390</v>
      </c>
      <c r="C548" s="43" t="s">
        <v>121</v>
      </c>
      <c r="D548" s="43">
        <v>-4</v>
      </c>
      <c r="E548" s="18" t="s">
        <v>127</v>
      </c>
    </row>
    <row r="549" spans="1:6" x14ac:dyDescent="0.4">
      <c r="A549" s="82">
        <v>45777</v>
      </c>
      <c r="B549" s="94" t="s">
        <v>123</v>
      </c>
      <c r="C549" s="43" t="s">
        <v>121</v>
      </c>
      <c r="D549" s="43">
        <v>-6</v>
      </c>
      <c r="E549" s="18" t="s">
        <v>127</v>
      </c>
    </row>
    <row r="550" spans="1:6" x14ac:dyDescent="0.4">
      <c r="A550" s="82">
        <v>45777</v>
      </c>
      <c r="B550" s="85" t="s">
        <v>124</v>
      </c>
      <c r="C550" s="43" t="s">
        <v>121</v>
      </c>
      <c r="D550" s="43">
        <v>-2</v>
      </c>
      <c r="E550" s="18" t="s">
        <v>127</v>
      </c>
    </row>
    <row r="551" spans="1:6" x14ac:dyDescent="0.4">
      <c r="A551" s="82"/>
      <c r="B551" s="94"/>
      <c r="C551" s="43"/>
      <c r="D551" s="43"/>
      <c r="E551" s="18"/>
    </row>
    <row r="552" spans="1:6" x14ac:dyDescent="0.4">
      <c r="A552" s="82"/>
      <c r="B552" s="94"/>
      <c r="C552" s="43"/>
      <c r="D552" s="43"/>
      <c r="E552" s="18"/>
    </row>
    <row r="553" spans="1:6" x14ac:dyDescent="0.4">
      <c r="A553" s="82">
        <v>45777</v>
      </c>
      <c r="B553" s="85" t="s">
        <v>512</v>
      </c>
      <c r="C553" s="43" t="s">
        <v>121</v>
      </c>
      <c r="D553" s="43">
        <v>-6</v>
      </c>
      <c r="E553" s="18" t="s">
        <v>127</v>
      </c>
    </row>
    <row r="554" spans="1:6" x14ac:dyDescent="0.4">
      <c r="A554" s="82">
        <v>45777</v>
      </c>
      <c r="B554" s="85" t="s">
        <v>513</v>
      </c>
      <c r="C554" s="43" t="s">
        <v>121</v>
      </c>
      <c r="D554" s="43">
        <v>-4</v>
      </c>
      <c r="E554" s="18" t="s">
        <v>127</v>
      </c>
    </row>
    <row r="555" spans="1:6" x14ac:dyDescent="0.4">
      <c r="A555" s="82">
        <v>45777</v>
      </c>
      <c r="B555" s="85" t="s">
        <v>512</v>
      </c>
      <c r="C555" s="43" t="s">
        <v>121</v>
      </c>
      <c r="D555" s="43">
        <v>-1</v>
      </c>
      <c r="E555" s="18" t="s">
        <v>127</v>
      </c>
    </row>
    <row r="556" spans="1:6" x14ac:dyDescent="0.4">
      <c r="A556" s="82">
        <v>45777</v>
      </c>
      <c r="B556" s="94" t="s">
        <v>380</v>
      </c>
      <c r="C556" s="43" t="s">
        <v>121</v>
      </c>
      <c r="D556" s="43">
        <v>-5</v>
      </c>
      <c r="E556" s="18" t="s">
        <v>127</v>
      </c>
    </row>
    <row r="557" spans="1:6" x14ac:dyDescent="0.4">
      <c r="A557" s="82">
        <v>45777</v>
      </c>
      <c r="B557" s="85" t="s">
        <v>513</v>
      </c>
      <c r="C557" s="43" t="s">
        <v>121</v>
      </c>
      <c r="D557" s="43">
        <v>-5</v>
      </c>
      <c r="E557" s="18" t="s">
        <v>127</v>
      </c>
    </row>
    <row r="559" spans="1:6" x14ac:dyDescent="0.4">
      <c r="A559" s="260">
        <v>45777</v>
      </c>
      <c r="B559" s="261" t="s">
        <v>482</v>
      </c>
      <c r="C559" s="263" t="s">
        <v>49</v>
      </c>
      <c r="D559" s="263">
        <v>10</v>
      </c>
      <c r="E559" s="262" t="s">
        <v>127</v>
      </c>
      <c r="F559" t="s">
        <v>630</v>
      </c>
    </row>
    <row r="561" spans="1:5" x14ac:dyDescent="0.4">
      <c r="A561" s="82">
        <v>45778</v>
      </c>
      <c r="B561" s="94" t="s">
        <v>303</v>
      </c>
      <c r="C561" s="43" t="s">
        <v>121</v>
      </c>
      <c r="D561" s="43">
        <v>-18</v>
      </c>
      <c r="E561" s="18" t="s">
        <v>127</v>
      </c>
    </row>
    <row r="563" spans="1:5" x14ac:dyDescent="0.4">
      <c r="A563" s="219">
        <v>45749</v>
      </c>
      <c r="B563" s="241" t="s">
        <v>136</v>
      </c>
      <c r="C563" s="240" t="s">
        <v>275</v>
      </c>
      <c r="D563" s="240">
        <v>4</v>
      </c>
      <c r="E563" s="18" t="s">
        <v>127</v>
      </c>
    </row>
    <row r="564" spans="1:5" x14ac:dyDescent="0.4">
      <c r="A564" s="82">
        <v>45779</v>
      </c>
      <c r="B564" s="85" t="s">
        <v>512</v>
      </c>
      <c r="C564" s="43" t="s">
        <v>121</v>
      </c>
      <c r="D564" s="43">
        <v>-2</v>
      </c>
      <c r="E564" s="18" t="s">
        <v>127</v>
      </c>
    </row>
    <row r="565" spans="1:5" x14ac:dyDescent="0.4">
      <c r="A565" s="82">
        <v>45779</v>
      </c>
      <c r="B565" s="85" t="s">
        <v>512</v>
      </c>
      <c r="C565" s="43" t="s">
        <v>121</v>
      </c>
      <c r="D565" s="43">
        <v>-2</v>
      </c>
      <c r="E565" s="18" t="s">
        <v>127</v>
      </c>
    </row>
    <row r="566" spans="1:5" x14ac:dyDescent="0.4">
      <c r="A566" s="82">
        <v>45779</v>
      </c>
      <c r="B566" s="85" t="s">
        <v>513</v>
      </c>
      <c r="C566" s="43" t="s">
        <v>121</v>
      </c>
      <c r="D566" s="43">
        <v>-2</v>
      </c>
      <c r="E566" s="18" t="s">
        <v>127</v>
      </c>
    </row>
    <row r="567" spans="1:5" x14ac:dyDescent="0.4">
      <c r="A567" s="82">
        <v>45779</v>
      </c>
      <c r="B567" s="85" t="s">
        <v>512</v>
      </c>
      <c r="C567" s="43" t="s">
        <v>121</v>
      </c>
      <c r="D567" s="43">
        <v>-1</v>
      </c>
      <c r="E567" s="18" t="s">
        <v>127</v>
      </c>
    </row>
    <row r="569" spans="1:5" x14ac:dyDescent="0.4">
      <c r="A569" s="104">
        <v>45779</v>
      </c>
      <c r="B569" s="139" t="s">
        <v>390</v>
      </c>
      <c r="C569" s="105" t="s">
        <v>49</v>
      </c>
      <c r="D569" s="105">
        <v>2</v>
      </c>
      <c r="E569" s="18" t="s">
        <v>127</v>
      </c>
    </row>
    <row r="570" spans="1:5" x14ac:dyDescent="0.4">
      <c r="A570" s="104">
        <v>45779</v>
      </c>
      <c r="B570" s="139" t="s">
        <v>390</v>
      </c>
      <c r="C570" s="105" t="s">
        <v>49</v>
      </c>
      <c r="D570" s="105">
        <v>2</v>
      </c>
      <c r="E570" s="18" t="s">
        <v>127</v>
      </c>
    </row>
    <row r="571" spans="1:5" x14ac:dyDescent="0.4">
      <c r="A571" s="104">
        <v>45779</v>
      </c>
      <c r="B571" s="139" t="s">
        <v>390</v>
      </c>
      <c r="C571" s="105" t="s">
        <v>49</v>
      </c>
      <c r="D571" s="105">
        <v>2</v>
      </c>
      <c r="E571" s="18" t="s">
        <v>127</v>
      </c>
    </row>
    <row r="572" spans="1:5" x14ac:dyDescent="0.4">
      <c r="A572" s="104">
        <v>45779</v>
      </c>
      <c r="B572" s="139" t="s">
        <v>390</v>
      </c>
      <c r="C572" s="105" t="s">
        <v>49</v>
      </c>
      <c r="D572" s="105">
        <v>3</v>
      </c>
      <c r="E572" s="18" t="s">
        <v>127</v>
      </c>
    </row>
    <row r="574" spans="1:5" x14ac:dyDescent="0.4">
      <c r="A574" s="82">
        <v>45782</v>
      </c>
      <c r="B574" s="94" t="s">
        <v>266</v>
      </c>
      <c r="C574" s="43" t="s">
        <v>121</v>
      </c>
      <c r="D574" s="33">
        <v>-1</v>
      </c>
      <c r="E574" s="18" t="s">
        <v>127</v>
      </c>
    </row>
    <row r="575" spans="1:5" x14ac:dyDescent="0.4">
      <c r="A575" s="82">
        <v>45782</v>
      </c>
      <c r="B575" s="94" t="s">
        <v>266</v>
      </c>
      <c r="C575" s="43" t="s">
        <v>121</v>
      </c>
      <c r="D575" s="33">
        <v>-4</v>
      </c>
      <c r="E575" s="18" t="s">
        <v>127</v>
      </c>
    </row>
    <row r="576" spans="1:5" x14ac:dyDescent="0.4">
      <c r="A576" s="82">
        <v>45782</v>
      </c>
      <c r="B576" s="94" t="s">
        <v>380</v>
      </c>
      <c r="C576" s="43" t="s">
        <v>121</v>
      </c>
      <c r="D576" s="33">
        <v>-1</v>
      </c>
      <c r="E576" s="18" t="s">
        <v>127</v>
      </c>
    </row>
    <row r="578" spans="1:6" x14ac:dyDescent="0.4">
      <c r="A578" s="82">
        <v>45782</v>
      </c>
      <c r="B578" s="94" t="s">
        <v>550</v>
      </c>
      <c r="C578" s="43" t="s">
        <v>121</v>
      </c>
      <c r="D578" s="33">
        <v>-5</v>
      </c>
      <c r="E578" s="18" t="s">
        <v>127</v>
      </c>
    </row>
    <row r="579" spans="1:6" x14ac:dyDescent="0.4">
      <c r="A579" s="82">
        <v>45782</v>
      </c>
      <c r="B579" s="94" t="s">
        <v>597</v>
      </c>
      <c r="C579" s="43" t="s">
        <v>121</v>
      </c>
      <c r="E579" s="18" t="s">
        <v>127</v>
      </c>
      <c r="F579" t="s">
        <v>646</v>
      </c>
    </row>
    <row r="580" spans="1:6" x14ac:dyDescent="0.4">
      <c r="A580" s="82">
        <v>45782</v>
      </c>
      <c r="B580" s="94" t="s">
        <v>390</v>
      </c>
      <c r="C580" s="43" t="s">
        <v>121</v>
      </c>
      <c r="D580" s="33">
        <v>-5</v>
      </c>
      <c r="E580" s="18" t="s">
        <v>127</v>
      </c>
    </row>
    <row r="581" spans="1:6" x14ac:dyDescent="0.4">
      <c r="A581" s="82">
        <v>45782</v>
      </c>
      <c r="B581" s="94" t="s">
        <v>390</v>
      </c>
      <c r="C581" s="43" t="s">
        <v>121</v>
      </c>
      <c r="D581" s="33">
        <v>-5</v>
      </c>
      <c r="E581" s="18" t="s">
        <v>127</v>
      </c>
    </row>
    <row r="582" spans="1:6" x14ac:dyDescent="0.4">
      <c r="A582" s="82">
        <v>45782</v>
      </c>
      <c r="B582" s="94" t="s">
        <v>87</v>
      </c>
      <c r="C582" s="43" t="s">
        <v>121</v>
      </c>
      <c r="D582" s="33">
        <v>-17</v>
      </c>
      <c r="E582" s="18" t="s">
        <v>127</v>
      </c>
    </row>
    <row r="583" spans="1:6" x14ac:dyDescent="0.4">
      <c r="A583" s="82">
        <v>45782</v>
      </c>
      <c r="B583" s="94" t="s">
        <v>598</v>
      </c>
      <c r="C583" s="43" t="s">
        <v>121</v>
      </c>
      <c r="D583" s="33">
        <v>-10</v>
      </c>
      <c r="E583" s="18" t="s">
        <v>127</v>
      </c>
    </row>
    <row r="584" spans="1:6" x14ac:dyDescent="0.4">
      <c r="A584" s="219">
        <v>45782</v>
      </c>
      <c r="B584" s="241" t="s">
        <v>638</v>
      </c>
      <c r="C584" s="242" t="s">
        <v>639</v>
      </c>
      <c r="D584" s="242">
        <v>108</v>
      </c>
      <c r="E584" s="222" t="s">
        <v>127</v>
      </c>
    </row>
    <row r="586" spans="1:6" x14ac:dyDescent="0.4">
      <c r="A586" s="82">
        <v>45783</v>
      </c>
      <c r="B586" s="85" t="s">
        <v>512</v>
      </c>
      <c r="C586" s="43" t="s">
        <v>121</v>
      </c>
      <c r="D586" s="43">
        <v>-3</v>
      </c>
      <c r="E586" s="18" t="s">
        <v>127</v>
      </c>
    </row>
    <row r="587" spans="1:6" x14ac:dyDescent="0.4">
      <c r="A587" s="82">
        <v>45783</v>
      </c>
      <c r="B587" s="94" t="s">
        <v>266</v>
      </c>
      <c r="C587" s="43" t="s">
        <v>121</v>
      </c>
      <c r="D587" s="43"/>
      <c r="E587" s="18" t="s">
        <v>127</v>
      </c>
      <c r="F587" t="s">
        <v>695</v>
      </c>
    </row>
    <row r="589" spans="1:6" x14ac:dyDescent="0.4">
      <c r="A589" s="219">
        <v>45784</v>
      </c>
      <c r="B589" s="241" t="s">
        <v>529</v>
      </c>
      <c r="C589" s="240" t="s">
        <v>275</v>
      </c>
      <c r="D589" s="240">
        <v>5</v>
      </c>
      <c r="E589" s="222" t="s">
        <v>127</v>
      </c>
    </row>
    <row r="591" spans="1:6" x14ac:dyDescent="0.4">
      <c r="A591" s="265">
        <v>45784</v>
      </c>
      <c r="B591" s="266" t="s">
        <v>76</v>
      </c>
      <c r="C591" s="267" t="s">
        <v>654</v>
      </c>
      <c r="D591" s="267">
        <v>147</v>
      </c>
      <c r="E591" s="269" t="s">
        <v>127</v>
      </c>
    </row>
    <row r="592" spans="1:6" x14ac:dyDescent="0.4">
      <c r="A592" s="265">
        <v>45784</v>
      </c>
      <c r="B592" s="268" t="s">
        <v>497</v>
      </c>
      <c r="C592" s="267" t="s">
        <v>654</v>
      </c>
      <c r="D592" s="267">
        <v>500</v>
      </c>
      <c r="E592" s="269" t="s">
        <v>127</v>
      </c>
    </row>
    <row r="593" spans="1:5" x14ac:dyDescent="0.4">
      <c r="A593" s="265">
        <v>45784</v>
      </c>
      <c r="B593" s="268" t="s">
        <v>123</v>
      </c>
      <c r="C593" s="267" t="s">
        <v>654</v>
      </c>
      <c r="D593" s="267">
        <v>200</v>
      </c>
      <c r="E593" s="269" t="s">
        <v>127</v>
      </c>
    </row>
    <row r="594" spans="1:5" x14ac:dyDescent="0.4">
      <c r="A594" s="265">
        <v>45784</v>
      </c>
      <c r="B594" s="266" t="s">
        <v>84</v>
      </c>
      <c r="C594" s="267" t="s">
        <v>654</v>
      </c>
      <c r="D594" s="267">
        <v>10</v>
      </c>
      <c r="E594" s="269" t="s">
        <v>127</v>
      </c>
    </row>
    <row r="595" spans="1:5" x14ac:dyDescent="0.4">
      <c r="A595" s="265">
        <v>45784</v>
      </c>
      <c r="B595" s="266" t="s">
        <v>84</v>
      </c>
      <c r="C595" s="267" t="s">
        <v>654</v>
      </c>
      <c r="D595" s="267">
        <v>10</v>
      </c>
      <c r="E595" s="269" t="s">
        <v>127</v>
      </c>
    </row>
    <row r="596" spans="1:5" x14ac:dyDescent="0.4">
      <c r="A596" s="265">
        <v>45784</v>
      </c>
      <c r="B596" s="266" t="s">
        <v>84</v>
      </c>
      <c r="C596" s="267" t="s">
        <v>654</v>
      </c>
      <c r="D596" s="267">
        <v>2</v>
      </c>
      <c r="E596" s="269" t="s">
        <v>127</v>
      </c>
    </row>
    <row r="597" spans="1:5" x14ac:dyDescent="0.4">
      <c r="A597" s="265">
        <v>45784</v>
      </c>
      <c r="B597" s="266" t="s">
        <v>84</v>
      </c>
      <c r="C597" s="267" t="s">
        <v>654</v>
      </c>
      <c r="D597" s="267">
        <v>2</v>
      </c>
      <c r="E597" s="269" t="s">
        <v>127</v>
      </c>
    </row>
    <row r="598" spans="1:5" x14ac:dyDescent="0.4">
      <c r="A598" s="265">
        <v>45784</v>
      </c>
      <c r="B598" s="266" t="s">
        <v>84</v>
      </c>
      <c r="C598" s="267" t="s">
        <v>654</v>
      </c>
      <c r="D598" s="267">
        <v>10</v>
      </c>
      <c r="E598" s="269" t="s">
        <v>127</v>
      </c>
    </row>
    <row r="599" spans="1:5" x14ac:dyDescent="0.4">
      <c r="A599" s="265">
        <v>45784</v>
      </c>
      <c r="B599" s="266" t="s">
        <v>653</v>
      </c>
      <c r="C599" s="267" t="s">
        <v>654</v>
      </c>
      <c r="D599" s="267">
        <v>250</v>
      </c>
      <c r="E599" s="269" t="s">
        <v>127</v>
      </c>
    </row>
    <row r="600" spans="1:5" x14ac:dyDescent="0.4">
      <c r="A600" s="265">
        <v>45784</v>
      </c>
      <c r="B600" s="268" t="s">
        <v>497</v>
      </c>
      <c r="C600" s="267" t="s">
        <v>654</v>
      </c>
      <c r="D600" s="267">
        <v>200</v>
      </c>
      <c r="E600" s="269" t="s">
        <v>127</v>
      </c>
    </row>
    <row r="602" spans="1:5" x14ac:dyDescent="0.4">
      <c r="A602" s="82">
        <v>45785</v>
      </c>
      <c r="B602" s="94" t="s">
        <v>171</v>
      </c>
      <c r="C602" s="43" t="s">
        <v>121</v>
      </c>
      <c r="D602" s="43">
        <v>-2</v>
      </c>
      <c r="E602" s="18" t="s">
        <v>127</v>
      </c>
    </row>
    <row r="603" spans="1:5" x14ac:dyDescent="0.4">
      <c r="A603" s="82">
        <v>45785</v>
      </c>
      <c r="B603" s="94" t="s">
        <v>390</v>
      </c>
      <c r="C603" s="43" t="s">
        <v>121</v>
      </c>
      <c r="D603" s="43">
        <v>-31</v>
      </c>
      <c r="E603" s="18" t="s">
        <v>127</v>
      </c>
    </row>
    <row r="604" spans="1:5" x14ac:dyDescent="0.4">
      <c r="A604" s="82">
        <v>45785</v>
      </c>
      <c r="B604" s="94" t="s">
        <v>497</v>
      </c>
      <c r="C604" s="43" t="s">
        <v>121</v>
      </c>
      <c r="D604" s="43">
        <v>-11</v>
      </c>
      <c r="E604" s="18" t="s">
        <v>127</v>
      </c>
    </row>
    <row r="605" spans="1:5" x14ac:dyDescent="0.4">
      <c r="A605" s="82">
        <v>45785</v>
      </c>
      <c r="B605" s="94" t="s">
        <v>598</v>
      </c>
      <c r="C605" s="43" t="s">
        <v>121</v>
      </c>
      <c r="D605" s="43">
        <v>-13</v>
      </c>
      <c r="E605" s="18" t="s">
        <v>127</v>
      </c>
    </row>
    <row r="606" spans="1:5" x14ac:dyDescent="0.4">
      <c r="A606" s="82">
        <v>45785</v>
      </c>
      <c r="B606" s="94" t="s">
        <v>598</v>
      </c>
      <c r="C606" s="43" t="s">
        <v>121</v>
      </c>
      <c r="D606" s="43">
        <v>-12</v>
      </c>
      <c r="E606" s="18" t="s">
        <v>127</v>
      </c>
    </row>
    <row r="607" spans="1:5" x14ac:dyDescent="0.4">
      <c r="A607" s="82">
        <v>45785</v>
      </c>
      <c r="B607" s="94" t="s">
        <v>497</v>
      </c>
      <c r="C607" s="43" t="s">
        <v>121</v>
      </c>
      <c r="D607" s="43">
        <v>-15</v>
      </c>
      <c r="E607" s="18" t="s">
        <v>127</v>
      </c>
    </row>
    <row r="609" spans="1:6" x14ac:dyDescent="0.4">
      <c r="A609" s="82">
        <v>45786</v>
      </c>
      <c r="B609" s="94" t="s">
        <v>398</v>
      </c>
      <c r="C609" s="43" t="s">
        <v>121</v>
      </c>
      <c r="D609" s="43">
        <v>-3</v>
      </c>
      <c r="E609" s="18" t="s">
        <v>127</v>
      </c>
    </row>
    <row r="611" spans="1:6" x14ac:dyDescent="0.4">
      <c r="A611" s="82">
        <v>45787</v>
      </c>
      <c r="B611" s="94" t="s">
        <v>380</v>
      </c>
      <c r="C611" s="43" t="s">
        <v>121</v>
      </c>
      <c r="D611" s="43">
        <v>-2</v>
      </c>
      <c r="E611" s="18" t="s">
        <v>127</v>
      </c>
    </row>
    <row r="613" spans="1:6" x14ac:dyDescent="0.4">
      <c r="A613" s="219">
        <v>45789</v>
      </c>
      <c r="B613" s="253" t="s">
        <v>123</v>
      </c>
      <c r="C613" s="240" t="s">
        <v>275</v>
      </c>
      <c r="D613" s="240">
        <v>10</v>
      </c>
      <c r="E613" s="222" t="s">
        <v>127</v>
      </c>
    </row>
    <row r="614" spans="1:6" x14ac:dyDescent="0.4">
      <c r="A614" s="219">
        <v>45789</v>
      </c>
      <c r="B614" s="253" t="s">
        <v>123</v>
      </c>
      <c r="C614" s="240" t="s">
        <v>656</v>
      </c>
      <c r="D614" s="240">
        <v>2</v>
      </c>
      <c r="E614" s="222" t="s">
        <v>127</v>
      </c>
    </row>
    <row r="616" spans="1:6" x14ac:dyDescent="0.4">
      <c r="A616" s="271">
        <v>45789</v>
      </c>
      <c r="B616" s="94" t="s">
        <v>123</v>
      </c>
      <c r="C616" s="43" t="s">
        <v>121</v>
      </c>
      <c r="D616" s="43">
        <v>-12</v>
      </c>
      <c r="E616" s="18" t="s">
        <v>127</v>
      </c>
    </row>
    <row r="618" spans="1:6" x14ac:dyDescent="0.4">
      <c r="A618" s="271">
        <v>45790</v>
      </c>
      <c r="B618" s="94" t="s">
        <v>266</v>
      </c>
      <c r="C618" s="43" t="s">
        <v>121</v>
      </c>
      <c r="D618" s="43">
        <v>-1</v>
      </c>
      <c r="E618" s="18" t="s">
        <v>127</v>
      </c>
    </row>
    <row r="620" spans="1:6" x14ac:dyDescent="0.4">
      <c r="A620" s="271">
        <v>45791</v>
      </c>
      <c r="B620" s="94" t="s">
        <v>123</v>
      </c>
      <c r="C620" s="43" t="s">
        <v>121</v>
      </c>
      <c r="D620" s="43">
        <v>-25</v>
      </c>
      <c r="E620" s="18" t="s">
        <v>127</v>
      </c>
    </row>
    <row r="621" spans="1:6" x14ac:dyDescent="0.4">
      <c r="A621" s="271">
        <v>45791</v>
      </c>
      <c r="B621" s="93" t="s">
        <v>84</v>
      </c>
      <c r="C621" s="43" t="s">
        <v>121</v>
      </c>
      <c r="D621" s="43">
        <v>-18</v>
      </c>
      <c r="E621" s="18" t="s">
        <v>127</v>
      </c>
    </row>
    <row r="622" spans="1:6" x14ac:dyDescent="0.4">
      <c r="A622" s="271">
        <v>45791</v>
      </c>
      <c r="B622" s="94" t="s">
        <v>76</v>
      </c>
      <c r="C622" s="43" t="s">
        <v>121</v>
      </c>
      <c r="D622" s="43">
        <v>-115</v>
      </c>
      <c r="E622" s="18" t="s">
        <v>127</v>
      </c>
    </row>
    <row r="623" spans="1:6" x14ac:dyDescent="0.4">
      <c r="A623" s="271">
        <v>45791</v>
      </c>
      <c r="B623" s="94" t="s">
        <v>266</v>
      </c>
      <c r="C623" s="43" t="s">
        <v>121</v>
      </c>
      <c r="D623" s="43">
        <v>-5</v>
      </c>
      <c r="E623" s="18" t="s">
        <v>127</v>
      </c>
      <c r="F623" t="s">
        <v>696</v>
      </c>
    </row>
    <row r="624" spans="1:6" x14ac:dyDescent="0.4">
      <c r="A624" s="271">
        <v>45791</v>
      </c>
      <c r="B624" s="94" t="s">
        <v>266</v>
      </c>
      <c r="C624" s="43" t="s">
        <v>121</v>
      </c>
      <c r="D624" s="43">
        <v>-2</v>
      </c>
      <c r="E624" s="18" t="s">
        <v>127</v>
      </c>
      <c r="F624" t="s">
        <v>740</v>
      </c>
    </row>
    <row r="625" spans="1:5" x14ac:dyDescent="0.4">
      <c r="A625" s="271">
        <v>45791</v>
      </c>
      <c r="B625" s="94" t="s">
        <v>123</v>
      </c>
      <c r="C625" s="43" t="s">
        <v>121</v>
      </c>
      <c r="D625" s="43">
        <v>-30</v>
      </c>
      <c r="E625" s="18" t="s">
        <v>127</v>
      </c>
    </row>
    <row r="626" spans="1:5" x14ac:dyDescent="0.4">
      <c r="A626" s="271">
        <v>45791</v>
      </c>
      <c r="B626" s="94" t="s">
        <v>123</v>
      </c>
      <c r="C626" s="43" t="s">
        <v>121</v>
      </c>
      <c r="D626" s="43">
        <v>-20</v>
      </c>
      <c r="E626" s="18" t="s">
        <v>127</v>
      </c>
    </row>
    <row r="627" spans="1:5" x14ac:dyDescent="0.4">
      <c r="A627" s="271">
        <v>45791</v>
      </c>
      <c r="B627" s="94" t="s">
        <v>123</v>
      </c>
      <c r="C627" s="43" t="s">
        <v>121</v>
      </c>
      <c r="D627" s="43">
        <v>-40</v>
      </c>
      <c r="E627" s="18" t="s">
        <v>127</v>
      </c>
    </row>
    <row r="628" spans="1:5" x14ac:dyDescent="0.4">
      <c r="A628" s="271">
        <v>45791</v>
      </c>
      <c r="B628" s="94" t="s">
        <v>76</v>
      </c>
      <c r="C628" s="43" t="s">
        <v>121</v>
      </c>
      <c r="D628" s="43">
        <v>-32</v>
      </c>
      <c r="E628" s="18" t="s">
        <v>127</v>
      </c>
    </row>
    <row r="629" spans="1:5" x14ac:dyDescent="0.4">
      <c r="A629" s="271">
        <v>45791</v>
      </c>
      <c r="B629" s="94" t="s">
        <v>266</v>
      </c>
      <c r="C629" s="43" t="s">
        <v>121</v>
      </c>
      <c r="D629" s="43">
        <v>-2</v>
      </c>
      <c r="E629" s="18" t="s">
        <v>127</v>
      </c>
    </row>
    <row r="630" spans="1:5" x14ac:dyDescent="0.4">
      <c r="A630" s="271">
        <v>45791</v>
      </c>
      <c r="B630" s="94" t="s">
        <v>380</v>
      </c>
      <c r="C630" s="43" t="s">
        <v>121</v>
      </c>
      <c r="D630" s="43">
        <v>-2</v>
      </c>
      <c r="E630" s="18" t="s">
        <v>127</v>
      </c>
    </row>
    <row r="632" spans="1:5" x14ac:dyDescent="0.4">
      <c r="A632" s="271">
        <v>45792</v>
      </c>
      <c r="B632" s="94" t="s">
        <v>390</v>
      </c>
      <c r="C632" s="43" t="s">
        <v>121</v>
      </c>
      <c r="D632" s="43">
        <v>-8</v>
      </c>
      <c r="E632" s="18" t="s">
        <v>127</v>
      </c>
    </row>
    <row r="633" spans="1:5" x14ac:dyDescent="0.4">
      <c r="A633" s="271">
        <v>45792</v>
      </c>
      <c r="B633" s="94" t="s">
        <v>266</v>
      </c>
      <c r="C633" s="43" t="s">
        <v>121</v>
      </c>
      <c r="D633" s="43">
        <v>-2</v>
      </c>
      <c r="E633" s="18" t="s">
        <v>127</v>
      </c>
    </row>
    <row r="634" spans="1:5" x14ac:dyDescent="0.4">
      <c r="A634" s="271">
        <v>45792</v>
      </c>
      <c r="B634" s="93" t="s">
        <v>84</v>
      </c>
      <c r="C634" s="43" t="s">
        <v>121</v>
      </c>
      <c r="D634" s="33">
        <v>-16</v>
      </c>
      <c r="E634" s="18" t="s">
        <v>127</v>
      </c>
    </row>
    <row r="635" spans="1:5" x14ac:dyDescent="0.4">
      <c r="A635" s="265">
        <v>45785</v>
      </c>
      <c r="B635" s="266" t="s">
        <v>660</v>
      </c>
      <c r="C635" s="267" t="s">
        <v>654</v>
      </c>
      <c r="D635" s="267">
        <v>5</v>
      </c>
      <c r="E635" s="269" t="s">
        <v>127</v>
      </c>
    </row>
    <row r="636" spans="1:5" x14ac:dyDescent="0.4">
      <c r="A636" s="265">
        <v>45785</v>
      </c>
      <c r="B636" s="266" t="s">
        <v>661</v>
      </c>
      <c r="C636" s="267" t="s">
        <v>654</v>
      </c>
      <c r="D636" s="267">
        <v>5</v>
      </c>
      <c r="E636" s="269" t="s">
        <v>127</v>
      </c>
    </row>
    <row r="637" spans="1:5" x14ac:dyDescent="0.4">
      <c r="A637" s="265">
        <v>45785</v>
      </c>
      <c r="B637" s="272" t="s">
        <v>492</v>
      </c>
      <c r="C637" s="267" t="s">
        <v>654</v>
      </c>
      <c r="D637" s="267">
        <v>5</v>
      </c>
      <c r="E637" s="269" t="s">
        <v>127</v>
      </c>
    </row>
    <row r="639" spans="1:5" x14ac:dyDescent="0.4">
      <c r="A639" s="271">
        <v>45793</v>
      </c>
      <c r="B639" s="94" t="s">
        <v>497</v>
      </c>
      <c r="C639" s="273" t="s">
        <v>121</v>
      </c>
      <c r="D639" s="43">
        <v>-700</v>
      </c>
      <c r="E639" s="274" t="s">
        <v>127</v>
      </c>
    </row>
    <row r="640" spans="1:5" x14ac:dyDescent="0.4">
      <c r="A640" s="271">
        <v>45793</v>
      </c>
      <c r="B640" s="94" t="s">
        <v>123</v>
      </c>
      <c r="C640" s="273" t="s">
        <v>121</v>
      </c>
      <c r="D640" s="43">
        <v>-20</v>
      </c>
      <c r="E640" s="274" t="s">
        <v>127</v>
      </c>
    </row>
    <row r="642" spans="1:6" x14ac:dyDescent="0.4">
      <c r="A642" s="271">
        <v>45794</v>
      </c>
      <c r="B642" s="93" t="s">
        <v>661</v>
      </c>
      <c r="C642" s="43" t="s">
        <v>121</v>
      </c>
      <c r="D642" s="43">
        <v>-5</v>
      </c>
      <c r="E642" s="18" t="s">
        <v>127</v>
      </c>
    </row>
    <row r="643" spans="1:6" x14ac:dyDescent="0.4">
      <c r="A643" s="271">
        <v>45794</v>
      </c>
      <c r="B643" s="94" t="s">
        <v>123</v>
      </c>
      <c r="C643" s="273" t="s">
        <v>121</v>
      </c>
      <c r="D643" s="43">
        <v>-25</v>
      </c>
      <c r="E643" s="18" t="s">
        <v>127</v>
      </c>
    </row>
    <row r="644" spans="1:6" x14ac:dyDescent="0.4">
      <c r="A644" s="271">
        <v>45794</v>
      </c>
      <c r="B644" s="190" t="s">
        <v>653</v>
      </c>
      <c r="C644" s="273" t="s">
        <v>121</v>
      </c>
      <c r="D644" s="43">
        <v>-250</v>
      </c>
      <c r="E644" s="18" t="s">
        <v>127</v>
      </c>
    </row>
    <row r="645" spans="1:6" x14ac:dyDescent="0.4">
      <c r="A645" s="271">
        <v>45794</v>
      </c>
      <c r="B645" s="93" t="s">
        <v>82</v>
      </c>
      <c r="C645" s="273" t="s">
        <v>121</v>
      </c>
      <c r="D645" s="43"/>
      <c r="E645" s="18" t="s">
        <v>127</v>
      </c>
      <c r="F645" t="s">
        <v>739</v>
      </c>
    </row>
    <row r="647" spans="1:6" x14ac:dyDescent="0.4">
      <c r="A647" s="271">
        <v>45796</v>
      </c>
      <c r="B647" s="94" t="s">
        <v>123</v>
      </c>
      <c r="C647" s="273" t="s">
        <v>121</v>
      </c>
      <c r="D647" s="43">
        <v>-20</v>
      </c>
      <c r="E647" s="18" t="s">
        <v>127</v>
      </c>
    </row>
    <row r="648" spans="1:6" x14ac:dyDescent="0.4">
      <c r="A648" s="271">
        <v>45796</v>
      </c>
      <c r="B648" s="94" t="s">
        <v>660</v>
      </c>
      <c r="C648" s="273" t="s">
        <v>121</v>
      </c>
      <c r="D648" s="43">
        <v>-5</v>
      </c>
      <c r="E648" s="18" t="s">
        <v>127</v>
      </c>
    </row>
    <row r="649" spans="1:6" x14ac:dyDescent="0.4">
      <c r="A649" s="271">
        <v>45796</v>
      </c>
      <c r="B649" s="94" t="s">
        <v>266</v>
      </c>
      <c r="C649" s="43" t="s">
        <v>121</v>
      </c>
      <c r="D649" s="43">
        <v>-2</v>
      </c>
      <c r="E649" s="18" t="s">
        <v>127</v>
      </c>
    </row>
    <row r="650" spans="1:6" x14ac:dyDescent="0.4">
      <c r="A650" s="271">
        <v>45796</v>
      </c>
      <c r="B650" s="94" t="s">
        <v>380</v>
      </c>
      <c r="C650" s="43" t="s">
        <v>121</v>
      </c>
      <c r="D650" s="43">
        <v>-2</v>
      </c>
      <c r="E650" s="18" t="s">
        <v>127</v>
      </c>
    </row>
    <row r="652" spans="1:6" x14ac:dyDescent="0.4">
      <c r="A652" s="271">
        <v>45797</v>
      </c>
      <c r="B652" s="94" t="s">
        <v>380</v>
      </c>
      <c r="C652" s="43" t="s">
        <v>121</v>
      </c>
      <c r="D652" s="43">
        <v>-2</v>
      </c>
      <c r="E652" s="18" t="s">
        <v>127</v>
      </c>
    </row>
    <row r="653" spans="1:6" x14ac:dyDescent="0.4">
      <c r="A653" s="271">
        <v>45797</v>
      </c>
      <c r="B653" s="94" t="s">
        <v>123</v>
      </c>
      <c r="C653" s="273" t="s">
        <v>121</v>
      </c>
      <c r="D653" s="43">
        <v>-20</v>
      </c>
      <c r="E653" s="18" t="s">
        <v>127</v>
      </c>
    </row>
    <row r="655" spans="1:6" x14ac:dyDescent="0.4">
      <c r="A655" s="271">
        <v>45798</v>
      </c>
      <c r="B655" s="85" t="s">
        <v>638</v>
      </c>
      <c r="C655" s="273" t="s">
        <v>121</v>
      </c>
      <c r="D655" s="43">
        <v>-108</v>
      </c>
      <c r="E655" s="18" t="s">
        <v>127</v>
      </c>
    </row>
    <row r="657" spans="1:5" x14ac:dyDescent="0.4">
      <c r="A657" s="271">
        <v>45799</v>
      </c>
      <c r="B657" s="94" t="s">
        <v>266</v>
      </c>
      <c r="C657" s="43" t="s">
        <v>121</v>
      </c>
      <c r="D657" s="43">
        <v>-5</v>
      </c>
      <c r="E657" s="18" t="s">
        <v>127</v>
      </c>
    </row>
    <row r="658" spans="1:5" x14ac:dyDescent="0.4">
      <c r="A658" s="271">
        <v>45799</v>
      </c>
      <c r="B658" s="94" t="s">
        <v>380</v>
      </c>
      <c r="C658" s="43" t="s">
        <v>121</v>
      </c>
      <c r="D658" s="43">
        <v>-3</v>
      </c>
      <c r="E658" s="18" t="s">
        <v>127</v>
      </c>
    </row>
    <row r="659" spans="1:5" x14ac:dyDescent="0.4">
      <c r="A659" s="271">
        <v>45799</v>
      </c>
      <c r="B659" s="94" t="s">
        <v>266</v>
      </c>
      <c r="C659" s="43" t="s">
        <v>121</v>
      </c>
      <c r="D659" s="43">
        <v>-1</v>
      </c>
      <c r="E659" s="18" t="s">
        <v>127</v>
      </c>
    </row>
    <row r="660" spans="1:5" x14ac:dyDescent="0.4">
      <c r="A660" s="271">
        <v>45799</v>
      </c>
      <c r="B660" s="94" t="s">
        <v>266</v>
      </c>
      <c r="C660" s="43" t="s">
        <v>121</v>
      </c>
      <c r="D660" s="43">
        <v>-2</v>
      </c>
      <c r="E660" s="18" t="s">
        <v>127</v>
      </c>
    </row>
    <row r="661" spans="1:5" x14ac:dyDescent="0.4">
      <c r="A661" s="271">
        <v>45799</v>
      </c>
      <c r="B661" s="94" t="s">
        <v>266</v>
      </c>
      <c r="C661" s="43" t="s">
        <v>121</v>
      </c>
      <c r="D661" s="43">
        <v>-1</v>
      </c>
      <c r="E661" s="18" t="s">
        <v>127</v>
      </c>
    </row>
    <row r="663" spans="1:5" x14ac:dyDescent="0.4">
      <c r="A663" s="219">
        <v>45800</v>
      </c>
      <c r="B663" s="241" t="s">
        <v>136</v>
      </c>
      <c r="C663" s="240" t="s">
        <v>275</v>
      </c>
      <c r="D663" s="240">
        <v>3</v>
      </c>
      <c r="E663" s="222" t="s">
        <v>127</v>
      </c>
    </row>
    <row r="666" spans="1:5" x14ac:dyDescent="0.4">
      <c r="A666" s="278">
        <v>45796</v>
      </c>
      <c r="B666" s="139" t="s">
        <v>390</v>
      </c>
      <c r="C666" s="105" t="s">
        <v>49</v>
      </c>
      <c r="D666" s="105">
        <v>31</v>
      </c>
      <c r="E666" s="95" t="s">
        <v>127</v>
      </c>
    </row>
    <row r="667" spans="1:5" x14ac:dyDescent="0.4">
      <c r="A667" s="278">
        <v>45796</v>
      </c>
      <c r="B667" s="127" t="s">
        <v>689</v>
      </c>
      <c r="C667" s="105" t="s">
        <v>49</v>
      </c>
      <c r="D667" s="105">
        <v>2</v>
      </c>
      <c r="E667" s="95" t="s">
        <v>127</v>
      </c>
    </row>
    <row r="668" spans="1:5" x14ac:dyDescent="0.4">
      <c r="A668" s="278">
        <v>45796</v>
      </c>
      <c r="B668" s="127" t="s">
        <v>690</v>
      </c>
      <c r="C668" s="105" t="s">
        <v>49</v>
      </c>
      <c r="D668" s="105">
        <v>4</v>
      </c>
      <c r="E668" s="95" t="s">
        <v>127</v>
      </c>
    </row>
    <row r="669" spans="1:5" x14ac:dyDescent="0.4">
      <c r="A669" s="278">
        <v>45796</v>
      </c>
      <c r="B669" s="127" t="s">
        <v>691</v>
      </c>
      <c r="C669" s="105" t="s">
        <v>49</v>
      </c>
      <c r="D669" s="105">
        <v>1</v>
      </c>
      <c r="E669" s="95" t="s">
        <v>127</v>
      </c>
    </row>
    <row r="670" spans="1:5" x14ac:dyDescent="0.4">
      <c r="A670" s="278">
        <v>45796</v>
      </c>
      <c r="B670" s="239" t="s">
        <v>513</v>
      </c>
      <c r="C670" s="105" t="s">
        <v>49</v>
      </c>
      <c r="D670" s="105">
        <v>12</v>
      </c>
      <c r="E670" s="95" t="s">
        <v>127</v>
      </c>
    </row>
    <row r="671" spans="1:5" x14ac:dyDescent="0.4">
      <c r="A671" s="278">
        <v>45796</v>
      </c>
      <c r="B671" s="239" t="s">
        <v>512</v>
      </c>
      <c r="C671" s="105" t="s">
        <v>49</v>
      </c>
      <c r="D671" s="105">
        <v>10</v>
      </c>
      <c r="E671" s="95" t="s">
        <v>127</v>
      </c>
    </row>
    <row r="672" spans="1:5" x14ac:dyDescent="0.4">
      <c r="A672" s="278">
        <v>45796</v>
      </c>
      <c r="B672" s="139" t="s">
        <v>303</v>
      </c>
      <c r="C672" s="105" t="s">
        <v>49</v>
      </c>
      <c r="D672" s="105">
        <v>3</v>
      </c>
      <c r="E672" s="95" t="s">
        <v>127</v>
      </c>
    </row>
    <row r="673" spans="1:6" x14ac:dyDescent="0.4">
      <c r="A673" s="278">
        <v>45796</v>
      </c>
      <c r="B673" s="127" t="s">
        <v>681</v>
      </c>
      <c r="C673" s="105" t="s">
        <v>49</v>
      </c>
      <c r="D673" s="105">
        <v>3</v>
      </c>
      <c r="E673" s="95" t="s">
        <v>127</v>
      </c>
    </row>
    <row r="674" spans="1:6" x14ac:dyDescent="0.4">
      <c r="A674" s="278">
        <v>45796</v>
      </c>
      <c r="B674" s="127" t="s">
        <v>681</v>
      </c>
      <c r="C674" s="105" t="s">
        <v>49</v>
      </c>
      <c r="D674" s="105">
        <v>3</v>
      </c>
      <c r="E674" s="95" t="s">
        <v>127</v>
      </c>
    </row>
    <row r="675" spans="1:6" x14ac:dyDescent="0.4">
      <c r="A675" s="278">
        <v>45796</v>
      </c>
      <c r="B675" s="139" t="s">
        <v>390</v>
      </c>
      <c r="C675" s="105" t="s">
        <v>49</v>
      </c>
      <c r="D675" s="105">
        <v>4</v>
      </c>
      <c r="E675" s="95" t="s">
        <v>127</v>
      </c>
      <c r="F675" t="s">
        <v>703</v>
      </c>
    </row>
    <row r="676" spans="1:6" x14ac:dyDescent="0.4">
      <c r="A676" s="278">
        <v>45796</v>
      </c>
      <c r="B676" s="139" t="s">
        <v>692</v>
      </c>
      <c r="C676" s="105" t="s">
        <v>49</v>
      </c>
      <c r="D676" s="105">
        <v>2</v>
      </c>
      <c r="E676" s="95" t="s">
        <v>127</v>
      </c>
    </row>
    <row r="677" spans="1:6" x14ac:dyDescent="0.4">
      <c r="A677" s="278">
        <v>45796</v>
      </c>
      <c r="B677" s="127" t="s">
        <v>681</v>
      </c>
      <c r="C677" s="105" t="s">
        <v>49</v>
      </c>
      <c r="D677" s="105">
        <v>1</v>
      </c>
      <c r="E677" s="95" t="s">
        <v>127</v>
      </c>
    </row>
    <row r="678" spans="1:6" x14ac:dyDescent="0.4">
      <c r="A678" s="278">
        <v>45796</v>
      </c>
      <c r="B678" s="127" t="s">
        <v>690</v>
      </c>
      <c r="C678" s="105" t="s">
        <v>49</v>
      </c>
      <c r="D678" s="105">
        <v>4</v>
      </c>
      <c r="E678" s="95" t="s">
        <v>127</v>
      </c>
    </row>
    <row r="679" spans="1:6" x14ac:dyDescent="0.4">
      <c r="A679" s="278">
        <v>45796</v>
      </c>
      <c r="B679" s="127" t="s">
        <v>681</v>
      </c>
      <c r="C679" s="105" t="s">
        <v>49</v>
      </c>
      <c r="D679" s="105">
        <v>2</v>
      </c>
      <c r="E679" s="95" t="s">
        <v>127</v>
      </c>
    </row>
    <row r="680" spans="1:6" x14ac:dyDescent="0.4">
      <c r="A680" s="278">
        <v>45796</v>
      </c>
      <c r="B680" s="127" t="s">
        <v>681</v>
      </c>
      <c r="C680" s="105" t="s">
        <v>49</v>
      </c>
      <c r="D680" s="105">
        <v>2</v>
      </c>
      <c r="E680" s="95" t="s">
        <v>127</v>
      </c>
    </row>
    <row r="681" spans="1:6" x14ac:dyDescent="0.4">
      <c r="A681" s="278">
        <v>45796</v>
      </c>
      <c r="B681" s="127" t="s">
        <v>681</v>
      </c>
      <c r="C681" s="105" t="s">
        <v>49</v>
      </c>
      <c r="D681" s="105">
        <v>50</v>
      </c>
      <c r="E681" s="95" t="s">
        <v>127</v>
      </c>
    </row>
    <row r="682" spans="1:6" x14ac:dyDescent="0.4">
      <c r="A682" s="278">
        <v>45796</v>
      </c>
      <c r="B682" s="127" t="s">
        <v>661</v>
      </c>
      <c r="C682" s="105" t="s">
        <v>49</v>
      </c>
      <c r="D682" s="105">
        <v>5</v>
      </c>
      <c r="E682" s="95" t="s">
        <v>127</v>
      </c>
    </row>
    <row r="683" spans="1:6" x14ac:dyDescent="0.4">
      <c r="A683" s="278">
        <v>45796</v>
      </c>
      <c r="B683" s="127" t="s">
        <v>661</v>
      </c>
      <c r="C683" s="105" t="s">
        <v>49</v>
      </c>
      <c r="D683" s="105">
        <v>5</v>
      </c>
      <c r="E683" s="95" t="s">
        <v>127</v>
      </c>
    </row>
    <row r="684" spans="1:6" x14ac:dyDescent="0.4">
      <c r="A684" s="278">
        <v>45796</v>
      </c>
      <c r="B684" s="127" t="s">
        <v>681</v>
      </c>
      <c r="C684" s="105" t="s">
        <v>49</v>
      </c>
      <c r="D684" s="105">
        <v>30</v>
      </c>
      <c r="E684" s="95" t="s">
        <v>127</v>
      </c>
    </row>
    <row r="686" spans="1:6" x14ac:dyDescent="0.4">
      <c r="A686" s="271">
        <v>45801</v>
      </c>
      <c r="B686" s="94" t="s">
        <v>380</v>
      </c>
      <c r="C686" s="43" t="s">
        <v>121</v>
      </c>
      <c r="D686" s="43">
        <v>-2</v>
      </c>
      <c r="E686" s="18" t="s">
        <v>127</v>
      </c>
    </row>
    <row r="687" spans="1:6" x14ac:dyDescent="0.4">
      <c r="A687" s="271">
        <v>45801</v>
      </c>
      <c r="B687" s="94" t="s">
        <v>380</v>
      </c>
      <c r="C687" s="43" t="s">
        <v>121</v>
      </c>
      <c r="D687" s="43">
        <v>-1</v>
      </c>
      <c r="E687" s="18" t="s">
        <v>127</v>
      </c>
    </row>
    <row r="688" spans="1:6" x14ac:dyDescent="0.4">
      <c r="A688" s="271">
        <v>45801</v>
      </c>
      <c r="B688" s="93" t="s">
        <v>84</v>
      </c>
      <c r="C688" s="43" t="s">
        <v>121</v>
      </c>
      <c r="D688" s="43">
        <v>-25</v>
      </c>
      <c r="E688" s="18" t="s">
        <v>127</v>
      </c>
    </row>
    <row r="689" spans="1:5" x14ac:dyDescent="0.4">
      <c r="A689" s="271">
        <v>45801</v>
      </c>
      <c r="B689" s="93" t="s">
        <v>84</v>
      </c>
      <c r="C689" s="43" t="s">
        <v>121</v>
      </c>
      <c r="D689" s="43">
        <v>-1</v>
      </c>
      <c r="E689" s="18" t="s">
        <v>127</v>
      </c>
    </row>
    <row r="690" spans="1:5" x14ac:dyDescent="0.4">
      <c r="B690" s="107"/>
    </row>
    <row r="691" spans="1:5" x14ac:dyDescent="0.4">
      <c r="A691" s="271">
        <v>45803</v>
      </c>
      <c r="B691" s="93" t="s">
        <v>513</v>
      </c>
      <c r="C691" s="43" t="s">
        <v>121</v>
      </c>
      <c r="D691" s="43">
        <v>-1</v>
      </c>
      <c r="E691" s="18" t="s">
        <v>127</v>
      </c>
    </row>
    <row r="692" spans="1:5" x14ac:dyDescent="0.4">
      <c r="A692" s="271">
        <v>45803</v>
      </c>
      <c r="B692" s="94" t="s">
        <v>681</v>
      </c>
      <c r="C692" s="43" t="s">
        <v>121</v>
      </c>
      <c r="D692" s="43">
        <v>-61</v>
      </c>
      <c r="E692" s="18" t="s">
        <v>127</v>
      </c>
    </row>
    <row r="693" spans="1:5" x14ac:dyDescent="0.4">
      <c r="A693" s="271">
        <v>45803</v>
      </c>
      <c r="B693" s="94" t="s">
        <v>661</v>
      </c>
      <c r="C693" s="43" t="s">
        <v>121</v>
      </c>
      <c r="D693" s="43">
        <v>-10</v>
      </c>
      <c r="E693" s="18" t="s">
        <v>127</v>
      </c>
    </row>
    <row r="694" spans="1:5" x14ac:dyDescent="0.4">
      <c r="A694" s="271">
        <v>45803</v>
      </c>
      <c r="B694" s="94" t="s">
        <v>690</v>
      </c>
      <c r="C694" s="43" t="s">
        <v>121</v>
      </c>
      <c r="D694" s="43">
        <v>-5</v>
      </c>
      <c r="E694" s="18" t="s">
        <v>127</v>
      </c>
    </row>
    <row r="696" spans="1:5" x14ac:dyDescent="0.4">
      <c r="A696" s="279">
        <v>45803</v>
      </c>
      <c r="B696" s="241" t="s">
        <v>133</v>
      </c>
      <c r="C696" s="240" t="s">
        <v>656</v>
      </c>
      <c r="D696" s="240">
        <v>1</v>
      </c>
      <c r="E696" s="222" t="s">
        <v>127</v>
      </c>
    </row>
    <row r="697" spans="1:5" x14ac:dyDescent="0.4">
      <c r="A697" s="279">
        <v>45803</v>
      </c>
      <c r="B697" s="241" t="s">
        <v>694</v>
      </c>
      <c r="C697" s="240" t="s">
        <v>656</v>
      </c>
      <c r="D697" s="240">
        <v>1</v>
      </c>
      <c r="E697" s="222" t="s">
        <v>127</v>
      </c>
    </row>
    <row r="699" spans="1:5" x14ac:dyDescent="0.4">
      <c r="A699" s="271">
        <v>45803</v>
      </c>
      <c r="B699" s="85" t="s">
        <v>133</v>
      </c>
      <c r="C699" s="43" t="s">
        <v>121</v>
      </c>
      <c r="D699" s="43">
        <v>-3</v>
      </c>
      <c r="E699" s="18" t="s">
        <v>127</v>
      </c>
    </row>
    <row r="700" spans="1:5" x14ac:dyDescent="0.4">
      <c r="A700" s="271">
        <v>45803</v>
      </c>
      <c r="B700" s="85" t="s">
        <v>694</v>
      </c>
      <c r="C700" s="43" t="s">
        <v>121</v>
      </c>
      <c r="D700" s="43">
        <v>-1</v>
      </c>
      <c r="E700" s="18" t="s">
        <v>127</v>
      </c>
    </row>
    <row r="702" spans="1:5" x14ac:dyDescent="0.4">
      <c r="A702" s="271">
        <v>45804</v>
      </c>
      <c r="B702" s="94" t="s">
        <v>423</v>
      </c>
      <c r="C702" s="43" t="s">
        <v>121</v>
      </c>
      <c r="D702" s="43">
        <v>-2</v>
      </c>
      <c r="E702" s="18" t="s">
        <v>127</v>
      </c>
    </row>
    <row r="703" spans="1:5" x14ac:dyDescent="0.4">
      <c r="A703" s="271">
        <v>45804</v>
      </c>
      <c r="B703" s="94" t="s">
        <v>266</v>
      </c>
      <c r="C703" s="43" t="s">
        <v>121</v>
      </c>
      <c r="D703" s="43">
        <v>-2</v>
      </c>
      <c r="E703" s="18" t="s">
        <v>127</v>
      </c>
    </row>
    <row r="704" spans="1:5" x14ac:dyDescent="0.4">
      <c r="A704" s="271">
        <v>45804</v>
      </c>
      <c r="B704" s="94" t="s">
        <v>512</v>
      </c>
      <c r="C704" s="43" t="s">
        <v>121</v>
      </c>
      <c r="D704" s="43">
        <v>-1</v>
      </c>
      <c r="E704" s="18" t="s">
        <v>127</v>
      </c>
    </row>
    <row r="706" spans="1:6" x14ac:dyDescent="0.4">
      <c r="A706" s="271">
        <v>45806</v>
      </c>
      <c r="B706" s="94" t="s">
        <v>266</v>
      </c>
      <c r="C706" s="43" t="s">
        <v>121</v>
      </c>
      <c r="D706" s="43"/>
      <c r="E706" s="18" t="s">
        <v>127</v>
      </c>
      <c r="F706" t="s">
        <v>695</v>
      </c>
    </row>
    <row r="707" spans="1:6" x14ac:dyDescent="0.4">
      <c r="A707" s="271">
        <v>45806</v>
      </c>
      <c r="B707" s="94" t="s">
        <v>266</v>
      </c>
      <c r="C707" s="43" t="s">
        <v>121</v>
      </c>
      <c r="D707" s="43">
        <v>-1</v>
      </c>
      <c r="E707" s="18" t="s">
        <v>127</v>
      </c>
    </row>
    <row r="708" spans="1:6" x14ac:dyDescent="0.4">
      <c r="A708" s="271">
        <v>45806</v>
      </c>
      <c r="B708" s="93" t="s">
        <v>513</v>
      </c>
      <c r="C708" s="43" t="s">
        <v>121</v>
      </c>
      <c r="D708" s="43">
        <v>-2</v>
      </c>
      <c r="E708" s="18" t="s">
        <v>127</v>
      </c>
    </row>
    <row r="710" spans="1:6" x14ac:dyDescent="0.4">
      <c r="A710" s="271">
        <v>45786</v>
      </c>
      <c r="B710" s="85" t="s">
        <v>529</v>
      </c>
      <c r="C710" s="43" t="s">
        <v>697</v>
      </c>
      <c r="D710" s="43">
        <v>-1</v>
      </c>
      <c r="E710" s="18" t="s">
        <v>127</v>
      </c>
    </row>
    <row r="711" spans="1:6" x14ac:dyDescent="0.4">
      <c r="A711" s="271">
        <v>45789</v>
      </c>
      <c r="B711" s="85" t="s">
        <v>136</v>
      </c>
      <c r="C711" s="43" t="s">
        <v>697</v>
      </c>
      <c r="D711" s="43">
        <v>-2</v>
      </c>
      <c r="E711" s="18" t="s">
        <v>127</v>
      </c>
    </row>
    <row r="712" spans="1:6" x14ac:dyDescent="0.4">
      <c r="A712" s="271">
        <v>45792</v>
      </c>
      <c r="B712" s="85" t="s">
        <v>136</v>
      </c>
      <c r="C712" s="43" t="s">
        <v>697</v>
      </c>
      <c r="D712" s="43">
        <v>-1</v>
      </c>
      <c r="E712" s="18" t="s">
        <v>127</v>
      </c>
    </row>
    <row r="713" spans="1:6" x14ac:dyDescent="0.4">
      <c r="A713" s="271">
        <v>45794</v>
      </c>
      <c r="B713" s="85" t="s">
        <v>136</v>
      </c>
      <c r="C713" s="43" t="s">
        <v>697</v>
      </c>
      <c r="D713" s="43">
        <v>-1</v>
      </c>
      <c r="E713" s="18" t="s">
        <v>127</v>
      </c>
    </row>
    <row r="714" spans="1:6" x14ac:dyDescent="0.4">
      <c r="A714" s="271">
        <v>45796</v>
      </c>
      <c r="B714" s="85" t="s">
        <v>529</v>
      </c>
      <c r="C714" s="43" t="s">
        <v>697</v>
      </c>
      <c r="D714" s="43">
        <v>-1</v>
      </c>
      <c r="E714" s="18" t="s">
        <v>127</v>
      </c>
    </row>
    <row r="715" spans="1:6" x14ac:dyDescent="0.4">
      <c r="A715" s="271">
        <v>45796</v>
      </c>
      <c r="B715" s="85" t="s">
        <v>529</v>
      </c>
      <c r="C715" s="43" t="s">
        <v>697</v>
      </c>
      <c r="D715" s="43">
        <v>-1</v>
      </c>
      <c r="E715" s="18" t="s">
        <v>127</v>
      </c>
    </row>
    <row r="716" spans="1:6" x14ac:dyDescent="0.4">
      <c r="A716" s="279">
        <v>45785</v>
      </c>
      <c r="B716" s="241" t="s">
        <v>136</v>
      </c>
      <c r="C716" s="242" t="s">
        <v>704</v>
      </c>
      <c r="D716" s="242">
        <v>2</v>
      </c>
      <c r="E716" s="222" t="s">
        <v>127</v>
      </c>
      <c r="F716" t="s">
        <v>705</v>
      </c>
    </row>
    <row r="717" spans="1:6" x14ac:dyDescent="0.4">
      <c r="A717" s="271">
        <v>45796</v>
      </c>
      <c r="B717" s="85" t="s">
        <v>529</v>
      </c>
      <c r="C717" s="43" t="s">
        <v>697</v>
      </c>
      <c r="D717" s="43">
        <v>-1</v>
      </c>
      <c r="E717" s="18" t="s">
        <v>127</v>
      </c>
    </row>
    <row r="718" spans="1:6" x14ac:dyDescent="0.4">
      <c r="A718" s="271">
        <v>45796</v>
      </c>
      <c r="B718" s="85" t="s">
        <v>529</v>
      </c>
      <c r="C718" s="43" t="s">
        <v>697</v>
      </c>
      <c r="D718" s="43">
        <v>-1</v>
      </c>
      <c r="E718" s="18" t="s">
        <v>127</v>
      </c>
    </row>
    <row r="719" spans="1:6" x14ac:dyDescent="0.4">
      <c r="A719" s="271">
        <v>45797</v>
      </c>
      <c r="B719" s="85" t="s">
        <v>529</v>
      </c>
      <c r="C719" s="43" t="s">
        <v>697</v>
      </c>
      <c r="D719" s="43">
        <v>-1</v>
      </c>
      <c r="E719" s="18" t="s">
        <v>127</v>
      </c>
    </row>
    <row r="720" spans="1:6" x14ac:dyDescent="0.4">
      <c r="A720" s="271">
        <v>45799</v>
      </c>
      <c r="B720" s="85" t="s">
        <v>136</v>
      </c>
      <c r="C720" s="43" t="s">
        <v>697</v>
      </c>
      <c r="D720" s="43">
        <v>-1</v>
      </c>
      <c r="E720" s="18" t="s">
        <v>127</v>
      </c>
    </row>
    <row r="721" spans="1:5" x14ac:dyDescent="0.4">
      <c r="A721" s="286">
        <v>45803</v>
      </c>
      <c r="B721" s="85" t="s">
        <v>136</v>
      </c>
      <c r="C721" s="83" t="s">
        <v>697</v>
      </c>
      <c r="D721" s="83">
        <v>-1</v>
      </c>
      <c r="E721" s="77" t="s">
        <v>127</v>
      </c>
    </row>
    <row r="722" spans="1:5" x14ac:dyDescent="0.4">
      <c r="A722" s="271">
        <v>45804</v>
      </c>
      <c r="B722" s="85" t="s">
        <v>529</v>
      </c>
      <c r="C722" s="43" t="s">
        <v>697</v>
      </c>
      <c r="D722" s="43">
        <v>-1</v>
      </c>
      <c r="E722" s="18" t="s">
        <v>127</v>
      </c>
    </row>
    <row r="723" spans="1:5" x14ac:dyDescent="0.4">
      <c r="A723" s="271">
        <v>45806</v>
      </c>
      <c r="B723" s="85" t="s">
        <v>136</v>
      </c>
      <c r="C723" s="43" t="s">
        <v>697</v>
      </c>
      <c r="D723" s="43">
        <v>-1</v>
      </c>
      <c r="E723" s="18" t="s">
        <v>127</v>
      </c>
    </row>
    <row r="724" spans="1:5" x14ac:dyDescent="0.4">
      <c r="A724" s="291"/>
      <c r="B724" s="44"/>
      <c r="D724" s="1"/>
    </row>
    <row r="725" spans="1:5" x14ac:dyDescent="0.4">
      <c r="A725" s="291"/>
      <c r="D725" s="1"/>
    </row>
    <row r="726" spans="1:5" x14ac:dyDescent="0.4">
      <c r="A726" s="291"/>
      <c r="D726" s="1"/>
    </row>
    <row r="727" spans="1:5" x14ac:dyDescent="0.4">
      <c r="A727" s="291"/>
      <c r="D727" s="1"/>
    </row>
    <row r="728" spans="1:5" x14ac:dyDescent="0.4">
      <c r="A728" s="287"/>
      <c r="B728" s="288"/>
      <c r="C728" s="289"/>
      <c r="D728" s="289"/>
      <c r="E728" s="290"/>
    </row>
    <row r="729" spans="1:5" x14ac:dyDescent="0.4">
      <c r="A729" s="280">
        <v>45806</v>
      </c>
      <c r="B729" s="296" t="s">
        <v>136</v>
      </c>
      <c r="C729" s="282" t="s">
        <v>701</v>
      </c>
      <c r="D729" s="283">
        <v>5</v>
      </c>
      <c r="E729" s="284" t="s">
        <v>127</v>
      </c>
    </row>
    <row r="730" spans="1:5" x14ac:dyDescent="0.4">
      <c r="A730" s="280">
        <v>45806</v>
      </c>
      <c r="B730" s="296" t="s">
        <v>133</v>
      </c>
      <c r="C730" s="282" t="s">
        <v>701</v>
      </c>
      <c r="D730" s="283">
        <v>8</v>
      </c>
      <c r="E730" s="284" t="s">
        <v>127</v>
      </c>
    </row>
    <row r="731" spans="1:5" x14ac:dyDescent="0.4">
      <c r="A731" s="280">
        <v>45806</v>
      </c>
      <c r="B731" s="363" t="s">
        <v>700</v>
      </c>
      <c r="C731" s="282" t="s">
        <v>701</v>
      </c>
      <c r="D731" s="283">
        <v>11</v>
      </c>
      <c r="E731" s="284" t="s">
        <v>127</v>
      </c>
    </row>
    <row r="732" spans="1:5" x14ac:dyDescent="0.4">
      <c r="A732" s="280">
        <v>45806</v>
      </c>
      <c r="B732" s="363" t="s">
        <v>397</v>
      </c>
      <c r="C732" s="282" t="s">
        <v>701</v>
      </c>
      <c r="D732" s="283">
        <v>11</v>
      </c>
      <c r="E732" s="284" t="s">
        <v>127</v>
      </c>
    </row>
    <row r="733" spans="1:5" x14ac:dyDescent="0.4">
      <c r="A733" s="280">
        <v>45806</v>
      </c>
      <c r="B733" s="363" t="s">
        <v>390</v>
      </c>
      <c r="C733" s="282" t="s">
        <v>701</v>
      </c>
      <c r="D733" s="283">
        <v>7</v>
      </c>
      <c r="E733" s="284" t="s">
        <v>127</v>
      </c>
    </row>
    <row r="740" spans="1:5" x14ac:dyDescent="0.4">
      <c r="A740" s="271">
        <v>45806</v>
      </c>
      <c r="B740" s="94" t="s">
        <v>133</v>
      </c>
      <c r="C740" s="43" t="s">
        <v>121</v>
      </c>
      <c r="D740" s="43">
        <v>-3</v>
      </c>
      <c r="E740" s="18" t="s">
        <v>127</v>
      </c>
    </row>
    <row r="741" spans="1:5" x14ac:dyDescent="0.4">
      <c r="A741" s="271">
        <v>45806</v>
      </c>
      <c r="B741" s="94" t="s">
        <v>390</v>
      </c>
      <c r="C741" s="43" t="s">
        <v>121</v>
      </c>
      <c r="D741" s="43">
        <v>-55</v>
      </c>
      <c r="E741" s="18" t="s">
        <v>127</v>
      </c>
    </row>
    <row r="742" spans="1:5" x14ac:dyDescent="0.4">
      <c r="A742" s="271">
        <v>45806</v>
      </c>
      <c r="B742" s="94" t="s">
        <v>397</v>
      </c>
      <c r="C742" s="43" t="s">
        <v>121</v>
      </c>
      <c r="D742" s="43">
        <v>-11</v>
      </c>
      <c r="E742" s="18" t="s">
        <v>127</v>
      </c>
    </row>
    <row r="743" spans="1:5" x14ac:dyDescent="0.4">
      <c r="A743" s="271">
        <v>45806</v>
      </c>
      <c r="B743" s="94" t="s">
        <v>133</v>
      </c>
      <c r="C743" s="43" t="s">
        <v>121</v>
      </c>
      <c r="D743" s="43">
        <v>-5</v>
      </c>
      <c r="E743" s="18" t="s">
        <v>127</v>
      </c>
    </row>
    <row r="744" spans="1:5" x14ac:dyDescent="0.4">
      <c r="A744" s="271">
        <v>45806</v>
      </c>
      <c r="B744" s="94" t="s">
        <v>700</v>
      </c>
      <c r="C744" s="43" t="s">
        <v>121</v>
      </c>
      <c r="D744" s="43">
        <v>-11</v>
      </c>
      <c r="E744" s="18" t="s">
        <v>127</v>
      </c>
    </row>
    <row r="745" spans="1:5" x14ac:dyDescent="0.4">
      <c r="A745" s="271">
        <v>45806</v>
      </c>
      <c r="B745" s="94" t="s">
        <v>492</v>
      </c>
      <c r="C745" s="43" t="s">
        <v>121</v>
      </c>
      <c r="D745" s="43">
        <v>-5</v>
      </c>
      <c r="E745" s="18" t="s">
        <v>127</v>
      </c>
    </row>
    <row r="747" spans="1:5" x14ac:dyDescent="0.4">
      <c r="A747" s="271">
        <v>45807</v>
      </c>
      <c r="B747" s="93" t="s">
        <v>513</v>
      </c>
      <c r="C747" s="43" t="s">
        <v>121</v>
      </c>
      <c r="D747" s="43">
        <v>-2</v>
      </c>
      <c r="E747" s="18" t="s">
        <v>127</v>
      </c>
    </row>
    <row r="748" spans="1:5" x14ac:dyDescent="0.4">
      <c r="A748" s="271">
        <v>45807</v>
      </c>
      <c r="B748" s="94" t="s">
        <v>690</v>
      </c>
      <c r="C748" s="43" t="s">
        <v>121</v>
      </c>
      <c r="D748" s="43">
        <v>-3</v>
      </c>
      <c r="E748" s="18" t="s">
        <v>127</v>
      </c>
    </row>
    <row r="750" spans="1:5" x14ac:dyDescent="0.4">
      <c r="A750" s="271">
        <v>45810</v>
      </c>
      <c r="B750" s="94" t="s">
        <v>266</v>
      </c>
      <c r="C750" s="43" t="s">
        <v>121</v>
      </c>
      <c r="D750" s="43">
        <v>-2</v>
      </c>
      <c r="E750" s="18" t="s">
        <v>127</v>
      </c>
    </row>
    <row r="751" spans="1:5" x14ac:dyDescent="0.4">
      <c r="A751" s="271">
        <v>45810</v>
      </c>
      <c r="B751" s="93" t="s">
        <v>691</v>
      </c>
      <c r="C751" s="43" t="s">
        <v>121</v>
      </c>
      <c r="D751" s="43">
        <v>-1</v>
      </c>
      <c r="E751" s="18" t="s">
        <v>127</v>
      </c>
    </row>
    <row r="752" spans="1:5" x14ac:dyDescent="0.4">
      <c r="C752" s="43"/>
    </row>
    <row r="754" spans="1:6" x14ac:dyDescent="0.4">
      <c r="A754" s="292">
        <v>45811</v>
      </c>
      <c r="B754" s="293" t="s">
        <v>76</v>
      </c>
      <c r="C754" s="294" t="s">
        <v>654</v>
      </c>
      <c r="D754" s="294">
        <v>200</v>
      </c>
      <c r="E754" s="295" t="s">
        <v>127</v>
      </c>
    </row>
    <row r="755" spans="1:6" x14ac:dyDescent="0.4">
      <c r="A755" s="292">
        <v>45811</v>
      </c>
      <c r="B755" s="293" t="s">
        <v>123</v>
      </c>
      <c r="C755" s="294" t="s">
        <v>654</v>
      </c>
      <c r="D755" s="294">
        <v>100</v>
      </c>
      <c r="E755" s="295" t="s">
        <v>127</v>
      </c>
    </row>
    <row r="756" spans="1:6" x14ac:dyDescent="0.4">
      <c r="A756" s="292">
        <v>45811</v>
      </c>
      <c r="B756" s="293" t="s">
        <v>690</v>
      </c>
      <c r="C756" s="294" t="s">
        <v>654</v>
      </c>
      <c r="D756" s="294">
        <v>20</v>
      </c>
      <c r="E756" s="295" t="s">
        <v>127</v>
      </c>
    </row>
    <row r="757" spans="1:6" x14ac:dyDescent="0.4">
      <c r="A757" s="278">
        <v>45811</v>
      </c>
      <c r="B757" s="139" t="s">
        <v>681</v>
      </c>
      <c r="C757" s="105" t="s">
        <v>49</v>
      </c>
      <c r="D757" s="105"/>
      <c r="E757" s="95" t="s">
        <v>127</v>
      </c>
      <c r="F757" s="332" t="s">
        <v>884</v>
      </c>
    </row>
    <row r="759" spans="1:6" x14ac:dyDescent="0.4">
      <c r="A759" s="271">
        <v>45811</v>
      </c>
      <c r="B759" s="94" t="s">
        <v>266</v>
      </c>
      <c r="C759" s="43" t="s">
        <v>121</v>
      </c>
      <c r="D759" s="43">
        <v>-2</v>
      </c>
      <c r="E759" s="274" t="s">
        <v>127</v>
      </c>
    </row>
    <row r="760" spans="1:6" x14ac:dyDescent="0.4">
      <c r="A760" s="271">
        <v>45811</v>
      </c>
      <c r="B760" s="94" t="s">
        <v>76</v>
      </c>
      <c r="C760" s="43" t="s">
        <v>121</v>
      </c>
      <c r="D760" s="43">
        <v>-10</v>
      </c>
      <c r="E760" s="274" t="s">
        <v>127</v>
      </c>
    </row>
    <row r="761" spans="1:6" x14ac:dyDescent="0.4">
      <c r="A761" s="271">
        <v>45811</v>
      </c>
      <c r="B761" s="93" t="s">
        <v>513</v>
      </c>
      <c r="C761" s="43" t="s">
        <v>121</v>
      </c>
      <c r="D761" s="43">
        <v>-1</v>
      </c>
      <c r="E761" s="274" t="s">
        <v>127</v>
      </c>
    </row>
    <row r="762" spans="1:6" x14ac:dyDescent="0.4">
      <c r="A762" s="271">
        <v>45811</v>
      </c>
      <c r="B762" s="94" t="s">
        <v>303</v>
      </c>
      <c r="C762" s="43" t="s">
        <v>121</v>
      </c>
      <c r="D762" s="43">
        <v>-3</v>
      </c>
      <c r="E762" s="274" t="s">
        <v>127</v>
      </c>
    </row>
    <row r="763" spans="1:6" x14ac:dyDescent="0.4">
      <c r="A763" s="271">
        <v>45811</v>
      </c>
      <c r="B763" s="94" t="s">
        <v>597</v>
      </c>
      <c r="C763" s="43" t="s">
        <v>121</v>
      </c>
      <c r="D763" s="43">
        <v>-1</v>
      </c>
      <c r="E763" s="274" t="s">
        <v>127</v>
      </c>
    </row>
    <row r="764" spans="1:6" x14ac:dyDescent="0.4">
      <c r="A764" s="271">
        <v>45811</v>
      </c>
      <c r="B764" s="94" t="s">
        <v>123</v>
      </c>
      <c r="C764" s="43" t="s">
        <v>121</v>
      </c>
      <c r="D764" s="43">
        <v>-25</v>
      </c>
      <c r="E764" s="274" t="s">
        <v>127</v>
      </c>
    </row>
    <row r="765" spans="1:6" x14ac:dyDescent="0.4">
      <c r="A765" s="271">
        <v>45811</v>
      </c>
      <c r="B765" s="94" t="s">
        <v>76</v>
      </c>
      <c r="C765" s="43" t="s">
        <v>121</v>
      </c>
      <c r="D765" s="43">
        <v>-10</v>
      </c>
      <c r="E765" s="274" t="s">
        <v>127</v>
      </c>
    </row>
    <row r="766" spans="1:6" x14ac:dyDescent="0.4">
      <c r="A766" s="271">
        <v>45811</v>
      </c>
      <c r="B766" s="94" t="s">
        <v>123</v>
      </c>
      <c r="C766" s="43" t="s">
        <v>121</v>
      </c>
      <c r="D766" s="43">
        <v>-30</v>
      </c>
      <c r="E766" s="274" t="s">
        <v>127</v>
      </c>
    </row>
    <row r="768" spans="1:6" x14ac:dyDescent="0.4">
      <c r="A768" s="271">
        <v>45812</v>
      </c>
      <c r="B768" s="94" t="s">
        <v>76</v>
      </c>
      <c r="C768" s="43" t="s">
        <v>121</v>
      </c>
      <c r="D768" s="43">
        <v>-20</v>
      </c>
      <c r="E768" s="274" t="s">
        <v>127</v>
      </c>
    </row>
    <row r="769" spans="1:5" x14ac:dyDescent="0.4">
      <c r="A769" s="271">
        <v>45812</v>
      </c>
      <c r="B769" s="94" t="s">
        <v>76</v>
      </c>
      <c r="C769" s="43" t="s">
        <v>121</v>
      </c>
      <c r="D769" s="43">
        <v>-10</v>
      </c>
      <c r="E769" s="274" t="s">
        <v>127</v>
      </c>
    </row>
    <row r="770" spans="1:5" x14ac:dyDescent="0.4">
      <c r="A770" s="271">
        <v>45812</v>
      </c>
      <c r="B770" s="94" t="s">
        <v>123</v>
      </c>
      <c r="C770" s="43" t="s">
        <v>121</v>
      </c>
      <c r="D770" s="43">
        <v>-20</v>
      </c>
      <c r="E770" s="274" t="s">
        <v>127</v>
      </c>
    </row>
    <row r="771" spans="1:5" x14ac:dyDescent="0.4">
      <c r="A771" s="271">
        <v>45812</v>
      </c>
      <c r="B771" s="94" t="s">
        <v>123</v>
      </c>
      <c r="C771" s="43" t="s">
        <v>121</v>
      </c>
      <c r="D771" s="43">
        <v>-10</v>
      </c>
      <c r="E771" s="274" t="s">
        <v>127</v>
      </c>
    </row>
    <row r="772" spans="1:5" x14ac:dyDescent="0.4">
      <c r="A772" s="271">
        <v>45812</v>
      </c>
      <c r="B772" s="94" t="s">
        <v>512</v>
      </c>
      <c r="C772" s="43" t="s">
        <v>121</v>
      </c>
      <c r="D772" s="43">
        <v>-1</v>
      </c>
      <c r="E772" s="274" t="s">
        <v>127</v>
      </c>
    </row>
    <row r="773" spans="1:5" x14ac:dyDescent="0.4">
      <c r="A773" s="271">
        <v>45812</v>
      </c>
      <c r="B773" s="94" t="s">
        <v>123</v>
      </c>
      <c r="C773" s="43" t="s">
        <v>121</v>
      </c>
      <c r="D773" s="43">
        <v>-10</v>
      </c>
      <c r="E773" s="274" t="s">
        <v>127</v>
      </c>
    </row>
    <row r="774" spans="1:5" x14ac:dyDescent="0.4">
      <c r="A774" s="271">
        <v>45812</v>
      </c>
      <c r="B774" s="94" t="s">
        <v>266</v>
      </c>
      <c r="C774" s="43" t="s">
        <v>121</v>
      </c>
      <c r="D774" s="43">
        <v>-2</v>
      </c>
      <c r="E774" s="274" t="s">
        <v>127</v>
      </c>
    </row>
    <row r="775" spans="1:5" x14ac:dyDescent="0.4">
      <c r="A775" s="271">
        <v>45812</v>
      </c>
      <c r="B775" s="94" t="s">
        <v>76</v>
      </c>
      <c r="C775" s="43" t="s">
        <v>121</v>
      </c>
      <c r="D775" s="43">
        <v>-10</v>
      </c>
      <c r="E775" s="274" t="s">
        <v>127</v>
      </c>
    </row>
    <row r="776" spans="1:5" x14ac:dyDescent="0.4">
      <c r="A776" s="271">
        <v>45812</v>
      </c>
      <c r="B776" s="94" t="s">
        <v>76</v>
      </c>
      <c r="C776" s="43" t="s">
        <v>121</v>
      </c>
      <c r="D776" s="43">
        <v>-40</v>
      </c>
      <c r="E776" s="274" t="s">
        <v>127</v>
      </c>
    </row>
    <row r="777" spans="1:5" x14ac:dyDescent="0.4">
      <c r="A777" s="271">
        <v>45812</v>
      </c>
      <c r="B777" s="94" t="s">
        <v>690</v>
      </c>
      <c r="C777" s="43" t="s">
        <v>121</v>
      </c>
      <c r="D777" s="43">
        <v>-5</v>
      </c>
      <c r="E777" s="274" t="s">
        <v>127</v>
      </c>
    </row>
    <row r="778" spans="1:5" x14ac:dyDescent="0.4">
      <c r="A778" s="271">
        <v>45812</v>
      </c>
      <c r="B778" s="94" t="s">
        <v>76</v>
      </c>
      <c r="C778" s="43" t="s">
        <v>121</v>
      </c>
      <c r="D778" s="43">
        <v>-100</v>
      </c>
      <c r="E778" s="274" t="s">
        <v>127</v>
      </c>
    </row>
    <row r="780" spans="1:5" x14ac:dyDescent="0.4">
      <c r="A780" s="271">
        <v>45813</v>
      </c>
      <c r="B780" s="93" t="s">
        <v>82</v>
      </c>
      <c r="C780" s="43" t="s">
        <v>121</v>
      </c>
      <c r="D780" s="43">
        <v>-4</v>
      </c>
      <c r="E780" s="274" t="s">
        <v>127</v>
      </c>
    </row>
    <row r="781" spans="1:5" x14ac:dyDescent="0.4">
      <c r="A781" s="271">
        <v>45813</v>
      </c>
      <c r="B781" s="94" t="s">
        <v>690</v>
      </c>
      <c r="C781" s="43" t="s">
        <v>121</v>
      </c>
      <c r="D781" s="43">
        <v>-5</v>
      </c>
      <c r="E781" s="18" t="s">
        <v>127</v>
      </c>
    </row>
    <row r="783" spans="1:5" x14ac:dyDescent="0.4">
      <c r="A783" s="271">
        <v>45818</v>
      </c>
      <c r="B783" s="94" t="s">
        <v>123</v>
      </c>
      <c r="C783" s="43" t="s">
        <v>121</v>
      </c>
      <c r="D783" s="43">
        <v>-5</v>
      </c>
      <c r="E783" s="18" t="s">
        <v>127</v>
      </c>
    </row>
    <row r="784" spans="1:5" x14ac:dyDescent="0.4">
      <c r="A784" s="271">
        <v>45818</v>
      </c>
      <c r="B784" s="94" t="s">
        <v>266</v>
      </c>
      <c r="C784" s="43" t="s">
        <v>121</v>
      </c>
      <c r="D784" s="43">
        <v>-4</v>
      </c>
      <c r="E784" s="18" t="s">
        <v>127</v>
      </c>
    </row>
    <row r="785" spans="1:5" x14ac:dyDescent="0.4">
      <c r="A785" s="280">
        <v>45787</v>
      </c>
      <c r="B785" s="296" t="s">
        <v>425</v>
      </c>
      <c r="C785" s="282" t="s">
        <v>701</v>
      </c>
      <c r="D785" s="282">
        <v>76</v>
      </c>
      <c r="E785" s="284" t="s">
        <v>127</v>
      </c>
    </row>
    <row r="786" spans="1:5" x14ac:dyDescent="0.4">
      <c r="A786" s="271">
        <v>45818</v>
      </c>
      <c r="B786" s="94" t="s">
        <v>425</v>
      </c>
      <c r="C786" s="43" t="s">
        <v>121</v>
      </c>
      <c r="D786" s="43">
        <v>-76</v>
      </c>
      <c r="E786" s="18" t="s">
        <v>127</v>
      </c>
    </row>
    <row r="788" spans="1:5" x14ac:dyDescent="0.4">
      <c r="A788" s="292">
        <v>45819</v>
      </c>
      <c r="B788" s="293" t="s">
        <v>76</v>
      </c>
      <c r="C788" s="294" t="s">
        <v>654</v>
      </c>
      <c r="D788" s="298">
        <v>300</v>
      </c>
      <c r="E788" s="300" t="s">
        <v>127</v>
      </c>
    </row>
    <row r="789" spans="1:5" x14ac:dyDescent="0.4">
      <c r="A789" s="292">
        <v>45819</v>
      </c>
      <c r="B789" s="297" t="s">
        <v>653</v>
      </c>
      <c r="C789" s="298" t="s">
        <v>654</v>
      </c>
      <c r="D789" s="299">
        <v>250</v>
      </c>
      <c r="E789" s="300" t="s">
        <v>127</v>
      </c>
    </row>
    <row r="791" spans="1:5" x14ac:dyDescent="0.4">
      <c r="A791" s="279">
        <v>45819</v>
      </c>
      <c r="B791" s="241" t="s">
        <v>136</v>
      </c>
      <c r="C791" s="240" t="s">
        <v>750</v>
      </c>
      <c r="D791" s="240">
        <v>3</v>
      </c>
      <c r="E791" s="222" t="s">
        <v>127</v>
      </c>
    </row>
    <row r="792" spans="1:5" x14ac:dyDescent="0.4">
      <c r="A792" s="279">
        <v>45819</v>
      </c>
      <c r="B792" s="253" t="s">
        <v>169</v>
      </c>
      <c r="C792" s="240" t="s">
        <v>751</v>
      </c>
      <c r="D792" s="240">
        <v>4</v>
      </c>
      <c r="E792" s="222" t="s">
        <v>127</v>
      </c>
    </row>
    <row r="794" spans="1:5" x14ac:dyDescent="0.4">
      <c r="A794" s="271">
        <v>45819</v>
      </c>
      <c r="B794" s="94" t="s">
        <v>76</v>
      </c>
      <c r="C794" s="43" t="s">
        <v>121</v>
      </c>
      <c r="D794" s="43">
        <v>-10</v>
      </c>
      <c r="E794" s="18" t="s">
        <v>127</v>
      </c>
    </row>
    <row r="795" spans="1:5" x14ac:dyDescent="0.4">
      <c r="A795" s="271">
        <v>45819</v>
      </c>
      <c r="B795" s="94" t="s">
        <v>76</v>
      </c>
      <c r="C795" s="43" t="s">
        <v>121</v>
      </c>
      <c r="D795" s="43">
        <v>-2</v>
      </c>
      <c r="E795" s="18" t="s">
        <v>127</v>
      </c>
    </row>
    <row r="796" spans="1:5" x14ac:dyDescent="0.4">
      <c r="A796" s="271">
        <v>45819</v>
      </c>
      <c r="B796" s="94" t="s">
        <v>690</v>
      </c>
      <c r="C796" s="43" t="s">
        <v>121</v>
      </c>
      <c r="D796" s="43">
        <v>-5</v>
      </c>
      <c r="E796" s="18" t="s">
        <v>127</v>
      </c>
    </row>
    <row r="797" spans="1:5" x14ac:dyDescent="0.4">
      <c r="A797" s="271">
        <v>45819</v>
      </c>
      <c r="B797" s="94" t="s">
        <v>690</v>
      </c>
      <c r="C797" s="43" t="s">
        <v>121</v>
      </c>
      <c r="D797" s="43">
        <v>-5</v>
      </c>
      <c r="E797" s="18" t="s">
        <v>127</v>
      </c>
    </row>
    <row r="798" spans="1:5" x14ac:dyDescent="0.4">
      <c r="A798" s="271">
        <v>45819</v>
      </c>
      <c r="B798" s="94" t="s">
        <v>512</v>
      </c>
      <c r="C798" s="43" t="s">
        <v>121</v>
      </c>
      <c r="D798" s="43">
        <v>-1</v>
      </c>
      <c r="E798" s="18" t="s">
        <v>127</v>
      </c>
    </row>
    <row r="799" spans="1:5" x14ac:dyDescent="0.4">
      <c r="A799" s="271">
        <v>45819</v>
      </c>
      <c r="B799" s="94" t="s">
        <v>76</v>
      </c>
      <c r="C799" s="43" t="s">
        <v>121</v>
      </c>
      <c r="D799" s="43">
        <v>-56</v>
      </c>
      <c r="E799" s="18" t="s">
        <v>127</v>
      </c>
    </row>
    <row r="800" spans="1:5" x14ac:dyDescent="0.4">
      <c r="A800" s="271">
        <v>45819</v>
      </c>
      <c r="B800" s="94" t="s">
        <v>653</v>
      </c>
      <c r="C800" s="43" t="s">
        <v>121</v>
      </c>
      <c r="D800" s="43">
        <v>-246</v>
      </c>
      <c r="E800" s="18" t="s">
        <v>127</v>
      </c>
    </row>
    <row r="802" spans="1:5" x14ac:dyDescent="0.4">
      <c r="A802" s="271">
        <v>45820</v>
      </c>
      <c r="B802" s="94" t="s">
        <v>512</v>
      </c>
      <c r="C802" s="43" t="s">
        <v>121</v>
      </c>
      <c r="D802" s="43">
        <v>-2</v>
      </c>
      <c r="E802" s="18" t="s">
        <v>127</v>
      </c>
    </row>
    <row r="803" spans="1:5" x14ac:dyDescent="0.4">
      <c r="A803" s="271">
        <v>45820</v>
      </c>
      <c r="B803" s="94" t="s">
        <v>76</v>
      </c>
      <c r="C803" s="43" t="s">
        <v>121</v>
      </c>
      <c r="D803" s="43">
        <v>-22</v>
      </c>
      <c r="E803" s="18" t="s">
        <v>127</v>
      </c>
    </row>
    <row r="805" spans="1:5" x14ac:dyDescent="0.4">
      <c r="A805" s="271">
        <v>45821</v>
      </c>
      <c r="B805" s="94" t="s">
        <v>76</v>
      </c>
      <c r="C805" s="43" t="s">
        <v>121</v>
      </c>
      <c r="D805" s="43">
        <v>-12</v>
      </c>
      <c r="E805" s="18" t="s">
        <v>127</v>
      </c>
    </row>
    <row r="806" spans="1:5" x14ac:dyDescent="0.4">
      <c r="A806" s="271">
        <v>45821</v>
      </c>
      <c r="B806" s="94" t="s">
        <v>76</v>
      </c>
      <c r="C806" s="43" t="s">
        <v>121</v>
      </c>
      <c r="D806" s="43">
        <v>-30</v>
      </c>
      <c r="E806" s="18" t="s">
        <v>127</v>
      </c>
    </row>
    <row r="807" spans="1:5" x14ac:dyDescent="0.4">
      <c r="A807" s="271">
        <v>45821</v>
      </c>
      <c r="B807" s="94" t="s">
        <v>76</v>
      </c>
      <c r="C807" s="43" t="s">
        <v>121</v>
      </c>
      <c r="D807" s="43">
        <v>-2</v>
      </c>
      <c r="E807" s="18" t="s">
        <v>127</v>
      </c>
    </row>
    <row r="808" spans="1:5" x14ac:dyDescent="0.4">
      <c r="A808" s="271">
        <v>45821</v>
      </c>
      <c r="B808" s="94" t="s">
        <v>76</v>
      </c>
      <c r="C808" s="43" t="s">
        <v>121</v>
      </c>
      <c r="D808" s="43">
        <v>-20</v>
      </c>
      <c r="E808" s="18" t="s">
        <v>127</v>
      </c>
    </row>
    <row r="809" spans="1:5" x14ac:dyDescent="0.4">
      <c r="A809" s="271">
        <v>45821</v>
      </c>
      <c r="B809" s="94" t="s">
        <v>76</v>
      </c>
      <c r="C809" s="43" t="s">
        <v>121</v>
      </c>
      <c r="D809" s="43">
        <v>-60</v>
      </c>
      <c r="E809" s="18" t="s">
        <v>127</v>
      </c>
    </row>
    <row r="810" spans="1:5" x14ac:dyDescent="0.4">
      <c r="A810" s="271">
        <v>45821</v>
      </c>
      <c r="B810" s="94" t="s">
        <v>76</v>
      </c>
      <c r="C810" s="43" t="s">
        <v>121</v>
      </c>
      <c r="D810" s="43">
        <v>-34</v>
      </c>
      <c r="E810" s="18" t="s">
        <v>127</v>
      </c>
    </row>
    <row r="813" spans="1:5" x14ac:dyDescent="0.4">
      <c r="A813" s="271">
        <v>45809</v>
      </c>
      <c r="B813" s="85" t="s">
        <v>136</v>
      </c>
      <c r="C813" s="43" t="s">
        <v>697</v>
      </c>
      <c r="D813" s="43">
        <v>-1</v>
      </c>
      <c r="E813" s="18" t="s">
        <v>127</v>
      </c>
    </row>
    <row r="814" spans="1:5" x14ac:dyDescent="0.4">
      <c r="A814" s="271">
        <v>45810</v>
      </c>
      <c r="B814" s="85" t="s">
        <v>136</v>
      </c>
      <c r="C814" s="43" t="s">
        <v>697</v>
      </c>
      <c r="D814" s="43">
        <v>-1</v>
      </c>
      <c r="E814" s="18" t="s">
        <v>127</v>
      </c>
    </row>
    <row r="815" spans="1:5" x14ac:dyDescent="0.4">
      <c r="A815" s="271">
        <v>45810</v>
      </c>
      <c r="B815" s="85" t="s">
        <v>136</v>
      </c>
      <c r="C815" s="43" t="s">
        <v>697</v>
      </c>
      <c r="D815" s="43">
        <v>-1</v>
      </c>
      <c r="E815" s="18" t="s">
        <v>127</v>
      </c>
    </row>
    <row r="816" spans="1:5" x14ac:dyDescent="0.4">
      <c r="A816" s="271">
        <v>45811</v>
      </c>
      <c r="B816" s="85" t="s">
        <v>136</v>
      </c>
      <c r="C816" s="43" t="s">
        <v>697</v>
      </c>
      <c r="D816" s="43">
        <v>-1</v>
      </c>
      <c r="E816" s="18" t="s">
        <v>127</v>
      </c>
    </row>
    <row r="817" spans="1:5" x14ac:dyDescent="0.4">
      <c r="A817" s="271">
        <v>45816</v>
      </c>
      <c r="B817" s="85" t="s">
        <v>136</v>
      </c>
      <c r="C817" s="43" t="s">
        <v>697</v>
      </c>
      <c r="D817" s="43">
        <v>-1</v>
      </c>
      <c r="E817" s="18" t="s">
        <v>127</v>
      </c>
    </row>
    <row r="818" spans="1:5" x14ac:dyDescent="0.4">
      <c r="A818" s="271">
        <v>45820</v>
      </c>
      <c r="B818" s="85" t="s">
        <v>136</v>
      </c>
      <c r="C818" s="43" t="s">
        <v>697</v>
      </c>
      <c r="D818" s="43">
        <v>-5</v>
      </c>
      <c r="E818" s="18" t="s">
        <v>127</v>
      </c>
    </row>
    <row r="819" spans="1:5" x14ac:dyDescent="0.4">
      <c r="A819" s="271">
        <v>45820</v>
      </c>
      <c r="B819" s="85" t="s">
        <v>136</v>
      </c>
      <c r="C819" s="43" t="s">
        <v>697</v>
      </c>
      <c r="D819" s="43">
        <v>-1</v>
      </c>
      <c r="E819" s="18" t="s">
        <v>127</v>
      </c>
    </row>
    <row r="820" spans="1:5" x14ac:dyDescent="0.4">
      <c r="A820" s="271">
        <v>45820</v>
      </c>
      <c r="B820" s="85" t="s">
        <v>136</v>
      </c>
      <c r="C820" s="43" t="s">
        <v>697</v>
      </c>
      <c r="D820" s="43">
        <v>-1</v>
      </c>
      <c r="E820" s="18" t="s">
        <v>127</v>
      </c>
    </row>
    <row r="822" spans="1:5" x14ac:dyDescent="0.4">
      <c r="A822" s="279">
        <v>45822</v>
      </c>
      <c r="B822" s="241" t="s">
        <v>136</v>
      </c>
      <c r="C822" s="240" t="s">
        <v>754</v>
      </c>
      <c r="D822" s="240">
        <v>3</v>
      </c>
      <c r="E822" s="222" t="s">
        <v>127</v>
      </c>
    </row>
    <row r="824" spans="1:5" x14ac:dyDescent="0.4">
      <c r="A824" s="271">
        <v>45821</v>
      </c>
      <c r="B824" s="94" t="s">
        <v>512</v>
      </c>
      <c r="C824" s="43" t="s">
        <v>121</v>
      </c>
      <c r="D824" s="43">
        <v>-1</v>
      </c>
      <c r="E824" s="18" t="s">
        <v>127</v>
      </c>
    </row>
    <row r="825" spans="1:5" x14ac:dyDescent="0.4">
      <c r="A825" s="271">
        <v>45821</v>
      </c>
      <c r="B825" s="94" t="s">
        <v>76</v>
      </c>
      <c r="C825" s="43" t="s">
        <v>121</v>
      </c>
      <c r="D825" s="43">
        <v>-20</v>
      </c>
      <c r="E825" s="18" t="s">
        <v>127</v>
      </c>
    </row>
    <row r="826" spans="1:5" x14ac:dyDescent="0.4">
      <c r="A826" s="271">
        <v>45821</v>
      </c>
      <c r="B826" s="94" t="s">
        <v>512</v>
      </c>
      <c r="C826" s="43" t="s">
        <v>121</v>
      </c>
      <c r="D826" s="43">
        <v>-1</v>
      </c>
      <c r="E826" s="18" t="s">
        <v>127</v>
      </c>
    </row>
    <row r="827" spans="1:5" x14ac:dyDescent="0.4">
      <c r="A827" s="271">
        <v>45821</v>
      </c>
      <c r="B827" s="94" t="s">
        <v>76</v>
      </c>
      <c r="C827" s="43" t="s">
        <v>121</v>
      </c>
      <c r="D827" s="43">
        <v>-2</v>
      </c>
      <c r="E827" s="18" t="s">
        <v>127</v>
      </c>
    </row>
    <row r="828" spans="1:5" x14ac:dyDescent="0.4">
      <c r="A828" s="271">
        <v>45821</v>
      </c>
      <c r="B828" s="94" t="s">
        <v>76</v>
      </c>
      <c r="C828" s="43" t="s">
        <v>121</v>
      </c>
      <c r="D828" s="43">
        <v>-2</v>
      </c>
      <c r="E828" s="18" t="s">
        <v>127</v>
      </c>
    </row>
    <row r="830" spans="1:5" x14ac:dyDescent="0.4">
      <c r="A830" s="271">
        <v>45822</v>
      </c>
      <c r="B830" s="94" t="s">
        <v>76</v>
      </c>
      <c r="C830" s="43" t="s">
        <v>121</v>
      </c>
      <c r="D830" s="43">
        <v>-28</v>
      </c>
      <c r="E830" s="18" t="s">
        <v>127</v>
      </c>
    </row>
    <row r="831" spans="1:5" x14ac:dyDescent="0.4">
      <c r="A831" s="271">
        <v>45822</v>
      </c>
      <c r="B831" s="94" t="s">
        <v>423</v>
      </c>
      <c r="C831" s="43" t="s">
        <v>121</v>
      </c>
      <c r="D831" s="43">
        <v>-1</v>
      </c>
      <c r="E831" s="18" t="s">
        <v>127</v>
      </c>
    </row>
    <row r="839" spans="1:6" x14ac:dyDescent="0.4">
      <c r="A839" s="271">
        <v>45824</v>
      </c>
      <c r="B839" s="85" t="s">
        <v>136</v>
      </c>
      <c r="C839" s="43" t="s">
        <v>697</v>
      </c>
      <c r="D839" s="43">
        <v>-1</v>
      </c>
      <c r="E839" s="18" t="s">
        <v>127</v>
      </c>
    </row>
    <row r="840" spans="1:6" x14ac:dyDescent="0.4">
      <c r="A840" s="271">
        <v>45824</v>
      </c>
      <c r="B840" s="85" t="s">
        <v>136</v>
      </c>
      <c r="C840" s="43" t="s">
        <v>697</v>
      </c>
      <c r="D840" s="43"/>
      <c r="E840" s="18" t="s">
        <v>127</v>
      </c>
      <c r="F840" t="s">
        <v>647</v>
      </c>
    </row>
    <row r="841" spans="1:6" x14ac:dyDescent="0.4">
      <c r="A841" s="271">
        <v>45824</v>
      </c>
      <c r="B841" s="94" t="s">
        <v>169</v>
      </c>
      <c r="C841" s="43" t="s">
        <v>697</v>
      </c>
      <c r="D841" s="43">
        <v>-1</v>
      </c>
      <c r="E841" s="18" t="s">
        <v>127</v>
      </c>
    </row>
    <row r="843" spans="1:6" x14ac:dyDescent="0.4">
      <c r="A843" s="271">
        <v>45822</v>
      </c>
      <c r="B843" s="94" t="s">
        <v>76</v>
      </c>
      <c r="C843" s="43" t="s">
        <v>121</v>
      </c>
      <c r="D843" s="43">
        <v>-19</v>
      </c>
      <c r="E843" s="18" t="s">
        <v>127</v>
      </c>
      <c r="F843" t="s">
        <v>757</v>
      </c>
    </row>
    <row r="845" spans="1:6" x14ac:dyDescent="0.4">
      <c r="A845" s="271">
        <v>45828</v>
      </c>
      <c r="B845" s="94" t="s">
        <v>512</v>
      </c>
      <c r="C845" s="43" t="s">
        <v>121</v>
      </c>
      <c r="D845" s="43">
        <v>-1</v>
      </c>
      <c r="E845" s="18" t="s">
        <v>127</v>
      </c>
    </row>
    <row r="847" spans="1:6" x14ac:dyDescent="0.4">
      <c r="A847" s="271">
        <v>45829</v>
      </c>
      <c r="B847" s="94" t="s">
        <v>512</v>
      </c>
      <c r="C847" s="43" t="s">
        <v>121</v>
      </c>
      <c r="D847" s="43">
        <v>-1</v>
      </c>
      <c r="E847" s="18" t="s">
        <v>127</v>
      </c>
    </row>
    <row r="848" spans="1:6" x14ac:dyDescent="0.4">
      <c r="A848" s="271">
        <v>45829</v>
      </c>
      <c r="B848" s="94" t="s">
        <v>512</v>
      </c>
      <c r="C848" s="43" t="s">
        <v>121</v>
      </c>
      <c r="D848" s="43">
        <v>-1</v>
      </c>
      <c r="E848" s="18" t="s">
        <v>127</v>
      </c>
    </row>
    <row r="850" spans="1:6" x14ac:dyDescent="0.4">
      <c r="A850" s="279">
        <v>45831</v>
      </c>
      <c r="B850" s="241" t="s">
        <v>136</v>
      </c>
      <c r="C850" s="240" t="s">
        <v>795</v>
      </c>
      <c r="D850" s="240">
        <v>2</v>
      </c>
      <c r="E850" s="222" t="s">
        <v>127</v>
      </c>
    </row>
    <row r="851" spans="1:6" x14ac:dyDescent="0.4">
      <c r="A851" s="279">
        <v>45831</v>
      </c>
      <c r="B851" s="307" t="s">
        <v>78</v>
      </c>
      <c r="C851" s="240" t="s">
        <v>796</v>
      </c>
      <c r="D851" s="240">
        <v>270</v>
      </c>
      <c r="E851" s="222" t="s">
        <v>127</v>
      </c>
    </row>
    <row r="852" spans="1:6" x14ac:dyDescent="0.4">
      <c r="A852" s="271">
        <v>45831</v>
      </c>
      <c r="B852" s="94" t="s">
        <v>423</v>
      </c>
      <c r="C852" s="43" t="s">
        <v>121</v>
      </c>
      <c r="D852" s="43">
        <v>-1</v>
      </c>
      <c r="E852" s="18" t="s">
        <v>127</v>
      </c>
    </row>
    <row r="853" spans="1:6" x14ac:dyDescent="0.4">
      <c r="A853" s="292">
        <v>45831</v>
      </c>
      <c r="B853" s="308" t="s">
        <v>78</v>
      </c>
      <c r="C853" s="294" t="s">
        <v>654</v>
      </c>
      <c r="D853" s="309">
        <v>3</v>
      </c>
      <c r="E853" s="295" t="s">
        <v>127</v>
      </c>
      <c r="F853" t="s">
        <v>927</v>
      </c>
    </row>
    <row r="854" spans="1:6" x14ac:dyDescent="0.4">
      <c r="A854" s="271">
        <v>45832</v>
      </c>
      <c r="B854" s="94" t="s">
        <v>266</v>
      </c>
      <c r="C854" s="43" t="s">
        <v>121</v>
      </c>
      <c r="D854" s="43">
        <v>-4</v>
      </c>
      <c r="E854" s="18" t="s">
        <v>127</v>
      </c>
    </row>
    <row r="855" spans="1:6" x14ac:dyDescent="0.4">
      <c r="A855" s="279">
        <v>45832</v>
      </c>
      <c r="B855" s="241" t="s">
        <v>136</v>
      </c>
      <c r="C855" s="240" t="s">
        <v>754</v>
      </c>
      <c r="D855" s="240">
        <v>6</v>
      </c>
      <c r="E855" s="222" t="s">
        <v>127</v>
      </c>
    </row>
    <row r="856" spans="1:6" x14ac:dyDescent="0.4">
      <c r="A856" s="271">
        <v>45832</v>
      </c>
      <c r="B856" s="94" t="s">
        <v>78</v>
      </c>
      <c r="C856" s="43" t="s">
        <v>121</v>
      </c>
      <c r="D856" s="43">
        <v>-130</v>
      </c>
      <c r="E856" s="18" t="s">
        <v>127</v>
      </c>
    </row>
    <row r="858" spans="1:6" x14ac:dyDescent="0.4">
      <c r="A858" s="279">
        <v>45832</v>
      </c>
      <c r="B858" s="253" t="s">
        <v>423</v>
      </c>
      <c r="C858" s="240" t="s">
        <v>797</v>
      </c>
      <c r="D858" s="240">
        <v>1</v>
      </c>
      <c r="E858" s="222" t="s">
        <v>127</v>
      </c>
    </row>
    <row r="860" spans="1:6" x14ac:dyDescent="0.4">
      <c r="A860" s="271">
        <v>45833</v>
      </c>
      <c r="B860" s="94" t="s">
        <v>266</v>
      </c>
      <c r="C860" s="43" t="s">
        <v>121</v>
      </c>
      <c r="D860" s="43">
        <v>-1</v>
      </c>
      <c r="E860" s="18" t="s">
        <v>127</v>
      </c>
    </row>
    <row r="861" spans="1:6" x14ac:dyDescent="0.4">
      <c r="A861" s="271">
        <v>45833</v>
      </c>
      <c r="B861" s="94" t="s">
        <v>78</v>
      </c>
      <c r="C861" s="43" t="s">
        <v>121</v>
      </c>
      <c r="D861" s="43">
        <v>-120</v>
      </c>
      <c r="E861" s="18" t="s">
        <v>127</v>
      </c>
    </row>
    <row r="863" spans="1:6" x14ac:dyDescent="0.4">
      <c r="A863" s="271">
        <v>45834</v>
      </c>
      <c r="B863" s="94" t="s">
        <v>78</v>
      </c>
      <c r="C863" s="43" t="s">
        <v>121</v>
      </c>
      <c r="D863" s="43">
        <v>-20</v>
      </c>
      <c r="E863" s="18" t="s">
        <v>127</v>
      </c>
    </row>
    <row r="865" spans="1:6" x14ac:dyDescent="0.4">
      <c r="A865" s="292">
        <v>45831</v>
      </c>
      <c r="B865" s="308" t="s">
        <v>690</v>
      </c>
      <c r="C865" s="294" t="s">
        <v>654</v>
      </c>
      <c r="D865" s="309">
        <v>4</v>
      </c>
      <c r="E865" s="295" t="s">
        <v>127</v>
      </c>
    </row>
    <row r="867" spans="1:6" x14ac:dyDescent="0.4">
      <c r="A867" s="278">
        <v>45834</v>
      </c>
      <c r="B867" s="127" t="s">
        <v>661</v>
      </c>
      <c r="C867" s="105" t="s">
        <v>49</v>
      </c>
      <c r="D867" s="105">
        <v>6</v>
      </c>
      <c r="E867" s="18" t="s">
        <v>127</v>
      </c>
    </row>
    <row r="868" spans="1:6" x14ac:dyDescent="0.4">
      <c r="A868" s="278">
        <v>45834</v>
      </c>
      <c r="B868" s="239" t="s">
        <v>492</v>
      </c>
      <c r="C868" s="105" t="s">
        <v>49</v>
      </c>
      <c r="D868" s="105">
        <v>3</v>
      </c>
      <c r="E868" s="18" t="s">
        <v>127</v>
      </c>
    </row>
    <row r="869" spans="1:6" x14ac:dyDescent="0.4">
      <c r="A869" s="278">
        <v>45834</v>
      </c>
      <c r="B869" s="127" t="s">
        <v>690</v>
      </c>
      <c r="C869" s="105" t="s">
        <v>49</v>
      </c>
      <c r="D869" s="105">
        <v>5</v>
      </c>
      <c r="E869" s="18" t="s">
        <v>127</v>
      </c>
    </row>
    <row r="870" spans="1:6" x14ac:dyDescent="0.4">
      <c r="A870" s="278">
        <v>45834</v>
      </c>
      <c r="B870" s="127" t="s">
        <v>681</v>
      </c>
      <c r="C870" s="105" t="s">
        <v>49</v>
      </c>
      <c r="D870" s="105">
        <v>3</v>
      </c>
      <c r="E870" s="18" t="s">
        <v>127</v>
      </c>
    </row>
    <row r="871" spans="1:6" x14ac:dyDescent="0.4">
      <c r="A871" s="278">
        <v>45834</v>
      </c>
      <c r="B871" s="127" t="s">
        <v>810</v>
      </c>
      <c r="C871" s="105" t="s">
        <v>49</v>
      </c>
      <c r="D871" s="105">
        <v>3</v>
      </c>
      <c r="E871" s="18" t="s">
        <v>127</v>
      </c>
    </row>
    <row r="872" spans="1:6" x14ac:dyDescent="0.4">
      <c r="A872" s="278">
        <v>45834</v>
      </c>
      <c r="B872" s="127" t="s">
        <v>691</v>
      </c>
      <c r="C872" s="105" t="s">
        <v>49</v>
      </c>
      <c r="D872" s="105">
        <v>2</v>
      </c>
      <c r="E872" s="18" t="s">
        <v>127</v>
      </c>
    </row>
    <row r="873" spans="1:6" x14ac:dyDescent="0.4">
      <c r="A873" s="278">
        <v>45834</v>
      </c>
      <c r="B873" s="239" t="s">
        <v>512</v>
      </c>
      <c r="C873" s="105" t="s">
        <v>49</v>
      </c>
      <c r="D873" s="105">
        <v>6</v>
      </c>
      <c r="E873" s="18" t="s">
        <v>127</v>
      </c>
    </row>
    <row r="874" spans="1:6" x14ac:dyDescent="0.4">
      <c r="A874" s="278">
        <v>45834</v>
      </c>
      <c r="B874" s="239" t="s">
        <v>513</v>
      </c>
      <c r="C874" s="105" t="s">
        <v>49</v>
      </c>
      <c r="D874" s="105">
        <v>6</v>
      </c>
      <c r="E874" s="18" t="s">
        <v>127</v>
      </c>
    </row>
    <row r="875" spans="1:6" x14ac:dyDescent="0.4">
      <c r="A875" s="278">
        <v>45834</v>
      </c>
      <c r="B875" s="127" t="s">
        <v>691</v>
      </c>
      <c r="C875" s="105" t="s">
        <v>49</v>
      </c>
      <c r="D875" s="105">
        <v>6</v>
      </c>
      <c r="E875" s="18" t="s">
        <v>127</v>
      </c>
    </row>
    <row r="876" spans="1:6" x14ac:dyDescent="0.4">
      <c r="A876" s="278">
        <v>45834</v>
      </c>
      <c r="B876" s="127" t="s">
        <v>810</v>
      </c>
      <c r="C876" s="105" t="s">
        <v>49</v>
      </c>
      <c r="D876" s="105">
        <v>8</v>
      </c>
      <c r="E876" s="18" t="s">
        <v>127</v>
      </c>
    </row>
    <row r="877" spans="1:6" x14ac:dyDescent="0.4">
      <c r="A877" s="278">
        <v>45834</v>
      </c>
      <c r="B877" s="127" t="s">
        <v>690</v>
      </c>
      <c r="C877" s="105" t="s">
        <v>49</v>
      </c>
      <c r="D877" s="105">
        <v>2</v>
      </c>
      <c r="E877" s="18"/>
      <c r="F877" t="s">
        <v>824</v>
      </c>
    </row>
    <row r="878" spans="1:6" x14ac:dyDescent="0.4">
      <c r="A878" s="278">
        <v>45834</v>
      </c>
      <c r="B878" s="127" t="s">
        <v>84</v>
      </c>
      <c r="C878" s="105" t="s">
        <v>49</v>
      </c>
      <c r="D878" s="105">
        <v>36</v>
      </c>
      <c r="E878" s="18" t="s">
        <v>127</v>
      </c>
    </row>
    <row r="879" spans="1:6" x14ac:dyDescent="0.4">
      <c r="A879" s="278">
        <v>45834</v>
      </c>
      <c r="B879" s="127" t="s">
        <v>690</v>
      </c>
      <c r="C879" s="105" t="s">
        <v>49</v>
      </c>
      <c r="D879" s="105">
        <v>4</v>
      </c>
      <c r="E879" s="18" t="s">
        <v>127</v>
      </c>
    </row>
    <row r="880" spans="1:6" x14ac:dyDescent="0.4">
      <c r="A880" s="278">
        <v>45834</v>
      </c>
      <c r="B880" s="139" t="s">
        <v>818</v>
      </c>
      <c r="C880" s="105" t="s">
        <v>49</v>
      </c>
      <c r="D880" s="105">
        <v>1</v>
      </c>
      <c r="E880" s="18" t="s">
        <v>127</v>
      </c>
    </row>
    <row r="881" spans="1:5" x14ac:dyDescent="0.4">
      <c r="A881" s="278">
        <v>45834</v>
      </c>
      <c r="B881" s="139" t="s">
        <v>156</v>
      </c>
      <c r="C881" s="105" t="s">
        <v>49</v>
      </c>
      <c r="D881" s="236">
        <v>1</v>
      </c>
      <c r="E881" s="18" t="s">
        <v>127</v>
      </c>
    </row>
    <row r="882" spans="1:5" x14ac:dyDescent="0.4">
      <c r="A882" s="278">
        <v>45834</v>
      </c>
      <c r="B882" s="127" t="s">
        <v>84</v>
      </c>
      <c r="C882" s="105" t="s">
        <v>49</v>
      </c>
      <c r="D882" s="105">
        <v>6</v>
      </c>
      <c r="E882" s="18" t="s">
        <v>127</v>
      </c>
    </row>
    <row r="883" spans="1:5" x14ac:dyDescent="0.4">
      <c r="A883" s="278">
        <v>45834</v>
      </c>
      <c r="B883" s="127" t="s">
        <v>681</v>
      </c>
      <c r="C883" s="105" t="s">
        <v>49</v>
      </c>
      <c r="D883" s="105">
        <v>40</v>
      </c>
      <c r="E883" s="18" t="s">
        <v>127</v>
      </c>
    </row>
    <row r="885" spans="1:5" x14ac:dyDescent="0.4">
      <c r="A885" s="271">
        <v>45836</v>
      </c>
      <c r="B885" s="94" t="s">
        <v>690</v>
      </c>
      <c r="C885" s="43" t="s">
        <v>121</v>
      </c>
      <c r="D885" s="43">
        <v>-5</v>
      </c>
      <c r="E885" s="18" t="s">
        <v>127</v>
      </c>
    </row>
    <row r="886" spans="1:5" x14ac:dyDescent="0.4">
      <c r="A886" s="271">
        <v>45836</v>
      </c>
      <c r="B886" s="94" t="s">
        <v>266</v>
      </c>
      <c r="C886" s="43" t="s">
        <v>121</v>
      </c>
      <c r="D886" s="43">
        <v>-2</v>
      </c>
      <c r="E886" s="18" t="s">
        <v>127</v>
      </c>
    </row>
    <row r="887" spans="1:5" x14ac:dyDescent="0.4">
      <c r="A887" s="271">
        <v>45836</v>
      </c>
      <c r="B887" s="94" t="s">
        <v>512</v>
      </c>
      <c r="C887" s="43" t="s">
        <v>121</v>
      </c>
      <c r="D887" s="43">
        <v>-1</v>
      </c>
      <c r="E887" s="18" t="s">
        <v>127</v>
      </c>
    </row>
    <row r="888" spans="1:5" x14ac:dyDescent="0.4">
      <c r="A888" s="271">
        <v>45836</v>
      </c>
      <c r="B888" s="94" t="s">
        <v>512</v>
      </c>
      <c r="C888" s="43" t="s">
        <v>121</v>
      </c>
      <c r="D888" s="43">
        <v>-5</v>
      </c>
      <c r="E888" s="18" t="s">
        <v>127</v>
      </c>
    </row>
    <row r="890" spans="1:5" x14ac:dyDescent="0.4">
      <c r="A890" s="271">
        <v>45838</v>
      </c>
      <c r="B890" s="93" t="s">
        <v>84</v>
      </c>
      <c r="C890" s="43" t="s">
        <v>121</v>
      </c>
      <c r="D890" s="43">
        <v>-36</v>
      </c>
      <c r="E890" s="18" t="s">
        <v>127</v>
      </c>
    </row>
    <row r="891" spans="1:5" x14ac:dyDescent="0.4">
      <c r="A891" s="279">
        <v>45838</v>
      </c>
      <c r="B891" s="307" t="s">
        <v>78</v>
      </c>
      <c r="C891" s="240" t="s">
        <v>796</v>
      </c>
      <c r="D891" s="240">
        <v>100</v>
      </c>
      <c r="E891" s="222" t="s">
        <v>127</v>
      </c>
    </row>
    <row r="892" spans="1:5" x14ac:dyDescent="0.4">
      <c r="A892" s="271">
        <v>45838</v>
      </c>
      <c r="B892" s="94" t="s">
        <v>78</v>
      </c>
      <c r="C892" s="43" t="s">
        <v>121</v>
      </c>
      <c r="D892" s="43">
        <v>-20</v>
      </c>
      <c r="E892" s="18" t="s">
        <v>127</v>
      </c>
    </row>
    <row r="894" spans="1:5" x14ac:dyDescent="0.4">
      <c r="A894" s="271">
        <v>45839</v>
      </c>
      <c r="B894" s="94" t="s">
        <v>78</v>
      </c>
      <c r="C894" s="43" t="s">
        <v>121</v>
      </c>
      <c r="D894" s="43">
        <v>-5</v>
      </c>
      <c r="E894" s="18" t="s">
        <v>127</v>
      </c>
    </row>
    <row r="895" spans="1:5" x14ac:dyDescent="0.4">
      <c r="A895" s="271">
        <v>45839</v>
      </c>
      <c r="B895" s="93" t="s">
        <v>84</v>
      </c>
      <c r="C895" s="43" t="s">
        <v>121</v>
      </c>
      <c r="D895" s="43">
        <v>-2</v>
      </c>
      <c r="E895" s="18" t="s">
        <v>127</v>
      </c>
    </row>
    <row r="896" spans="1:5" x14ac:dyDescent="0.4">
      <c r="A896" s="271">
        <v>45839</v>
      </c>
      <c r="B896" s="94" t="s">
        <v>266</v>
      </c>
      <c r="C896" s="43" t="s">
        <v>121</v>
      </c>
      <c r="D896" s="43">
        <v>-2</v>
      </c>
      <c r="E896" s="18" t="s">
        <v>127</v>
      </c>
    </row>
    <row r="897" spans="1:5" x14ac:dyDescent="0.4">
      <c r="A897" s="271">
        <v>45839</v>
      </c>
      <c r="B897" s="93" t="s">
        <v>689</v>
      </c>
      <c r="C897" s="43" t="s">
        <v>121</v>
      </c>
      <c r="D897" s="43">
        <v>-2</v>
      </c>
      <c r="E897" s="18" t="s">
        <v>127</v>
      </c>
    </row>
    <row r="898" spans="1:5" x14ac:dyDescent="0.4">
      <c r="A898" s="271">
        <v>45839</v>
      </c>
      <c r="B898" s="93" t="s">
        <v>690</v>
      </c>
      <c r="C898" s="43" t="s">
        <v>121</v>
      </c>
      <c r="D898" s="43">
        <v>-6</v>
      </c>
      <c r="E898" s="18" t="s">
        <v>127</v>
      </c>
    </row>
    <row r="899" spans="1:5" x14ac:dyDescent="0.4">
      <c r="A899" s="271">
        <v>45839</v>
      </c>
      <c r="B899" s="94" t="s">
        <v>266</v>
      </c>
      <c r="C899" s="43" t="s">
        <v>121</v>
      </c>
      <c r="D899" s="43">
        <v>-2</v>
      </c>
      <c r="E899" s="18" t="s">
        <v>127</v>
      </c>
    </row>
    <row r="900" spans="1:5" x14ac:dyDescent="0.4">
      <c r="A900" s="279">
        <v>45839</v>
      </c>
      <c r="B900" s="307" t="s">
        <v>76</v>
      </c>
      <c r="C900" s="240" t="s">
        <v>796</v>
      </c>
      <c r="D900" s="240">
        <v>120</v>
      </c>
      <c r="E900" s="222" t="s">
        <v>127</v>
      </c>
    </row>
    <row r="901" spans="1:5" x14ac:dyDescent="0.4">
      <c r="A901" s="271">
        <v>45839</v>
      </c>
      <c r="B901" s="94" t="s">
        <v>76</v>
      </c>
      <c r="C901" s="43" t="s">
        <v>121</v>
      </c>
      <c r="D901" s="43">
        <v>-10</v>
      </c>
      <c r="E901" s="18" t="s">
        <v>127</v>
      </c>
    </row>
    <row r="902" spans="1:5" x14ac:dyDescent="0.4">
      <c r="A902" s="271">
        <v>45839</v>
      </c>
      <c r="B902" s="94" t="s">
        <v>266</v>
      </c>
      <c r="C902" s="43" t="s">
        <v>121</v>
      </c>
      <c r="D902" s="43">
        <v>-1</v>
      </c>
      <c r="E902" s="18" t="s">
        <v>127</v>
      </c>
    </row>
    <row r="903" spans="1:5" x14ac:dyDescent="0.4">
      <c r="A903" s="271">
        <v>45839</v>
      </c>
      <c r="B903" s="94" t="s">
        <v>76</v>
      </c>
      <c r="C903" s="43" t="s">
        <v>121</v>
      </c>
      <c r="D903" s="43">
        <v>-50</v>
      </c>
      <c r="E903" s="18" t="s">
        <v>127</v>
      </c>
    </row>
    <row r="904" spans="1:5" x14ac:dyDescent="0.4">
      <c r="A904" s="271">
        <v>45839</v>
      </c>
      <c r="B904" s="94" t="s">
        <v>76</v>
      </c>
      <c r="C904" s="43" t="s">
        <v>121</v>
      </c>
      <c r="D904" s="33">
        <v>-1</v>
      </c>
      <c r="E904" s="18" t="s">
        <v>127</v>
      </c>
    </row>
    <row r="905" spans="1:5" x14ac:dyDescent="0.4">
      <c r="A905" s="271">
        <v>45840</v>
      </c>
      <c r="B905" s="94" t="s">
        <v>76</v>
      </c>
      <c r="C905" s="43" t="s">
        <v>121</v>
      </c>
      <c r="D905" s="43">
        <v>-6</v>
      </c>
      <c r="E905" s="18" t="s">
        <v>127</v>
      </c>
    </row>
    <row r="906" spans="1:5" x14ac:dyDescent="0.4">
      <c r="A906" s="271">
        <v>45840</v>
      </c>
      <c r="B906" s="94" t="s">
        <v>76</v>
      </c>
      <c r="C906" s="43" t="s">
        <v>121</v>
      </c>
      <c r="D906" s="43">
        <v>-2</v>
      </c>
      <c r="E906" s="18" t="s">
        <v>127</v>
      </c>
    </row>
    <row r="907" spans="1:5" x14ac:dyDescent="0.4">
      <c r="A907" s="271">
        <v>45840</v>
      </c>
      <c r="B907" s="94" t="s">
        <v>78</v>
      </c>
      <c r="C907" s="43" t="s">
        <v>121</v>
      </c>
      <c r="D907" s="43">
        <v>-3</v>
      </c>
      <c r="E907" s="18" t="s">
        <v>127</v>
      </c>
    </row>
    <row r="908" spans="1:5" x14ac:dyDescent="0.4">
      <c r="A908" s="271">
        <v>45840</v>
      </c>
      <c r="B908" s="94" t="s">
        <v>76</v>
      </c>
      <c r="C908" s="43" t="s">
        <v>121</v>
      </c>
      <c r="D908" s="43">
        <v>-15</v>
      </c>
      <c r="E908" s="18" t="s">
        <v>127</v>
      </c>
    </row>
    <row r="909" spans="1:5" x14ac:dyDescent="0.4">
      <c r="A909" s="271">
        <v>45840</v>
      </c>
      <c r="B909" s="94" t="s">
        <v>78</v>
      </c>
      <c r="C909" s="43" t="s">
        <v>121</v>
      </c>
      <c r="D909" s="43">
        <v>-72</v>
      </c>
      <c r="E909" s="18" t="s">
        <v>127</v>
      </c>
    </row>
    <row r="910" spans="1:5" x14ac:dyDescent="0.4">
      <c r="A910" s="271">
        <v>45840</v>
      </c>
      <c r="B910" s="94" t="s">
        <v>76</v>
      </c>
      <c r="C910" s="43" t="s">
        <v>121</v>
      </c>
      <c r="D910" s="43">
        <v>-15</v>
      </c>
      <c r="E910" s="18" t="s">
        <v>127</v>
      </c>
    </row>
    <row r="911" spans="1:5" x14ac:dyDescent="0.4">
      <c r="A911" s="271">
        <v>45841</v>
      </c>
      <c r="B911" s="94" t="s">
        <v>76</v>
      </c>
      <c r="C911" s="43" t="s">
        <v>121</v>
      </c>
      <c r="D911" s="43">
        <v>-2</v>
      </c>
      <c r="E911" s="18" t="s">
        <v>127</v>
      </c>
    </row>
    <row r="912" spans="1:5" x14ac:dyDescent="0.4">
      <c r="A912" s="271">
        <v>45841</v>
      </c>
      <c r="B912" s="94" t="s">
        <v>92</v>
      </c>
      <c r="C912" s="43" t="s">
        <v>121</v>
      </c>
      <c r="D912" s="43">
        <v>-1</v>
      </c>
      <c r="E912" s="18" t="s">
        <v>127</v>
      </c>
    </row>
    <row r="914" spans="1:6" x14ac:dyDescent="0.4">
      <c r="A914" s="279">
        <v>45842</v>
      </c>
      <c r="B914" s="307" t="s">
        <v>78</v>
      </c>
      <c r="C914" s="240" t="s">
        <v>796</v>
      </c>
      <c r="D914" s="240">
        <v>140</v>
      </c>
      <c r="E914" s="222" t="s">
        <v>127</v>
      </c>
    </row>
    <row r="915" spans="1:6" x14ac:dyDescent="0.4">
      <c r="A915" s="271">
        <v>45842</v>
      </c>
      <c r="B915" s="94" t="s">
        <v>78</v>
      </c>
      <c r="C915" s="43" t="s">
        <v>121</v>
      </c>
      <c r="D915" s="43">
        <v>-128</v>
      </c>
      <c r="E915" s="18" t="s">
        <v>127</v>
      </c>
    </row>
    <row r="917" spans="1:6" x14ac:dyDescent="0.4">
      <c r="A917" s="271">
        <v>45825</v>
      </c>
      <c r="B917" s="94" t="s">
        <v>169</v>
      </c>
      <c r="C917" s="43" t="s">
        <v>697</v>
      </c>
      <c r="D917" s="43">
        <v>-1</v>
      </c>
      <c r="E917" s="18" t="s">
        <v>127</v>
      </c>
    </row>
    <row r="918" spans="1:6" x14ac:dyDescent="0.4">
      <c r="A918" s="271">
        <v>45825</v>
      </c>
      <c r="B918" s="85" t="s">
        <v>136</v>
      </c>
      <c r="C918" s="43" t="s">
        <v>697</v>
      </c>
      <c r="D918" s="43">
        <v>-1</v>
      </c>
      <c r="E918" s="18" t="s">
        <v>127</v>
      </c>
    </row>
    <row r="919" spans="1:6" x14ac:dyDescent="0.4">
      <c r="A919" s="271">
        <v>45826</v>
      </c>
      <c r="B919" s="85" t="s">
        <v>136</v>
      </c>
      <c r="C919" s="43" t="s">
        <v>697</v>
      </c>
      <c r="D919" s="43">
        <v>-1</v>
      </c>
      <c r="E919" s="18" t="s">
        <v>127</v>
      </c>
    </row>
    <row r="920" spans="1:6" x14ac:dyDescent="0.4">
      <c r="A920" s="271">
        <v>45838</v>
      </c>
      <c r="B920" s="85" t="s">
        <v>136</v>
      </c>
      <c r="C920" s="43" t="s">
        <v>697</v>
      </c>
      <c r="D920" s="43">
        <v>-2</v>
      </c>
      <c r="E920" s="18" t="s">
        <v>127</v>
      </c>
    </row>
    <row r="921" spans="1:6" x14ac:dyDescent="0.4">
      <c r="A921" s="271">
        <v>45839</v>
      </c>
      <c r="B921" s="85" t="s">
        <v>136</v>
      </c>
      <c r="C921" s="43" t="s">
        <v>697</v>
      </c>
      <c r="D921" s="43">
        <v>-2</v>
      </c>
      <c r="E921" s="18" t="s">
        <v>127</v>
      </c>
    </row>
    <row r="922" spans="1:6" x14ac:dyDescent="0.4">
      <c r="A922" s="271">
        <v>45839</v>
      </c>
      <c r="B922" s="85" t="s">
        <v>136</v>
      </c>
      <c r="C922" s="43" t="s">
        <v>697</v>
      </c>
      <c r="D922" s="43">
        <v>-1</v>
      </c>
      <c r="E922" s="18" t="s">
        <v>127</v>
      </c>
    </row>
    <row r="923" spans="1:6" x14ac:dyDescent="0.4">
      <c r="A923" s="271">
        <v>45840</v>
      </c>
      <c r="B923" s="94" t="s">
        <v>169</v>
      </c>
      <c r="C923" s="43" t="s">
        <v>697</v>
      </c>
      <c r="D923" s="43">
        <v>-1</v>
      </c>
      <c r="E923" s="18" t="s">
        <v>127</v>
      </c>
    </row>
    <row r="924" spans="1:6" x14ac:dyDescent="0.4">
      <c r="A924" s="271">
        <v>45841</v>
      </c>
      <c r="B924" s="94" t="s">
        <v>169</v>
      </c>
      <c r="C924" s="43" t="s">
        <v>697</v>
      </c>
      <c r="D924" s="43">
        <v>-1</v>
      </c>
      <c r="E924" s="18" t="s">
        <v>127</v>
      </c>
    </row>
    <row r="925" spans="1:6" x14ac:dyDescent="0.4">
      <c r="A925" s="271">
        <v>45841</v>
      </c>
      <c r="B925" s="85" t="s">
        <v>136</v>
      </c>
      <c r="C925" s="43" t="s">
        <v>697</v>
      </c>
      <c r="D925" s="43">
        <v>-1</v>
      </c>
      <c r="E925" s="18" t="s">
        <v>127</v>
      </c>
    </row>
    <row r="927" spans="1:6" x14ac:dyDescent="0.4">
      <c r="A927" s="316">
        <v>45842</v>
      </c>
      <c r="B927" s="317" t="s">
        <v>810</v>
      </c>
      <c r="C927" s="318" t="s">
        <v>121</v>
      </c>
      <c r="D927" s="318"/>
      <c r="E927" s="319" t="s">
        <v>127</v>
      </c>
      <c r="F927" s="320" t="s">
        <v>695</v>
      </c>
    </row>
    <row r="928" spans="1:6" x14ac:dyDescent="0.4">
      <c r="A928" s="316">
        <v>45842</v>
      </c>
      <c r="B928" s="317" t="s">
        <v>691</v>
      </c>
      <c r="C928" s="318" t="s">
        <v>121</v>
      </c>
      <c r="D928" s="318"/>
      <c r="E928" s="319" t="s">
        <v>127</v>
      </c>
      <c r="F928" s="320" t="s">
        <v>695</v>
      </c>
    </row>
    <row r="929" spans="1:6" x14ac:dyDescent="0.4">
      <c r="A929" s="316">
        <v>45842</v>
      </c>
      <c r="B929" s="321" t="s">
        <v>513</v>
      </c>
      <c r="C929" s="318" t="s">
        <v>121</v>
      </c>
      <c r="D929" s="318"/>
      <c r="E929" s="319" t="s">
        <v>127</v>
      </c>
      <c r="F929" s="320" t="s">
        <v>695</v>
      </c>
    </row>
    <row r="931" spans="1:6" x14ac:dyDescent="0.4">
      <c r="A931" s="271">
        <v>45843</v>
      </c>
      <c r="B931" s="94" t="s">
        <v>266</v>
      </c>
      <c r="C931" s="43" t="s">
        <v>121</v>
      </c>
      <c r="D931" s="43">
        <v>-1</v>
      </c>
      <c r="E931" s="18" t="s">
        <v>127</v>
      </c>
    </row>
    <row r="933" spans="1:6" x14ac:dyDescent="0.4">
      <c r="A933" s="271">
        <v>45843</v>
      </c>
      <c r="B933" s="85" t="s">
        <v>136</v>
      </c>
      <c r="C933" s="43" t="s">
        <v>697</v>
      </c>
      <c r="D933" s="43">
        <v>-1</v>
      </c>
      <c r="E933" s="18" t="s">
        <v>127</v>
      </c>
    </row>
    <row r="934" spans="1:6" x14ac:dyDescent="0.4">
      <c r="A934" s="271">
        <v>45843</v>
      </c>
      <c r="B934" s="85" t="s">
        <v>136</v>
      </c>
      <c r="C934" s="43" t="s">
        <v>697</v>
      </c>
      <c r="D934" s="43">
        <v>-1</v>
      </c>
      <c r="E934" s="18" t="s">
        <v>127</v>
      </c>
    </row>
    <row r="935" spans="1:6" x14ac:dyDescent="0.4">
      <c r="A935" s="271"/>
      <c r="B935" s="94"/>
      <c r="C935" s="43"/>
      <c r="D935" s="43"/>
      <c r="E935" s="18"/>
    </row>
    <row r="936" spans="1:6" x14ac:dyDescent="0.4">
      <c r="A936" s="271"/>
      <c r="B936" s="94"/>
      <c r="C936" s="43"/>
      <c r="D936" s="43"/>
      <c r="E936" s="18"/>
    </row>
    <row r="939" spans="1:6" x14ac:dyDescent="0.4">
      <c r="A939" s="271">
        <v>45845</v>
      </c>
      <c r="B939" s="94" t="s">
        <v>76</v>
      </c>
      <c r="C939" s="43" t="s">
        <v>121</v>
      </c>
      <c r="D939" s="43">
        <v>-5</v>
      </c>
      <c r="E939" s="18" t="s">
        <v>127</v>
      </c>
    </row>
    <row r="940" spans="1:6" x14ac:dyDescent="0.4">
      <c r="A940" s="271">
        <v>45845</v>
      </c>
      <c r="B940" s="94" t="s">
        <v>76</v>
      </c>
      <c r="C940" s="43" t="s">
        <v>121</v>
      </c>
      <c r="D940" s="43">
        <v>-4</v>
      </c>
      <c r="E940" s="18" t="s">
        <v>127</v>
      </c>
    </row>
    <row r="941" spans="1:6" x14ac:dyDescent="0.4">
      <c r="A941" s="271">
        <v>45843</v>
      </c>
      <c r="B941" s="94" t="s">
        <v>266</v>
      </c>
      <c r="C941" s="43" t="s">
        <v>121</v>
      </c>
      <c r="D941" s="43">
        <v>-1</v>
      </c>
      <c r="E941" s="18" t="s">
        <v>127</v>
      </c>
    </row>
    <row r="942" spans="1:6" x14ac:dyDescent="0.4">
      <c r="A942" s="271">
        <v>45845</v>
      </c>
      <c r="B942" s="94" t="s">
        <v>76</v>
      </c>
      <c r="C942" s="43" t="s">
        <v>121</v>
      </c>
      <c r="D942" s="43">
        <v>-5</v>
      </c>
      <c r="E942" s="18" t="s">
        <v>127</v>
      </c>
    </row>
    <row r="944" spans="1:6" x14ac:dyDescent="0.4">
      <c r="A944" s="312">
        <v>45845</v>
      </c>
      <c r="B944" s="247" t="s">
        <v>133</v>
      </c>
      <c r="C944" s="245" t="s">
        <v>701</v>
      </c>
      <c r="D944" s="245">
        <v>8</v>
      </c>
      <c r="E944" s="246" t="s">
        <v>127</v>
      </c>
    </row>
    <row r="945" spans="1:5" x14ac:dyDescent="0.4">
      <c r="A945" s="312">
        <v>45845</v>
      </c>
      <c r="B945" s="244" t="s">
        <v>827</v>
      </c>
      <c r="C945" s="245" t="s">
        <v>701</v>
      </c>
      <c r="D945" s="245">
        <v>2</v>
      </c>
      <c r="E945" s="246" t="s">
        <v>127</v>
      </c>
    </row>
    <row r="946" spans="1:5" x14ac:dyDescent="0.4">
      <c r="A946" s="312">
        <v>45845</v>
      </c>
      <c r="B946" s="244" t="s">
        <v>828</v>
      </c>
      <c r="C946" s="245" t="s">
        <v>701</v>
      </c>
      <c r="D946" s="245">
        <v>23</v>
      </c>
      <c r="E946" s="246" t="s">
        <v>127</v>
      </c>
    </row>
    <row r="947" spans="1:5" x14ac:dyDescent="0.4">
      <c r="A947" s="312">
        <v>45845</v>
      </c>
      <c r="B947" s="244" t="s">
        <v>829</v>
      </c>
      <c r="C947" s="245" t="s">
        <v>701</v>
      </c>
      <c r="D947" s="245">
        <v>8</v>
      </c>
      <c r="E947" s="246" t="s">
        <v>127</v>
      </c>
    </row>
    <row r="948" spans="1:5" x14ac:dyDescent="0.4">
      <c r="A948" s="312">
        <v>45845</v>
      </c>
      <c r="B948" s="244" t="s">
        <v>830</v>
      </c>
      <c r="C948" s="245" t="s">
        <v>701</v>
      </c>
      <c r="D948" s="245">
        <v>1</v>
      </c>
      <c r="E948" s="246" t="s">
        <v>127</v>
      </c>
    </row>
    <row r="950" spans="1:5" x14ac:dyDescent="0.4">
      <c r="A950" s="271">
        <v>45845</v>
      </c>
      <c r="B950" s="94" t="s">
        <v>828</v>
      </c>
      <c r="C950" s="43" t="s">
        <v>121</v>
      </c>
      <c r="D950" s="43">
        <v>-23</v>
      </c>
      <c r="E950" s="18" t="s">
        <v>127</v>
      </c>
    </row>
    <row r="951" spans="1:5" x14ac:dyDescent="0.4">
      <c r="A951" s="271">
        <v>45845</v>
      </c>
      <c r="B951" s="94" t="s">
        <v>829</v>
      </c>
      <c r="C951" s="43" t="s">
        <v>121</v>
      </c>
      <c r="D951" s="43">
        <v>-8</v>
      </c>
      <c r="E951" s="18" t="s">
        <v>127</v>
      </c>
    </row>
    <row r="952" spans="1:5" x14ac:dyDescent="0.4">
      <c r="A952" s="271">
        <v>45845</v>
      </c>
      <c r="B952" s="94" t="s">
        <v>830</v>
      </c>
      <c r="C952" s="43" t="s">
        <v>121</v>
      </c>
      <c r="D952" s="43">
        <v>-1</v>
      </c>
      <c r="E952" s="18" t="s">
        <v>127</v>
      </c>
    </row>
    <row r="953" spans="1:5" x14ac:dyDescent="0.4">
      <c r="A953" s="271">
        <v>45845</v>
      </c>
      <c r="B953" s="85" t="s">
        <v>133</v>
      </c>
      <c r="C953" s="43" t="s">
        <v>121</v>
      </c>
      <c r="D953" s="43">
        <v>-8</v>
      </c>
      <c r="E953" s="18" t="s">
        <v>127</v>
      </c>
    </row>
    <row r="954" spans="1:5" x14ac:dyDescent="0.4">
      <c r="A954" s="271">
        <v>45845</v>
      </c>
      <c r="B954" s="94" t="s">
        <v>827</v>
      </c>
      <c r="C954" s="43" t="s">
        <v>121</v>
      </c>
      <c r="D954" s="43">
        <v>-2</v>
      </c>
      <c r="E954" s="18" t="s">
        <v>127</v>
      </c>
    </row>
    <row r="956" spans="1:5" x14ac:dyDescent="0.4">
      <c r="A956" s="271">
        <v>45846</v>
      </c>
      <c r="B956" s="94" t="s">
        <v>76</v>
      </c>
      <c r="C956" s="43" t="s">
        <v>121</v>
      </c>
      <c r="D956" s="43">
        <v>-1</v>
      </c>
      <c r="E956" s="18" t="s">
        <v>127</v>
      </c>
    </row>
    <row r="957" spans="1:5" x14ac:dyDescent="0.4">
      <c r="A957" s="279">
        <v>45846</v>
      </c>
      <c r="B957" s="307" t="s">
        <v>78</v>
      </c>
      <c r="C957" s="240" t="s">
        <v>796</v>
      </c>
      <c r="D957" s="240">
        <v>100</v>
      </c>
      <c r="E957" s="222" t="s">
        <v>127</v>
      </c>
    </row>
    <row r="959" spans="1:5" x14ac:dyDescent="0.4">
      <c r="A959" s="271">
        <v>45847</v>
      </c>
      <c r="B959" s="93" t="s">
        <v>810</v>
      </c>
      <c r="C959" s="43" t="s">
        <v>121</v>
      </c>
      <c r="D959" s="43">
        <v>-1</v>
      </c>
      <c r="E959" s="18" t="s">
        <v>127</v>
      </c>
    </row>
    <row r="960" spans="1:5" x14ac:dyDescent="0.4">
      <c r="A960" s="271">
        <v>45847</v>
      </c>
      <c r="B960" s="94" t="s">
        <v>266</v>
      </c>
      <c r="C960" s="43" t="s">
        <v>121</v>
      </c>
      <c r="D960" s="43">
        <v>-1</v>
      </c>
      <c r="E960" s="18" t="s">
        <v>127</v>
      </c>
    </row>
    <row r="961" spans="1:6" x14ac:dyDescent="0.4">
      <c r="A961" s="271">
        <v>45847</v>
      </c>
      <c r="B961" s="94" t="s">
        <v>266</v>
      </c>
      <c r="C961" s="43" t="s">
        <v>121</v>
      </c>
      <c r="D961" s="43">
        <v>-1</v>
      </c>
      <c r="E961" s="18" t="s">
        <v>127</v>
      </c>
    </row>
    <row r="962" spans="1:6" x14ac:dyDescent="0.4">
      <c r="A962" s="271">
        <v>45847</v>
      </c>
      <c r="B962" s="94" t="s">
        <v>266</v>
      </c>
      <c r="C962" s="43" t="s">
        <v>121</v>
      </c>
      <c r="D962" s="43">
        <v>-1</v>
      </c>
      <c r="E962" s="18" t="s">
        <v>127</v>
      </c>
      <c r="F962" t="s">
        <v>872</v>
      </c>
    </row>
    <row r="963" spans="1:6" x14ac:dyDescent="0.4">
      <c r="A963" s="279">
        <v>45848</v>
      </c>
      <c r="B963" s="307" t="s">
        <v>76</v>
      </c>
      <c r="C963" s="240" t="s">
        <v>831</v>
      </c>
      <c r="D963" s="240">
        <v>5</v>
      </c>
      <c r="E963" s="222" t="s">
        <v>127</v>
      </c>
    </row>
    <row r="964" spans="1:6" x14ac:dyDescent="0.4">
      <c r="A964" s="271">
        <v>45848</v>
      </c>
      <c r="B964" s="94" t="s">
        <v>76</v>
      </c>
      <c r="C964" s="43" t="s">
        <v>121</v>
      </c>
      <c r="D964" s="43">
        <v>-5</v>
      </c>
      <c r="E964" s="18" t="s">
        <v>127</v>
      </c>
    </row>
    <row r="965" spans="1:6" x14ac:dyDescent="0.4">
      <c r="A965" s="271">
        <v>45848</v>
      </c>
      <c r="B965" s="94" t="s">
        <v>78</v>
      </c>
      <c r="C965" s="43" t="s">
        <v>121</v>
      </c>
      <c r="D965" s="43">
        <v>-50</v>
      </c>
      <c r="E965" s="18" t="s">
        <v>127</v>
      </c>
    </row>
    <row r="966" spans="1:6" x14ac:dyDescent="0.4">
      <c r="A966" s="271">
        <v>45848</v>
      </c>
      <c r="B966" s="94" t="s">
        <v>76</v>
      </c>
      <c r="C966" s="43" t="s">
        <v>121</v>
      </c>
      <c r="D966" s="43">
        <v>-2</v>
      </c>
      <c r="E966" s="18" t="s">
        <v>127</v>
      </c>
    </row>
    <row r="967" spans="1:6" x14ac:dyDescent="0.4">
      <c r="A967" s="271">
        <v>45848</v>
      </c>
      <c r="B967" s="94" t="s">
        <v>78</v>
      </c>
      <c r="C967" s="43" t="s">
        <v>121</v>
      </c>
      <c r="D967" s="43">
        <v>-1</v>
      </c>
      <c r="E967" s="18" t="s">
        <v>127</v>
      </c>
    </row>
    <row r="968" spans="1:6" x14ac:dyDescent="0.4">
      <c r="A968" s="271">
        <v>45848</v>
      </c>
      <c r="B968" s="94" t="s">
        <v>76</v>
      </c>
      <c r="C968" s="43" t="s">
        <v>121</v>
      </c>
      <c r="D968" s="43">
        <v>-1</v>
      </c>
      <c r="E968" s="18" t="s">
        <v>127</v>
      </c>
    </row>
    <row r="969" spans="1:6" x14ac:dyDescent="0.4">
      <c r="A969" s="271">
        <v>45849</v>
      </c>
      <c r="B969" s="94" t="s">
        <v>266</v>
      </c>
      <c r="C969" s="43" t="s">
        <v>121</v>
      </c>
      <c r="D969" s="43">
        <v>-1</v>
      </c>
      <c r="E969" s="18" t="s">
        <v>127</v>
      </c>
    </row>
    <row r="970" spans="1:6" x14ac:dyDescent="0.4">
      <c r="A970" s="322">
        <v>45848</v>
      </c>
      <c r="B970" s="323" t="s">
        <v>136</v>
      </c>
      <c r="C970" s="324" t="s">
        <v>873</v>
      </c>
      <c r="D970" s="324">
        <v>5</v>
      </c>
      <c r="E970" s="203" t="s">
        <v>127</v>
      </c>
    </row>
    <row r="971" spans="1:6" x14ac:dyDescent="0.4">
      <c r="A971" s="278">
        <v>45849</v>
      </c>
      <c r="B971" s="127" t="s">
        <v>690</v>
      </c>
      <c r="C971" s="105" t="s">
        <v>49</v>
      </c>
      <c r="D971" s="105">
        <v>2</v>
      </c>
      <c r="E971" s="95" t="s">
        <v>127</v>
      </c>
    </row>
    <row r="973" spans="1:6" x14ac:dyDescent="0.4">
      <c r="A973" s="292">
        <v>45849</v>
      </c>
      <c r="B973" s="308" t="s">
        <v>690</v>
      </c>
      <c r="C973" s="294" t="s">
        <v>654</v>
      </c>
      <c r="D973" s="294">
        <v>4</v>
      </c>
      <c r="E973" s="295" t="s">
        <v>127</v>
      </c>
    </row>
    <row r="975" spans="1:6" x14ac:dyDescent="0.4">
      <c r="A975" s="292">
        <v>45849</v>
      </c>
      <c r="B975" s="293" t="s">
        <v>860</v>
      </c>
      <c r="C975" s="294" t="s">
        <v>654</v>
      </c>
      <c r="D975" s="294">
        <v>5</v>
      </c>
      <c r="E975" s="295" t="s">
        <v>127</v>
      </c>
    </row>
    <row r="976" spans="1:6" x14ac:dyDescent="0.4">
      <c r="A976" s="292">
        <v>45849</v>
      </c>
      <c r="B976" s="293" t="s">
        <v>860</v>
      </c>
      <c r="C976" s="294" t="s">
        <v>654</v>
      </c>
      <c r="D976" s="294">
        <v>1</v>
      </c>
      <c r="E976" s="295" t="s">
        <v>127</v>
      </c>
    </row>
    <row r="977" spans="1:5" x14ac:dyDescent="0.4">
      <c r="A977" s="292">
        <v>45849</v>
      </c>
      <c r="B977" s="293" t="s">
        <v>861</v>
      </c>
      <c r="C977" s="294" t="s">
        <v>654</v>
      </c>
      <c r="D977" s="294">
        <v>1</v>
      </c>
      <c r="E977" s="295" t="s">
        <v>127</v>
      </c>
    </row>
    <row r="978" spans="1:5" x14ac:dyDescent="0.4">
      <c r="A978" s="292">
        <v>45849</v>
      </c>
      <c r="B978" s="293" t="s">
        <v>862</v>
      </c>
      <c r="C978" s="294" t="s">
        <v>654</v>
      </c>
      <c r="D978" s="294">
        <v>1</v>
      </c>
      <c r="E978" s="295" t="s">
        <v>127</v>
      </c>
    </row>
    <row r="979" spans="1:5" x14ac:dyDescent="0.4">
      <c r="A979" s="292">
        <v>45849</v>
      </c>
      <c r="B979" s="293" t="s">
        <v>690</v>
      </c>
      <c r="C979" s="294" t="s">
        <v>654</v>
      </c>
      <c r="D979" s="294">
        <v>4</v>
      </c>
      <c r="E979" s="295" t="s">
        <v>127</v>
      </c>
    </row>
    <row r="981" spans="1:5" x14ac:dyDescent="0.4">
      <c r="A981" s="292">
        <v>45849</v>
      </c>
      <c r="B981" s="293" t="s">
        <v>860</v>
      </c>
      <c r="C981" s="294" t="s">
        <v>654</v>
      </c>
      <c r="D981" s="294">
        <v>2</v>
      </c>
      <c r="E981" s="295" t="s">
        <v>127</v>
      </c>
    </row>
    <row r="982" spans="1:5" x14ac:dyDescent="0.4">
      <c r="A982" s="292">
        <v>45849</v>
      </c>
      <c r="B982" s="293" t="s">
        <v>862</v>
      </c>
      <c r="C982" s="294" t="s">
        <v>654</v>
      </c>
      <c r="D982" s="294">
        <v>1</v>
      </c>
      <c r="E982" s="295" t="s">
        <v>127</v>
      </c>
    </row>
    <row r="983" spans="1:5" x14ac:dyDescent="0.4">
      <c r="A983" s="292">
        <v>45849</v>
      </c>
      <c r="B983" s="293" t="s">
        <v>690</v>
      </c>
      <c r="C983" s="294" t="s">
        <v>654</v>
      </c>
      <c r="D983" s="294">
        <v>3</v>
      </c>
      <c r="E983" s="295" t="s">
        <v>127</v>
      </c>
    </row>
    <row r="984" spans="1:5" x14ac:dyDescent="0.4">
      <c r="A984" s="292">
        <v>45849</v>
      </c>
      <c r="B984" s="293" t="s">
        <v>861</v>
      </c>
      <c r="C984" s="294" t="s">
        <v>654</v>
      </c>
      <c r="D984" s="294">
        <v>1</v>
      </c>
      <c r="E984" s="295" t="s">
        <v>127</v>
      </c>
    </row>
    <row r="985" spans="1:5" x14ac:dyDescent="0.4">
      <c r="A985" s="292">
        <v>45849</v>
      </c>
      <c r="B985" s="293" t="s">
        <v>690</v>
      </c>
      <c r="C985" s="294" t="s">
        <v>654</v>
      </c>
      <c r="D985" s="294">
        <v>3</v>
      </c>
      <c r="E985" s="295" t="s">
        <v>127</v>
      </c>
    </row>
    <row r="986" spans="1:5" x14ac:dyDescent="0.4">
      <c r="A986" s="292">
        <v>45849</v>
      </c>
      <c r="B986" s="293" t="s">
        <v>862</v>
      </c>
      <c r="C986" s="294" t="s">
        <v>654</v>
      </c>
      <c r="D986" s="294">
        <v>1</v>
      </c>
      <c r="E986" s="295" t="s">
        <v>127</v>
      </c>
    </row>
    <row r="987" spans="1:5" x14ac:dyDescent="0.4">
      <c r="A987" s="292">
        <v>45849</v>
      </c>
      <c r="B987" s="293" t="s">
        <v>690</v>
      </c>
      <c r="C987" s="294" t="s">
        <v>654</v>
      </c>
      <c r="D987" s="294">
        <v>1</v>
      </c>
      <c r="E987" s="295" t="s">
        <v>127</v>
      </c>
    </row>
    <row r="988" spans="1:5" x14ac:dyDescent="0.4">
      <c r="A988" s="292">
        <v>45849</v>
      </c>
      <c r="B988" s="293" t="s">
        <v>860</v>
      </c>
      <c r="C988" s="294" t="s">
        <v>654</v>
      </c>
      <c r="D988" s="294">
        <v>1</v>
      </c>
      <c r="E988" s="295" t="s">
        <v>127</v>
      </c>
    </row>
    <row r="989" spans="1:5" x14ac:dyDescent="0.4">
      <c r="A989" s="292">
        <v>45849</v>
      </c>
      <c r="B989" s="293" t="s">
        <v>861</v>
      </c>
      <c r="C989" s="294" t="s">
        <v>654</v>
      </c>
      <c r="D989" s="294">
        <v>1</v>
      </c>
      <c r="E989" s="295" t="s">
        <v>127</v>
      </c>
    </row>
    <row r="990" spans="1:5" x14ac:dyDescent="0.4">
      <c r="A990" s="292">
        <v>45849</v>
      </c>
      <c r="B990" s="293" t="s">
        <v>862</v>
      </c>
      <c r="C990" s="294" t="s">
        <v>654</v>
      </c>
      <c r="D990" s="294">
        <v>1</v>
      </c>
      <c r="E990" s="295" t="s">
        <v>127</v>
      </c>
    </row>
    <row r="991" spans="1:5" x14ac:dyDescent="0.4">
      <c r="A991" s="292">
        <v>45849</v>
      </c>
      <c r="B991" s="293" t="s">
        <v>860</v>
      </c>
      <c r="C991" s="294" t="s">
        <v>654</v>
      </c>
      <c r="D991" s="294">
        <v>1</v>
      </c>
      <c r="E991" s="295" t="s">
        <v>127</v>
      </c>
    </row>
    <row r="992" spans="1:5" x14ac:dyDescent="0.4">
      <c r="A992" s="292">
        <v>45849</v>
      </c>
      <c r="B992" s="293" t="s">
        <v>690</v>
      </c>
      <c r="C992" s="294" t="s">
        <v>654</v>
      </c>
      <c r="D992" s="294">
        <v>1</v>
      </c>
      <c r="E992" s="295" t="s">
        <v>127</v>
      </c>
    </row>
    <row r="994" spans="1:5" x14ac:dyDescent="0.4">
      <c r="A994" s="292">
        <v>45849</v>
      </c>
      <c r="B994" s="293" t="s">
        <v>860</v>
      </c>
      <c r="C994" s="294" t="s">
        <v>654</v>
      </c>
      <c r="D994" s="294">
        <v>4</v>
      </c>
      <c r="E994" s="295" t="s">
        <v>127</v>
      </c>
    </row>
    <row r="995" spans="1:5" x14ac:dyDescent="0.4">
      <c r="A995" s="292">
        <v>45849</v>
      </c>
      <c r="B995" s="293" t="s">
        <v>862</v>
      </c>
      <c r="C995" s="294" t="s">
        <v>654</v>
      </c>
      <c r="D995" s="294">
        <v>1</v>
      </c>
      <c r="E995" s="295" t="s">
        <v>127</v>
      </c>
    </row>
    <row r="996" spans="1:5" x14ac:dyDescent="0.4">
      <c r="A996" s="292">
        <v>45849</v>
      </c>
      <c r="B996" s="293" t="s">
        <v>862</v>
      </c>
      <c r="C996" s="294" t="s">
        <v>654</v>
      </c>
      <c r="D996" s="294">
        <v>1</v>
      </c>
      <c r="E996" s="295" t="s">
        <v>127</v>
      </c>
    </row>
    <row r="997" spans="1:5" x14ac:dyDescent="0.4">
      <c r="A997" s="292">
        <v>45849</v>
      </c>
      <c r="B997" s="293" t="s">
        <v>861</v>
      </c>
      <c r="C997" s="294" t="s">
        <v>654</v>
      </c>
      <c r="D997" s="294">
        <v>1</v>
      </c>
      <c r="E997" s="295" t="s">
        <v>127</v>
      </c>
    </row>
    <row r="998" spans="1:5" x14ac:dyDescent="0.4">
      <c r="A998" s="292">
        <v>45849</v>
      </c>
      <c r="B998" s="293" t="s">
        <v>690</v>
      </c>
      <c r="C998" s="294" t="s">
        <v>654</v>
      </c>
      <c r="D998" s="294">
        <v>1</v>
      </c>
      <c r="E998" s="295" t="s">
        <v>127</v>
      </c>
    </row>
    <row r="999" spans="1:5" x14ac:dyDescent="0.4">
      <c r="A999" s="292">
        <v>45849</v>
      </c>
      <c r="B999" s="293" t="s">
        <v>690</v>
      </c>
      <c r="C999" s="294" t="s">
        <v>654</v>
      </c>
      <c r="D999" s="294">
        <v>4</v>
      </c>
      <c r="E999" s="295" t="s">
        <v>127</v>
      </c>
    </row>
    <row r="1001" spans="1:5" x14ac:dyDescent="0.4">
      <c r="A1001" s="292">
        <v>45849</v>
      </c>
      <c r="B1001" s="293" t="s">
        <v>76</v>
      </c>
      <c r="C1001" s="294" t="s">
        <v>654</v>
      </c>
      <c r="D1001" s="294">
        <v>150</v>
      </c>
      <c r="E1001" s="295" t="s">
        <v>127</v>
      </c>
    </row>
    <row r="1002" spans="1:5" x14ac:dyDescent="0.4">
      <c r="A1002" s="292">
        <v>45849</v>
      </c>
      <c r="B1002" s="293" t="s">
        <v>76</v>
      </c>
      <c r="C1002" s="294" t="s">
        <v>654</v>
      </c>
      <c r="D1002" s="294">
        <v>100</v>
      </c>
      <c r="E1002" s="295" t="s">
        <v>127</v>
      </c>
    </row>
    <row r="1003" spans="1:5" x14ac:dyDescent="0.4">
      <c r="A1003" s="292">
        <v>45849</v>
      </c>
      <c r="B1003" s="293" t="s">
        <v>122</v>
      </c>
      <c r="C1003" s="294" t="s">
        <v>654</v>
      </c>
      <c r="D1003" s="294">
        <v>100</v>
      </c>
      <c r="E1003" s="295" t="s">
        <v>127</v>
      </c>
    </row>
    <row r="1004" spans="1:5" x14ac:dyDescent="0.4">
      <c r="A1004" s="292">
        <v>45849</v>
      </c>
      <c r="B1004" s="293" t="s">
        <v>865</v>
      </c>
      <c r="C1004" s="294" t="s">
        <v>867</v>
      </c>
      <c r="D1004" s="294">
        <v>5</v>
      </c>
      <c r="E1004" s="295" t="s">
        <v>127</v>
      </c>
    </row>
    <row r="1005" spans="1:5" x14ac:dyDescent="0.4">
      <c r="A1005" s="292">
        <v>45849</v>
      </c>
      <c r="B1005" s="293" t="s">
        <v>866</v>
      </c>
      <c r="C1005" s="294" t="s">
        <v>867</v>
      </c>
      <c r="D1005" s="294">
        <v>5</v>
      </c>
      <c r="E1005" s="295" t="s">
        <v>127</v>
      </c>
    </row>
    <row r="1007" spans="1:5" x14ac:dyDescent="0.4">
      <c r="A1007" s="271">
        <v>45849</v>
      </c>
      <c r="B1007" s="94" t="s">
        <v>860</v>
      </c>
      <c r="C1007" s="43" t="s">
        <v>121</v>
      </c>
      <c r="D1007" s="43">
        <v>-4</v>
      </c>
      <c r="E1007" s="18" t="s">
        <v>127</v>
      </c>
    </row>
    <row r="1008" spans="1:5" x14ac:dyDescent="0.4">
      <c r="A1008" s="271">
        <v>45849</v>
      </c>
      <c r="B1008" s="94" t="s">
        <v>76</v>
      </c>
      <c r="C1008" s="43" t="s">
        <v>121</v>
      </c>
      <c r="D1008" s="43">
        <v>-10</v>
      </c>
      <c r="E1008" s="18" t="s">
        <v>127</v>
      </c>
    </row>
    <row r="1009" spans="1:5" x14ac:dyDescent="0.4">
      <c r="A1009" s="271">
        <v>45849</v>
      </c>
      <c r="B1009" s="94" t="s">
        <v>76</v>
      </c>
      <c r="C1009" s="43" t="s">
        <v>121</v>
      </c>
      <c r="D1009" s="43">
        <v>-2</v>
      </c>
      <c r="E1009" s="18" t="s">
        <v>127</v>
      </c>
    </row>
    <row r="1011" spans="1:5" x14ac:dyDescent="0.4">
      <c r="A1011" s="271">
        <v>45850</v>
      </c>
      <c r="B1011" s="94" t="s">
        <v>861</v>
      </c>
      <c r="C1011" s="43" t="s">
        <v>121</v>
      </c>
      <c r="D1011" s="43">
        <v>-3</v>
      </c>
      <c r="E1011" s="18" t="s">
        <v>127</v>
      </c>
    </row>
    <row r="1012" spans="1:5" x14ac:dyDescent="0.4">
      <c r="A1012" s="271">
        <v>45850</v>
      </c>
      <c r="B1012" s="94" t="s">
        <v>690</v>
      </c>
      <c r="C1012" s="43" t="s">
        <v>121</v>
      </c>
      <c r="D1012" s="43">
        <v>-10</v>
      </c>
      <c r="E1012" s="18" t="s">
        <v>127</v>
      </c>
    </row>
    <row r="1013" spans="1:5" x14ac:dyDescent="0.4">
      <c r="A1013" s="271">
        <v>45850</v>
      </c>
      <c r="B1013" s="94" t="s">
        <v>76</v>
      </c>
      <c r="C1013" s="43" t="s">
        <v>121</v>
      </c>
      <c r="D1013" s="43">
        <v>-12</v>
      </c>
      <c r="E1013" s="18" t="s">
        <v>127</v>
      </c>
    </row>
    <row r="1014" spans="1:5" x14ac:dyDescent="0.4">
      <c r="A1014" s="271">
        <v>45850</v>
      </c>
      <c r="B1014" s="94" t="s">
        <v>860</v>
      </c>
      <c r="C1014" s="43" t="s">
        <v>121</v>
      </c>
      <c r="D1014" s="43">
        <v>-5</v>
      </c>
      <c r="E1014" s="18" t="s">
        <v>127</v>
      </c>
    </row>
    <row r="1016" spans="1:5" x14ac:dyDescent="0.4">
      <c r="A1016" s="312">
        <v>45850</v>
      </c>
      <c r="B1016" s="247" t="s">
        <v>425</v>
      </c>
      <c r="C1016" s="245" t="s">
        <v>701</v>
      </c>
      <c r="D1016" s="245">
        <v>112</v>
      </c>
      <c r="E1016" s="246" t="s">
        <v>127</v>
      </c>
    </row>
    <row r="1017" spans="1:5" x14ac:dyDescent="0.4">
      <c r="A1017" s="312">
        <v>45850</v>
      </c>
      <c r="B1017" s="244" t="s">
        <v>828</v>
      </c>
      <c r="C1017" s="245" t="s">
        <v>701</v>
      </c>
      <c r="D1017" s="245">
        <v>24</v>
      </c>
      <c r="E1017" s="246" t="s">
        <v>127</v>
      </c>
    </row>
    <row r="1018" spans="1:5" x14ac:dyDescent="0.4">
      <c r="A1018" s="312">
        <v>45850</v>
      </c>
      <c r="B1018" s="244" t="s">
        <v>829</v>
      </c>
      <c r="C1018" s="245" t="s">
        <v>701</v>
      </c>
      <c r="D1018" s="245">
        <v>1</v>
      </c>
      <c r="E1018" s="246" t="s">
        <v>127</v>
      </c>
    </row>
    <row r="1020" spans="1:5" x14ac:dyDescent="0.4">
      <c r="A1020" s="271">
        <v>45850</v>
      </c>
      <c r="B1020" s="85" t="s">
        <v>425</v>
      </c>
      <c r="C1020" s="43" t="s">
        <v>121</v>
      </c>
      <c r="D1020" s="43">
        <v>-112</v>
      </c>
      <c r="E1020" s="18" t="s">
        <v>127</v>
      </c>
    </row>
    <row r="1021" spans="1:5" x14ac:dyDescent="0.4">
      <c r="A1021" s="271">
        <v>45850</v>
      </c>
      <c r="B1021" s="94" t="s">
        <v>828</v>
      </c>
      <c r="C1021" s="43" t="s">
        <v>121</v>
      </c>
      <c r="D1021" s="43">
        <v>-24</v>
      </c>
      <c r="E1021" s="18" t="s">
        <v>127</v>
      </c>
    </row>
    <row r="1022" spans="1:5" x14ac:dyDescent="0.4">
      <c r="A1022" s="271">
        <v>45850</v>
      </c>
      <c r="B1022" s="94" t="s">
        <v>829</v>
      </c>
      <c r="C1022" s="43" t="s">
        <v>121</v>
      </c>
      <c r="D1022" s="43">
        <v>-1</v>
      </c>
      <c r="E1022" s="18" t="s">
        <v>127</v>
      </c>
    </row>
    <row r="1023" spans="1:5" x14ac:dyDescent="0.4">
      <c r="A1023" s="271">
        <v>45850</v>
      </c>
      <c r="B1023" s="94" t="s">
        <v>76</v>
      </c>
      <c r="C1023" s="43" t="s">
        <v>121</v>
      </c>
      <c r="D1023" s="43">
        <v>-8</v>
      </c>
      <c r="E1023" s="18" t="s">
        <v>127</v>
      </c>
    </row>
    <row r="1024" spans="1:5" x14ac:dyDescent="0.4">
      <c r="A1024" s="271">
        <v>45850</v>
      </c>
      <c r="B1024" s="94" t="s">
        <v>76</v>
      </c>
      <c r="C1024" s="43" t="s">
        <v>121</v>
      </c>
      <c r="D1024" s="43">
        <v>-30</v>
      </c>
      <c r="E1024" s="18" t="s">
        <v>127</v>
      </c>
    </row>
    <row r="1025" spans="1:5" x14ac:dyDescent="0.4">
      <c r="A1025" s="271">
        <v>45850</v>
      </c>
      <c r="B1025" s="94" t="s">
        <v>76</v>
      </c>
      <c r="C1025" s="43" t="s">
        <v>121</v>
      </c>
      <c r="D1025" s="43">
        <v>-20</v>
      </c>
      <c r="E1025" s="18" t="s">
        <v>127</v>
      </c>
    </row>
    <row r="1026" spans="1:5" x14ac:dyDescent="0.4">
      <c r="A1026" s="271">
        <v>45850</v>
      </c>
      <c r="B1026" s="94" t="s">
        <v>76</v>
      </c>
      <c r="C1026" s="43" t="s">
        <v>121</v>
      </c>
      <c r="D1026" s="43">
        <v>-5</v>
      </c>
      <c r="E1026" s="18" t="s">
        <v>127</v>
      </c>
    </row>
    <row r="1027" spans="1:5" x14ac:dyDescent="0.4">
      <c r="A1027" s="271">
        <v>45850</v>
      </c>
      <c r="B1027" s="93" t="s">
        <v>78</v>
      </c>
      <c r="C1027" s="43" t="s">
        <v>121</v>
      </c>
      <c r="D1027" s="43">
        <v>-5</v>
      </c>
      <c r="E1027" s="18" t="s">
        <v>127</v>
      </c>
    </row>
    <row r="1028" spans="1:5" x14ac:dyDescent="0.4">
      <c r="A1028" s="271">
        <v>45850</v>
      </c>
      <c r="B1028" s="94" t="s">
        <v>76</v>
      </c>
      <c r="C1028" s="43" t="s">
        <v>121</v>
      </c>
      <c r="D1028" s="43">
        <v>-30</v>
      </c>
      <c r="E1028" s="18" t="s">
        <v>127</v>
      </c>
    </row>
    <row r="1029" spans="1:5" x14ac:dyDescent="0.4">
      <c r="A1029" s="271">
        <v>45850</v>
      </c>
      <c r="B1029" s="93" t="s">
        <v>810</v>
      </c>
      <c r="C1029" s="43" t="s">
        <v>121</v>
      </c>
      <c r="D1029" s="33">
        <v>-1</v>
      </c>
      <c r="E1029" s="18" t="s">
        <v>127</v>
      </c>
    </row>
    <row r="1031" spans="1:5" x14ac:dyDescent="0.4">
      <c r="A1031" s="271">
        <v>45852</v>
      </c>
      <c r="B1031" s="94" t="s">
        <v>76</v>
      </c>
      <c r="C1031" s="43" t="s">
        <v>121</v>
      </c>
      <c r="D1031" s="43">
        <v>-4</v>
      </c>
      <c r="E1031" s="18" t="s">
        <v>127</v>
      </c>
    </row>
    <row r="1032" spans="1:5" x14ac:dyDescent="0.4">
      <c r="A1032" s="271">
        <v>45852</v>
      </c>
      <c r="B1032" s="93" t="s">
        <v>810</v>
      </c>
      <c r="C1032" s="43" t="s">
        <v>121</v>
      </c>
      <c r="D1032" s="43">
        <v>-5</v>
      </c>
      <c r="E1032" s="18" t="s">
        <v>127</v>
      </c>
    </row>
    <row r="1033" spans="1:5" x14ac:dyDescent="0.4">
      <c r="A1033" s="271">
        <v>45852</v>
      </c>
      <c r="B1033" s="93" t="s">
        <v>78</v>
      </c>
      <c r="C1033" s="43" t="s">
        <v>121</v>
      </c>
      <c r="D1033" s="33">
        <v>-3</v>
      </c>
      <c r="E1033" s="18" t="s">
        <v>127</v>
      </c>
    </row>
    <row r="1034" spans="1:5" x14ac:dyDescent="0.4">
      <c r="A1034" s="271">
        <v>45852</v>
      </c>
      <c r="B1034" s="94" t="s">
        <v>76</v>
      </c>
      <c r="C1034" s="43" t="s">
        <v>121</v>
      </c>
      <c r="D1034" s="43">
        <v>-5</v>
      </c>
      <c r="E1034" s="18" t="s">
        <v>127</v>
      </c>
    </row>
    <row r="1035" spans="1:5" x14ac:dyDescent="0.4">
      <c r="A1035" s="271">
        <v>45852</v>
      </c>
      <c r="B1035" s="93" t="s">
        <v>78</v>
      </c>
      <c r="C1035" s="43" t="s">
        <v>121</v>
      </c>
      <c r="D1035" s="43">
        <v>-1</v>
      </c>
      <c r="E1035" s="18" t="s">
        <v>127</v>
      </c>
    </row>
    <row r="1037" spans="1:5" x14ac:dyDescent="0.4">
      <c r="A1037" s="271">
        <v>45853</v>
      </c>
      <c r="B1037" s="93" t="s">
        <v>78</v>
      </c>
      <c r="C1037" s="43" t="s">
        <v>121</v>
      </c>
      <c r="D1037" s="43">
        <v>-20</v>
      </c>
      <c r="E1037" s="18" t="s">
        <v>127</v>
      </c>
    </row>
    <row r="1038" spans="1:5" x14ac:dyDescent="0.4">
      <c r="A1038" s="271">
        <v>45853</v>
      </c>
      <c r="B1038" s="93" t="s">
        <v>78</v>
      </c>
      <c r="C1038" s="43" t="s">
        <v>121</v>
      </c>
      <c r="D1038" s="43">
        <v>-1</v>
      </c>
      <c r="E1038" s="18" t="s">
        <v>127</v>
      </c>
    </row>
    <row r="1039" spans="1:5" x14ac:dyDescent="0.4">
      <c r="A1039" s="271">
        <v>45853</v>
      </c>
      <c r="B1039" s="85" t="s">
        <v>513</v>
      </c>
      <c r="C1039" s="43" t="s">
        <v>121</v>
      </c>
      <c r="D1039" s="33">
        <v>-1</v>
      </c>
      <c r="E1039" s="18" t="s">
        <v>127</v>
      </c>
    </row>
    <row r="1040" spans="1:5" x14ac:dyDescent="0.4">
      <c r="A1040" s="279">
        <v>45843</v>
      </c>
      <c r="B1040" s="307" t="s">
        <v>78</v>
      </c>
      <c r="C1040" s="240" t="s">
        <v>796</v>
      </c>
      <c r="D1040" s="240">
        <v>40</v>
      </c>
      <c r="E1040" s="222" t="s">
        <v>127</v>
      </c>
    </row>
    <row r="1041" spans="1:5" x14ac:dyDescent="0.4">
      <c r="A1041" s="271">
        <v>45853</v>
      </c>
      <c r="B1041" s="93" t="s">
        <v>78</v>
      </c>
      <c r="C1041" s="43" t="s">
        <v>121</v>
      </c>
      <c r="D1041" s="43">
        <v>-40</v>
      </c>
      <c r="E1041" s="18" t="s">
        <v>127</v>
      </c>
    </row>
    <row r="1042" spans="1:5" x14ac:dyDescent="0.4">
      <c r="A1042" s="271">
        <v>45853</v>
      </c>
      <c r="B1042" s="93" t="s">
        <v>810</v>
      </c>
      <c r="C1042" s="43" t="s">
        <v>121</v>
      </c>
      <c r="D1042" s="43">
        <v>-1</v>
      </c>
      <c r="E1042" s="18" t="s">
        <v>127</v>
      </c>
    </row>
    <row r="1043" spans="1:5" x14ac:dyDescent="0.4">
      <c r="A1043" s="271">
        <v>45853</v>
      </c>
      <c r="B1043" s="94" t="s">
        <v>76</v>
      </c>
      <c r="C1043" s="43" t="s">
        <v>121</v>
      </c>
      <c r="D1043" s="43">
        <v>-20</v>
      </c>
      <c r="E1043" s="18" t="s">
        <v>127</v>
      </c>
    </row>
    <row r="1044" spans="1:5" x14ac:dyDescent="0.4">
      <c r="A1044" s="271">
        <v>45853</v>
      </c>
      <c r="B1044" s="94" t="s">
        <v>76</v>
      </c>
      <c r="C1044" s="43" t="s">
        <v>121</v>
      </c>
      <c r="D1044" s="43">
        <v>-5</v>
      </c>
      <c r="E1044" s="18" t="s">
        <v>127</v>
      </c>
    </row>
    <row r="1045" spans="1:5" x14ac:dyDescent="0.4">
      <c r="A1045" s="271">
        <v>45853</v>
      </c>
      <c r="B1045" s="93" t="s">
        <v>78</v>
      </c>
      <c r="C1045" s="43" t="s">
        <v>121</v>
      </c>
      <c r="D1045" s="43">
        <v>-5</v>
      </c>
      <c r="E1045" s="18" t="s">
        <v>127</v>
      </c>
    </row>
    <row r="1046" spans="1:5" x14ac:dyDescent="0.4">
      <c r="A1046" s="271">
        <v>45853</v>
      </c>
      <c r="B1046" s="93" t="s">
        <v>78</v>
      </c>
      <c r="C1046" s="43" t="s">
        <v>121</v>
      </c>
      <c r="D1046" s="43">
        <v>-11</v>
      </c>
      <c r="E1046" s="18" t="s">
        <v>127</v>
      </c>
    </row>
    <row r="1053" spans="1:5" x14ac:dyDescent="0.4">
      <c r="A1053" s="271">
        <v>45848</v>
      </c>
      <c r="B1053" s="85" t="s">
        <v>136</v>
      </c>
      <c r="C1053" s="43" t="s">
        <v>697</v>
      </c>
      <c r="D1053" s="43">
        <v>-1</v>
      </c>
      <c r="E1053" s="18" t="s">
        <v>127</v>
      </c>
    </row>
    <row r="1054" spans="1:5" x14ac:dyDescent="0.4">
      <c r="A1054" s="271">
        <v>45849</v>
      </c>
      <c r="B1054" s="85" t="s">
        <v>136</v>
      </c>
      <c r="C1054" s="43" t="s">
        <v>697</v>
      </c>
      <c r="D1054" s="43">
        <v>-1</v>
      </c>
      <c r="E1054" s="18" t="s">
        <v>127</v>
      </c>
    </row>
    <row r="1055" spans="1:5" x14ac:dyDescent="0.4">
      <c r="A1055" s="271">
        <v>45850</v>
      </c>
      <c r="B1055" s="85" t="s">
        <v>136</v>
      </c>
      <c r="C1055" s="43" t="s">
        <v>697</v>
      </c>
      <c r="D1055" s="43">
        <v>-1</v>
      </c>
      <c r="E1055" s="18" t="s">
        <v>127</v>
      </c>
    </row>
    <row r="1056" spans="1:5" x14ac:dyDescent="0.4">
      <c r="A1056" s="271">
        <v>45850</v>
      </c>
      <c r="B1056" s="85" t="s">
        <v>136</v>
      </c>
      <c r="C1056" s="43" t="s">
        <v>697</v>
      </c>
      <c r="D1056" s="43">
        <v>-1</v>
      </c>
      <c r="E1056" s="18" t="s">
        <v>127</v>
      </c>
    </row>
    <row r="1057" spans="1:5" x14ac:dyDescent="0.4">
      <c r="A1057" s="271">
        <v>45852</v>
      </c>
      <c r="B1057" s="85" t="s">
        <v>136</v>
      </c>
      <c r="C1057" s="43" t="s">
        <v>697</v>
      </c>
      <c r="D1057" s="43">
        <v>-1</v>
      </c>
      <c r="E1057" s="18" t="s">
        <v>127</v>
      </c>
    </row>
    <row r="1059" spans="1:5" x14ac:dyDescent="0.4">
      <c r="A1059" s="271">
        <v>45854</v>
      </c>
      <c r="B1059" s="93" t="s">
        <v>690</v>
      </c>
      <c r="C1059" s="43" t="s">
        <v>121</v>
      </c>
      <c r="D1059" s="43">
        <v>-7</v>
      </c>
      <c r="E1059" s="18" t="s">
        <v>127</v>
      </c>
    </row>
    <row r="1061" spans="1:5" x14ac:dyDescent="0.4">
      <c r="A1061" s="271">
        <v>45855</v>
      </c>
      <c r="B1061" s="93" t="s">
        <v>78</v>
      </c>
      <c r="C1061" s="43" t="s">
        <v>121</v>
      </c>
      <c r="D1061" s="43">
        <v>-10</v>
      </c>
      <c r="E1061" s="18" t="s">
        <v>127</v>
      </c>
    </row>
    <row r="1062" spans="1:5" x14ac:dyDescent="0.4">
      <c r="A1062" s="271">
        <v>45855</v>
      </c>
      <c r="B1062" s="85" t="s">
        <v>513</v>
      </c>
      <c r="C1062" s="273" t="s">
        <v>121</v>
      </c>
      <c r="D1062" s="43">
        <v>-1</v>
      </c>
      <c r="E1062" s="18" t="s">
        <v>127</v>
      </c>
    </row>
    <row r="1063" spans="1:5" x14ac:dyDescent="0.4">
      <c r="A1063" s="271">
        <v>45855</v>
      </c>
      <c r="B1063" s="94" t="s">
        <v>122</v>
      </c>
      <c r="C1063" s="273" t="s">
        <v>121</v>
      </c>
      <c r="D1063" s="43">
        <v>-32</v>
      </c>
      <c r="E1063" s="18" t="s">
        <v>127</v>
      </c>
    </row>
    <row r="1064" spans="1:5" x14ac:dyDescent="0.4">
      <c r="A1064" s="271">
        <v>45855</v>
      </c>
      <c r="B1064" s="93" t="s">
        <v>81</v>
      </c>
      <c r="C1064" s="273" t="s">
        <v>121</v>
      </c>
      <c r="D1064" s="43">
        <v>-8</v>
      </c>
      <c r="E1064" s="18" t="s">
        <v>127</v>
      </c>
    </row>
    <row r="1065" spans="1:5" x14ac:dyDescent="0.4">
      <c r="A1065" s="271">
        <v>45855</v>
      </c>
      <c r="B1065" s="94" t="s">
        <v>860</v>
      </c>
      <c r="C1065" s="43" t="s">
        <v>121</v>
      </c>
      <c r="D1065" s="43">
        <v>-4</v>
      </c>
      <c r="E1065" s="18" t="s">
        <v>127</v>
      </c>
    </row>
    <row r="1066" spans="1:5" x14ac:dyDescent="0.4">
      <c r="A1066" s="271">
        <v>45855</v>
      </c>
      <c r="B1066" s="93" t="s">
        <v>810</v>
      </c>
      <c r="C1066" s="43" t="s">
        <v>121</v>
      </c>
      <c r="D1066" s="43">
        <v>-1</v>
      </c>
      <c r="E1066" s="18" t="s">
        <v>127</v>
      </c>
    </row>
    <row r="1067" spans="1:5" x14ac:dyDescent="0.4">
      <c r="A1067" s="271">
        <v>45855</v>
      </c>
      <c r="B1067" s="94" t="s">
        <v>76</v>
      </c>
      <c r="C1067" s="43" t="s">
        <v>121</v>
      </c>
      <c r="D1067" s="43">
        <v>-10</v>
      </c>
      <c r="E1067" s="18" t="s">
        <v>127</v>
      </c>
    </row>
    <row r="1068" spans="1:5" x14ac:dyDescent="0.4">
      <c r="A1068" s="271">
        <v>45855</v>
      </c>
      <c r="B1068" s="93" t="s">
        <v>78</v>
      </c>
      <c r="C1068" s="43" t="s">
        <v>121</v>
      </c>
      <c r="D1068" s="43">
        <v>-3</v>
      </c>
      <c r="E1068" s="18" t="s">
        <v>127</v>
      </c>
    </row>
    <row r="1070" spans="1:5" x14ac:dyDescent="0.4">
      <c r="A1070" s="271">
        <v>45856</v>
      </c>
      <c r="B1070" s="94" t="s">
        <v>92</v>
      </c>
      <c r="C1070" s="43" t="s">
        <v>121</v>
      </c>
      <c r="D1070" s="43">
        <v>-1</v>
      </c>
      <c r="E1070" s="18" t="s">
        <v>127</v>
      </c>
    </row>
    <row r="1071" spans="1:5" x14ac:dyDescent="0.4">
      <c r="A1071" s="271">
        <v>45856</v>
      </c>
      <c r="B1071" s="94" t="s">
        <v>76</v>
      </c>
      <c r="C1071" s="43" t="s">
        <v>121</v>
      </c>
      <c r="D1071" s="43">
        <v>-10</v>
      </c>
      <c r="E1071" s="18" t="s">
        <v>127</v>
      </c>
    </row>
    <row r="1073" spans="1:5" x14ac:dyDescent="0.4">
      <c r="A1073" s="271">
        <v>45858</v>
      </c>
      <c r="B1073" s="94" t="s">
        <v>76</v>
      </c>
      <c r="C1073" s="43" t="s">
        <v>121</v>
      </c>
      <c r="D1073" s="43">
        <v>-78</v>
      </c>
      <c r="E1073" s="18" t="s">
        <v>127</v>
      </c>
    </row>
    <row r="1075" spans="1:5" x14ac:dyDescent="0.4">
      <c r="A1075" s="329">
        <v>45859</v>
      </c>
      <c r="B1075" s="330" t="s">
        <v>425</v>
      </c>
      <c r="C1075" s="328" t="s">
        <v>701</v>
      </c>
      <c r="D1075" s="328">
        <v>9</v>
      </c>
      <c r="E1075" s="327" t="s">
        <v>127</v>
      </c>
    </row>
    <row r="1076" spans="1:5" x14ac:dyDescent="0.4">
      <c r="A1076" s="329">
        <v>45859</v>
      </c>
      <c r="B1076" s="330" t="s">
        <v>878</v>
      </c>
      <c r="C1076" s="328" t="s">
        <v>701</v>
      </c>
      <c r="D1076" s="328">
        <v>39</v>
      </c>
      <c r="E1076" s="327" t="s">
        <v>127</v>
      </c>
    </row>
    <row r="1077" spans="1:5" x14ac:dyDescent="0.4">
      <c r="A1077" s="329">
        <v>45859</v>
      </c>
      <c r="B1077" s="331" t="s">
        <v>828</v>
      </c>
      <c r="C1077" s="328" t="s">
        <v>701</v>
      </c>
      <c r="D1077" s="328">
        <v>35</v>
      </c>
      <c r="E1077" s="327" t="s">
        <v>127</v>
      </c>
    </row>
    <row r="1078" spans="1:5" x14ac:dyDescent="0.4">
      <c r="A1078" s="329">
        <v>45859</v>
      </c>
      <c r="B1078" s="331" t="s">
        <v>829</v>
      </c>
      <c r="C1078" s="328" t="s">
        <v>701</v>
      </c>
      <c r="D1078" s="328">
        <v>15</v>
      </c>
      <c r="E1078" s="327" t="s">
        <v>127</v>
      </c>
    </row>
    <row r="1079" spans="1:5" x14ac:dyDescent="0.4">
      <c r="A1079" s="329">
        <v>45859</v>
      </c>
      <c r="B1079" s="331" t="s">
        <v>830</v>
      </c>
      <c r="C1079" s="328" t="s">
        <v>701</v>
      </c>
      <c r="D1079" s="328">
        <v>7</v>
      </c>
      <c r="E1079" s="327" t="s">
        <v>127</v>
      </c>
    </row>
    <row r="1081" spans="1:5" x14ac:dyDescent="0.4">
      <c r="A1081" s="271">
        <v>45859</v>
      </c>
      <c r="B1081" s="85" t="s">
        <v>513</v>
      </c>
      <c r="C1081" s="43" t="s">
        <v>121</v>
      </c>
      <c r="D1081" s="43">
        <v>-1</v>
      </c>
      <c r="E1081" s="18" t="s">
        <v>127</v>
      </c>
    </row>
    <row r="1083" spans="1:5" x14ac:dyDescent="0.4">
      <c r="A1083" s="271">
        <v>45860</v>
      </c>
      <c r="B1083" s="94" t="s">
        <v>828</v>
      </c>
      <c r="C1083" s="43" t="s">
        <v>121</v>
      </c>
      <c r="D1083" s="43">
        <v>-35</v>
      </c>
      <c r="E1083" s="18" t="s">
        <v>127</v>
      </c>
    </row>
    <row r="1084" spans="1:5" x14ac:dyDescent="0.4">
      <c r="A1084" s="271">
        <v>45860</v>
      </c>
      <c r="B1084" s="94" t="s">
        <v>878</v>
      </c>
      <c r="C1084" s="43" t="s">
        <v>121</v>
      </c>
      <c r="D1084" s="43">
        <v>-39</v>
      </c>
      <c r="E1084" s="18" t="s">
        <v>127</v>
      </c>
    </row>
    <row r="1085" spans="1:5" x14ac:dyDescent="0.4">
      <c r="A1085" s="271">
        <v>45860</v>
      </c>
      <c r="B1085" s="94" t="s">
        <v>425</v>
      </c>
      <c r="C1085" s="43" t="s">
        <v>121</v>
      </c>
      <c r="D1085" s="43">
        <v>-8</v>
      </c>
      <c r="E1085" s="18" t="s">
        <v>127</v>
      </c>
    </row>
    <row r="1086" spans="1:5" x14ac:dyDescent="0.4">
      <c r="A1086" s="271">
        <v>45860</v>
      </c>
      <c r="B1086" s="94" t="s">
        <v>830</v>
      </c>
      <c r="C1086" s="43" t="s">
        <v>121</v>
      </c>
      <c r="D1086" s="43">
        <v>-7</v>
      </c>
      <c r="E1086" s="18" t="s">
        <v>127</v>
      </c>
    </row>
    <row r="1087" spans="1:5" x14ac:dyDescent="0.4">
      <c r="A1087" s="271">
        <v>45860</v>
      </c>
      <c r="B1087" s="94" t="s">
        <v>829</v>
      </c>
      <c r="C1087" s="43" t="s">
        <v>121</v>
      </c>
      <c r="D1087" s="43">
        <v>-15</v>
      </c>
      <c r="E1087" s="18" t="s">
        <v>127</v>
      </c>
    </row>
    <row r="1089" spans="1:5" x14ac:dyDescent="0.4">
      <c r="A1089" s="271">
        <v>45860</v>
      </c>
      <c r="B1089" s="93" t="s">
        <v>661</v>
      </c>
      <c r="C1089" s="43" t="s">
        <v>121</v>
      </c>
      <c r="D1089" s="43">
        <v>-5</v>
      </c>
      <c r="E1089" s="18" t="s">
        <v>127</v>
      </c>
    </row>
    <row r="1091" spans="1:5" x14ac:dyDescent="0.4">
      <c r="A1091" s="271">
        <v>45862</v>
      </c>
      <c r="B1091" s="93" t="s">
        <v>661</v>
      </c>
      <c r="C1091" s="43" t="s">
        <v>121</v>
      </c>
      <c r="D1091" s="43">
        <v>-1</v>
      </c>
      <c r="E1091" s="18" t="s">
        <v>127</v>
      </c>
    </row>
    <row r="1092" spans="1:5" x14ac:dyDescent="0.4">
      <c r="A1092" s="271">
        <v>45862</v>
      </c>
      <c r="B1092" s="93" t="s">
        <v>78</v>
      </c>
      <c r="C1092" s="43" t="s">
        <v>121</v>
      </c>
      <c r="D1092" s="33">
        <v>-1</v>
      </c>
      <c r="E1092" s="18" t="s">
        <v>127</v>
      </c>
    </row>
    <row r="1093" spans="1:5" x14ac:dyDescent="0.4">
      <c r="A1093" s="271">
        <v>45863</v>
      </c>
      <c r="B1093" s="93" t="s">
        <v>681</v>
      </c>
      <c r="C1093" s="43" t="s">
        <v>121</v>
      </c>
      <c r="D1093" s="43">
        <v>-15</v>
      </c>
      <c r="E1093" s="18" t="s">
        <v>127</v>
      </c>
    </row>
    <row r="1095" spans="1:5" x14ac:dyDescent="0.4">
      <c r="A1095" s="329">
        <v>45863</v>
      </c>
      <c r="B1095" s="330" t="s">
        <v>133</v>
      </c>
      <c r="C1095" s="328" t="s">
        <v>701</v>
      </c>
      <c r="D1095" s="328">
        <v>15</v>
      </c>
      <c r="E1095" s="327" t="s">
        <v>127</v>
      </c>
    </row>
    <row r="1096" spans="1:5" x14ac:dyDescent="0.4">
      <c r="A1096" s="329">
        <v>45863</v>
      </c>
      <c r="B1096" s="331" t="s">
        <v>828</v>
      </c>
      <c r="C1096" s="328" t="s">
        <v>701</v>
      </c>
      <c r="D1096" s="328">
        <v>21</v>
      </c>
      <c r="E1096" s="327" t="s">
        <v>127</v>
      </c>
    </row>
    <row r="1097" spans="1:5" x14ac:dyDescent="0.4">
      <c r="A1097" s="329">
        <v>45863</v>
      </c>
      <c r="B1097" s="331" t="s">
        <v>829</v>
      </c>
      <c r="C1097" s="328" t="s">
        <v>701</v>
      </c>
      <c r="D1097" s="328">
        <v>3</v>
      </c>
      <c r="E1097" s="327" t="s">
        <v>127</v>
      </c>
    </row>
    <row r="1098" spans="1:5" x14ac:dyDescent="0.4">
      <c r="A1098" s="329">
        <v>45863</v>
      </c>
      <c r="B1098" s="331" t="s">
        <v>830</v>
      </c>
      <c r="C1098" s="328" t="s">
        <v>701</v>
      </c>
      <c r="D1098" s="328">
        <v>6</v>
      </c>
      <c r="E1098" s="327" t="s">
        <v>127</v>
      </c>
    </row>
    <row r="1100" spans="1:5" x14ac:dyDescent="0.4">
      <c r="A1100" s="271">
        <v>45863</v>
      </c>
      <c r="B1100" s="85" t="s">
        <v>513</v>
      </c>
      <c r="C1100" s="43" t="s">
        <v>121</v>
      </c>
      <c r="D1100" s="43">
        <v>-1</v>
      </c>
      <c r="E1100" s="18" t="s">
        <v>127</v>
      </c>
    </row>
    <row r="1101" spans="1:5" x14ac:dyDescent="0.4">
      <c r="A1101" s="271">
        <v>45863</v>
      </c>
      <c r="B1101" s="94" t="s">
        <v>92</v>
      </c>
      <c r="C1101" s="43" t="s">
        <v>121</v>
      </c>
      <c r="D1101" s="43">
        <v>-1</v>
      </c>
      <c r="E1101" s="18" t="s">
        <v>127</v>
      </c>
    </row>
    <row r="1103" spans="1:5" x14ac:dyDescent="0.4">
      <c r="A1103" s="271">
        <v>45864</v>
      </c>
      <c r="B1103" s="93" t="s">
        <v>681</v>
      </c>
      <c r="C1103" s="43" t="s">
        <v>121</v>
      </c>
      <c r="D1103" s="43">
        <v>-18</v>
      </c>
      <c r="E1103" s="18" t="s">
        <v>127</v>
      </c>
    </row>
    <row r="1104" spans="1:5" x14ac:dyDescent="0.4">
      <c r="A1104" s="271">
        <v>45864</v>
      </c>
      <c r="B1104" s="85" t="s">
        <v>513</v>
      </c>
      <c r="C1104" s="43" t="s">
        <v>121</v>
      </c>
      <c r="D1104" s="43">
        <v>-1</v>
      </c>
      <c r="E1104" s="18" t="s">
        <v>127</v>
      </c>
    </row>
    <row r="1105" spans="1:6" x14ac:dyDescent="0.4">
      <c r="A1105" s="271">
        <v>45864</v>
      </c>
      <c r="B1105" s="93" t="s">
        <v>691</v>
      </c>
      <c r="C1105" s="43" t="s">
        <v>121</v>
      </c>
      <c r="D1105" s="43">
        <v>-1</v>
      </c>
      <c r="E1105" s="18" t="s">
        <v>127</v>
      </c>
    </row>
    <row r="1107" spans="1:6" x14ac:dyDescent="0.4">
      <c r="A1107" s="271">
        <v>45866</v>
      </c>
      <c r="B1107" s="93" t="s">
        <v>810</v>
      </c>
      <c r="C1107" s="43" t="s">
        <v>121</v>
      </c>
      <c r="D1107" s="43">
        <v>-2</v>
      </c>
      <c r="E1107" s="18" t="s">
        <v>127</v>
      </c>
    </row>
    <row r="1109" spans="1:6" x14ac:dyDescent="0.4">
      <c r="A1109" s="271">
        <v>45866</v>
      </c>
      <c r="B1109" s="85" t="s">
        <v>133</v>
      </c>
      <c r="C1109" s="43" t="s">
        <v>121</v>
      </c>
      <c r="D1109" s="43">
        <v>-15</v>
      </c>
      <c r="E1109" s="18" t="s">
        <v>127</v>
      </c>
    </row>
    <row r="1110" spans="1:6" x14ac:dyDescent="0.4">
      <c r="A1110" s="271">
        <v>45866</v>
      </c>
      <c r="B1110" s="94" t="s">
        <v>828</v>
      </c>
      <c r="C1110" s="43" t="s">
        <v>121</v>
      </c>
      <c r="D1110" s="43">
        <v>-21</v>
      </c>
      <c r="E1110" s="18" t="s">
        <v>127</v>
      </c>
    </row>
    <row r="1111" spans="1:6" x14ac:dyDescent="0.4">
      <c r="A1111" s="271">
        <v>45866</v>
      </c>
      <c r="B1111" s="94" t="s">
        <v>829</v>
      </c>
      <c r="C1111" s="43" t="s">
        <v>121</v>
      </c>
      <c r="D1111" s="43">
        <v>-3</v>
      </c>
      <c r="E1111" s="18" t="s">
        <v>127</v>
      </c>
    </row>
    <row r="1112" spans="1:6" x14ac:dyDescent="0.4">
      <c r="A1112" s="271">
        <v>45866</v>
      </c>
      <c r="B1112" s="94" t="s">
        <v>830</v>
      </c>
      <c r="C1112" s="43" t="s">
        <v>121</v>
      </c>
      <c r="D1112" s="43">
        <v>-6</v>
      </c>
      <c r="E1112" s="18" t="s">
        <v>127</v>
      </c>
    </row>
    <row r="1113" spans="1:6" x14ac:dyDescent="0.4">
      <c r="A1113" s="271">
        <v>45866</v>
      </c>
      <c r="B1113" s="94" t="s">
        <v>598</v>
      </c>
      <c r="C1113" s="43" t="s">
        <v>121</v>
      </c>
      <c r="D1113" s="33">
        <v>-12</v>
      </c>
      <c r="E1113" s="18" t="s">
        <v>127</v>
      </c>
    </row>
    <row r="1114" spans="1:6" x14ac:dyDescent="0.4">
      <c r="A1114" s="278">
        <v>45867</v>
      </c>
      <c r="B1114" s="127" t="s">
        <v>690</v>
      </c>
      <c r="C1114" s="105" t="s">
        <v>49</v>
      </c>
      <c r="D1114" s="105">
        <v>4</v>
      </c>
      <c r="E1114" s="95" t="s">
        <v>127</v>
      </c>
      <c r="F1114" t="s">
        <v>882</v>
      </c>
    </row>
    <row r="1115" spans="1:6" x14ac:dyDescent="0.4">
      <c r="A1115" s="278">
        <v>45867</v>
      </c>
      <c r="B1115" s="127" t="s">
        <v>810</v>
      </c>
      <c r="C1115" s="105" t="s">
        <v>49</v>
      </c>
      <c r="D1115" s="105">
        <v>3</v>
      </c>
      <c r="E1115" s="95" t="s">
        <v>127</v>
      </c>
    </row>
    <row r="1116" spans="1:6" x14ac:dyDescent="0.4">
      <c r="A1116" s="278">
        <v>45867</v>
      </c>
      <c r="B1116" s="239" t="s">
        <v>512</v>
      </c>
      <c r="C1116" s="105" t="s">
        <v>49</v>
      </c>
      <c r="D1116" s="105">
        <v>10</v>
      </c>
      <c r="E1116" s="95" t="s">
        <v>127</v>
      </c>
    </row>
    <row r="1117" spans="1:6" x14ac:dyDescent="0.4">
      <c r="A1117" s="278">
        <v>45867</v>
      </c>
      <c r="B1117" s="239" t="s">
        <v>903</v>
      </c>
      <c r="C1117" s="105" t="s">
        <v>49</v>
      </c>
      <c r="D1117" s="105">
        <v>30</v>
      </c>
      <c r="E1117" s="95" t="s">
        <v>127</v>
      </c>
    </row>
    <row r="1118" spans="1:6" x14ac:dyDescent="0.4">
      <c r="A1118" s="278">
        <v>45867</v>
      </c>
      <c r="B1118" s="127" t="s">
        <v>904</v>
      </c>
      <c r="C1118" s="105" t="s">
        <v>49</v>
      </c>
      <c r="D1118" s="105">
        <v>28</v>
      </c>
      <c r="E1118" s="95" t="s">
        <v>127</v>
      </c>
    </row>
    <row r="1119" spans="1:6" x14ac:dyDescent="0.4">
      <c r="A1119" s="278">
        <v>45867</v>
      </c>
      <c r="B1119" s="139" t="s">
        <v>887</v>
      </c>
      <c r="C1119" s="105" t="s">
        <v>49</v>
      </c>
      <c r="D1119" s="105">
        <v>1</v>
      </c>
      <c r="E1119" s="95" t="s">
        <v>127</v>
      </c>
    </row>
    <row r="1120" spans="1:6" x14ac:dyDescent="0.4">
      <c r="A1120" s="278">
        <v>45867</v>
      </c>
      <c r="B1120" s="139" t="s">
        <v>690</v>
      </c>
      <c r="C1120" s="105" t="s">
        <v>49</v>
      </c>
      <c r="D1120" s="105">
        <v>6</v>
      </c>
      <c r="E1120" s="95" t="s">
        <v>127</v>
      </c>
    </row>
    <row r="1121" spans="1:5" x14ac:dyDescent="0.4">
      <c r="A1121" s="278">
        <v>45867</v>
      </c>
      <c r="B1121" s="139" t="s">
        <v>690</v>
      </c>
      <c r="C1121" s="105" t="s">
        <v>49</v>
      </c>
      <c r="D1121" s="105">
        <v>3</v>
      </c>
      <c r="E1121" s="95" t="s">
        <v>127</v>
      </c>
    </row>
    <row r="1122" spans="1:5" x14ac:dyDescent="0.4">
      <c r="A1122" s="278">
        <v>45867</v>
      </c>
      <c r="B1122" s="139" t="s">
        <v>860</v>
      </c>
      <c r="C1122" s="105" t="s">
        <v>49</v>
      </c>
      <c r="D1122" s="105">
        <v>1</v>
      </c>
      <c r="E1122" s="95" t="s">
        <v>127</v>
      </c>
    </row>
    <row r="1124" spans="1:5" x14ac:dyDescent="0.4">
      <c r="A1124" s="278">
        <v>45867</v>
      </c>
      <c r="B1124" s="139" t="s">
        <v>690</v>
      </c>
      <c r="C1124" s="105" t="s">
        <v>49</v>
      </c>
      <c r="D1124" s="105">
        <v>2</v>
      </c>
      <c r="E1124" s="95" t="s">
        <v>127</v>
      </c>
    </row>
    <row r="1125" spans="1:5" x14ac:dyDescent="0.4">
      <c r="A1125" s="278">
        <v>45867</v>
      </c>
      <c r="B1125" s="239" t="s">
        <v>903</v>
      </c>
      <c r="C1125" s="105" t="s">
        <v>49</v>
      </c>
      <c r="D1125" s="105">
        <v>1</v>
      </c>
      <c r="E1125" s="95" t="s">
        <v>127</v>
      </c>
    </row>
    <row r="1126" spans="1:5" x14ac:dyDescent="0.4">
      <c r="A1126" s="278">
        <v>45867</v>
      </c>
      <c r="B1126" s="139" t="s">
        <v>830</v>
      </c>
      <c r="C1126" s="105" t="s">
        <v>49</v>
      </c>
      <c r="D1126" s="105">
        <v>1</v>
      </c>
      <c r="E1126" s="95" t="s">
        <v>127</v>
      </c>
    </row>
    <row r="1127" spans="1:5" x14ac:dyDescent="0.4">
      <c r="A1127" s="278">
        <v>45867</v>
      </c>
      <c r="B1127" s="139" t="s">
        <v>829</v>
      </c>
      <c r="C1127" s="105" t="s">
        <v>49</v>
      </c>
      <c r="D1127" s="105">
        <v>1</v>
      </c>
      <c r="E1127" s="95" t="s">
        <v>127</v>
      </c>
    </row>
    <row r="1128" spans="1:5" x14ac:dyDescent="0.4">
      <c r="A1128" s="278">
        <v>45867</v>
      </c>
      <c r="B1128" s="139" t="s">
        <v>156</v>
      </c>
      <c r="C1128" s="105" t="s">
        <v>49</v>
      </c>
      <c r="D1128" s="105">
        <v>2</v>
      </c>
      <c r="E1128" s="95" t="s">
        <v>127</v>
      </c>
    </row>
    <row r="1129" spans="1:5" x14ac:dyDescent="0.4">
      <c r="A1129" s="278">
        <v>45867</v>
      </c>
      <c r="B1129" s="139" t="s">
        <v>829</v>
      </c>
      <c r="C1129" s="105" t="s">
        <v>49</v>
      </c>
      <c r="D1129" s="105">
        <v>1</v>
      </c>
      <c r="E1129" s="95" t="s">
        <v>127</v>
      </c>
    </row>
    <row r="1130" spans="1:5" x14ac:dyDescent="0.4">
      <c r="A1130" s="278">
        <v>45867</v>
      </c>
      <c r="B1130" s="139" t="s">
        <v>829</v>
      </c>
      <c r="C1130" s="105" t="s">
        <v>49</v>
      </c>
      <c r="D1130" s="105">
        <v>1</v>
      </c>
      <c r="E1130" s="95" t="s">
        <v>127</v>
      </c>
    </row>
    <row r="1131" spans="1:5" x14ac:dyDescent="0.4">
      <c r="A1131" s="278">
        <v>45867</v>
      </c>
      <c r="B1131" s="139" t="s">
        <v>830</v>
      </c>
      <c r="C1131" s="105" t="s">
        <v>49</v>
      </c>
      <c r="D1131" s="105">
        <v>2</v>
      </c>
      <c r="E1131" s="95" t="s">
        <v>127</v>
      </c>
    </row>
    <row r="1133" spans="1:5" x14ac:dyDescent="0.4">
      <c r="A1133" s="336">
        <v>45867</v>
      </c>
      <c r="B1133" s="333" t="s">
        <v>84</v>
      </c>
      <c r="C1133" s="334" t="s">
        <v>49</v>
      </c>
      <c r="D1133" s="334">
        <v>200</v>
      </c>
      <c r="E1133" s="337" t="s">
        <v>127</v>
      </c>
    </row>
    <row r="1134" spans="1:5" x14ac:dyDescent="0.4">
      <c r="A1134" s="336">
        <v>45867</v>
      </c>
      <c r="B1134" s="335" t="s">
        <v>156</v>
      </c>
      <c r="C1134" s="334" t="s">
        <v>49</v>
      </c>
      <c r="D1134" s="334">
        <v>80</v>
      </c>
      <c r="E1134" s="337" t="s">
        <v>127</v>
      </c>
    </row>
    <row r="1136" spans="1:5" x14ac:dyDescent="0.4">
      <c r="A1136" s="271">
        <v>45867</v>
      </c>
      <c r="B1136" s="94" t="s">
        <v>266</v>
      </c>
      <c r="C1136" s="43" t="s">
        <v>121</v>
      </c>
      <c r="D1136" s="43">
        <v>-1</v>
      </c>
      <c r="E1136" s="18" t="s">
        <v>127</v>
      </c>
    </row>
    <row r="1137" spans="1:6" x14ac:dyDescent="0.4">
      <c r="A1137" s="271">
        <v>45867</v>
      </c>
      <c r="B1137" s="94" t="s">
        <v>84</v>
      </c>
      <c r="C1137" s="43" t="s">
        <v>121</v>
      </c>
      <c r="D1137" s="43">
        <v>-200</v>
      </c>
      <c r="E1137" s="18" t="s">
        <v>127</v>
      </c>
    </row>
    <row r="1138" spans="1:6" x14ac:dyDescent="0.4">
      <c r="A1138" s="271">
        <v>45867</v>
      </c>
      <c r="B1138" s="94" t="s">
        <v>156</v>
      </c>
      <c r="C1138" s="43" t="s">
        <v>121</v>
      </c>
      <c r="D1138" s="43">
        <v>-80</v>
      </c>
      <c r="E1138" s="18" t="s">
        <v>127</v>
      </c>
    </row>
    <row r="1140" spans="1:6" x14ac:dyDescent="0.4">
      <c r="A1140" s="278">
        <v>45867</v>
      </c>
      <c r="B1140" s="139" t="s">
        <v>830</v>
      </c>
      <c r="C1140" s="105" t="s">
        <v>49</v>
      </c>
      <c r="D1140" s="310">
        <v>2</v>
      </c>
      <c r="E1140" s="18" t="s">
        <v>127</v>
      </c>
    </row>
    <row r="1141" spans="1:6" x14ac:dyDescent="0.4">
      <c r="A1141" s="278">
        <v>45867</v>
      </c>
      <c r="B1141" s="139" t="s">
        <v>830</v>
      </c>
      <c r="C1141" s="105" t="s">
        <v>49</v>
      </c>
      <c r="D1141" s="310">
        <v>2</v>
      </c>
      <c r="E1141" s="18" t="s">
        <v>127</v>
      </c>
    </row>
    <row r="1142" spans="1:6" x14ac:dyDescent="0.4">
      <c r="A1142" s="278">
        <v>45867</v>
      </c>
      <c r="B1142" s="139" t="s">
        <v>830</v>
      </c>
      <c r="C1142" s="105" t="s">
        <v>49</v>
      </c>
      <c r="D1142" s="310">
        <v>1</v>
      </c>
      <c r="E1142" s="18" t="s">
        <v>127</v>
      </c>
    </row>
    <row r="1143" spans="1:6" x14ac:dyDescent="0.4">
      <c r="A1143" s="278">
        <v>45867</v>
      </c>
      <c r="B1143" s="139" t="s">
        <v>830</v>
      </c>
      <c r="C1143" s="105" t="s">
        <v>49</v>
      </c>
      <c r="D1143" s="310">
        <v>1</v>
      </c>
      <c r="E1143" s="18" t="s">
        <v>127</v>
      </c>
    </row>
    <row r="1144" spans="1:6" x14ac:dyDescent="0.4">
      <c r="A1144" s="278">
        <v>45867</v>
      </c>
      <c r="B1144" s="139" t="s">
        <v>830</v>
      </c>
      <c r="C1144" s="105" t="s">
        <v>49</v>
      </c>
      <c r="D1144" s="310">
        <v>1</v>
      </c>
      <c r="E1144" s="18" t="s">
        <v>127</v>
      </c>
    </row>
    <row r="1145" spans="1:6" x14ac:dyDescent="0.4">
      <c r="A1145" s="278">
        <v>45867</v>
      </c>
      <c r="B1145" s="139" t="s">
        <v>830</v>
      </c>
      <c r="C1145" s="105" t="s">
        <v>49</v>
      </c>
      <c r="D1145" s="310">
        <v>2</v>
      </c>
      <c r="E1145" s="18" t="s">
        <v>127</v>
      </c>
    </row>
    <row r="1146" spans="1:6" x14ac:dyDescent="0.4">
      <c r="A1146" s="278">
        <v>45867</v>
      </c>
      <c r="B1146" s="139" t="s">
        <v>830</v>
      </c>
      <c r="C1146" s="105" t="s">
        <v>49</v>
      </c>
      <c r="D1146" s="310">
        <v>2</v>
      </c>
      <c r="E1146" s="18" t="s">
        <v>127</v>
      </c>
    </row>
    <row r="1147" spans="1:6" x14ac:dyDescent="0.4">
      <c r="A1147" s="278">
        <v>45867</v>
      </c>
      <c r="B1147" s="139" t="s">
        <v>830</v>
      </c>
      <c r="C1147" s="105" t="s">
        <v>49</v>
      </c>
      <c r="D1147" s="310"/>
      <c r="E1147" s="18" t="s">
        <v>127</v>
      </c>
      <c r="F1147" t="s">
        <v>1040</v>
      </c>
    </row>
    <row r="1148" spans="1:6" x14ac:dyDescent="0.4">
      <c r="A1148" s="278">
        <v>45867</v>
      </c>
      <c r="B1148" s="139" t="s">
        <v>830</v>
      </c>
      <c r="C1148" s="105" t="s">
        <v>49</v>
      </c>
      <c r="D1148" s="310">
        <v>2</v>
      </c>
      <c r="E1148" s="18" t="s">
        <v>127</v>
      </c>
    </row>
    <row r="1150" spans="1:6" x14ac:dyDescent="0.4">
      <c r="A1150" s="279">
        <v>45868</v>
      </c>
      <c r="B1150" s="253" t="s">
        <v>76</v>
      </c>
      <c r="C1150" s="240" t="s">
        <v>915</v>
      </c>
      <c r="D1150" s="240">
        <v>10</v>
      </c>
      <c r="E1150" s="18" t="s">
        <v>127</v>
      </c>
    </row>
    <row r="1152" spans="1:6" x14ac:dyDescent="0.4">
      <c r="A1152" s="341">
        <v>45869</v>
      </c>
      <c r="B1152" s="94" t="s">
        <v>76</v>
      </c>
      <c r="C1152" s="43" t="s">
        <v>121</v>
      </c>
      <c r="D1152" s="33">
        <v>-1</v>
      </c>
      <c r="E1152" s="18" t="s">
        <v>127</v>
      </c>
    </row>
    <row r="1153" spans="1:6" x14ac:dyDescent="0.4">
      <c r="A1153" s="341">
        <v>45869</v>
      </c>
      <c r="B1153" s="93" t="s">
        <v>78</v>
      </c>
      <c r="C1153" s="43" t="s">
        <v>121</v>
      </c>
      <c r="D1153" s="33">
        <v>-3</v>
      </c>
      <c r="E1153" s="18" t="s">
        <v>127</v>
      </c>
    </row>
    <row r="1155" spans="1:6" x14ac:dyDescent="0.4">
      <c r="A1155" s="292">
        <v>45870</v>
      </c>
      <c r="B1155" s="293" t="s">
        <v>861</v>
      </c>
      <c r="C1155" s="294" t="s">
        <v>49</v>
      </c>
      <c r="D1155" s="344">
        <v>10</v>
      </c>
      <c r="E1155" s="295" t="s">
        <v>127</v>
      </c>
    </row>
    <row r="1156" spans="1:6" x14ac:dyDescent="0.4">
      <c r="A1156" s="292">
        <v>45870</v>
      </c>
      <c r="B1156" s="293" t="s">
        <v>861</v>
      </c>
      <c r="C1156" s="294" t="s">
        <v>49</v>
      </c>
      <c r="D1156" s="344">
        <v>5</v>
      </c>
      <c r="E1156" s="295" t="s">
        <v>127</v>
      </c>
    </row>
    <row r="1157" spans="1:6" x14ac:dyDescent="0.4">
      <c r="A1157" s="292">
        <v>45870</v>
      </c>
      <c r="B1157" s="345" t="s">
        <v>923</v>
      </c>
      <c r="C1157" s="294" t="s">
        <v>49</v>
      </c>
      <c r="D1157" s="344">
        <v>2</v>
      </c>
      <c r="E1157" s="295" t="s">
        <v>127</v>
      </c>
    </row>
    <row r="1158" spans="1:6" x14ac:dyDescent="0.4">
      <c r="A1158" s="292">
        <v>45870</v>
      </c>
      <c r="B1158" s="293" t="s">
        <v>861</v>
      </c>
      <c r="C1158" s="294" t="s">
        <v>49</v>
      </c>
      <c r="D1158" s="344">
        <v>1</v>
      </c>
      <c r="E1158" s="295" t="s">
        <v>127</v>
      </c>
    </row>
    <row r="1159" spans="1:6" x14ac:dyDescent="0.4">
      <c r="A1159" s="292">
        <v>45870</v>
      </c>
      <c r="B1159" s="345" t="s">
        <v>690</v>
      </c>
      <c r="C1159" s="294" t="s">
        <v>49</v>
      </c>
      <c r="D1159" s="346">
        <v>20</v>
      </c>
      <c r="E1159" s="295" t="s">
        <v>127</v>
      </c>
    </row>
    <row r="1160" spans="1:6" x14ac:dyDescent="0.4">
      <c r="A1160" s="292">
        <v>45870</v>
      </c>
      <c r="B1160" s="293" t="s">
        <v>861</v>
      </c>
      <c r="C1160" s="294" t="s">
        <v>49</v>
      </c>
      <c r="D1160" s="344">
        <v>1</v>
      </c>
      <c r="E1160" s="295" t="s">
        <v>127</v>
      </c>
    </row>
    <row r="1162" spans="1:6" x14ac:dyDescent="0.4">
      <c r="A1162" s="341">
        <v>45870</v>
      </c>
      <c r="B1162" s="349" t="s">
        <v>860</v>
      </c>
      <c r="C1162" s="351" t="s">
        <v>121</v>
      </c>
      <c r="D1162" s="351">
        <v>-1</v>
      </c>
      <c r="E1162" s="235" t="s">
        <v>127</v>
      </c>
    </row>
    <row r="1163" spans="1:6" x14ac:dyDescent="0.4">
      <c r="A1163" s="341">
        <v>45870</v>
      </c>
      <c r="B1163" s="94" t="s">
        <v>122</v>
      </c>
      <c r="C1163" s="351" t="s">
        <v>121</v>
      </c>
      <c r="D1163" s="33">
        <v>-3</v>
      </c>
      <c r="E1163" s="235" t="s">
        <v>127</v>
      </c>
    </row>
    <row r="1165" spans="1:6" x14ac:dyDescent="0.4">
      <c r="A1165" s="352">
        <v>45868</v>
      </c>
      <c r="B1165" s="353" t="s">
        <v>941</v>
      </c>
      <c r="C1165" s="354" t="s">
        <v>943</v>
      </c>
      <c r="D1165" s="354">
        <v>4</v>
      </c>
      <c r="E1165" s="235" t="s">
        <v>127</v>
      </c>
      <c r="F1165" t="s">
        <v>944</v>
      </c>
    </row>
    <row r="1166" spans="1:6" x14ac:dyDescent="0.4">
      <c r="A1166" s="352">
        <v>45868</v>
      </c>
      <c r="B1166" s="353" t="s">
        <v>136</v>
      </c>
      <c r="C1166" s="354" t="s">
        <v>943</v>
      </c>
      <c r="D1166" s="354">
        <v>8</v>
      </c>
      <c r="E1166" s="235" t="s">
        <v>127</v>
      </c>
    </row>
    <row r="1167" spans="1:6" x14ac:dyDescent="0.4">
      <c r="A1167" s="352">
        <v>45868</v>
      </c>
      <c r="B1167" s="353" t="s">
        <v>136</v>
      </c>
      <c r="C1167" s="354" t="s">
        <v>943</v>
      </c>
      <c r="D1167" s="354">
        <v>11</v>
      </c>
      <c r="E1167" s="235" t="s">
        <v>127</v>
      </c>
    </row>
    <row r="1168" spans="1:6" x14ac:dyDescent="0.4">
      <c r="A1168" s="352">
        <v>45868</v>
      </c>
      <c r="B1168" s="353" t="s">
        <v>136</v>
      </c>
      <c r="C1168" s="354" t="s">
        <v>943</v>
      </c>
      <c r="D1168" s="354">
        <v>1</v>
      </c>
      <c r="E1168" s="235" t="s">
        <v>127</v>
      </c>
    </row>
    <row r="1169" spans="1:6" x14ac:dyDescent="0.4">
      <c r="A1169" s="352">
        <v>45868</v>
      </c>
      <c r="B1169" s="355" t="s">
        <v>169</v>
      </c>
      <c r="C1169" s="354" t="s">
        <v>943</v>
      </c>
      <c r="D1169" s="354">
        <v>1</v>
      </c>
      <c r="E1169" s="235" t="s">
        <v>127</v>
      </c>
    </row>
    <row r="1170" spans="1:6" x14ac:dyDescent="0.4">
      <c r="A1170" s="352">
        <v>45868</v>
      </c>
      <c r="B1170" s="355" t="s">
        <v>942</v>
      </c>
      <c r="C1170" s="354" t="s">
        <v>943</v>
      </c>
      <c r="D1170" s="354">
        <v>2</v>
      </c>
      <c r="E1170" s="235" t="s">
        <v>127</v>
      </c>
    </row>
    <row r="1172" spans="1:6" x14ac:dyDescent="0.4">
      <c r="A1172" s="352">
        <v>45868</v>
      </c>
      <c r="B1172" s="353" t="s">
        <v>945</v>
      </c>
      <c r="C1172" s="354" t="s">
        <v>943</v>
      </c>
      <c r="D1172" s="354">
        <v>6</v>
      </c>
      <c r="E1172" s="235" t="s">
        <v>127</v>
      </c>
      <c r="F1172" t="s">
        <v>946</v>
      </c>
    </row>
    <row r="1173" spans="1:6" x14ac:dyDescent="0.4">
      <c r="A1173" s="352">
        <v>45868</v>
      </c>
      <c r="B1173" s="353" t="s">
        <v>950</v>
      </c>
      <c r="C1173" s="354" t="s">
        <v>943</v>
      </c>
      <c r="D1173" s="354">
        <v>1</v>
      </c>
      <c r="E1173" s="235" t="s">
        <v>127</v>
      </c>
    </row>
    <row r="1174" spans="1:6" x14ac:dyDescent="0.4">
      <c r="A1174" s="352">
        <v>45868</v>
      </c>
      <c r="B1174" s="353" t="s">
        <v>136</v>
      </c>
      <c r="C1174" s="354" t="s">
        <v>943</v>
      </c>
      <c r="D1174" s="354">
        <v>1</v>
      </c>
      <c r="E1174" s="235" t="s">
        <v>127</v>
      </c>
    </row>
    <row r="1175" spans="1:6" x14ac:dyDescent="0.4">
      <c r="A1175" s="352">
        <v>45868</v>
      </c>
      <c r="B1175" s="353" t="s">
        <v>136</v>
      </c>
      <c r="C1175" s="354" t="s">
        <v>943</v>
      </c>
      <c r="D1175" s="354">
        <v>1</v>
      </c>
      <c r="E1175" s="235" t="s">
        <v>127</v>
      </c>
    </row>
    <row r="1176" spans="1:6" x14ac:dyDescent="0.4">
      <c r="A1176" s="352">
        <v>45868</v>
      </c>
      <c r="B1176" s="353" t="s">
        <v>136</v>
      </c>
      <c r="C1176" s="354" t="s">
        <v>943</v>
      </c>
      <c r="D1176" s="354">
        <v>1</v>
      </c>
      <c r="E1176" s="235" t="s">
        <v>127</v>
      </c>
    </row>
    <row r="1177" spans="1:6" x14ac:dyDescent="0.4">
      <c r="A1177" s="352">
        <v>45868</v>
      </c>
      <c r="B1177" s="353" t="s">
        <v>136</v>
      </c>
      <c r="C1177" s="354" t="s">
        <v>943</v>
      </c>
      <c r="D1177" s="354">
        <v>1</v>
      </c>
      <c r="E1177" s="235" t="s">
        <v>127</v>
      </c>
    </row>
    <row r="1178" spans="1:6" x14ac:dyDescent="0.4">
      <c r="A1178" s="352">
        <v>45868</v>
      </c>
      <c r="B1178" s="353" t="s">
        <v>950</v>
      </c>
      <c r="C1178" s="354" t="s">
        <v>943</v>
      </c>
      <c r="D1178" s="354">
        <v>2</v>
      </c>
      <c r="E1178" s="235" t="s">
        <v>127</v>
      </c>
    </row>
    <row r="1179" spans="1:6" x14ac:dyDescent="0.4">
      <c r="A1179" s="352">
        <v>45868</v>
      </c>
      <c r="B1179" s="353" t="s">
        <v>136</v>
      </c>
      <c r="C1179" s="354" t="s">
        <v>943</v>
      </c>
      <c r="D1179" s="354">
        <v>1</v>
      </c>
      <c r="E1179" s="235" t="s">
        <v>127</v>
      </c>
    </row>
    <row r="1180" spans="1:6" x14ac:dyDescent="0.4">
      <c r="A1180" s="352">
        <v>45868</v>
      </c>
      <c r="B1180" s="353" t="s">
        <v>136</v>
      </c>
      <c r="C1180" s="354" t="s">
        <v>943</v>
      </c>
      <c r="D1180" s="354">
        <v>3</v>
      </c>
      <c r="E1180" s="235" t="s">
        <v>127</v>
      </c>
    </row>
    <row r="1181" spans="1:6" x14ac:dyDescent="0.4">
      <c r="A1181" s="352">
        <v>45868</v>
      </c>
      <c r="B1181" s="353" t="s">
        <v>136</v>
      </c>
      <c r="C1181" s="354" t="s">
        <v>943</v>
      </c>
      <c r="D1181" s="354">
        <v>1</v>
      </c>
      <c r="E1181" s="235" t="s">
        <v>127</v>
      </c>
    </row>
    <row r="1182" spans="1:6" x14ac:dyDescent="0.4">
      <c r="A1182" s="352">
        <v>45868</v>
      </c>
      <c r="B1182" s="355" t="s">
        <v>951</v>
      </c>
      <c r="C1182" s="354" t="s">
        <v>943</v>
      </c>
      <c r="D1182" s="354">
        <v>1</v>
      </c>
      <c r="E1182" s="235" t="s">
        <v>127</v>
      </c>
    </row>
    <row r="1183" spans="1:6" x14ac:dyDescent="0.4">
      <c r="A1183" s="352">
        <v>45868</v>
      </c>
      <c r="B1183" s="353" t="s">
        <v>136</v>
      </c>
      <c r="C1183" s="354" t="s">
        <v>943</v>
      </c>
      <c r="D1183" s="354">
        <v>1</v>
      </c>
      <c r="E1183" s="235" t="s">
        <v>127</v>
      </c>
    </row>
    <row r="1184" spans="1:6" x14ac:dyDescent="0.4">
      <c r="A1184" s="352">
        <v>45868</v>
      </c>
      <c r="B1184" s="355" t="s">
        <v>168</v>
      </c>
      <c r="C1184" s="354" t="s">
        <v>943</v>
      </c>
      <c r="D1184" s="354">
        <v>2</v>
      </c>
      <c r="E1184" s="235" t="s">
        <v>127</v>
      </c>
    </row>
    <row r="1185" spans="1:6" x14ac:dyDescent="0.4">
      <c r="A1185" s="352">
        <v>45868</v>
      </c>
      <c r="B1185" s="353" t="s">
        <v>136</v>
      </c>
      <c r="C1185" s="354" t="s">
        <v>943</v>
      </c>
      <c r="D1185" s="354">
        <v>1</v>
      </c>
      <c r="E1185" s="235" t="s">
        <v>127</v>
      </c>
    </row>
    <row r="1186" spans="1:6" x14ac:dyDescent="0.4">
      <c r="A1186" s="352">
        <v>45868</v>
      </c>
      <c r="B1186" s="353" t="s">
        <v>136</v>
      </c>
      <c r="C1186" s="354" t="s">
        <v>943</v>
      </c>
      <c r="D1186" s="354">
        <v>2</v>
      </c>
      <c r="E1186" s="235" t="s">
        <v>127</v>
      </c>
    </row>
    <row r="1187" spans="1:6" x14ac:dyDescent="0.4">
      <c r="A1187" s="352">
        <v>45868</v>
      </c>
      <c r="B1187" s="353" t="s">
        <v>950</v>
      </c>
      <c r="C1187" s="354" t="s">
        <v>943</v>
      </c>
      <c r="D1187" s="354">
        <v>1</v>
      </c>
      <c r="E1187" s="235" t="s">
        <v>127</v>
      </c>
    </row>
    <row r="1189" spans="1:6" x14ac:dyDescent="0.4">
      <c r="A1189" s="352">
        <v>45868</v>
      </c>
      <c r="B1189" s="353" t="s">
        <v>947</v>
      </c>
      <c r="C1189" s="354" t="s">
        <v>943</v>
      </c>
      <c r="D1189" s="354">
        <v>1</v>
      </c>
      <c r="E1189" s="235" t="s">
        <v>127</v>
      </c>
      <c r="F1189" t="s">
        <v>955</v>
      </c>
    </row>
    <row r="1190" spans="1:6" x14ac:dyDescent="0.4">
      <c r="A1190" s="352">
        <v>45868</v>
      </c>
      <c r="B1190" s="353" t="s">
        <v>137</v>
      </c>
      <c r="C1190" s="354" t="s">
        <v>943</v>
      </c>
      <c r="D1190" s="354">
        <v>1</v>
      </c>
      <c r="E1190" s="235" t="s">
        <v>127</v>
      </c>
    </row>
    <row r="1191" spans="1:6" x14ac:dyDescent="0.4">
      <c r="A1191" s="352">
        <v>45868</v>
      </c>
      <c r="B1191" s="353" t="s">
        <v>941</v>
      </c>
      <c r="C1191" s="354" t="s">
        <v>943</v>
      </c>
      <c r="D1191" s="354">
        <v>10</v>
      </c>
      <c r="E1191" s="235" t="s">
        <v>127</v>
      </c>
    </row>
    <row r="1192" spans="1:6" x14ac:dyDescent="0.4">
      <c r="A1192" s="352">
        <v>45868</v>
      </c>
      <c r="B1192" s="353" t="s">
        <v>945</v>
      </c>
      <c r="C1192" s="354" t="s">
        <v>943</v>
      </c>
      <c r="D1192" s="354">
        <v>1</v>
      </c>
      <c r="E1192" s="235" t="s">
        <v>127</v>
      </c>
    </row>
    <row r="1193" spans="1:6" x14ac:dyDescent="0.4">
      <c r="A1193" s="352">
        <v>45868</v>
      </c>
      <c r="B1193" s="353" t="s">
        <v>948</v>
      </c>
      <c r="C1193" s="354" t="s">
        <v>943</v>
      </c>
      <c r="D1193" s="354">
        <v>1</v>
      </c>
      <c r="E1193" s="235" t="s">
        <v>127</v>
      </c>
    </row>
    <row r="1194" spans="1:6" x14ac:dyDescent="0.4">
      <c r="A1194" s="352">
        <v>45868</v>
      </c>
      <c r="B1194" s="353" t="s">
        <v>950</v>
      </c>
      <c r="C1194" s="354" t="s">
        <v>943</v>
      </c>
      <c r="D1194" s="354">
        <v>1</v>
      </c>
      <c r="E1194" s="235" t="s">
        <v>127</v>
      </c>
    </row>
    <row r="1195" spans="1:6" x14ac:dyDescent="0.4">
      <c r="A1195" s="352">
        <v>45868</v>
      </c>
      <c r="B1195" s="353" t="s">
        <v>136</v>
      </c>
      <c r="C1195" s="354" t="s">
        <v>943</v>
      </c>
      <c r="D1195" s="354">
        <v>11</v>
      </c>
      <c r="E1195" s="235" t="s">
        <v>127</v>
      </c>
    </row>
    <row r="1196" spans="1:6" x14ac:dyDescent="0.4">
      <c r="A1196" s="352">
        <v>45868</v>
      </c>
      <c r="B1196" s="353" t="s">
        <v>136</v>
      </c>
      <c r="C1196" s="354" t="s">
        <v>943</v>
      </c>
      <c r="D1196" s="354">
        <v>1</v>
      </c>
      <c r="E1196" s="235" t="s">
        <v>127</v>
      </c>
    </row>
    <row r="1197" spans="1:6" x14ac:dyDescent="0.4">
      <c r="A1197" s="352">
        <v>45868</v>
      </c>
      <c r="B1197" s="353" t="s">
        <v>136</v>
      </c>
      <c r="C1197" s="354" t="s">
        <v>943</v>
      </c>
      <c r="D1197" s="354">
        <v>1</v>
      </c>
      <c r="E1197" s="235" t="s">
        <v>127</v>
      </c>
    </row>
    <row r="1198" spans="1:6" x14ac:dyDescent="0.4">
      <c r="A1198" s="352">
        <v>45868</v>
      </c>
      <c r="B1198" s="355" t="s">
        <v>169</v>
      </c>
      <c r="C1198" s="354" t="s">
        <v>943</v>
      </c>
      <c r="D1198" s="354">
        <v>2</v>
      </c>
      <c r="E1198" s="235" t="s">
        <v>127</v>
      </c>
    </row>
    <row r="1199" spans="1:6" x14ac:dyDescent="0.4">
      <c r="A1199" s="352">
        <v>45868</v>
      </c>
      <c r="B1199" s="353" t="s">
        <v>949</v>
      </c>
      <c r="C1199" s="354" t="s">
        <v>943</v>
      </c>
      <c r="D1199" s="354">
        <v>2</v>
      </c>
      <c r="E1199" s="235" t="s">
        <v>127</v>
      </c>
    </row>
    <row r="1200" spans="1:6" x14ac:dyDescent="0.4">
      <c r="A1200" s="352">
        <v>45868</v>
      </c>
      <c r="B1200" s="355" t="s">
        <v>168</v>
      </c>
      <c r="C1200" s="354" t="s">
        <v>943</v>
      </c>
      <c r="D1200" s="354">
        <v>1</v>
      </c>
      <c r="E1200" s="235" t="s">
        <v>127</v>
      </c>
    </row>
    <row r="1201" spans="1:5" x14ac:dyDescent="0.4">
      <c r="A1201" s="352">
        <v>45868</v>
      </c>
      <c r="B1201" s="355" t="s">
        <v>169</v>
      </c>
      <c r="C1201" s="354" t="s">
        <v>943</v>
      </c>
      <c r="D1201" s="354">
        <v>1</v>
      </c>
      <c r="E1201" s="235" t="s">
        <v>127</v>
      </c>
    </row>
    <row r="1202" spans="1:5" x14ac:dyDescent="0.4">
      <c r="A1202" s="352">
        <v>45868</v>
      </c>
      <c r="B1202" s="353" t="s">
        <v>949</v>
      </c>
      <c r="C1202" s="354" t="s">
        <v>943</v>
      </c>
      <c r="D1202" s="354">
        <v>2</v>
      </c>
      <c r="E1202" s="235" t="s">
        <v>127</v>
      </c>
    </row>
    <row r="1203" spans="1:5" x14ac:dyDescent="0.4">
      <c r="A1203" s="352">
        <v>45868</v>
      </c>
      <c r="B1203" s="355" t="s">
        <v>168</v>
      </c>
      <c r="C1203" s="354" t="s">
        <v>943</v>
      </c>
      <c r="D1203" s="354">
        <v>2</v>
      </c>
      <c r="E1203" s="235" t="s">
        <v>127</v>
      </c>
    </row>
    <row r="1204" spans="1:5" x14ac:dyDescent="0.4">
      <c r="A1204" s="352">
        <v>45868</v>
      </c>
      <c r="B1204" s="355" t="s">
        <v>169</v>
      </c>
      <c r="C1204" s="354" t="s">
        <v>943</v>
      </c>
      <c r="D1204" s="354">
        <v>1</v>
      </c>
      <c r="E1204" s="235" t="s">
        <v>127</v>
      </c>
    </row>
    <row r="1205" spans="1:5" x14ac:dyDescent="0.4">
      <c r="A1205" s="352">
        <v>45868</v>
      </c>
      <c r="B1205" s="355" t="s">
        <v>168</v>
      </c>
      <c r="C1205" s="354" t="s">
        <v>943</v>
      </c>
      <c r="D1205" s="354">
        <v>1</v>
      </c>
      <c r="E1205" s="235" t="s">
        <v>127</v>
      </c>
    </row>
    <row r="1206" spans="1:5" x14ac:dyDescent="0.4">
      <c r="A1206" s="352">
        <v>45868</v>
      </c>
      <c r="B1206" s="353" t="s">
        <v>952</v>
      </c>
      <c r="C1206" s="354" t="s">
        <v>943</v>
      </c>
      <c r="D1206" s="354">
        <v>2</v>
      </c>
      <c r="E1206" s="235" t="s">
        <v>127</v>
      </c>
    </row>
    <row r="1207" spans="1:5" x14ac:dyDescent="0.4">
      <c r="A1207" s="352">
        <v>45868</v>
      </c>
      <c r="B1207" s="353" t="s">
        <v>953</v>
      </c>
      <c r="C1207" s="354" t="s">
        <v>943</v>
      </c>
      <c r="D1207" s="354">
        <v>1</v>
      </c>
      <c r="E1207" s="235" t="s">
        <v>127</v>
      </c>
    </row>
    <row r="1208" spans="1:5" x14ac:dyDescent="0.4">
      <c r="A1208" s="352">
        <v>45868</v>
      </c>
      <c r="B1208" s="355" t="s">
        <v>942</v>
      </c>
      <c r="C1208" s="354" t="s">
        <v>943</v>
      </c>
      <c r="D1208" s="354">
        <v>2</v>
      </c>
      <c r="E1208" s="235" t="s">
        <v>127</v>
      </c>
    </row>
    <row r="1209" spans="1:5" x14ac:dyDescent="0.4">
      <c r="A1209" s="352">
        <v>45868</v>
      </c>
      <c r="B1209" s="355" t="s">
        <v>954</v>
      </c>
      <c r="C1209" s="354" t="s">
        <v>943</v>
      </c>
      <c r="D1209" s="354">
        <v>8</v>
      </c>
      <c r="E1209" s="235" t="s">
        <v>127</v>
      </c>
    </row>
    <row r="1210" spans="1:5" x14ac:dyDescent="0.4">
      <c r="A1210" s="352">
        <v>45868</v>
      </c>
      <c r="B1210" s="355" t="s">
        <v>956</v>
      </c>
      <c r="C1210" s="354" t="s">
        <v>943</v>
      </c>
      <c r="D1210" s="354">
        <v>2</v>
      </c>
      <c r="E1210" s="235" t="s">
        <v>127</v>
      </c>
    </row>
    <row r="1212" spans="1:5" x14ac:dyDescent="0.4">
      <c r="A1212" s="271">
        <v>45868</v>
      </c>
      <c r="B1212" s="85" t="s">
        <v>136</v>
      </c>
      <c r="C1212" s="43" t="s">
        <v>121</v>
      </c>
      <c r="D1212" s="43">
        <v>-11</v>
      </c>
      <c r="E1212" s="18" t="s">
        <v>127</v>
      </c>
    </row>
    <row r="1213" spans="1:5" x14ac:dyDescent="0.4">
      <c r="A1213" s="271">
        <v>45868</v>
      </c>
      <c r="B1213" s="94" t="s">
        <v>942</v>
      </c>
      <c r="C1213" s="43" t="s">
        <v>121</v>
      </c>
      <c r="D1213" s="43">
        <v>-2</v>
      </c>
      <c r="E1213" s="18" t="s">
        <v>127</v>
      </c>
    </row>
    <row r="1215" spans="1:5" x14ac:dyDescent="0.4">
      <c r="A1215" s="271">
        <v>45868</v>
      </c>
      <c r="B1215" s="85" t="s">
        <v>136</v>
      </c>
      <c r="C1215" s="43" t="s">
        <v>121</v>
      </c>
      <c r="D1215" s="43">
        <v>-10</v>
      </c>
      <c r="E1215" s="18" t="s">
        <v>127</v>
      </c>
    </row>
    <row r="1217" spans="1:5" x14ac:dyDescent="0.4">
      <c r="A1217" s="271">
        <v>45869</v>
      </c>
      <c r="B1217" s="85" t="s">
        <v>136</v>
      </c>
      <c r="C1217" s="43" t="s">
        <v>121</v>
      </c>
      <c r="D1217" s="43">
        <v>-8</v>
      </c>
      <c r="E1217" s="18" t="s">
        <v>127</v>
      </c>
    </row>
    <row r="1218" spans="1:5" x14ac:dyDescent="0.4">
      <c r="A1218" s="271">
        <v>45869</v>
      </c>
      <c r="B1218" s="85" t="s">
        <v>949</v>
      </c>
      <c r="C1218" s="43" t="s">
        <v>121</v>
      </c>
      <c r="D1218" s="43">
        <v>-4</v>
      </c>
      <c r="E1218" s="18" t="s">
        <v>127</v>
      </c>
    </row>
    <row r="1219" spans="1:5" x14ac:dyDescent="0.4">
      <c r="A1219" s="271">
        <v>45869</v>
      </c>
      <c r="B1219" s="94" t="s">
        <v>168</v>
      </c>
      <c r="C1219" s="43" t="s">
        <v>121</v>
      </c>
      <c r="D1219" s="43">
        <v>-5</v>
      </c>
      <c r="E1219" s="18" t="s">
        <v>127</v>
      </c>
    </row>
    <row r="1220" spans="1:5" x14ac:dyDescent="0.4">
      <c r="A1220" s="271">
        <v>45869</v>
      </c>
      <c r="B1220" s="94" t="s">
        <v>169</v>
      </c>
      <c r="C1220" s="43" t="s">
        <v>121</v>
      </c>
      <c r="D1220" s="43">
        <v>-5</v>
      </c>
      <c r="E1220" s="18" t="s">
        <v>127</v>
      </c>
    </row>
    <row r="1221" spans="1:5" x14ac:dyDescent="0.4">
      <c r="A1221" s="271">
        <v>45869</v>
      </c>
      <c r="B1221" s="94" t="s">
        <v>951</v>
      </c>
      <c r="C1221" s="43" t="s">
        <v>121</v>
      </c>
      <c r="D1221" s="43">
        <v>-1</v>
      </c>
      <c r="E1221" s="18" t="s">
        <v>127</v>
      </c>
    </row>
    <row r="1222" spans="1:5" x14ac:dyDescent="0.4">
      <c r="A1222" s="271">
        <v>45869</v>
      </c>
      <c r="B1222" s="85" t="s">
        <v>941</v>
      </c>
      <c r="C1222" s="43" t="s">
        <v>121</v>
      </c>
      <c r="D1222" s="43">
        <v>-6</v>
      </c>
      <c r="E1222" s="18" t="s">
        <v>127</v>
      </c>
    </row>
    <row r="1224" spans="1:5" x14ac:dyDescent="0.4">
      <c r="A1224" s="271">
        <v>45870</v>
      </c>
      <c r="B1224" s="94" t="s">
        <v>266</v>
      </c>
      <c r="C1224" s="43" t="s">
        <v>121</v>
      </c>
      <c r="D1224" s="43">
        <v>-1</v>
      </c>
      <c r="E1224" s="18" t="s">
        <v>127</v>
      </c>
    </row>
    <row r="1225" spans="1:5" x14ac:dyDescent="0.4">
      <c r="A1225" s="271">
        <v>45870</v>
      </c>
      <c r="B1225" s="94" t="s">
        <v>954</v>
      </c>
      <c r="C1225" s="43" t="s">
        <v>121</v>
      </c>
      <c r="D1225" s="43">
        <v>-8</v>
      </c>
      <c r="E1225" s="18" t="s">
        <v>127</v>
      </c>
    </row>
    <row r="1226" spans="1:5" x14ac:dyDescent="0.4">
      <c r="A1226" s="271">
        <v>45871</v>
      </c>
      <c r="B1226" s="85" t="s">
        <v>136</v>
      </c>
      <c r="C1226" s="43" t="s">
        <v>121</v>
      </c>
      <c r="D1226" s="43">
        <v>-1</v>
      </c>
      <c r="E1226" s="18" t="s">
        <v>127</v>
      </c>
    </row>
    <row r="1228" spans="1:5" x14ac:dyDescent="0.4">
      <c r="A1228" s="271">
        <v>45871</v>
      </c>
      <c r="B1228" s="94" t="s">
        <v>690</v>
      </c>
      <c r="C1228" s="43" t="s">
        <v>121</v>
      </c>
      <c r="D1228" s="43">
        <v>-3</v>
      </c>
      <c r="E1228" s="18" t="s">
        <v>127</v>
      </c>
    </row>
    <row r="1229" spans="1:5" x14ac:dyDescent="0.4">
      <c r="A1229" s="271">
        <v>45871</v>
      </c>
      <c r="B1229" s="94" t="s">
        <v>887</v>
      </c>
      <c r="C1229" s="43" t="s">
        <v>121</v>
      </c>
      <c r="D1229" s="43">
        <v>-1</v>
      </c>
      <c r="E1229" s="18" t="s">
        <v>127</v>
      </c>
    </row>
    <row r="1230" spans="1:5" x14ac:dyDescent="0.4">
      <c r="A1230" s="271">
        <v>45871</v>
      </c>
      <c r="B1230" s="85" t="s">
        <v>513</v>
      </c>
      <c r="C1230" s="43" t="s">
        <v>121</v>
      </c>
      <c r="D1230" s="43">
        <v>-6</v>
      </c>
      <c r="E1230" s="18" t="s">
        <v>127</v>
      </c>
    </row>
    <row r="1231" spans="1:5" x14ac:dyDescent="0.4">
      <c r="A1231" s="271">
        <v>45871</v>
      </c>
      <c r="B1231" s="85" t="s">
        <v>512</v>
      </c>
      <c r="C1231" s="43" t="s">
        <v>121</v>
      </c>
      <c r="D1231" s="43">
        <v>-10</v>
      </c>
      <c r="E1231" s="18" t="s">
        <v>127</v>
      </c>
    </row>
    <row r="1232" spans="1:5" x14ac:dyDescent="0.4">
      <c r="A1232" s="271">
        <v>45871</v>
      </c>
      <c r="B1232" s="94" t="s">
        <v>690</v>
      </c>
      <c r="C1232" s="43" t="s">
        <v>121</v>
      </c>
      <c r="D1232" s="43">
        <v>-10</v>
      </c>
      <c r="E1232" s="18" t="s">
        <v>127</v>
      </c>
    </row>
    <row r="1233" spans="1:6" x14ac:dyDescent="0.4">
      <c r="A1233" s="271">
        <v>45871</v>
      </c>
      <c r="B1233" s="85" t="s">
        <v>941</v>
      </c>
      <c r="C1233" s="43" t="s">
        <v>121</v>
      </c>
      <c r="D1233" s="43">
        <v>-8</v>
      </c>
      <c r="E1233" s="18" t="s">
        <v>127</v>
      </c>
    </row>
    <row r="1234" spans="1:6" x14ac:dyDescent="0.4">
      <c r="A1234" s="271">
        <v>45871</v>
      </c>
      <c r="B1234" s="85" t="s">
        <v>945</v>
      </c>
      <c r="C1234" s="43" t="s">
        <v>121</v>
      </c>
      <c r="D1234" s="43">
        <v>-7</v>
      </c>
      <c r="E1234" s="18" t="s">
        <v>127</v>
      </c>
    </row>
    <row r="1235" spans="1:6" x14ac:dyDescent="0.4">
      <c r="A1235" s="271">
        <v>45871</v>
      </c>
      <c r="B1235" s="85" t="s">
        <v>948</v>
      </c>
      <c r="C1235" s="43" t="s">
        <v>121</v>
      </c>
      <c r="D1235" s="43">
        <v>-1</v>
      </c>
      <c r="E1235" s="18" t="s">
        <v>127</v>
      </c>
    </row>
    <row r="1236" spans="1:6" x14ac:dyDescent="0.4">
      <c r="A1236" s="271">
        <v>45871</v>
      </c>
      <c r="B1236" s="94" t="s">
        <v>942</v>
      </c>
      <c r="C1236" s="43" t="s">
        <v>121</v>
      </c>
      <c r="D1236" s="43">
        <v>-2</v>
      </c>
      <c r="E1236" s="18" t="s">
        <v>127</v>
      </c>
    </row>
    <row r="1237" spans="1:6" x14ac:dyDescent="0.4">
      <c r="A1237" s="271">
        <v>45871</v>
      </c>
      <c r="B1237" s="85" t="s">
        <v>953</v>
      </c>
      <c r="C1237" s="43" t="s">
        <v>121</v>
      </c>
      <c r="D1237" s="43">
        <v>-2</v>
      </c>
      <c r="E1237" s="18" t="s">
        <v>127</v>
      </c>
    </row>
    <row r="1238" spans="1:6" x14ac:dyDescent="0.4">
      <c r="A1238" s="271">
        <v>45871</v>
      </c>
      <c r="B1238" s="85" t="s">
        <v>952</v>
      </c>
      <c r="C1238" s="43" t="s">
        <v>121</v>
      </c>
      <c r="D1238" s="43">
        <v>-1</v>
      </c>
      <c r="E1238" s="18" t="s">
        <v>127</v>
      </c>
    </row>
    <row r="1240" spans="1:6" x14ac:dyDescent="0.4">
      <c r="A1240" s="352">
        <v>45871</v>
      </c>
      <c r="B1240" s="355" t="s">
        <v>942</v>
      </c>
      <c r="C1240" s="354" t="s">
        <v>943</v>
      </c>
      <c r="D1240" s="354">
        <v>2</v>
      </c>
      <c r="E1240" s="354" t="s">
        <v>127</v>
      </c>
      <c r="F1240" s="358" t="s">
        <v>983</v>
      </c>
    </row>
    <row r="1241" spans="1:6" x14ac:dyDescent="0.4">
      <c r="A1241" s="352">
        <v>45871</v>
      </c>
      <c r="B1241" s="355" t="s">
        <v>953</v>
      </c>
      <c r="C1241" s="354" t="s">
        <v>943</v>
      </c>
      <c r="D1241" s="354">
        <v>1</v>
      </c>
      <c r="E1241" s="354" t="s">
        <v>127</v>
      </c>
    </row>
    <row r="1242" spans="1:6" x14ac:dyDescent="0.4">
      <c r="A1242" s="352">
        <v>45871</v>
      </c>
      <c r="B1242" s="355" t="s">
        <v>136</v>
      </c>
      <c r="C1242" s="354" t="s">
        <v>943</v>
      </c>
      <c r="D1242" s="354">
        <v>9</v>
      </c>
      <c r="E1242" s="354" t="s">
        <v>127</v>
      </c>
    </row>
    <row r="1243" spans="1:6" x14ac:dyDescent="0.4">
      <c r="A1243" s="352">
        <v>45871</v>
      </c>
      <c r="B1243" s="355" t="s">
        <v>961</v>
      </c>
      <c r="C1243" s="354" t="s">
        <v>943</v>
      </c>
      <c r="D1243" s="354">
        <v>4</v>
      </c>
      <c r="E1243" s="354" t="s">
        <v>127</v>
      </c>
    </row>
    <row r="1244" spans="1:6" x14ac:dyDescent="0.4">
      <c r="A1244" s="352">
        <v>45871</v>
      </c>
      <c r="B1244" s="355" t="s">
        <v>954</v>
      </c>
      <c r="C1244" s="354" t="s">
        <v>943</v>
      </c>
      <c r="D1244" s="354">
        <v>1</v>
      </c>
      <c r="E1244" s="354" t="s">
        <v>127</v>
      </c>
    </row>
    <row r="1245" spans="1:6" x14ac:dyDescent="0.4">
      <c r="A1245" s="352">
        <v>45871</v>
      </c>
      <c r="B1245" s="355" t="s">
        <v>962</v>
      </c>
      <c r="C1245" s="354" t="s">
        <v>943</v>
      </c>
      <c r="D1245" s="354">
        <v>4</v>
      </c>
      <c r="E1245" s="354" t="s">
        <v>127</v>
      </c>
    </row>
    <row r="1246" spans="1:6" x14ac:dyDescent="0.4">
      <c r="A1246" s="352">
        <v>45871</v>
      </c>
      <c r="B1246" s="355" t="s">
        <v>950</v>
      </c>
      <c r="C1246" s="354" t="s">
        <v>943</v>
      </c>
      <c r="D1246" s="354">
        <v>5</v>
      </c>
      <c r="E1246" s="354" t="s">
        <v>127</v>
      </c>
    </row>
    <row r="1248" spans="1:6" x14ac:dyDescent="0.4">
      <c r="A1248" s="352">
        <v>45871</v>
      </c>
      <c r="B1248" s="355" t="s">
        <v>942</v>
      </c>
      <c r="C1248" s="354" t="s">
        <v>943</v>
      </c>
      <c r="D1248" s="354">
        <v>1</v>
      </c>
      <c r="E1248" s="354" t="s">
        <v>127</v>
      </c>
      <c r="F1248" t="s">
        <v>984</v>
      </c>
    </row>
    <row r="1249" spans="1:5" x14ac:dyDescent="0.4">
      <c r="A1249" s="352">
        <v>45871</v>
      </c>
      <c r="B1249" s="355" t="s">
        <v>985</v>
      </c>
      <c r="C1249" s="354" t="s">
        <v>943</v>
      </c>
      <c r="D1249" s="354">
        <v>7</v>
      </c>
      <c r="E1249" s="354" t="s">
        <v>127</v>
      </c>
    </row>
    <row r="1250" spans="1:5" x14ac:dyDescent="0.4">
      <c r="A1250" s="352">
        <v>45871</v>
      </c>
      <c r="B1250" s="355" t="s">
        <v>169</v>
      </c>
      <c r="C1250" s="354" t="s">
        <v>943</v>
      </c>
      <c r="D1250" s="354">
        <v>3</v>
      </c>
      <c r="E1250" s="354" t="s">
        <v>127</v>
      </c>
    </row>
    <row r="1251" spans="1:5" x14ac:dyDescent="0.4">
      <c r="A1251" s="352">
        <v>45871</v>
      </c>
      <c r="B1251" s="355" t="s">
        <v>168</v>
      </c>
      <c r="C1251" s="354" t="s">
        <v>943</v>
      </c>
      <c r="D1251" s="354">
        <v>1</v>
      </c>
      <c r="E1251" s="354" t="s">
        <v>127</v>
      </c>
    </row>
    <row r="1252" spans="1:5" x14ac:dyDescent="0.4">
      <c r="A1252" s="352">
        <v>45871</v>
      </c>
      <c r="B1252" s="355" t="s">
        <v>136</v>
      </c>
      <c r="C1252" s="354" t="s">
        <v>943</v>
      </c>
      <c r="D1252" s="354">
        <v>6</v>
      </c>
      <c r="E1252" s="354" t="s">
        <v>127</v>
      </c>
    </row>
    <row r="1253" spans="1:5" x14ac:dyDescent="0.4">
      <c r="A1253" s="352">
        <v>45871</v>
      </c>
      <c r="B1253" s="355" t="s">
        <v>950</v>
      </c>
      <c r="C1253" s="354" t="s">
        <v>943</v>
      </c>
      <c r="D1253" s="354">
        <v>1</v>
      </c>
      <c r="E1253" s="354" t="s">
        <v>127</v>
      </c>
    </row>
    <row r="1254" spans="1:5" x14ac:dyDescent="0.4">
      <c r="A1254" s="352">
        <v>45871</v>
      </c>
      <c r="B1254" s="355" t="s">
        <v>962</v>
      </c>
      <c r="C1254" s="354" t="s">
        <v>943</v>
      </c>
      <c r="D1254" s="354">
        <v>1</v>
      </c>
      <c r="E1254" s="354" t="s">
        <v>127</v>
      </c>
    </row>
    <row r="1255" spans="1:5" x14ac:dyDescent="0.4">
      <c r="A1255" s="352">
        <v>45871</v>
      </c>
      <c r="B1255" s="355" t="s">
        <v>136</v>
      </c>
      <c r="C1255" s="354" t="s">
        <v>943</v>
      </c>
      <c r="D1255" s="354">
        <v>10</v>
      </c>
      <c r="E1255" s="354" t="s">
        <v>127</v>
      </c>
    </row>
    <row r="1256" spans="1:5" x14ac:dyDescent="0.4">
      <c r="A1256" s="352">
        <v>45871</v>
      </c>
      <c r="B1256" s="355" t="s">
        <v>950</v>
      </c>
      <c r="C1256" s="354" t="s">
        <v>943</v>
      </c>
      <c r="D1256" s="354">
        <v>1</v>
      </c>
      <c r="E1256" s="354" t="s">
        <v>127</v>
      </c>
    </row>
    <row r="1257" spans="1:5" x14ac:dyDescent="0.4">
      <c r="A1257" s="352">
        <v>45871</v>
      </c>
      <c r="B1257" s="355" t="s">
        <v>136</v>
      </c>
      <c r="C1257" s="354" t="s">
        <v>943</v>
      </c>
      <c r="D1257" s="354">
        <v>4</v>
      </c>
      <c r="E1257" s="354" t="s">
        <v>127</v>
      </c>
    </row>
    <row r="1258" spans="1:5" x14ac:dyDescent="0.4">
      <c r="A1258" s="352">
        <v>45871</v>
      </c>
      <c r="B1258" s="355" t="s">
        <v>169</v>
      </c>
      <c r="C1258" s="354" t="s">
        <v>943</v>
      </c>
      <c r="D1258" s="354">
        <v>1</v>
      </c>
      <c r="E1258" s="354" t="s">
        <v>127</v>
      </c>
    </row>
    <row r="1259" spans="1:5" x14ac:dyDescent="0.4">
      <c r="A1259" s="352">
        <v>45871</v>
      </c>
      <c r="B1259" s="355" t="s">
        <v>168</v>
      </c>
      <c r="C1259" s="354" t="s">
        <v>943</v>
      </c>
      <c r="D1259" s="354">
        <v>1</v>
      </c>
      <c r="E1259" s="354" t="s">
        <v>127</v>
      </c>
    </row>
    <row r="1260" spans="1:5" x14ac:dyDescent="0.4">
      <c r="A1260" s="352">
        <v>45871</v>
      </c>
      <c r="B1260" s="355" t="s">
        <v>171</v>
      </c>
      <c r="C1260" s="354" t="s">
        <v>943</v>
      </c>
      <c r="D1260" s="354">
        <v>4</v>
      </c>
      <c r="E1260" s="354" t="s">
        <v>127</v>
      </c>
    </row>
    <row r="1261" spans="1:5" x14ac:dyDescent="0.4">
      <c r="A1261" s="352">
        <v>45871</v>
      </c>
      <c r="B1261" s="355" t="s">
        <v>951</v>
      </c>
      <c r="C1261" s="354" t="s">
        <v>943</v>
      </c>
      <c r="D1261" s="354">
        <v>1</v>
      </c>
      <c r="E1261" s="354" t="s">
        <v>127</v>
      </c>
    </row>
    <row r="1262" spans="1:5" x14ac:dyDescent="0.4">
      <c r="A1262" s="352">
        <v>45871</v>
      </c>
      <c r="B1262" s="355" t="s">
        <v>954</v>
      </c>
      <c r="C1262" s="354" t="s">
        <v>943</v>
      </c>
      <c r="D1262" s="354">
        <v>11</v>
      </c>
      <c r="E1262" s="354" t="s">
        <v>127</v>
      </c>
    </row>
    <row r="1264" spans="1:5" x14ac:dyDescent="0.4">
      <c r="A1264" s="312">
        <v>45871</v>
      </c>
      <c r="B1264" s="244" t="s">
        <v>828</v>
      </c>
      <c r="C1264" s="245" t="s">
        <v>701</v>
      </c>
      <c r="D1264" s="245">
        <v>24</v>
      </c>
      <c r="E1264" s="18" t="s">
        <v>127</v>
      </c>
    </row>
    <row r="1265" spans="1:5" x14ac:dyDescent="0.4">
      <c r="A1265" s="312">
        <v>45871</v>
      </c>
      <c r="B1265" s="244" t="s">
        <v>829</v>
      </c>
      <c r="C1265" s="245" t="s">
        <v>701</v>
      </c>
      <c r="D1265" s="245">
        <v>30</v>
      </c>
      <c r="E1265" s="18" t="s">
        <v>127</v>
      </c>
    </row>
    <row r="1266" spans="1:5" x14ac:dyDescent="0.4">
      <c r="A1266" s="312">
        <v>45871</v>
      </c>
      <c r="B1266" s="244" t="s">
        <v>830</v>
      </c>
      <c r="C1266" s="245" t="s">
        <v>701</v>
      </c>
      <c r="D1266" s="245">
        <v>13</v>
      </c>
      <c r="E1266" s="18" t="s">
        <v>127</v>
      </c>
    </row>
    <row r="1267" spans="1:5" x14ac:dyDescent="0.4">
      <c r="A1267" s="312">
        <v>45871</v>
      </c>
      <c r="B1267" s="247" t="s">
        <v>133</v>
      </c>
      <c r="C1267" s="245" t="s">
        <v>701</v>
      </c>
      <c r="D1267" s="245">
        <v>5</v>
      </c>
      <c r="E1267" s="18" t="s">
        <v>127</v>
      </c>
    </row>
    <row r="1268" spans="1:5" x14ac:dyDescent="0.4">
      <c r="A1268" s="312">
        <v>45871</v>
      </c>
      <c r="B1268" s="244" t="s">
        <v>398</v>
      </c>
      <c r="C1268" s="245" t="s">
        <v>701</v>
      </c>
      <c r="D1268" s="245">
        <v>2</v>
      </c>
      <c r="E1268" s="18" t="s">
        <v>127</v>
      </c>
    </row>
    <row r="1269" spans="1:5" x14ac:dyDescent="0.4">
      <c r="A1269" s="312">
        <v>45871</v>
      </c>
      <c r="B1269" s="364" t="s">
        <v>986</v>
      </c>
      <c r="C1269" s="245" t="s">
        <v>701</v>
      </c>
      <c r="D1269" s="245">
        <v>2</v>
      </c>
      <c r="E1269" s="18" t="s">
        <v>127</v>
      </c>
    </row>
    <row r="1270" spans="1:5" x14ac:dyDescent="0.4">
      <c r="A1270" s="312">
        <v>45871</v>
      </c>
      <c r="B1270" s="244" t="s">
        <v>136</v>
      </c>
      <c r="C1270" s="245" t="s">
        <v>701</v>
      </c>
      <c r="D1270" s="245">
        <v>4</v>
      </c>
      <c r="E1270" s="18" t="s">
        <v>127</v>
      </c>
    </row>
    <row r="1271" spans="1:5" x14ac:dyDescent="0.4">
      <c r="A1271" s="312">
        <v>45871</v>
      </c>
      <c r="B1271" s="247" t="s">
        <v>941</v>
      </c>
      <c r="C1271" s="245" t="s">
        <v>701</v>
      </c>
      <c r="D1271" s="245">
        <v>3</v>
      </c>
      <c r="E1271" s="18" t="s">
        <v>127</v>
      </c>
    </row>
    <row r="1272" spans="1:5" x14ac:dyDescent="0.4">
      <c r="A1272" s="312">
        <v>45871</v>
      </c>
      <c r="B1272" s="364" t="s">
        <v>988</v>
      </c>
      <c r="C1272" s="245" t="s">
        <v>701</v>
      </c>
      <c r="D1272" s="245">
        <v>14</v>
      </c>
      <c r="E1272" s="18" t="s">
        <v>127</v>
      </c>
    </row>
    <row r="1274" spans="1:5" x14ac:dyDescent="0.4">
      <c r="A1274" s="341">
        <v>45871</v>
      </c>
      <c r="B1274" s="349" t="s">
        <v>136</v>
      </c>
      <c r="C1274" s="351" t="s">
        <v>121</v>
      </c>
      <c r="D1274" s="351">
        <v>-19</v>
      </c>
      <c r="E1274" s="18" t="s">
        <v>127</v>
      </c>
    </row>
    <row r="1275" spans="1:5" x14ac:dyDescent="0.4">
      <c r="A1275" s="341">
        <v>45871</v>
      </c>
      <c r="B1275" s="349" t="s">
        <v>950</v>
      </c>
      <c r="C1275" s="351" t="s">
        <v>121</v>
      </c>
      <c r="D1275" s="351">
        <v>-2</v>
      </c>
      <c r="E1275" s="18" t="s">
        <v>127</v>
      </c>
    </row>
    <row r="1276" spans="1:5" x14ac:dyDescent="0.4">
      <c r="A1276" s="341">
        <v>45871</v>
      </c>
      <c r="B1276" s="349" t="s">
        <v>962</v>
      </c>
      <c r="C1276" s="351" t="s">
        <v>121</v>
      </c>
      <c r="D1276" s="351">
        <v>-1</v>
      </c>
      <c r="E1276" s="18" t="s">
        <v>127</v>
      </c>
    </row>
    <row r="1277" spans="1:5" x14ac:dyDescent="0.4">
      <c r="A1277" s="341">
        <v>45871</v>
      </c>
      <c r="B1277" s="349" t="s">
        <v>169</v>
      </c>
      <c r="C1277" s="351" t="s">
        <v>121</v>
      </c>
      <c r="D1277" s="351">
        <v>-4</v>
      </c>
      <c r="E1277" s="18" t="s">
        <v>127</v>
      </c>
    </row>
    <row r="1278" spans="1:5" x14ac:dyDescent="0.4">
      <c r="A1278" s="341">
        <v>45871</v>
      </c>
      <c r="B1278" s="349" t="s">
        <v>168</v>
      </c>
      <c r="C1278" s="351" t="s">
        <v>121</v>
      </c>
      <c r="D1278" s="351">
        <v>-2</v>
      </c>
      <c r="E1278" s="18" t="s">
        <v>127</v>
      </c>
    </row>
    <row r="1279" spans="1:5" x14ac:dyDescent="0.4">
      <c r="A1279" s="341">
        <v>45871</v>
      </c>
      <c r="B1279" s="349" t="s">
        <v>985</v>
      </c>
      <c r="C1279" s="351" t="s">
        <v>121</v>
      </c>
      <c r="D1279" s="351">
        <v>-7</v>
      </c>
      <c r="E1279" s="18" t="s">
        <v>127</v>
      </c>
    </row>
    <row r="1280" spans="1:5" x14ac:dyDescent="0.4">
      <c r="A1280" s="341">
        <v>45871</v>
      </c>
      <c r="B1280" s="349" t="s">
        <v>171</v>
      </c>
      <c r="C1280" s="351" t="s">
        <v>121</v>
      </c>
      <c r="D1280" s="351">
        <v>-4</v>
      </c>
      <c r="E1280" s="18" t="s">
        <v>127</v>
      </c>
    </row>
    <row r="1281" spans="1:5" x14ac:dyDescent="0.4">
      <c r="A1281" s="341">
        <v>45871</v>
      </c>
      <c r="B1281" s="349" t="s">
        <v>951</v>
      </c>
      <c r="C1281" s="351" t="s">
        <v>121</v>
      </c>
      <c r="D1281" s="351">
        <v>-1</v>
      </c>
      <c r="E1281" s="18" t="s">
        <v>127</v>
      </c>
    </row>
    <row r="1283" spans="1:5" x14ac:dyDescent="0.4">
      <c r="A1283" s="271">
        <v>45872</v>
      </c>
      <c r="B1283" s="349" t="s">
        <v>136</v>
      </c>
      <c r="C1283" s="351" t="s">
        <v>121</v>
      </c>
      <c r="D1283" s="43">
        <v>-9</v>
      </c>
      <c r="E1283" s="18" t="s">
        <v>127</v>
      </c>
    </row>
    <row r="1284" spans="1:5" x14ac:dyDescent="0.4">
      <c r="A1284" s="271">
        <v>45872</v>
      </c>
      <c r="B1284" s="349" t="s">
        <v>136</v>
      </c>
      <c r="C1284" s="351" t="s">
        <v>121</v>
      </c>
      <c r="D1284" s="43">
        <v>-4</v>
      </c>
      <c r="E1284" s="18" t="s">
        <v>127</v>
      </c>
    </row>
    <row r="1285" spans="1:5" x14ac:dyDescent="0.4">
      <c r="A1285" s="271">
        <v>45872</v>
      </c>
      <c r="B1285" s="349" t="s">
        <v>954</v>
      </c>
      <c r="C1285" s="351" t="s">
        <v>121</v>
      </c>
      <c r="D1285" s="43">
        <v>-9</v>
      </c>
      <c r="E1285" s="18" t="s">
        <v>127</v>
      </c>
    </row>
    <row r="1286" spans="1:5" x14ac:dyDescent="0.4">
      <c r="A1286" s="271">
        <v>45872</v>
      </c>
      <c r="B1286" s="349" t="s">
        <v>136</v>
      </c>
      <c r="C1286" s="351" t="s">
        <v>121</v>
      </c>
      <c r="D1286" s="43">
        <v>-3</v>
      </c>
      <c r="E1286" s="18" t="s">
        <v>127</v>
      </c>
    </row>
    <row r="1288" spans="1:5" x14ac:dyDescent="0.4">
      <c r="A1288" s="271">
        <v>45873</v>
      </c>
      <c r="B1288" s="93" t="s">
        <v>681</v>
      </c>
      <c r="C1288" s="351" t="s">
        <v>121</v>
      </c>
      <c r="D1288" s="43">
        <v>-10</v>
      </c>
      <c r="E1288" s="18" t="s">
        <v>127</v>
      </c>
    </row>
    <row r="1289" spans="1:5" x14ac:dyDescent="0.4">
      <c r="A1289" s="271">
        <v>45873</v>
      </c>
      <c r="B1289" s="93" t="s">
        <v>691</v>
      </c>
      <c r="C1289" s="351" t="s">
        <v>121</v>
      </c>
      <c r="D1289" s="43">
        <v>-1</v>
      </c>
      <c r="E1289" s="18" t="s">
        <v>127</v>
      </c>
    </row>
    <row r="1291" spans="1:5" x14ac:dyDescent="0.4">
      <c r="A1291" s="341">
        <v>45874</v>
      </c>
      <c r="B1291" s="349" t="s">
        <v>171</v>
      </c>
      <c r="C1291" s="351" t="s">
        <v>121</v>
      </c>
      <c r="D1291" s="351">
        <v>-5</v>
      </c>
      <c r="E1291" s="235" t="s">
        <v>127</v>
      </c>
    </row>
    <row r="1292" spans="1:5" x14ac:dyDescent="0.4">
      <c r="A1292" s="341">
        <v>45874</v>
      </c>
      <c r="B1292" s="349" t="s">
        <v>136</v>
      </c>
      <c r="C1292" s="351" t="s">
        <v>121</v>
      </c>
      <c r="D1292" s="351">
        <v>-10</v>
      </c>
      <c r="E1292" s="235" t="s">
        <v>127</v>
      </c>
    </row>
    <row r="1293" spans="1:5" x14ac:dyDescent="0.4">
      <c r="A1293" s="341">
        <v>45874</v>
      </c>
      <c r="B1293" s="349" t="s">
        <v>961</v>
      </c>
      <c r="C1293" s="351" t="s">
        <v>121</v>
      </c>
      <c r="D1293" s="351">
        <v>-5</v>
      </c>
      <c r="E1293" s="235" t="s">
        <v>127</v>
      </c>
    </row>
    <row r="1294" spans="1:5" x14ac:dyDescent="0.4">
      <c r="A1294" s="341">
        <v>45874</v>
      </c>
      <c r="B1294" s="349" t="s">
        <v>954</v>
      </c>
      <c r="C1294" s="351" t="s">
        <v>121</v>
      </c>
      <c r="D1294" s="351">
        <v>-5</v>
      </c>
      <c r="E1294" s="235" t="s">
        <v>127</v>
      </c>
    </row>
    <row r="1296" spans="1:5" x14ac:dyDescent="0.4">
      <c r="A1296" s="271">
        <v>45871</v>
      </c>
      <c r="B1296" s="94" t="s">
        <v>828</v>
      </c>
      <c r="C1296" s="351" t="s">
        <v>121</v>
      </c>
      <c r="D1296" s="43">
        <v>-24</v>
      </c>
      <c r="E1296" s="235" t="s">
        <v>127</v>
      </c>
    </row>
    <row r="1297" spans="1:5" x14ac:dyDescent="0.4">
      <c r="A1297" s="271">
        <v>45871</v>
      </c>
      <c r="B1297" s="94" t="s">
        <v>829</v>
      </c>
      <c r="C1297" s="351" t="s">
        <v>121</v>
      </c>
      <c r="D1297" s="43">
        <v>-30</v>
      </c>
      <c r="E1297" s="235" t="s">
        <v>127</v>
      </c>
    </row>
    <row r="1298" spans="1:5" x14ac:dyDescent="0.4">
      <c r="A1298" s="271">
        <v>45871</v>
      </c>
      <c r="B1298" s="94" t="s">
        <v>830</v>
      </c>
      <c r="C1298" s="351" t="s">
        <v>121</v>
      </c>
      <c r="D1298" s="43">
        <v>-13</v>
      </c>
      <c r="E1298" s="235" t="s">
        <v>127</v>
      </c>
    </row>
    <row r="1299" spans="1:5" x14ac:dyDescent="0.4">
      <c r="A1299" s="271">
        <v>45871</v>
      </c>
      <c r="B1299" s="85" t="s">
        <v>133</v>
      </c>
      <c r="C1299" s="351" t="s">
        <v>121</v>
      </c>
      <c r="D1299" s="43">
        <v>-5</v>
      </c>
      <c r="E1299" s="235" t="s">
        <v>127</v>
      </c>
    </row>
    <row r="1300" spans="1:5" x14ac:dyDescent="0.4">
      <c r="A1300" s="271">
        <v>45871</v>
      </c>
      <c r="B1300" s="94" t="s">
        <v>398</v>
      </c>
      <c r="C1300" s="351" t="s">
        <v>121</v>
      </c>
      <c r="D1300" s="43">
        <v>-2</v>
      </c>
      <c r="E1300" s="235" t="s">
        <v>127</v>
      </c>
    </row>
    <row r="1301" spans="1:5" x14ac:dyDescent="0.4">
      <c r="A1301" s="271">
        <v>45871</v>
      </c>
      <c r="B1301" s="94" t="s">
        <v>986</v>
      </c>
      <c r="C1301" s="351" t="s">
        <v>121</v>
      </c>
      <c r="D1301" s="43">
        <v>-2</v>
      </c>
      <c r="E1301" s="235" t="s">
        <v>127</v>
      </c>
    </row>
    <row r="1303" spans="1:5" x14ac:dyDescent="0.4">
      <c r="A1303" s="271">
        <v>45873</v>
      </c>
      <c r="B1303" s="349" t="s">
        <v>136</v>
      </c>
      <c r="C1303" s="43" t="s">
        <v>697</v>
      </c>
      <c r="D1303" s="43">
        <v>-1</v>
      </c>
      <c r="E1303" s="235" t="s">
        <v>127</v>
      </c>
    </row>
    <row r="1304" spans="1:5" x14ac:dyDescent="0.4">
      <c r="A1304" s="271">
        <v>45873</v>
      </c>
      <c r="B1304" s="349" t="s">
        <v>950</v>
      </c>
      <c r="C1304" s="43" t="s">
        <v>697</v>
      </c>
      <c r="D1304" s="43">
        <v>-1</v>
      </c>
      <c r="E1304" s="235" t="s">
        <v>127</v>
      </c>
    </row>
    <row r="1305" spans="1:5" x14ac:dyDescent="0.4">
      <c r="A1305" s="271">
        <v>45873</v>
      </c>
      <c r="B1305" s="349" t="s">
        <v>136</v>
      </c>
      <c r="C1305" s="43" t="s">
        <v>697</v>
      </c>
      <c r="D1305" s="43">
        <v>-2</v>
      </c>
      <c r="E1305" s="235" t="s">
        <v>127</v>
      </c>
    </row>
    <row r="1306" spans="1:5" x14ac:dyDescent="0.4">
      <c r="A1306" s="271">
        <v>45873</v>
      </c>
      <c r="B1306" s="349" t="s">
        <v>136</v>
      </c>
      <c r="C1306" s="43" t="s">
        <v>697</v>
      </c>
      <c r="D1306" s="43">
        <v>-1</v>
      </c>
      <c r="E1306" s="235" t="s">
        <v>127</v>
      </c>
    </row>
    <row r="1307" spans="1:5" x14ac:dyDescent="0.4">
      <c r="A1307" s="271">
        <v>45873</v>
      </c>
      <c r="B1307" s="349" t="s">
        <v>136</v>
      </c>
      <c r="C1307" s="43" t="s">
        <v>697</v>
      </c>
      <c r="D1307" s="43">
        <v>-1</v>
      </c>
      <c r="E1307" s="235" t="s">
        <v>127</v>
      </c>
    </row>
    <row r="1308" spans="1:5" x14ac:dyDescent="0.4">
      <c r="A1308" s="271">
        <v>45873</v>
      </c>
      <c r="B1308" s="349" t="s">
        <v>136</v>
      </c>
      <c r="C1308" s="43" t="s">
        <v>697</v>
      </c>
      <c r="D1308" s="43">
        <v>-2</v>
      </c>
      <c r="E1308" s="235" t="s">
        <v>127</v>
      </c>
    </row>
    <row r="1310" spans="1:5" x14ac:dyDescent="0.4">
      <c r="A1310" s="271">
        <v>45874</v>
      </c>
      <c r="B1310" s="349" t="s">
        <v>136</v>
      </c>
      <c r="C1310" s="43" t="s">
        <v>697</v>
      </c>
      <c r="D1310" s="43">
        <v>-1</v>
      </c>
      <c r="E1310" s="235" t="s">
        <v>127</v>
      </c>
    </row>
    <row r="1312" spans="1:5" x14ac:dyDescent="0.4">
      <c r="A1312" s="271">
        <v>45876</v>
      </c>
      <c r="B1312" s="349" t="s">
        <v>136</v>
      </c>
      <c r="C1312" s="43" t="s">
        <v>697</v>
      </c>
      <c r="D1312" s="43">
        <v>-1</v>
      </c>
      <c r="E1312" s="235" t="s">
        <v>127</v>
      </c>
    </row>
    <row r="1314" spans="1:6" x14ac:dyDescent="0.4">
      <c r="A1314" s="352">
        <v>45873</v>
      </c>
      <c r="B1314" s="355" t="s">
        <v>997</v>
      </c>
      <c r="C1314" s="354" t="s">
        <v>943</v>
      </c>
      <c r="D1314" s="354">
        <v>1</v>
      </c>
      <c r="E1314" s="368" t="s">
        <v>127</v>
      </c>
      <c r="F1314" t="s">
        <v>1000</v>
      </c>
    </row>
    <row r="1315" spans="1:6" x14ac:dyDescent="0.4">
      <c r="A1315" s="352">
        <v>45873</v>
      </c>
      <c r="B1315" s="353" t="s">
        <v>948</v>
      </c>
      <c r="C1315" s="354" t="s">
        <v>943</v>
      </c>
      <c r="D1315" s="354">
        <v>3</v>
      </c>
      <c r="E1315" s="368" t="s">
        <v>127</v>
      </c>
    </row>
    <row r="1316" spans="1:6" x14ac:dyDescent="0.4">
      <c r="A1316" s="352">
        <v>45873</v>
      </c>
      <c r="B1316" s="355" t="s">
        <v>171</v>
      </c>
      <c r="C1316" s="354" t="s">
        <v>943</v>
      </c>
      <c r="D1316" s="354">
        <v>3</v>
      </c>
      <c r="E1316" s="368" t="s">
        <v>127</v>
      </c>
    </row>
    <row r="1317" spans="1:6" x14ac:dyDescent="0.4">
      <c r="A1317" s="352">
        <v>45873</v>
      </c>
      <c r="B1317" s="355" t="s">
        <v>998</v>
      </c>
      <c r="C1317" s="354" t="s">
        <v>943</v>
      </c>
      <c r="D1317" s="354">
        <v>1</v>
      </c>
      <c r="E1317" s="368" t="s">
        <v>127</v>
      </c>
    </row>
    <row r="1318" spans="1:6" x14ac:dyDescent="0.4">
      <c r="A1318" s="352">
        <v>45873</v>
      </c>
      <c r="B1318" s="355" t="s">
        <v>136</v>
      </c>
      <c r="C1318" s="354" t="s">
        <v>943</v>
      </c>
      <c r="D1318" s="354">
        <v>22</v>
      </c>
      <c r="E1318" s="368" t="s">
        <v>127</v>
      </c>
    </row>
    <row r="1319" spans="1:6" x14ac:dyDescent="0.4">
      <c r="A1319" s="352">
        <v>45873</v>
      </c>
      <c r="B1319" s="355" t="s">
        <v>169</v>
      </c>
      <c r="C1319" s="354" t="s">
        <v>943</v>
      </c>
      <c r="D1319" s="354">
        <v>6</v>
      </c>
      <c r="E1319" s="368" t="s">
        <v>127</v>
      </c>
    </row>
    <row r="1320" spans="1:6" x14ac:dyDescent="0.4">
      <c r="A1320" s="352">
        <v>45873</v>
      </c>
      <c r="B1320" s="355" t="s">
        <v>168</v>
      </c>
      <c r="C1320" s="354" t="s">
        <v>943</v>
      </c>
      <c r="D1320" s="354">
        <v>1</v>
      </c>
      <c r="E1320" s="368" t="s">
        <v>127</v>
      </c>
    </row>
    <row r="1321" spans="1:6" x14ac:dyDescent="0.4">
      <c r="A1321" s="352">
        <v>45873</v>
      </c>
      <c r="B1321" s="355" t="s">
        <v>171</v>
      </c>
      <c r="C1321" s="354" t="s">
        <v>943</v>
      </c>
      <c r="D1321" s="354">
        <v>2</v>
      </c>
      <c r="E1321" s="368" t="s">
        <v>127</v>
      </c>
    </row>
    <row r="1322" spans="1:6" x14ac:dyDescent="0.4">
      <c r="A1322" s="352">
        <v>45873</v>
      </c>
      <c r="B1322" s="355" t="s">
        <v>942</v>
      </c>
      <c r="C1322" s="354" t="s">
        <v>943</v>
      </c>
      <c r="D1322" s="354">
        <v>10</v>
      </c>
      <c r="E1322" s="368" t="s">
        <v>127</v>
      </c>
    </row>
    <row r="1323" spans="1:6" x14ac:dyDescent="0.4">
      <c r="A1323" s="352">
        <v>45873</v>
      </c>
      <c r="B1323" s="357" t="s">
        <v>954</v>
      </c>
      <c r="C1323" s="354" t="s">
        <v>943</v>
      </c>
      <c r="D1323" s="354">
        <v>4</v>
      </c>
      <c r="E1323" s="368" t="s">
        <v>127</v>
      </c>
    </row>
    <row r="1324" spans="1:6" x14ac:dyDescent="0.4">
      <c r="A1324" s="352">
        <v>45873</v>
      </c>
      <c r="B1324" s="355" t="s">
        <v>961</v>
      </c>
      <c r="C1324" s="354" t="s">
        <v>943</v>
      </c>
      <c r="D1324" s="354">
        <v>1</v>
      </c>
      <c r="E1324" s="368" t="s">
        <v>127</v>
      </c>
    </row>
    <row r="1325" spans="1:6" x14ac:dyDescent="0.4">
      <c r="A1325" s="352">
        <v>45873</v>
      </c>
      <c r="B1325" s="355" t="s">
        <v>999</v>
      </c>
      <c r="C1325" s="354" t="s">
        <v>943</v>
      </c>
      <c r="D1325" s="354">
        <v>1</v>
      </c>
      <c r="E1325" s="368" t="s">
        <v>127</v>
      </c>
    </row>
    <row r="1326" spans="1:6" x14ac:dyDescent="0.4">
      <c r="A1326" s="369"/>
      <c r="B1326" s="370"/>
      <c r="C1326" s="369"/>
      <c r="D1326" s="369"/>
      <c r="E1326" s="371"/>
    </row>
    <row r="1327" spans="1:6" x14ac:dyDescent="0.4">
      <c r="A1327" s="341">
        <v>45875</v>
      </c>
      <c r="B1327" s="349" t="s">
        <v>136</v>
      </c>
      <c r="C1327" s="351" t="s">
        <v>121</v>
      </c>
      <c r="D1327" s="351">
        <v>-14</v>
      </c>
      <c r="E1327" s="235" t="s">
        <v>127</v>
      </c>
    </row>
    <row r="1328" spans="1:6" x14ac:dyDescent="0.4">
      <c r="A1328" s="341">
        <v>45875</v>
      </c>
      <c r="B1328" s="349" t="s">
        <v>962</v>
      </c>
      <c r="C1328" s="351" t="s">
        <v>121</v>
      </c>
      <c r="D1328" s="351">
        <v>-4</v>
      </c>
      <c r="E1328" s="235" t="s">
        <v>127</v>
      </c>
    </row>
    <row r="1329" spans="1:5" x14ac:dyDescent="0.4">
      <c r="A1329" s="341">
        <v>45875</v>
      </c>
      <c r="B1329" s="349" t="s">
        <v>169</v>
      </c>
      <c r="C1329" s="351" t="s">
        <v>121</v>
      </c>
      <c r="D1329" s="351">
        <v>-6</v>
      </c>
      <c r="E1329" s="235" t="s">
        <v>127</v>
      </c>
    </row>
    <row r="1330" spans="1:5" x14ac:dyDescent="0.4">
      <c r="A1330" s="341">
        <v>45875</v>
      </c>
      <c r="B1330" s="349" t="s">
        <v>168</v>
      </c>
      <c r="C1330" s="351" t="s">
        <v>121</v>
      </c>
      <c r="D1330" s="351">
        <v>-4</v>
      </c>
      <c r="E1330" s="235" t="s">
        <v>127</v>
      </c>
    </row>
    <row r="1331" spans="1:5" x14ac:dyDescent="0.4">
      <c r="A1331" s="341">
        <v>45875</v>
      </c>
      <c r="B1331" s="349" t="s">
        <v>999</v>
      </c>
      <c r="C1331" s="351" t="s">
        <v>121</v>
      </c>
      <c r="D1331" s="351">
        <v>-1</v>
      </c>
      <c r="E1331" s="235" t="s">
        <v>127</v>
      </c>
    </row>
    <row r="1333" spans="1:5" x14ac:dyDescent="0.4">
      <c r="A1333" s="341">
        <v>45875</v>
      </c>
      <c r="B1333" s="349" t="s">
        <v>136</v>
      </c>
      <c r="C1333" s="351" t="s">
        <v>121</v>
      </c>
      <c r="D1333" s="43">
        <v>-7</v>
      </c>
      <c r="E1333" s="235" t="s">
        <v>127</v>
      </c>
    </row>
    <row r="1334" spans="1:5" x14ac:dyDescent="0.4">
      <c r="A1334" s="341">
        <v>45875</v>
      </c>
      <c r="B1334" s="349" t="s">
        <v>950</v>
      </c>
      <c r="C1334" s="351" t="s">
        <v>121</v>
      </c>
      <c r="D1334" s="43">
        <v>-4</v>
      </c>
      <c r="E1334" s="235" t="s">
        <v>127</v>
      </c>
    </row>
    <row r="1335" spans="1:5" x14ac:dyDescent="0.4">
      <c r="A1335" s="341">
        <v>45875</v>
      </c>
      <c r="B1335" s="93" t="s">
        <v>691</v>
      </c>
      <c r="C1335" s="351" t="s">
        <v>121</v>
      </c>
      <c r="D1335" s="43">
        <v>-2</v>
      </c>
      <c r="E1335" s="235" t="s">
        <v>127</v>
      </c>
    </row>
    <row r="1336" spans="1:5" x14ac:dyDescent="0.4">
      <c r="B1336" s="154"/>
      <c r="C1336" s="372"/>
    </row>
    <row r="1337" spans="1:5" x14ac:dyDescent="0.4">
      <c r="A1337" s="271">
        <v>45876</v>
      </c>
      <c r="B1337" s="93" t="s">
        <v>681</v>
      </c>
      <c r="C1337" s="351" t="s">
        <v>121</v>
      </c>
      <c r="D1337" s="43">
        <v>-10</v>
      </c>
      <c r="E1337" s="235" t="s">
        <v>127</v>
      </c>
    </row>
    <row r="1338" spans="1:5" x14ac:dyDescent="0.4">
      <c r="A1338" s="271">
        <v>45876</v>
      </c>
      <c r="B1338" s="93" t="s">
        <v>691</v>
      </c>
      <c r="C1338" s="351" t="s">
        <v>121</v>
      </c>
      <c r="D1338" s="43">
        <v>-2</v>
      </c>
      <c r="E1338" s="235" t="s">
        <v>127</v>
      </c>
    </row>
    <row r="1340" spans="1:5" x14ac:dyDescent="0.4">
      <c r="A1340" s="329">
        <v>45874</v>
      </c>
      <c r="B1340" s="331" t="s">
        <v>828</v>
      </c>
      <c r="C1340" s="328" t="s">
        <v>701</v>
      </c>
      <c r="D1340" s="328">
        <v>14</v>
      </c>
      <c r="E1340" s="327" t="s">
        <v>127</v>
      </c>
    </row>
    <row r="1341" spans="1:5" x14ac:dyDescent="0.4">
      <c r="A1341" s="329">
        <v>45874</v>
      </c>
      <c r="B1341" s="331" t="s">
        <v>829</v>
      </c>
      <c r="C1341" s="328" t="s">
        <v>701</v>
      </c>
      <c r="D1341" s="328">
        <v>21</v>
      </c>
      <c r="E1341" s="327" t="s">
        <v>127</v>
      </c>
    </row>
    <row r="1342" spans="1:5" x14ac:dyDescent="0.4">
      <c r="A1342" s="329">
        <v>45874</v>
      </c>
      <c r="B1342" s="331" t="s">
        <v>830</v>
      </c>
      <c r="C1342" s="328" t="s">
        <v>701</v>
      </c>
      <c r="D1342" s="328">
        <v>18</v>
      </c>
      <c r="E1342" s="327" t="s">
        <v>127</v>
      </c>
    </row>
    <row r="1343" spans="1:5" x14ac:dyDescent="0.4">
      <c r="A1343" s="329">
        <v>45874</v>
      </c>
      <c r="B1343" s="330" t="s">
        <v>133</v>
      </c>
      <c r="C1343" s="328" t="s">
        <v>701</v>
      </c>
      <c r="D1343" s="328">
        <v>14</v>
      </c>
      <c r="E1343" s="327" t="s">
        <v>127</v>
      </c>
    </row>
    <row r="1344" spans="1:5" x14ac:dyDescent="0.4">
      <c r="A1344" s="329">
        <v>45874</v>
      </c>
      <c r="B1344" s="331" t="s">
        <v>986</v>
      </c>
      <c r="C1344" s="328" t="s">
        <v>701</v>
      </c>
      <c r="D1344" s="328">
        <v>6</v>
      </c>
      <c r="E1344" s="327" t="s">
        <v>127</v>
      </c>
    </row>
    <row r="1345" spans="1:5" x14ac:dyDescent="0.4">
      <c r="A1345" s="329">
        <v>45874</v>
      </c>
      <c r="B1345" s="331" t="s">
        <v>1001</v>
      </c>
      <c r="C1345" s="328" t="s">
        <v>701</v>
      </c>
      <c r="D1345" s="328">
        <v>5</v>
      </c>
      <c r="E1345" s="327" t="s">
        <v>127</v>
      </c>
    </row>
    <row r="1346" spans="1:5" x14ac:dyDescent="0.4">
      <c r="A1346" s="329">
        <v>45874</v>
      </c>
      <c r="B1346" s="330" t="s">
        <v>941</v>
      </c>
      <c r="C1346" s="328" t="s">
        <v>701</v>
      </c>
      <c r="D1346" s="328">
        <v>3</v>
      </c>
      <c r="E1346" s="327" t="s">
        <v>127</v>
      </c>
    </row>
    <row r="1347" spans="1:5" x14ac:dyDescent="0.4">
      <c r="A1347" s="329">
        <v>45874</v>
      </c>
      <c r="B1347" s="331" t="s">
        <v>1002</v>
      </c>
      <c r="C1347" s="328" t="s">
        <v>701</v>
      </c>
      <c r="D1347" s="328">
        <v>1</v>
      </c>
      <c r="E1347" s="327" t="s">
        <v>127</v>
      </c>
    </row>
    <row r="1348" spans="1:5" x14ac:dyDescent="0.4">
      <c r="A1348" s="329">
        <v>45874</v>
      </c>
      <c r="B1348" s="331" t="s">
        <v>1003</v>
      </c>
      <c r="C1348" s="328" t="s">
        <v>701</v>
      </c>
      <c r="D1348" s="328">
        <v>1</v>
      </c>
      <c r="E1348" s="327" t="s">
        <v>127</v>
      </c>
    </row>
    <row r="1350" spans="1:5" x14ac:dyDescent="0.4">
      <c r="A1350" s="341">
        <v>45874</v>
      </c>
      <c r="B1350" s="349" t="s">
        <v>830</v>
      </c>
      <c r="C1350" s="351" t="s">
        <v>121</v>
      </c>
      <c r="D1350" s="351">
        <v>-18</v>
      </c>
      <c r="E1350" s="235" t="s">
        <v>127</v>
      </c>
    </row>
    <row r="1351" spans="1:5" x14ac:dyDescent="0.4">
      <c r="A1351" s="341">
        <v>45874</v>
      </c>
      <c r="B1351" s="349" t="s">
        <v>828</v>
      </c>
      <c r="C1351" s="351" t="s">
        <v>121</v>
      </c>
      <c r="D1351" s="351">
        <v>-10</v>
      </c>
      <c r="E1351" s="235" t="s">
        <v>127</v>
      </c>
    </row>
    <row r="1352" spans="1:5" x14ac:dyDescent="0.4">
      <c r="A1352" s="341">
        <v>45874</v>
      </c>
      <c r="B1352" s="349" t="s">
        <v>829</v>
      </c>
      <c r="C1352" s="351" t="s">
        <v>121</v>
      </c>
      <c r="D1352" s="351">
        <v>-21</v>
      </c>
      <c r="E1352" s="235" t="s">
        <v>127</v>
      </c>
    </row>
    <row r="1353" spans="1:5" x14ac:dyDescent="0.4">
      <c r="A1353" s="341">
        <v>45874</v>
      </c>
      <c r="B1353" s="348" t="s">
        <v>133</v>
      </c>
      <c r="C1353" s="351" t="s">
        <v>121</v>
      </c>
      <c r="D1353" s="351">
        <v>-13</v>
      </c>
      <c r="E1353" s="235" t="s">
        <v>127</v>
      </c>
    </row>
    <row r="1354" spans="1:5" x14ac:dyDescent="0.4">
      <c r="A1354" s="341">
        <v>45874</v>
      </c>
      <c r="B1354" s="349" t="s">
        <v>1001</v>
      </c>
      <c r="C1354" s="351" t="s">
        <v>121</v>
      </c>
      <c r="D1354" s="351">
        <v>-2</v>
      </c>
      <c r="E1354" s="235" t="s">
        <v>127</v>
      </c>
    </row>
    <row r="1356" spans="1:5" x14ac:dyDescent="0.4">
      <c r="A1356" s="271">
        <v>45876</v>
      </c>
      <c r="B1356" s="94" t="s">
        <v>76</v>
      </c>
      <c r="C1356" s="43" t="s">
        <v>121</v>
      </c>
      <c r="D1356" s="43">
        <v>-3</v>
      </c>
      <c r="E1356" s="18" t="s">
        <v>127</v>
      </c>
    </row>
    <row r="1358" spans="1:5" x14ac:dyDescent="0.4">
      <c r="A1358" s="341">
        <v>45873</v>
      </c>
      <c r="B1358" s="348" t="s">
        <v>941</v>
      </c>
      <c r="C1358" s="351" t="s">
        <v>121</v>
      </c>
      <c r="D1358" s="351">
        <v>-3</v>
      </c>
      <c r="E1358" s="235" t="s">
        <v>127</v>
      </c>
    </row>
    <row r="1359" spans="1:5" x14ac:dyDescent="0.4">
      <c r="A1359" s="341">
        <v>45873</v>
      </c>
      <c r="B1359" s="349" t="s">
        <v>942</v>
      </c>
      <c r="C1359" s="351" t="s">
        <v>121</v>
      </c>
      <c r="D1359" s="351">
        <v>-1</v>
      </c>
      <c r="E1359" s="235" t="s">
        <v>127</v>
      </c>
    </row>
    <row r="1361" spans="1:5" x14ac:dyDescent="0.4">
      <c r="A1361" s="329">
        <v>45874</v>
      </c>
      <c r="B1361" s="331" t="s">
        <v>136</v>
      </c>
      <c r="C1361" s="328" t="s">
        <v>701</v>
      </c>
      <c r="D1361" s="328">
        <v>4</v>
      </c>
      <c r="E1361" s="327" t="s">
        <v>127</v>
      </c>
    </row>
    <row r="1362" spans="1:5" x14ac:dyDescent="0.4">
      <c r="A1362" s="329">
        <v>45874</v>
      </c>
      <c r="B1362" s="331" t="s">
        <v>169</v>
      </c>
      <c r="C1362" s="328" t="s">
        <v>701</v>
      </c>
      <c r="D1362" s="328">
        <v>2</v>
      </c>
      <c r="E1362" s="327" t="s">
        <v>127</v>
      </c>
    </row>
    <row r="1363" spans="1:5" x14ac:dyDescent="0.4">
      <c r="A1363" s="329">
        <v>45874</v>
      </c>
      <c r="B1363" s="331" t="s">
        <v>168</v>
      </c>
      <c r="C1363" s="328" t="s">
        <v>701</v>
      </c>
      <c r="D1363" s="328">
        <v>2</v>
      </c>
      <c r="E1363" s="327" t="s">
        <v>127</v>
      </c>
    </row>
    <row r="1365" spans="1:5" x14ac:dyDescent="0.4">
      <c r="A1365" s="271">
        <v>45877</v>
      </c>
      <c r="B1365" s="93" t="s">
        <v>681</v>
      </c>
      <c r="C1365" s="351" t="s">
        <v>121</v>
      </c>
      <c r="D1365" s="43">
        <v>-15</v>
      </c>
      <c r="E1365" s="235" t="s">
        <v>127</v>
      </c>
    </row>
    <row r="1366" spans="1:5" x14ac:dyDescent="0.4">
      <c r="A1366" s="271">
        <v>45877</v>
      </c>
      <c r="B1366" s="93" t="s">
        <v>691</v>
      </c>
      <c r="C1366" s="351" t="s">
        <v>121</v>
      </c>
      <c r="D1366" s="43">
        <v>-1</v>
      </c>
      <c r="E1366" s="235" t="s">
        <v>127</v>
      </c>
    </row>
    <row r="1368" spans="1:5" x14ac:dyDescent="0.4">
      <c r="A1368" s="271">
        <v>45878</v>
      </c>
      <c r="B1368" s="93" t="s">
        <v>681</v>
      </c>
      <c r="C1368" s="351" t="s">
        <v>121</v>
      </c>
      <c r="D1368" s="43">
        <v>-5</v>
      </c>
      <c r="E1368" s="235" t="s">
        <v>127</v>
      </c>
    </row>
    <row r="1369" spans="1:5" x14ac:dyDescent="0.4">
      <c r="A1369" s="271">
        <v>45878</v>
      </c>
      <c r="B1369" s="85" t="s">
        <v>513</v>
      </c>
      <c r="C1369" s="351" t="s">
        <v>121</v>
      </c>
      <c r="D1369" s="43">
        <v>-1</v>
      </c>
      <c r="E1369" s="235" t="s">
        <v>127</v>
      </c>
    </row>
    <row r="1371" spans="1:5" x14ac:dyDescent="0.4">
      <c r="A1371" s="271">
        <v>45880</v>
      </c>
      <c r="B1371" s="94" t="s">
        <v>76</v>
      </c>
      <c r="C1371" s="43" t="s">
        <v>121</v>
      </c>
      <c r="D1371" s="43">
        <v>-6</v>
      </c>
      <c r="E1371" s="235" t="s">
        <v>127</v>
      </c>
    </row>
    <row r="1372" spans="1:5" x14ac:dyDescent="0.4">
      <c r="A1372" s="271">
        <v>45880</v>
      </c>
      <c r="B1372" s="349" t="s">
        <v>828</v>
      </c>
      <c r="C1372" s="351" t="s">
        <v>121</v>
      </c>
      <c r="D1372" s="43">
        <v>-4</v>
      </c>
      <c r="E1372" s="235" t="s">
        <v>127</v>
      </c>
    </row>
    <row r="1373" spans="1:5" x14ac:dyDescent="0.4">
      <c r="A1373" s="271">
        <v>45880</v>
      </c>
      <c r="B1373" s="349" t="s">
        <v>1001</v>
      </c>
      <c r="C1373" s="351" t="s">
        <v>121</v>
      </c>
      <c r="D1373" s="43">
        <v>-3</v>
      </c>
      <c r="E1373" s="235" t="s">
        <v>127</v>
      </c>
    </row>
    <row r="1374" spans="1:5" x14ac:dyDescent="0.4">
      <c r="A1374" s="271">
        <v>45880</v>
      </c>
      <c r="B1374" s="348" t="s">
        <v>133</v>
      </c>
      <c r="C1374" s="351" t="s">
        <v>121</v>
      </c>
      <c r="D1374" s="43">
        <v>-1</v>
      </c>
      <c r="E1374" s="235" t="s">
        <v>127</v>
      </c>
    </row>
    <row r="1376" spans="1:5" x14ac:dyDescent="0.4">
      <c r="A1376" s="278">
        <v>45871</v>
      </c>
      <c r="B1376" s="139" t="s">
        <v>830</v>
      </c>
      <c r="C1376" s="105" t="s">
        <v>49</v>
      </c>
      <c r="D1376" s="105">
        <v>4</v>
      </c>
      <c r="E1376" s="95" t="s">
        <v>127</v>
      </c>
    </row>
    <row r="1377" spans="1:5" x14ac:dyDescent="0.4">
      <c r="A1377" s="278">
        <v>45871</v>
      </c>
      <c r="B1377" s="139" t="s">
        <v>690</v>
      </c>
      <c r="C1377" s="105" t="s">
        <v>49</v>
      </c>
      <c r="D1377" s="105">
        <v>2</v>
      </c>
      <c r="E1377" s="95" t="s">
        <v>127</v>
      </c>
    </row>
    <row r="1378" spans="1:5" x14ac:dyDescent="0.4">
      <c r="A1378" s="278">
        <v>45871</v>
      </c>
      <c r="B1378" s="139" t="s">
        <v>829</v>
      </c>
      <c r="C1378" s="105" t="s">
        <v>49</v>
      </c>
      <c r="D1378" s="105">
        <v>2</v>
      </c>
      <c r="E1378" s="95" t="s">
        <v>127</v>
      </c>
    </row>
    <row r="1379" spans="1:5" x14ac:dyDescent="0.4">
      <c r="A1379" s="278">
        <v>45871</v>
      </c>
      <c r="B1379" s="139" t="s">
        <v>830</v>
      </c>
      <c r="C1379" s="105" t="s">
        <v>49</v>
      </c>
      <c r="D1379" s="105">
        <v>2</v>
      </c>
      <c r="E1379" s="95" t="s">
        <v>127</v>
      </c>
    </row>
    <row r="1380" spans="1:5" x14ac:dyDescent="0.4">
      <c r="A1380" s="278">
        <v>45871</v>
      </c>
      <c r="B1380" s="139" t="s">
        <v>830</v>
      </c>
      <c r="C1380" s="105" t="s">
        <v>49</v>
      </c>
      <c r="D1380" s="105">
        <v>2</v>
      </c>
      <c r="E1380" s="95" t="s">
        <v>127</v>
      </c>
    </row>
    <row r="1381" spans="1:5" x14ac:dyDescent="0.4">
      <c r="A1381" s="278">
        <v>45871</v>
      </c>
      <c r="B1381" s="139" t="s">
        <v>497</v>
      </c>
      <c r="C1381" s="105" t="s">
        <v>49</v>
      </c>
      <c r="D1381" s="105">
        <v>19</v>
      </c>
      <c r="E1381" s="95" t="s">
        <v>127</v>
      </c>
    </row>
    <row r="1382" spans="1:5" x14ac:dyDescent="0.4">
      <c r="A1382" s="278">
        <v>45871</v>
      </c>
      <c r="B1382" s="139" t="s">
        <v>303</v>
      </c>
      <c r="C1382" s="105" t="s">
        <v>49</v>
      </c>
      <c r="D1382" s="105">
        <v>6</v>
      </c>
      <c r="E1382" s="95" t="s">
        <v>127</v>
      </c>
    </row>
    <row r="1384" spans="1:5" x14ac:dyDescent="0.4">
      <c r="A1384" s="292">
        <v>45871</v>
      </c>
      <c r="B1384" s="293" t="s">
        <v>690</v>
      </c>
      <c r="C1384" s="294" t="s">
        <v>49</v>
      </c>
      <c r="D1384" s="294">
        <v>10</v>
      </c>
      <c r="E1384" s="337" t="s">
        <v>127</v>
      </c>
    </row>
    <row r="1385" spans="1:5" x14ac:dyDescent="0.4">
      <c r="A1385" s="292">
        <v>45871</v>
      </c>
      <c r="B1385" s="293" t="s">
        <v>690</v>
      </c>
      <c r="C1385" s="294" t="s">
        <v>49</v>
      </c>
      <c r="D1385" s="294">
        <v>10</v>
      </c>
      <c r="E1385" s="337" t="s">
        <v>127</v>
      </c>
    </row>
    <row r="1387" spans="1:5" x14ac:dyDescent="0.4">
      <c r="A1387" s="278">
        <v>45880</v>
      </c>
      <c r="B1387" s="139" t="s">
        <v>123</v>
      </c>
      <c r="C1387" s="105" t="s">
        <v>49</v>
      </c>
      <c r="D1387" s="105">
        <v>3</v>
      </c>
      <c r="E1387" s="95" t="s">
        <v>127</v>
      </c>
    </row>
    <row r="1388" spans="1:5" x14ac:dyDescent="0.4">
      <c r="A1388" s="278">
        <v>45880</v>
      </c>
      <c r="B1388" s="139" t="s">
        <v>76</v>
      </c>
      <c r="C1388" s="105" t="s">
        <v>49</v>
      </c>
      <c r="D1388" s="105">
        <v>11</v>
      </c>
      <c r="E1388" s="95" t="s">
        <v>127</v>
      </c>
    </row>
    <row r="1389" spans="1:5" x14ac:dyDescent="0.4">
      <c r="A1389" s="278">
        <v>45880</v>
      </c>
      <c r="B1389" s="139" t="s">
        <v>76</v>
      </c>
      <c r="C1389" s="105" t="s">
        <v>49</v>
      </c>
      <c r="D1389" s="105">
        <v>30</v>
      </c>
      <c r="E1389" s="95" t="s">
        <v>127</v>
      </c>
    </row>
    <row r="1391" spans="1:5" x14ac:dyDescent="0.4">
      <c r="A1391" s="336">
        <v>45880</v>
      </c>
      <c r="B1391" s="335" t="s">
        <v>123</v>
      </c>
      <c r="C1391" s="334" t="s">
        <v>49</v>
      </c>
      <c r="D1391" s="334">
        <v>50</v>
      </c>
      <c r="E1391" s="337" t="s">
        <v>127</v>
      </c>
    </row>
    <row r="1392" spans="1:5" x14ac:dyDescent="0.4">
      <c r="A1392" s="336">
        <v>45880</v>
      </c>
      <c r="B1392" s="335" t="s">
        <v>861</v>
      </c>
      <c r="C1392" s="334" t="s">
        <v>49</v>
      </c>
      <c r="D1392" s="334">
        <v>4</v>
      </c>
      <c r="E1392" s="337" t="s">
        <v>127</v>
      </c>
    </row>
    <row r="1393" spans="1:6" x14ac:dyDescent="0.4">
      <c r="A1393" s="336">
        <v>45880</v>
      </c>
      <c r="B1393" s="335" t="s">
        <v>76</v>
      </c>
      <c r="C1393" s="334" t="s">
        <v>49</v>
      </c>
      <c r="D1393" s="334">
        <v>111</v>
      </c>
      <c r="E1393" s="337" t="s">
        <v>127</v>
      </c>
    </row>
    <row r="1395" spans="1:6" x14ac:dyDescent="0.4">
      <c r="A1395" s="279">
        <v>45880</v>
      </c>
      <c r="B1395" s="307" t="s">
        <v>78</v>
      </c>
      <c r="C1395" s="240" t="s">
        <v>1061</v>
      </c>
      <c r="D1395" s="242">
        <v>30</v>
      </c>
      <c r="E1395" s="222" t="s">
        <v>127</v>
      </c>
    </row>
    <row r="1397" spans="1:6" x14ac:dyDescent="0.4">
      <c r="A1397" s="341">
        <v>45880</v>
      </c>
      <c r="B1397" s="349" t="s">
        <v>988</v>
      </c>
      <c r="C1397" s="351" t="s">
        <v>121</v>
      </c>
      <c r="D1397" s="351">
        <v>-14</v>
      </c>
      <c r="E1397" s="235" t="s">
        <v>127</v>
      </c>
    </row>
    <row r="1398" spans="1:6" x14ac:dyDescent="0.4">
      <c r="A1398" s="341">
        <v>45880</v>
      </c>
      <c r="B1398" s="347" t="s">
        <v>653</v>
      </c>
      <c r="C1398" s="351" t="s">
        <v>121</v>
      </c>
      <c r="D1398" s="351">
        <v>0</v>
      </c>
      <c r="E1398" s="235" t="s">
        <v>127</v>
      </c>
      <c r="F1398" s="451" t="s">
        <v>1207</v>
      </c>
    </row>
    <row r="1399" spans="1:6" x14ac:dyDescent="0.4">
      <c r="A1399" s="341">
        <v>45880</v>
      </c>
      <c r="B1399" s="347" t="s">
        <v>82</v>
      </c>
      <c r="C1399" s="351" t="s">
        <v>121</v>
      </c>
      <c r="D1399" s="351">
        <v>0</v>
      </c>
      <c r="E1399" s="235" t="s">
        <v>127</v>
      </c>
      <c r="F1399" s="451" t="s">
        <v>1207</v>
      </c>
    </row>
    <row r="1400" spans="1:6" x14ac:dyDescent="0.4">
      <c r="A1400" s="341">
        <v>45880</v>
      </c>
      <c r="B1400" s="349" t="s">
        <v>156</v>
      </c>
      <c r="C1400" s="351" t="s">
        <v>121</v>
      </c>
      <c r="D1400" s="351">
        <v>0</v>
      </c>
      <c r="E1400" s="235" t="s">
        <v>127</v>
      </c>
      <c r="F1400" s="451" t="s">
        <v>1207</v>
      </c>
    </row>
    <row r="1401" spans="1:6" x14ac:dyDescent="0.4">
      <c r="A1401" s="341">
        <v>45880</v>
      </c>
      <c r="B1401" s="349" t="s">
        <v>303</v>
      </c>
      <c r="C1401" s="351" t="s">
        <v>121</v>
      </c>
      <c r="D1401" s="351">
        <v>-6</v>
      </c>
      <c r="E1401" s="235" t="s">
        <v>127</v>
      </c>
    </row>
    <row r="1402" spans="1:6" x14ac:dyDescent="0.4">
      <c r="A1402" s="341">
        <v>45880</v>
      </c>
      <c r="B1402" s="349" t="s">
        <v>497</v>
      </c>
      <c r="C1402" s="351" t="s">
        <v>121</v>
      </c>
      <c r="D1402" s="351">
        <v>-19</v>
      </c>
      <c r="E1402" s="235" t="s">
        <v>127</v>
      </c>
    </row>
    <row r="1403" spans="1:6" x14ac:dyDescent="0.4">
      <c r="A1403" s="341">
        <v>45880</v>
      </c>
      <c r="B1403" s="348" t="s">
        <v>492</v>
      </c>
      <c r="C1403" s="351" t="s">
        <v>121</v>
      </c>
      <c r="D1403" s="351">
        <v>-7</v>
      </c>
      <c r="E1403" s="235" t="s">
        <v>127</v>
      </c>
    </row>
    <row r="1404" spans="1:6" x14ac:dyDescent="0.4">
      <c r="A1404" s="341">
        <v>45880</v>
      </c>
      <c r="B1404" s="349" t="s">
        <v>865</v>
      </c>
      <c r="C1404" s="351" t="s">
        <v>121</v>
      </c>
      <c r="D1404" s="351">
        <v>0</v>
      </c>
      <c r="E1404" s="235" t="s">
        <v>127</v>
      </c>
      <c r="F1404" s="451" t="s">
        <v>1207</v>
      </c>
    </row>
    <row r="1406" spans="1:6" x14ac:dyDescent="0.4">
      <c r="A1406" s="341">
        <v>45880</v>
      </c>
      <c r="B1406" s="85" t="s">
        <v>903</v>
      </c>
      <c r="C1406" s="351" t="s">
        <v>121</v>
      </c>
      <c r="D1406" s="43">
        <v>-1</v>
      </c>
      <c r="E1406" s="235" t="s">
        <v>127</v>
      </c>
    </row>
    <row r="1407" spans="1:6" x14ac:dyDescent="0.4">
      <c r="A1407" s="341">
        <v>45880</v>
      </c>
      <c r="B1407" s="93" t="s">
        <v>904</v>
      </c>
      <c r="C1407" s="351" t="s">
        <v>121</v>
      </c>
      <c r="D1407" s="43">
        <v>-2</v>
      </c>
      <c r="E1407" s="235" t="s">
        <v>127</v>
      </c>
    </row>
    <row r="1408" spans="1:6" x14ac:dyDescent="0.4">
      <c r="A1408" s="341">
        <v>45880</v>
      </c>
      <c r="B1408" s="349" t="s">
        <v>136</v>
      </c>
      <c r="C1408" s="43" t="s">
        <v>697</v>
      </c>
      <c r="D1408" s="43">
        <v>-1</v>
      </c>
      <c r="E1408" s="235" t="s">
        <v>127</v>
      </c>
    </row>
    <row r="1410" spans="1:6" x14ac:dyDescent="0.4">
      <c r="A1410" s="271">
        <v>45881</v>
      </c>
      <c r="B1410" s="349" t="s">
        <v>136</v>
      </c>
      <c r="C1410" s="43" t="s">
        <v>1064</v>
      </c>
      <c r="D1410" s="43">
        <v>1</v>
      </c>
      <c r="E1410" s="496" t="s">
        <v>1065</v>
      </c>
      <c r="F1410" s="496"/>
    </row>
    <row r="1412" spans="1:6" x14ac:dyDescent="0.4">
      <c r="A1412" s="352">
        <v>45881</v>
      </c>
      <c r="B1412" s="355" t="s">
        <v>136</v>
      </c>
      <c r="C1412" s="354" t="s">
        <v>1101</v>
      </c>
      <c r="D1412" s="354">
        <v>9</v>
      </c>
      <c r="E1412" s="368" t="s">
        <v>127</v>
      </c>
    </row>
    <row r="1413" spans="1:6" x14ac:dyDescent="0.4">
      <c r="A1413" s="352">
        <v>45881</v>
      </c>
      <c r="B1413" s="355" t="s">
        <v>942</v>
      </c>
      <c r="C1413" s="354" t="s">
        <v>1101</v>
      </c>
      <c r="D1413" s="354">
        <v>4</v>
      </c>
      <c r="E1413" s="368" t="s">
        <v>127</v>
      </c>
    </row>
    <row r="1414" spans="1:6" x14ac:dyDescent="0.4">
      <c r="A1414" s="352">
        <v>45881</v>
      </c>
      <c r="B1414" s="355" t="s">
        <v>950</v>
      </c>
      <c r="C1414" s="354" t="s">
        <v>1101</v>
      </c>
      <c r="D1414" s="354">
        <v>1</v>
      </c>
      <c r="E1414" s="368" t="s">
        <v>127</v>
      </c>
    </row>
    <row r="1415" spans="1:6" x14ac:dyDescent="0.4">
      <c r="A1415" s="352">
        <v>45881</v>
      </c>
      <c r="B1415" s="353" t="s">
        <v>941</v>
      </c>
      <c r="C1415" s="354" t="s">
        <v>1101</v>
      </c>
      <c r="D1415" s="406">
        <v>1</v>
      </c>
      <c r="E1415" s="368" t="s">
        <v>127</v>
      </c>
    </row>
    <row r="1416" spans="1:6" x14ac:dyDescent="0.4">
      <c r="A1416" s="341">
        <v>45873</v>
      </c>
      <c r="B1416" s="94" t="s">
        <v>1002</v>
      </c>
      <c r="C1416" s="351" t="s">
        <v>121</v>
      </c>
      <c r="D1416" s="43">
        <v>-1</v>
      </c>
      <c r="E1416" s="235" t="s">
        <v>127</v>
      </c>
    </row>
    <row r="1417" spans="1:6" x14ac:dyDescent="0.4">
      <c r="A1417" s="341">
        <v>45873</v>
      </c>
      <c r="B1417" s="85" t="s">
        <v>137</v>
      </c>
      <c r="C1417" s="351" t="s">
        <v>121</v>
      </c>
      <c r="D1417" s="43">
        <v>-1</v>
      </c>
      <c r="E1417" s="235" t="s">
        <v>127</v>
      </c>
    </row>
    <row r="1419" spans="1:6" x14ac:dyDescent="0.4">
      <c r="A1419" s="271">
        <v>45881</v>
      </c>
      <c r="B1419" s="93" t="s">
        <v>904</v>
      </c>
      <c r="C1419" s="351" t="s">
        <v>121</v>
      </c>
      <c r="D1419" s="43">
        <v>-2</v>
      </c>
      <c r="E1419" s="235" t="s">
        <v>127</v>
      </c>
    </row>
    <row r="1420" spans="1:6" x14ac:dyDescent="0.4">
      <c r="A1420" s="271">
        <v>45881</v>
      </c>
      <c r="B1420" s="93" t="s">
        <v>904</v>
      </c>
      <c r="C1420" s="351" t="s">
        <v>121</v>
      </c>
      <c r="D1420" s="43">
        <v>-3</v>
      </c>
      <c r="E1420" s="235" t="s">
        <v>127</v>
      </c>
    </row>
    <row r="1421" spans="1:6" x14ac:dyDescent="0.4">
      <c r="A1421" s="271">
        <v>45881</v>
      </c>
      <c r="B1421" s="103" t="s">
        <v>266</v>
      </c>
      <c r="C1421" s="351" t="s">
        <v>121</v>
      </c>
      <c r="D1421" s="43">
        <v>-1</v>
      </c>
      <c r="E1421" s="235" t="s">
        <v>127</v>
      </c>
    </row>
    <row r="1422" spans="1:6" x14ac:dyDescent="0.4">
      <c r="A1422" s="271">
        <v>45881</v>
      </c>
      <c r="B1422" s="350" t="s">
        <v>954</v>
      </c>
      <c r="C1422" s="43" t="s">
        <v>697</v>
      </c>
      <c r="D1422" s="43">
        <v>-1</v>
      </c>
      <c r="E1422" s="235" t="s">
        <v>127</v>
      </c>
    </row>
    <row r="1423" spans="1:6" x14ac:dyDescent="0.4">
      <c r="A1423" s="271">
        <v>45881</v>
      </c>
      <c r="B1423" s="349" t="s">
        <v>136</v>
      </c>
      <c r="C1423" s="43" t="s">
        <v>697</v>
      </c>
      <c r="D1423" s="43">
        <v>-1</v>
      </c>
      <c r="E1423" s="235" t="s">
        <v>127</v>
      </c>
    </row>
    <row r="1425" spans="1:5" x14ac:dyDescent="0.4">
      <c r="A1425" s="271">
        <v>45882</v>
      </c>
      <c r="B1425" s="349" t="s">
        <v>136</v>
      </c>
      <c r="C1425" s="43" t="s">
        <v>697</v>
      </c>
      <c r="D1425" s="43">
        <v>-1</v>
      </c>
      <c r="E1425" s="235" t="s">
        <v>127</v>
      </c>
    </row>
    <row r="1427" spans="1:5" x14ac:dyDescent="0.4">
      <c r="A1427" s="279">
        <v>45882</v>
      </c>
      <c r="B1427" s="307" t="s">
        <v>78</v>
      </c>
      <c r="C1427" s="240" t="s">
        <v>1061</v>
      </c>
      <c r="D1427" s="242">
        <v>40</v>
      </c>
      <c r="E1427" s="222" t="s">
        <v>127</v>
      </c>
    </row>
    <row r="1429" spans="1:5" x14ac:dyDescent="0.4">
      <c r="A1429" s="271">
        <v>45882</v>
      </c>
      <c r="B1429" s="347" t="s">
        <v>78</v>
      </c>
      <c r="C1429" s="351" t="s">
        <v>121</v>
      </c>
      <c r="D1429" s="43">
        <v>-70</v>
      </c>
      <c r="E1429" s="235" t="s">
        <v>127</v>
      </c>
    </row>
    <row r="1430" spans="1:5" x14ac:dyDescent="0.4">
      <c r="A1430" s="271">
        <v>45882</v>
      </c>
      <c r="B1430" s="349" t="s">
        <v>136</v>
      </c>
      <c r="C1430" s="43" t="s">
        <v>697</v>
      </c>
      <c r="D1430" s="43">
        <v>-1</v>
      </c>
      <c r="E1430" s="235" t="s">
        <v>127</v>
      </c>
    </row>
    <row r="1431" spans="1:5" x14ac:dyDescent="0.4">
      <c r="A1431" s="271">
        <v>45882</v>
      </c>
      <c r="B1431" s="349" t="s">
        <v>942</v>
      </c>
      <c r="C1431" s="351" t="s">
        <v>121</v>
      </c>
      <c r="D1431" s="43">
        <v>-6</v>
      </c>
      <c r="E1431" s="235" t="s">
        <v>127</v>
      </c>
    </row>
    <row r="1432" spans="1:5" x14ac:dyDescent="0.4">
      <c r="A1432" s="271">
        <v>45882</v>
      </c>
      <c r="B1432" s="85" t="s">
        <v>941</v>
      </c>
      <c r="C1432" s="351" t="s">
        <v>121</v>
      </c>
      <c r="D1432" s="43">
        <v>-1</v>
      </c>
      <c r="E1432" s="235" t="s">
        <v>127</v>
      </c>
    </row>
    <row r="1433" spans="1:5" x14ac:dyDescent="0.4">
      <c r="A1433" s="271">
        <v>45882</v>
      </c>
      <c r="B1433" s="85" t="s">
        <v>941</v>
      </c>
      <c r="C1433" s="351" t="s">
        <v>121</v>
      </c>
      <c r="D1433" s="43">
        <v>-2</v>
      </c>
      <c r="E1433" s="235" t="s">
        <v>127</v>
      </c>
    </row>
    <row r="1434" spans="1:5" x14ac:dyDescent="0.4">
      <c r="A1434" s="271">
        <v>45882</v>
      </c>
      <c r="B1434" s="85" t="s">
        <v>948</v>
      </c>
      <c r="C1434" s="351" t="s">
        <v>121</v>
      </c>
      <c r="D1434" s="43">
        <v>-2</v>
      </c>
      <c r="E1434" s="235" t="s">
        <v>127</v>
      </c>
    </row>
    <row r="1435" spans="1:5" x14ac:dyDescent="0.4">
      <c r="A1435" s="271">
        <v>45882</v>
      </c>
      <c r="B1435" s="85" t="s">
        <v>948</v>
      </c>
      <c r="C1435" s="351" t="s">
        <v>121</v>
      </c>
      <c r="D1435" s="43">
        <v>-1</v>
      </c>
      <c r="E1435" s="235" t="s">
        <v>127</v>
      </c>
    </row>
    <row r="1436" spans="1:5" x14ac:dyDescent="0.4">
      <c r="A1436" s="271">
        <v>45882</v>
      </c>
      <c r="B1436" s="147" t="s">
        <v>947</v>
      </c>
      <c r="C1436" s="351" t="s">
        <v>121</v>
      </c>
      <c r="D1436" s="43">
        <v>-1</v>
      </c>
      <c r="E1436" s="235" t="s">
        <v>127</v>
      </c>
    </row>
    <row r="1437" spans="1:5" x14ac:dyDescent="0.4">
      <c r="A1437" s="271">
        <v>45882</v>
      </c>
      <c r="B1437" s="94" t="s">
        <v>997</v>
      </c>
      <c r="C1437" s="351" t="s">
        <v>121</v>
      </c>
      <c r="D1437" s="43">
        <v>-1</v>
      </c>
      <c r="E1437" s="235" t="s">
        <v>127</v>
      </c>
    </row>
    <row r="1439" spans="1:5" x14ac:dyDescent="0.4">
      <c r="A1439" s="404">
        <v>45883</v>
      </c>
      <c r="B1439" s="139" t="s">
        <v>76</v>
      </c>
      <c r="C1439" s="105" t="s">
        <v>49</v>
      </c>
      <c r="D1439" s="105">
        <v>81</v>
      </c>
      <c r="E1439" s="95" t="s">
        <v>127</v>
      </c>
    </row>
    <row r="1440" spans="1:5" x14ac:dyDescent="0.4">
      <c r="A1440" s="404">
        <v>45883</v>
      </c>
      <c r="B1440" s="139" t="s">
        <v>76</v>
      </c>
      <c r="C1440" s="105" t="s">
        <v>49</v>
      </c>
      <c r="D1440" s="105">
        <v>24</v>
      </c>
      <c r="E1440" s="95" t="s">
        <v>127</v>
      </c>
    </row>
    <row r="1441" spans="1:6" x14ac:dyDescent="0.4">
      <c r="A1441" s="404">
        <v>45883</v>
      </c>
      <c r="B1441" s="139" t="s">
        <v>76</v>
      </c>
      <c r="C1441" s="105" t="s">
        <v>49</v>
      </c>
      <c r="D1441" s="105">
        <v>20</v>
      </c>
      <c r="E1441" s="95" t="s">
        <v>127</v>
      </c>
    </row>
    <row r="1442" spans="1:6" x14ac:dyDescent="0.4">
      <c r="A1442" s="404">
        <v>45883</v>
      </c>
      <c r="B1442" s="139" t="s">
        <v>76</v>
      </c>
      <c r="C1442" s="105" t="s">
        <v>49</v>
      </c>
      <c r="D1442" s="105">
        <v>0</v>
      </c>
      <c r="E1442" s="95" t="s">
        <v>127</v>
      </c>
      <c r="F1442" t="s">
        <v>1157</v>
      </c>
    </row>
    <row r="1444" spans="1:6" x14ac:dyDescent="0.4">
      <c r="A1444" s="352">
        <v>45883</v>
      </c>
      <c r="B1444" s="355" t="s">
        <v>1119</v>
      </c>
      <c r="C1444" s="354" t="s">
        <v>943</v>
      </c>
      <c r="D1444" s="354">
        <v>1</v>
      </c>
      <c r="E1444" s="368" t="s">
        <v>127</v>
      </c>
      <c r="F1444" t="s">
        <v>1123</v>
      </c>
    </row>
    <row r="1445" spans="1:6" x14ac:dyDescent="0.4">
      <c r="A1445" s="352">
        <v>45883</v>
      </c>
      <c r="B1445" s="355" t="s">
        <v>1120</v>
      </c>
      <c r="C1445" s="354" t="s">
        <v>943</v>
      </c>
      <c r="D1445" s="354">
        <v>1</v>
      </c>
      <c r="E1445" s="368" t="s">
        <v>127</v>
      </c>
    </row>
    <row r="1446" spans="1:6" x14ac:dyDescent="0.4">
      <c r="A1446" s="352">
        <v>45883</v>
      </c>
      <c r="B1446" s="353" t="s">
        <v>941</v>
      </c>
      <c r="C1446" s="354" t="s">
        <v>943</v>
      </c>
      <c r="D1446" s="354">
        <v>5</v>
      </c>
      <c r="E1446" s="368" t="s">
        <v>127</v>
      </c>
    </row>
    <row r="1447" spans="1:6" x14ac:dyDescent="0.4">
      <c r="A1447" s="352">
        <v>45883</v>
      </c>
      <c r="B1447" s="355" t="s">
        <v>171</v>
      </c>
      <c r="C1447" s="354" t="s">
        <v>943</v>
      </c>
      <c r="D1447" s="354">
        <v>1</v>
      </c>
      <c r="E1447" s="368" t="s">
        <v>127</v>
      </c>
    </row>
    <row r="1448" spans="1:6" x14ac:dyDescent="0.4">
      <c r="A1448" s="352">
        <v>45883</v>
      </c>
      <c r="B1448" s="353" t="s">
        <v>136</v>
      </c>
      <c r="C1448" s="354" t="s">
        <v>943</v>
      </c>
      <c r="D1448" s="354">
        <v>27</v>
      </c>
      <c r="E1448" s="368" t="s">
        <v>127</v>
      </c>
    </row>
    <row r="1449" spans="1:6" x14ac:dyDescent="0.4">
      <c r="A1449" s="352">
        <v>45883</v>
      </c>
      <c r="B1449" s="355" t="s">
        <v>168</v>
      </c>
      <c r="C1449" s="354" t="s">
        <v>943</v>
      </c>
      <c r="D1449" s="354">
        <v>1</v>
      </c>
      <c r="E1449" s="368" t="s">
        <v>127</v>
      </c>
    </row>
    <row r="1450" spans="1:6" x14ac:dyDescent="0.4">
      <c r="A1450" s="352">
        <v>45883</v>
      </c>
      <c r="B1450" s="355" t="s">
        <v>169</v>
      </c>
      <c r="C1450" s="354" t="s">
        <v>943</v>
      </c>
      <c r="D1450" s="354">
        <v>3</v>
      </c>
      <c r="E1450" s="368" t="s">
        <v>127</v>
      </c>
    </row>
    <row r="1451" spans="1:6" x14ac:dyDescent="0.4">
      <c r="A1451" s="352">
        <v>45883</v>
      </c>
      <c r="B1451" s="355" t="s">
        <v>951</v>
      </c>
      <c r="C1451" s="354" t="s">
        <v>943</v>
      </c>
      <c r="D1451" s="354">
        <v>1</v>
      </c>
      <c r="E1451" s="368" t="s">
        <v>127</v>
      </c>
    </row>
    <row r="1452" spans="1:6" x14ac:dyDescent="0.4">
      <c r="A1452" s="352">
        <v>45883</v>
      </c>
      <c r="B1452" s="355" t="s">
        <v>1121</v>
      </c>
      <c r="C1452" s="354" t="s">
        <v>943</v>
      </c>
      <c r="D1452" s="354">
        <v>2</v>
      </c>
      <c r="E1452" s="368" t="s">
        <v>127</v>
      </c>
    </row>
    <row r="1453" spans="1:6" x14ac:dyDescent="0.4">
      <c r="A1453" s="352">
        <v>45883</v>
      </c>
      <c r="B1453" s="356" t="s">
        <v>953</v>
      </c>
      <c r="C1453" s="354" t="s">
        <v>943</v>
      </c>
      <c r="D1453" s="354">
        <v>1</v>
      </c>
      <c r="E1453" s="368" t="s">
        <v>127</v>
      </c>
    </row>
    <row r="1454" spans="1:6" x14ac:dyDescent="0.4">
      <c r="A1454" s="352">
        <v>45883</v>
      </c>
      <c r="B1454" s="357" t="s">
        <v>954</v>
      </c>
      <c r="C1454" s="354" t="s">
        <v>943</v>
      </c>
      <c r="D1454" s="354">
        <v>8</v>
      </c>
      <c r="E1454" s="368" t="s">
        <v>127</v>
      </c>
    </row>
    <row r="1455" spans="1:6" x14ac:dyDescent="0.4">
      <c r="A1455" s="352">
        <v>45883</v>
      </c>
      <c r="B1455" s="355" t="s">
        <v>1122</v>
      </c>
      <c r="C1455" s="354" t="s">
        <v>943</v>
      </c>
      <c r="D1455" s="354">
        <v>1</v>
      </c>
      <c r="E1455" s="368" t="s">
        <v>127</v>
      </c>
    </row>
    <row r="1457" spans="1:6" x14ac:dyDescent="0.4">
      <c r="A1457" s="352">
        <v>45883</v>
      </c>
      <c r="B1457" s="353" t="s">
        <v>136</v>
      </c>
      <c r="C1457" s="354" t="s">
        <v>943</v>
      </c>
      <c r="D1457" s="354">
        <v>16</v>
      </c>
      <c r="E1457" s="368" t="s">
        <v>127</v>
      </c>
      <c r="F1457" t="s">
        <v>1124</v>
      </c>
    </row>
    <row r="1458" spans="1:6" x14ac:dyDescent="0.4">
      <c r="A1458" s="352">
        <v>45883</v>
      </c>
      <c r="B1458" s="355" t="s">
        <v>169</v>
      </c>
      <c r="C1458" s="354" t="s">
        <v>943</v>
      </c>
      <c r="D1458" s="354">
        <v>5</v>
      </c>
      <c r="E1458" s="368" t="s">
        <v>127</v>
      </c>
    </row>
    <row r="1459" spans="1:6" x14ac:dyDescent="0.4">
      <c r="A1459" s="352">
        <v>45883</v>
      </c>
      <c r="B1459" s="355" t="s">
        <v>168</v>
      </c>
      <c r="C1459" s="354" t="s">
        <v>943</v>
      </c>
      <c r="D1459" s="354">
        <v>2</v>
      </c>
      <c r="E1459" s="368" t="s">
        <v>127</v>
      </c>
    </row>
    <row r="1460" spans="1:6" x14ac:dyDescent="0.4">
      <c r="A1460" s="352">
        <v>45883</v>
      </c>
      <c r="B1460" s="357" t="s">
        <v>954</v>
      </c>
      <c r="C1460" s="354" t="s">
        <v>943</v>
      </c>
      <c r="D1460" s="354">
        <v>5</v>
      </c>
      <c r="E1460" s="368" t="s">
        <v>127</v>
      </c>
    </row>
    <row r="1461" spans="1:6" x14ac:dyDescent="0.4">
      <c r="A1461" s="352">
        <v>45883</v>
      </c>
      <c r="B1461" s="355" t="s">
        <v>961</v>
      </c>
      <c r="C1461" s="354" t="s">
        <v>943</v>
      </c>
      <c r="D1461" s="354">
        <v>1</v>
      </c>
      <c r="E1461" s="368" t="s">
        <v>127</v>
      </c>
    </row>
    <row r="1462" spans="1:6" x14ac:dyDescent="0.4">
      <c r="A1462" s="352">
        <v>45883</v>
      </c>
      <c r="B1462" s="355" t="s">
        <v>171</v>
      </c>
      <c r="C1462" s="354" t="s">
        <v>943</v>
      </c>
      <c r="D1462" s="354">
        <v>1</v>
      </c>
      <c r="E1462" s="368" t="s">
        <v>127</v>
      </c>
    </row>
    <row r="1464" spans="1:6" x14ac:dyDescent="0.4">
      <c r="A1464" s="341">
        <v>45883</v>
      </c>
      <c r="B1464" s="350" t="s">
        <v>954</v>
      </c>
      <c r="C1464" s="351" t="s">
        <v>121</v>
      </c>
      <c r="D1464" s="351">
        <v>-8</v>
      </c>
      <c r="E1464" s="235" t="s">
        <v>127</v>
      </c>
    </row>
    <row r="1465" spans="1:6" x14ac:dyDescent="0.4">
      <c r="A1465" s="341">
        <v>45883</v>
      </c>
      <c r="B1465" s="349" t="s">
        <v>136</v>
      </c>
      <c r="C1465" s="351" t="s">
        <v>121</v>
      </c>
      <c r="D1465" s="43">
        <v>-5</v>
      </c>
      <c r="E1465" s="235" t="s">
        <v>127</v>
      </c>
    </row>
    <row r="1466" spans="1:6" x14ac:dyDescent="0.4">
      <c r="A1466" s="341">
        <v>45883</v>
      </c>
      <c r="B1466" s="103" t="s">
        <v>266</v>
      </c>
      <c r="C1466" s="351" t="s">
        <v>121</v>
      </c>
      <c r="D1466" s="43">
        <v>-1</v>
      </c>
      <c r="E1466" s="235" t="s">
        <v>127</v>
      </c>
    </row>
    <row r="1467" spans="1:6" x14ac:dyDescent="0.4">
      <c r="A1467" s="341">
        <v>45883</v>
      </c>
      <c r="B1467" s="350" t="s">
        <v>954</v>
      </c>
      <c r="C1467" s="351" t="s">
        <v>121</v>
      </c>
      <c r="D1467" s="351">
        <v>-4</v>
      </c>
      <c r="E1467" s="235" t="s">
        <v>127</v>
      </c>
    </row>
    <row r="1468" spans="1:6" x14ac:dyDescent="0.4">
      <c r="A1468" s="341">
        <v>45883</v>
      </c>
      <c r="B1468" s="349" t="s">
        <v>961</v>
      </c>
      <c r="C1468" s="351" t="s">
        <v>121</v>
      </c>
      <c r="D1468" s="351">
        <v>-1</v>
      </c>
      <c r="E1468" s="235" t="s">
        <v>127</v>
      </c>
    </row>
    <row r="1469" spans="1:6" x14ac:dyDescent="0.4">
      <c r="A1469" s="341">
        <v>45883</v>
      </c>
      <c r="B1469" s="93" t="s">
        <v>810</v>
      </c>
      <c r="C1469" s="351" t="s">
        <v>121</v>
      </c>
      <c r="D1469" s="43">
        <v>-1</v>
      </c>
      <c r="E1469" s="235" t="s">
        <v>127</v>
      </c>
    </row>
    <row r="1471" spans="1:6" x14ac:dyDescent="0.4">
      <c r="A1471" s="271">
        <v>45881</v>
      </c>
      <c r="B1471" s="349" t="s">
        <v>942</v>
      </c>
      <c r="C1471" s="351" t="s">
        <v>121</v>
      </c>
      <c r="D1471" s="43">
        <v>-2</v>
      </c>
      <c r="E1471" s="235" t="s">
        <v>127</v>
      </c>
    </row>
    <row r="1472" spans="1:6" x14ac:dyDescent="0.4">
      <c r="A1472" s="271">
        <v>45881</v>
      </c>
      <c r="B1472" s="85" t="s">
        <v>945</v>
      </c>
      <c r="C1472" s="351" t="s">
        <v>121</v>
      </c>
      <c r="D1472" s="43">
        <v>-1</v>
      </c>
      <c r="E1472" s="235" t="s">
        <v>127</v>
      </c>
    </row>
    <row r="1474" spans="1:5" x14ac:dyDescent="0.4">
      <c r="A1474" s="341">
        <v>45884</v>
      </c>
      <c r="B1474" s="349" t="s">
        <v>942</v>
      </c>
      <c r="C1474" s="351" t="s">
        <v>121</v>
      </c>
      <c r="D1474" s="43">
        <v>-1</v>
      </c>
      <c r="E1474" s="235" t="s">
        <v>127</v>
      </c>
    </row>
    <row r="1475" spans="1:5" x14ac:dyDescent="0.4">
      <c r="A1475" s="341">
        <v>45884</v>
      </c>
      <c r="B1475" s="349" t="s">
        <v>136</v>
      </c>
      <c r="C1475" s="351" t="s">
        <v>121</v>
      </c>
      <c r="D1475" s="43">
        <v>-15</v>
      </c>
      <c r="E1475" s="235" t="s">
        <v>127</v>
      </c>
    </row>
    <row r="1476" spans="1:5" x14ac:dyDescent="0.4">
      <c r="A1476" s="341">
        <v>45884</v>
      </c>
      <c r="B1476" s="349" t="s">
        <v>136</v>
      </c>
      <c r="C1476" s="351" t="s">
        <v>121</v>
      </c>
      <c r="D1476" s="43">
        <v>-5</v>
      </c>
      <c r="E1476" s="235" t="s">
        <v>127</v>
      </c>
    </row>
    <row r="1477" spans="1:5" x14ac:dyDescent="0.4">
      <c r="A1477" s="341">
        <v>45884</v>
      </c>
      <c r="B1477" s="349" t="s">
        <v>136</v>
      </c>
      <c r="C1477" s="351" t="s">
        <v>121</v>
      </c>
      <c r="D1477" s="43">
        <v>-2</v>
      </c>
      <c r="E1477" s="235" t="s">
        <v>127</v>
      </c>
    </row>
    <row r="1478" spans="1:5" x14ac:dyDescent="0.4">
      <c r="A1478" s="341">
        <v>45884</v>
      </c>
      <c r="B1478" s="147" t="s">
        <v>950</v>
      </c>
      <c r="C1478" s="351" t="s">
        <v>121</v>
      </c>
      <c r="D1478" s="43">
        <v>-1</v>
      </c>
      <c r="E1478" s="235" t="s">
        <v>127</v>
      </c>
    </row>
    <row r="1479" spans="1:5" x14ac:dyDescent="0.4">
      <c r="A1479" s="341">
        <v>45884</v>
      </c>
      <c r="B1479" s="349" t="s">
        <v>168</v>
      </c>
      <c r="C1479" s="351" t="s">
        <v>121</v>
      </c>
      <c r="D1479" s="43">
        <v>-3</v>
      </c>
      <c r="E1479" s="235" t="s">
        <v>127</v>
      </c>
    </row>
    <row r="1480" spans="1:5" x14ac:dyDescent="0.4">
      <c r="A1480" s="341">
        <v>45884</v>
      </c>
      <c r="B1480" s="103" t="s">
        <v>266</v>
      </c>
      <c r="C1480" s="351" t="s">
        <v>121</v>
      </c>
      <c r="D1480" s="43">
        <v>-3</v>
      </c>
      <c r="E1480" s="235" t="s">
        <v>127</v>
      </c>
    </row>
    <row r="1481" spans="1:5" x14ac:dyDescent="0.4">
      <c r="A1481" s="341">
        <v>45884</v>
      </c>
      <c r="B1481" s="103" t="s">
        <v>266</v>
      </c>
      <c r="C1481" s="351" t="s">
        <v>121</v>
      </c>
      <c r="D1481" s="43">
        <v>-3</v>
      </c>
      <c r="E1481" s="235" t="s">
        <v>127</v>
      </c>
    </row>
    <row r="1482" spans="1:5" x14ac:dyDescent="0.4">
      <c r="A1482" s="341">
        <v>45884</v>
      </c>
      <c r="B1482" s="350" t="s">
        <v>954</v>
      </c>
      <c r="C1482" s="351" t="s">
        <v>121</v>
      </c>
      <c r="D1482" s="43">
        <v>-2</v>
      </c>
      <c r="E1482" s="235" t="s">
        <v>127</v>
      </c>
    </row>
    <row r="1483" spans="1:5" x14ac:dyDescent="0.4">
      <c r="A1483" s="341">
        <v>45884</v>
      </c>
      <c r="B1483" s="350" t="s">
        <v>956</v>
      </c>
      <c r="C1483" s="351" t="s">
        <v>121</v>
      </c>
      <c r="D1483" s="43">
        <v>-1</v>
      </c>
      <c r="E1483" s="235" t="s">
        <v>127</v>
      </c>
    </row>
    <row r="1484" spans="1:5" x14ac:dyDescent="0.4">
      <c r="A1484" s="341">
        <v>45884</v>
      </c>
      <c r="B1484" s="349" t="s">
        <v>76</v>
      </c>
      <c r="C1484" s="351" t="s">
        <v>121</v>
      </c>
      <c r="D1484" s="33">
        <v>-100</v>
      </c>
      <c r="E1484" s="235" t="s">
        <v>127</v>
      </c>
    </row>
    <row r="1485" spans="1:5" x14ac:dyDescent="0.4">
      <c r="A1485" s="341">
        <v>45884</v>
      </c>
      <c r="B1485" s="349" t="s">
        <v>76</v>
      </c>
      <c r="C1485" s="351" t="s">
        <v>121</v>
      </c>
      <c r="D1485" s="43">
        <v>-4</v>
      </c>
      <c r="E1485" s="235" t="s">
        <v>127</v>
      </c>
    </row>
    <row r="1486" spans="1:5" x14ac:dyDescent="0.4">
      <c r="A1486" s="341">
        <v>45884</v>
      </c>
      <c r="B1486" s="350" t="s">
        <v>954</v>
      </c>
      <c r="C1486" s="351" t="s">
        <v>121</v>
      </c>
      <c r="D1486" s="43">
        <v>-1</v>
      </c>
      <c r="E1486" s="235" t="s">
        <v>127</v>
      </c>
    </row>
    <row r="1487" spans="1:5" x14ac:dyDescent="0.4">
      <c r="A1487" s="341">
        <v>45884</v>
      </c>
      <c r="B1487" s="93" t="s">
        <v>90</v>
      </c>
      <c r="C1487" s="351" t="s">
        <v>121</v>
      </c>
      <c r="D1487" s="43">
        <v>-2</v>
      </c>
      <c r="E1487" s="235" t="s">
        <v>127</v>
      </c>
    </row>
    <row r="1488" spans="1:5" x14ac:dyDescent="0.4">
      <c r="A1488" s="341">
        <v>45884</v>
      </c>
      <c r="B1488" s="349" t="s">
        <v>136</v>
      </c>
      <c r="C1488" s="351" t="s">
        <v>121</v>
      </c>
      <c r="D1488" s="43">
        <v>-3</v>
      </c>
      <c r="E1488" s="235" t="s">
        <v>127</v>
      </c>
    </row>
    <row r="1489" spans="1:5" x14ac:dyDescent="0.4">
      <c r="A1489" s="341">
        <v>45884</v>
      </c>
      <c r="B1489" s="349" t="s">
        <v>76</v>
      </c>
      <c r="C1489" s="351" t="s">
        <v>121</v>
      </c>
      <c r="D1489" s="33">
        <v>-2</v>
      </c>
      <c r="E1489" s="235" t="s">
        <v>127</v>
      </c>
    </row>
    <row r="1490" spans="1:5" x14ac:dyDescent="0.4">
      <c r="A1490" s="341">
        <v>45884</v>
      </c>
      <c r="B1490" s="94" t="s">
        <v>861</v>
      </c>
      <c r="C1490" s="351" t="s">
        <v>121</v>
      </c>
      <c r="D1490" s="43">
        <v>-4</v>
      </c>
      <c r="E1490" s="235" t="s">
        <v>127</v>
      </c>
    </row>
    <row r="1492" spans="1:5" x14ac:dyDescent="0.4">
      <c r="A1492" s="271">
        <v>45885</v>
      </c>
      <c r="B1492" s="94" t="s">
        <v>861</v>
      </c>
      <c r="C1492" s="351" t="s">
        <v>121</v>
      </c>
      <c r="D1492" s="43">
        <v>-2</v>
      </c>
      <c r="E1492" s="235" t="s">
        <v>127</v>
      </c>
    </row>
    <row r="1493" spans="1:5" x14ac:dyDescent="0.4">
      <c r="A1493" s="271">
        <v>45885</v>
      </c>
      <c r="B1493" s="94" t="s">
        <v>861</v>
      </c>
      <c r="C1493" s="351" t="s">
        <v>121</v>
      </c>
      <c r="D1493" s="43">
        <v>-3</v>
      </c>
      <c r="E1493" s="235" t="s">
        <v>127</v>
      </c>
    </row>
    <row r="1495" spans="1:5" x14ac:dyDescent="0.4">
      <c r="A1495" s="271">
        <v>45886</v>
      </c>
      <c r="B1495" s="349" t="s">
        <v>136</v>
      </c>
      <c r="C1495" s="351" t="s">
        <v>121</v>
      </c>
      <c r="D1495" s="43">
        <v>-6</v>
      </c>
      <c r="E1495" s="235" t="s">
        <v>127</v>
      </c>
    </row>
    <row r="1497" spans="1:5" x14ac:dyDescent="0.4">
      <c r="A1497" s="271">
        <v>45887</v>
      </c>
      <c r="B1497" s="94" t="s">
        <v>861</v>
      </c>
      <c r="C1497" s="351" t="s">
        <v>121</v>
      </c>
      <c r="D1497" s="43">
        <v>-1</v>
      </c>
      <c r="E1497" s="235" t="s">
        <v>127</v>
      </c>
    </row>
    <row r="1498" spans="1:5" x14ac:dyDescent="0.4">
      <c r="A1498" s="271">
        <v>45887</v>
      </c>
      <c r="B1498" s="147" t="s">
        <v>950</v>
      </c>
      <c r="C1498" s="43" t="s">
        <v>697</v>
      </c>
      <c r="D1498" s="43">
        <v>-1</v>
      </c>
      <c r="E1498" s="235" t="s">
        <v>127</v>
      </c>
    </row>
    <row r="1499" spans="1:5" x14ac:dyDescent="0.4">
      <c r="A1499" s="271">
        <v>45887</v>
      </c>
      <c r="B1499" s="147" t="s">
        <v>950</v>
      </c>
      <c r="C1499" s="43" t="s">
        <v>697</v>
      </c>
      <c r="D1499" s="43">
        <v>-1</v>
      </c>
      <c r="E1499" s="235" t="s">
        <v>127</v>
      </c>
    </row>
    <row r="1500" spans="1:5" x14ac:dyDescent="0.4">
      <c r="A1500" s="271">
        <v>45887</v>
      </c>
      <c r="B1500" s="349" t="s">
        <v>136</v>
      </c>
      <c r="C1500" s="43" t="s">
        <v>697</v>
      </c>
      <c r="D1500" s="43">
        <v>-1</v>
      </c>
      <c r="E1500" s="235" t="s">
        <v>127</v>
      </c>
    </row>
    <row r="1501" spans="1:5" x14ac:dyDescent="0.4">
      <c r="A1501" s="271">
        <v>45887</v>
      </c>
      <c r="B1501" s="94" t="s">
        <v>951</v>
      </c>
      <c r="C1501" s="351" t="s">
        <v>121</v>
      </c>
      <c r="D1501" s="43">
        <v>-1</v>
      </c>
      <c r="E1501" s="235" t="s">
        <v>127</v>
      </c>
    </row>
    <row r="1502" spans="1:5" x14ac:dyDescent="0.4">
      <c r="A1502" s="271">
        <v>45887</v>
      </c>
      <c r="B1502" s="349" t="s">
        <v>169</v>
      </c>
      <c r="C1502" s="351" t="s">
        <v>121</v>
      </c>
      <c r="D1502" s="43">
        <v>-8</v>
      </c>
      <c r="E1502" s="235" t="s">
        <v>127</v>
      </c>
    </row>
    <row r="1503" spans="1:5" x14ac:dyDescent="0.4">
      <c r="A1503" s="271">
        <v>45887</v>
      </c>
      <c r="B1503" s="94" t="s">
        <v>171</v>
      </c>
      <c r="C1503" s="351" t="s">
        <v>121</v>
      </c>
      <c r="D1503" s="43">
        <v>-2</v>
      </c>
      <c r="E1503" s="235" t="s">
        <v>127</v>
      </c>
    </row>
    <row r="1504" spans="1:5" x14ac:dyDescent="0.4">
      <c r="A1504" s="271">
        <v>45887</v>
      </c>
      <c r="B1504" s="349" t="s">
        <v>998</v>
      </c>
      <c r="C1504" s="351" t="s">
        <v>121</v>
      </c>
      <c r="D1504" s="43">
        <v>-1</v>
      </c>
      <c r="E1504" s="235" t="s">
        <v>127</v>
      </c>
    </row>
    <row r="1505" spans="1:5" x14ac:dyDescent="0.4">
      <c r="A1505" s="271">
        <v>45887</v>
      </c>
      <c r="B1505" s="349" t="s">
        <v>136</v>
      </c>
      <c r="C1505" s="351" t="s">
        <v>121</v>
      </c>
      <c r="D1505" s="43">
        <v>-2</v>
      </c>
      <c r="E1505" s="235" t="s">
        <v>127</v>
      </c>
    </row>
    <row r="1506" spans="1:5" x14ac:dyDescent="0.4">
      <c r="A1506" s="271">
        <v>45887</v>
      </c>
      <c r="B1506" s="94" t="s">
        <v>861</v>
      </c>
      <c r="C1506" s="351" t="s">
        <v>121</v>
      </c>
      <c r="D1506" s="43">
        <v>-2</v>
      </c>
      <c r="E1506" s="235" t="s">
        <v>127</v>
      </c>
    </row>
    <row r="1508" spans="1:5" x14ac:dyDescent="0.4">
      <c r="A1508" s="271">
        <v>45888</v>
      </c>
      <c r="B1508" s="349" t="s">
        <v>76</v>
      </c>
      <c r="C1508" s="351" t="s">
        <v>121</v>
      </c>
      <c r="D1508" s="43">
        <v>-5</v>
      </c>
      <c r="E1508" s="235" t="s">
        <v>127</v>
      </c>
    </row>
    <row r="1509" spans="1:5" x14ac:dyDescent="0.4">
      <c r="A1509" s="271">
        <v>45888</v>
      </c>
      <c r="B1509" s="349" t="s">
        <v>1122</v>
      </c>
      <c r="C1509" s="351" t="s">
        <v>121</v>
      </c>
      <c r="D1509" s="43">
        <v>-1</v>
      </c>
      <c r="E1509" s="235" t="s">
        <v>127</v>
      </c>
    </row>
    <row r="1510" spans="1:5" x14ac:dyDescent="0.4">
      <c r="A1510" s="271">
        <v>45888</v>
      </c>
      <c r="B1510" s="93" t="s">
        <v>810</v>
      </c>
      <c r="C1510" s="351" t="s">
        <v>121</v>
      </c>
      <c r="D1510" s="43">
        <v>-1</v>
      </c>
      <c r="E1510" s="235" t="s">
        <v>127</v>
      </c>
    </row>
    <row r="1511" spans="1:5" x14ac:dyDescent="0.4">
      <c r="A1511" s="271">
        <v>45888</v>
      </c>
      <c r="B1511" s="94" t="s">
        <v>862</v>
      </c>
      <c r="C1511" s="351" t="s">
        <v>121</v>
      </c>
      <c r="D1511" s="43">
        <v>-6</v>
      </c>
      <c r="E1511" s="235" t="s">
        <v>127</v>
      </c>
    </row>
    <row r="1512" spans="1:5" x14ac:dyDescent="0.4">
      <c r="A1512" s="271">
        <v>45888</v>
      </c>
      <c r="B1512" s="370" t="s">
        <v>923</v>
      </c>
      <c r="C1512" s="351" t="s">
        <v>121</v>
      </c>
      <c r="D1512" s="43">
        <v>-2</v>
      </c>
      <c r="E1512" s="235" t="s">
        <v>127</v>
      </c>
    </row>
    <row r="1513" spans="1:5" x14ac:dyDescent="0.4">
      <c r="A1513" s="271">
        <v>45888</v>
      </c>
      <c r="B1513" s="103" t="s">
        <v>266</v>
      </c>
      <c r="C1513" s="351" t="s">
        <v>121</v>
      </c>
      <c r="D1513" s="43">
        <v>-1</v>
      </c>
      <c r="E1513" s="235" t="s">
        <v>127</v>
      </c>
    </row>
    <row r="1515" spans="1:5" x14ac:dyDescent="0.4">
      <c r="A1515" s="271">
        <v>45889</v>
      </c>
      <c r="B1515" s="349" t="s">
        <v>76</v>
      </c>
      <c r="C1515" s="351" t="s">
        <v>121</v>
      </c>
      <c r="D1515" s="43">
        <v>-50</v>
      </c>
      <c r="E1515" s="235" t="s">
        <v>127</v>
      </c>
    </row>
    <row r="1516" spans="1:5" x14ac:dyDescent="0.4">
      <c r="A1516" s="271">
        <v>45889</v>
      </c>
      <c r="B1516" s="349" t="s">
        <v>76</v>
      </c>
      <c r="C1516" s="351" t="s">
        <v>121</v>
      </c>
      <c r="D1516" s="43">
        <v>-5</v>
      </c>
      <c r="E1516" s="235" t="s">
        <v>127</v>
      </c>
    </row>
    <row r="1517" spans="1:5" x14ac:dyDescent="0.4">
      <c r="A1517" s="271">
        <v>45889</v>
      </c>
      <c r="B1517" s="85" t="s">
        <v>941</v>
      </c>
      <c r="C1517" s="351" t="s">
        <v>121</v>
      </c>
      <c r="D1517" s="43">
        <v>-4</v>
      </c>
      <c r="E1517" s="235" t="s">
        <v>127</v>
      </c>
    </row>
    <row r="1518" spans="1:5" x14ac:dyDescent="0.4">
      <c r="A1518" s="271">
        <v>45889</v>
      </c>
      <c r="B1518" s="85" t="s">
        <v>941</v>
      </c>
      <c r="C1518" s="351" t="s">
        <v>121</v>
      </c>
      <c r="D1518" s="43">
        <v>-1</v>
      </c>
      <c r="E1518" s="235" t="s">
        <v>127</v>
      </c>
    </row>
    <row r="1520" spans="1:5" x14ac:dyDescent="0.4">
      <c r="A1520" s="279">
        <v>45890</v>
      </c>
      <c r="B1520" s="253" t="s">
        <v>136</v>
      </c>
      <c r="C1520" s="240" t="s">
        <v>1156</v>
      </c>
      <c r="D1520" s="240">
        <v>4</v>
      </c>
      <c r="E1520" s="222" t="s">
        <v>127</v>
      </c>
    </row>
    <row r="1522" spans="1:5" x14ac:dyDescent="0.4">
      <c r="A1522" s="341">
        <v>45890</v>
      </c>
      <c r="B1522" s="348" t="s">
        <v>492</v>
      </c>
      <c r="C1522" s="351" t="s">
        <v>121</v>
      </c>
      <c r="D1522" s="351">
        <v>-5</v>
      </c>
      <c r="E1522" s="235" t="s">
        <v>127</v>
      </c>
    </row>
    <row r="1523" spans="1:5" x14ac:dyDescent="0.4">
      <c r="A1523" s="341">
        <v>45890</v>
      </c>
      <c r="B1523" s="349" t="s">
        <v>76</v>
      </c>
      <c r="C1523" s="351" t="s">
        <v>121</v>
      </c>
      <c r="D1523" s="43">
        <v>-30</v>
      </c>
      <c r="E1523" s="235" t="s">
        <v>127</v>
      </c>
    </row>
    <row r="1524" spans="1:5" x14ac:dyDescent="0.4">
      <c r="A1524" s="341">
        <v>45890</v>
      </c>
      <c r="B1524" s="103" t="s">
        <v>266</v>
      </c>
      <c r="C1524" s="351" t="s">
        <v>121</v>
      </c>
      <c r="D1524" s="43">
        <v>-2</v>
      </c>
      <c r="E1524" s="235" t="s">
        <v>127</v>
      </c>
    </row>
    <row r="1525" spans="1:5" x14ac:dyDescent="0.4">
      <c r="A1525" s="341">
        <v>45890</v>
      </c>
      <c r="B1525" s="93" t="s">
        <v>810</v>
      </c>
      <c r="C1525" s="351" t="s">
        <v>121</v>
      </c>
      <c r="D1525" s="43">
        <v>-1</v>
      </c>
      <c r="E1525" s="235" t="s">
        <v>127</v>
      </c>
    </row>
    <row r="1526" spans="1:5" x14ac:dyDescent="0.4">
      <c r="A1526" s="341">
        <v>45890</v>
      </c>
      <c r="B1526" s="93" t="s">
        <v>904</v>
      </c>
      <c r="C1526" s="351" t="s">
        <v>121</v>
      </c>
      <c r="D1526" s="43">
        <v>-4</v>
      </c>
      <c r="E1526" s="235" t="s">
        <v>127</v>
      </c>
    </row>
    <row r="1527" spans="1:5" x14ac:dyDescent="0.4">
      <c r="B1527" s="370"/>
      <c r="C1527" s="369"/>
    </row>
    <row r="1528" spans="1:5" x14ac:dyDescent="0.4">
      <c r="A1528" s="271">
        <v>45891</v>
      </c>
      <c r="B1528" s="93" t="s">
        <v>904</v>
      </c>
      <c r="C1528" s="351" t="s">
        <v>121</v>
      </c>
      <c r="D1528" s="43">
        <v>-2</v>
      </c>
      <c r="E1528" s="235" t="s">
        <v>127</v>
      </c>
    </row>
    <row r="1529" spans="1:5" x14ac:dyDescent="0.4">
      <c r="A1529" s="271">
        <v>45891</v>
      </c>
      <c r="B1529" s="93" t="s">
        <v>904</v>
      </c>
      <c r="C1529" s="351" t="s">
        <v>121</v>
      </c>
      <c r="D1529" s="43">
        <v>-10</v>
      </c>
      <c r="E1529" s="235" t="s">
        <v>127</v>
      </c>
    </row>
    <row r="1530" spans="1:5" x14ac:dyDescent="0.4">
      <c r="B1530" s="429"/>
      <c r="C1530" s="369"/>
    </row>
    <row r="1531" spans="1:5" x14ac:dyDescent="0.4">
      <c r="A1531" s="278">
        <v>45885</v>
      </c>
      <c r="B1531" s="139" t="s">
        <v>76</v>
      </c>
      <c r="C1531" s="105" t="s">
        <v>49</v>
      </c>
      <c r="D1531" s="105">
        <v>5</v>
      </c>
      <c r="E1531" s="95" t="s">
        <v>127</v>
      </c>
    </row>
    <row r="1532" spans="1:5" x14ac:dyDescent="0.4">
      <c r="A1532" s="278">
        <v>45885</v>
      </c>
      <c r="B1532" s="127" t="s">
        <v>691</v>
      </c>
      <c r="C1532" s="105" t="s">
        <v>49</v>
      </c>
      <c r="D1532" s="105">
        <v>8</v>
      </c>
      <c r="E1532" s="95" t="s">
        <v>127</v>
      </c>
    </row>
    <row r="1533" spans="1:5" x14ac:dyDescent="0.4">
      <c r="A1533" s="278">
        <v>45885</v>
      </c>
      <c r="B1533" s="127" t="s">
        <v>690</v>
      </c>
      <c r="C1533" s="105" t="s">
        <v>49</v>
      </c>
      <c r="D1533" s="105">
        <v>2</v>
      </c>
      <c r="E1533" s="95" t="s">
        <v>127</v>
      </c>
    </row>
    <row r="1534" spans="1:5" x14ac:dyDescent="0.4">
      <c r="A1534" s="278">
        <v>45885</v>
      </c>
      <c r="B1534" s="139" t="s">
        <v>887</v>
      </c>
      <c r="C1534" s="105" t="s">
        <v>49</v>
      </c>
      <c r="D1534" s="105">
        <v>5</v>
      </c>
      <c r="E1534" s="95" t="s">
        <v>127</v>
      </c>
    </row>
    <row r="1535" spans="1:5" x14ac:dyDescent="0.4">
      <c r="A1535" s="278">
        <v>45885</v>
      </c>
      <c r="B1535" s="139" t="s">
        <v>830</v>
      </c>
      <c r="C1535" s="105" t="s">
        <v>49</v>
      </c>
      <c r="D1535" s="105">
        <v>2</v>
      </c>
      <c r="E1535" s="95" t="s">
        <v>127</v>
      </c>
    </row>
    <row r="1536" spans="1:5" x14ac:dyDescent="0.4">
      <c r="A1536" s="278">
        <v>45885</v>
      </c>
      <c r="B1536" s="239" t="s">
        <v>903</v>
      </c>
      <c r="C1536" s="105" t="s">
        <v>49</v>
      </c>
      <c r="D1536" s="105">
        <v>15</v>
      </c>
      <c r="E1536" s="95" t="s">
        <v>127</v>
      </c>
    </row>
    <row r="1537" spans="1:5" x14ac:dyDescent="0.4">
      <c r="A1537" s="278">
        <v>45885</v>
      </c>
      <c r="B1537" s="139" t="s">
        <v>829</v>
      </c>
      <c r="C1537" s="105" t="s">
        <v>49</v>
      </c>
      <c r="D1537" s="105">
        <v>1</v>
      </c>
      <c r="E1537" s="95" t="s">
        <v>127</v>
      </c>
    </row>
    <row r="1538" spans="1:5" x14ac:dyDescent="0.4">
      <c r="A1538" s="278">
        <v>45885</v>
      </c>
      <c r="B1538" s="239" t="s">
        <v>492</v>
      </c>
      <c r="C1538" s="105" t="s">
        <v>49</v>
      </c>
      <c r="D1538" s="105">
        <v>5</v>
      </c>
      <c r="E1538" s="95" t="s">
        <v>127</v>
      </c>
    </row>
    <row r="1539" spans="1:5" x14ac:dyDescent="0.4">
      <c r="A1539" s="278">
        <v>45885</v>
      </c>
      <c r="B1539" s="239" t="s">
        <v>512</v>
      </c>
      <c r="C1539" s="105" t="s">
        <v>49</v>
      </c>
      <c r="D1539" s="105">
        <v>2</v>
      </c>
      <c r="E1539" s="95" t="s">
        <v>127</v>
      </c>
    </row>
    <row r="1540" spans="1:5" x14ac:dyDescent="0.4">
      <c r="A1540" s="278">
        <v>45885</v>
      </c>
      <c r="B1540" s="127" t="s">
        <v>904</v>
      </c>
      <c r="C1540" s="105" t="s">
        <v>49</v>
      </c>
      <c r="D1540" s="105">
        <v>12</v>
      </c>
      <c r="E1540" s="95" t="s">
        <v>127</v>
      </c>
    </row>
    <row r="1542" spans="1:5" x14ac:dyDescent="0.4">
      <c r="A1542" s="271">
        <v>45891</v>
      </c>
      <c r="B1542" s="103" t="s">
        <v>304</v>
      </c>
      <c r="C1542" s="351" t="s">
        <v>121</v>
      </c>
      <c r="D1542" s="43">
        <v>-2</v>
      </c>
      <c r="E1542" s="428" t="s">
        <v>127</v>
      </c>
    </row>
    <row r="1543" spans="1:5" x14ac:dyDescent="0.4">
      <c r="A1543" s="271">
        <v>45891</v>
      </c>
      <c r="B1543" s="85" t="s">
        <v>903</v>
      </c>
      <c r="C1543" s="351" t="s">
        <v>121</v>
      </c>
      <c r="D1543" s="43">
        <v>-2</v>
      </c>
      <c r="E1543" s="428" t="s">
        <v>127</v>
      </c>
    </row>
    <row r="1544" spans="1:5" x14ac:dyDescent="0.4">
      <c r="A1544" s="271">
        <v>45891</v>
      </c>
      <c r="B1544" s="349" t="s">
        <v>830</v>
      </c>
      <c r="C1544" s="351" t="s">
        <v>121</v>
      </c>
      <c r="D1544" s="43">
        <v>-26</v>
      </c>
      <c r="E1544" s="428" t="s">
        <v>127</v>
      </c>
    </row>
    <row r="1545" spans="1:5" x14ac:dyDescent="0.4">
      <c r="A1545" s="271">
        <v>45891</v>
      </c>
      <c r="B1545" s="349" t="s">
        <v>829</v>
      </c>
      <c r="C1545" s="351" t="s">
        <v>121</v>
      </c>
      <c r="D1545" s="43">
        <v>-6</v>
      </c>
      <c r="E1545" s="428" t="s">
        <v>127</v>
      </c>
    </row>
    <row r="1546" spans="1:5" x14ac:dyDescent="0.4">
      <c r="A1546" s="271">
        <v>45891</v>
      </c>
      <c r="B1546" s="348" t="s">
        <v>986</v>
      </c>
      <c r="C1546" s="351" t="s">
        <v>121</v>
      </c>
      <c r="D1546" s="43">
        <v>-6</v>
      </c>
      <c r="E1546" s="428" t="s">
        <v>127</v>
      </c>
    </row>
    <row r="1547" spans="1:5" x14ac:dyDescent="0.4">
      <c r="A1547" s="271">
        <v>45891</v>
      </c>
      <c r="B1547" s="93" t="s">
        <v>84</v>
      </c>
      <c r="C1547" s="351" t="s">
        <v>121</v>
      </c>
      <c r="D1547" s="43">
        <v>-3</v>
      </c>
      <c r="E1547" s="428" t="s">
        <v>127</v>
      </c>
    </row>
    <row r="1549" spans="1:5" x14ac:dyDescent="0.4">
      <c r="A1549" s="341">
        <v>45892</v>
      </c>
      <c r="B1549" s="348" t="s">
        <v>512</v>
      </c>
      <c r="C1549" s="351" t="s">
        <v>121</v>
      </c>
      <c r="D1549" s="351">
        <v>-2</v>
      </c>
      <c r="E1549" s="235" t="s">
        <v>127</v>
      </c>
    </row>
    <row r="1550" spans="1:5" x14ac:dyDescent="0.4">
      <c r="A1550" s="341">
        <v>45892</v>
      </c>
      <c r="B1550" s="349" t="s">
        <v>136</v>
      </c>
      <c r="C1550" s="351" t="s">
        <v>121</v>
      </c>
      <c r="D1550" s="43">
        <v>-8</v>
      </c>
      <c r="E1550" s="235" t="s">
        <v>127</v>
      </c>
    </row>
    <row r="1551" spans="1:5" x14ac:dyDescent="0.4">
      <c r="A1551" s="341">
        <v>45892</v>
      </c>
      <c r="B1551" s="349" t="s">
        <v>136</v>
      </c>
      <c r="C1551" s="351" t="s">
        <v>121</v>
      </c>
      <c r="D1551" s="43">
        <v>-2</v>
      </c>
      <c r="E1551" s="235" t="s">
        <v>127</v>
      </c>
    </row>
    <row r="1552" spans="1:5" x14ac:dyDescent="0.4">
      <c r="A1552" s="341">
        <v>45892</v>
      </c>
      <c r="B1552" s="147" t="s">
        <v>950</v>
      </c>
      <c r="C1552" s="351" t="s">
        <v>121</v>
      </c>
      <c r="D1552" s="43">
        <v>-1</v>
      </c>
      <c r="E1552" s="235" t="s">
        <v>127</v>
      </c>
    </row>
    <row r="1553" spans="1:6" x14ac:dyDescent="0.4">
      <c r="A1553" s="341">
        <v>45892</v>
      </c>
      <c r="B1553" s="147" t="s">
        <v>950</v>
      </c>
      <c r="C1553" s="351" t="s">
        <v>121</v>
      </c>
      <c r="D1553" s="43">
        <v>-1</v>
      </c>
      <c r="E1553" s="235" t="s">
        <v>127</v>
      </c>
    </row>
    <row r="1554" spans="1:6" x14ac:dyDescent="0.4">
      <c r="A1554" s="341">
        <v>45892</v>
      </c>
      <c r="B1554" s="349" t="s">
        <v>999</v>
      </c>
      <c r="C1554" s="351" t="s">
        <v>121</v>
      </c>
      <c r="D1554" s="43">
        <v>-1</v>
      </c>
      <c r="E1554" s="235" t="s">
        <v>127</v>
      </c>
    </row>
    <row r="1555" spans="1:6" x14ac:dyDescent="0.4">
      <c r="A1555" s="341">
        <v>45892</v>
      </c>
      <c r="B1555" s="349" t="s">
        <v>999</v>
      </c>
      <c r="C1555" s="351" t="s">
        <v>121</v>
      </c>
      <c r="D1555" s="43">
        <v>-1</v>
      </c>
      <c r="E1555" s="235" t="s">
        <v>127</v>
      </c>
    </row>
    <row r="1556" spans="1:6" x14ac:dyDescent="0.4">
      <c r="A1556" s="341">
        <v>45892</v>
      </c>
      <c r="B1556" s="94" t="s">
        <v>91</v>
      </c>
      <c r="C1556" s="351" t="s">
        <v>121</v>
      </c>
      <c r="D1556" s="43">
        <v>0</v>
      </c>
      <c r="E1556" s="235" t="s">
        <v>127</v>
      </c>
      <c r="F1556" t="s">
        <v>695</v>
      </c>
    </row>
    <row r="1557" spans="1:6" x14ac:dyDescent="0.4">
      <c r="A1557" s="341">
        <v>45892</v>
      </c>
      <c r="B1557" s="103" t="s">
        <v>423</v>
      </c>
      <c r="C1557" s="351" t="s">
        <v>121</v>
      </c>
      <c r="D1557" s="43">
        <v>0</v>
      </c>
      <c r="E1557" s="235" t="s">
        <v>127</v>
      </c>
      <c r="F1557" t="s">
        <v>695</v>
      </c>
    </row>
    <row r="1558" spans="1:6" x14ac:dyDescent="0.4">
      <c r="A1558" s="341">
        <v>45892</v>
      </c>
      <c r="B1558" s="350" t="s">
        <v>954</v>
      </c>
      <c r="C1558" s="351" t="s">
        <v>121</v>
      </c>
      <c r="D1558" s="43">
        <v>-4</v>
      </c>
      <c r="E1558" s="235" t="s">
        <v>127</v>
      </c>
    </row>
    <row r="1559" spans="1:6" x14ac:dyDescent="0.4">
      <c r="A1559" s="341">
        <v>45892</v>
      </c>
      <c r="B1559" s="349" t="s">
        <v>136</v>
      </c>
      <c r="C1559" s="351" t="s">
        <v>121</v>
      </c>
      <c r="D1559" s="43">
        <v>-7</v>
      </c>
      <c r="E1559" s="235" t="s">
        <v>127</v>
      </c>
    </row>
    <row r="1560" spans="1:6" x14ac:dyDescent="0.4">
      <c r="A1560" s="341">
        <v>45892</v>
      </c>
      <c r="B1560" s="349" t="s">
        <v>169</v>
      </c>
      <c r="C1560" s="351" t="s">
        <v>121</v>
      </c>
      <c r="D1560" s="43">
        <v>-5</v>
      </c>
      <c r="E1560" s="235" t="s">
        <v>127</v>
      </c>
    </row>
    <row r="1561" spans="1:6" x14ac:dyDescent="0.4">
      <c r="A1561" s="341">
        <v>45892</v>
      </c>
      <c r="B1561" s="349" t="s">
        <v>136</v>
      </c>
      <c r="C1561" s="351" t="s">
        <v>121</v>
      </c>
      <c r="D1561" s="43">
        <v>-1</v>
      </c>
      <c r="E1561" s="235" t="s">
        <v>127</v>
      </c>
    </row>
    <row r="1563" spans="1:6" x14ac:dyDescent="0.4">
      <c r="A1563" s="271">
        <v>45894</v>
      </c>
      <c r="B1563" s="85" t="s">
        <v>903</v>
      </c>
      <c r="C1563" s="351" t="s">
        <v>121</v>
      </c>
      <c r="D1563" s="43">
        <v>-2</v>
      </c>
      <c r="E1563" s="428" t="s">
        <v>127</v>
      </c>
    </row>
    <row r="1565" spans="1:6" x14ac:dyDescent="0.4">
      <c r="A1565" s="329">
        <v>45894</v>
      </c>
      <c r="B1565" s="331" t="s">
        <v>830</v>
      </c>
      <c r="C1565" s="328" t="s">
        <v>701</v>
      </c>
      <c r="D1565" s="432">
        <v>3</v>
      </c>
      <c r="E1565" s="433" t="s">
        <v>127</v>
      </c>
    </row>
    <row r="1566" spans="1:6" x14ac:dyDescent="0.4">
      <c r="A1566" s="329">
        <v>45894</v>
      </c>
      <c r="B1566" s="331" t="s">
        <v>828</v>
      </c>
      <c r="C1566" s="328" t="s">
        <v>701</v>
      </c>
      <c r="D1566" s="432">
        <v>11</v>
      </c>
      <c r="E1566" s="433" t="s">
        <v>127</v>
      </c>
    </row>
    <row r="1567" spans="1:6" x14ac:dyDescent="0.4">
      <c r="A1567" s="329">
        <v>45894</v>
      </c>
      <c r="B1567" s="331" t="s">
        <v>829</v>
      </c>
      <c r="C1567" s="328" t="s">
        <v>701</v>
      </c>
      <c r="D1567" s="432">
        <v>4</v>
      </c>
      <c r="E1567" s="433" t="s">
        <v>127</v>
      </c>
    </row>
    <row r="1568" spans="1:6" x14ac:dyDescent="0.4">
      <c r="A1568" s="329">
        <v>45894</v>
      </c>
      <c r="B1568" s="330" t="s">
        <v>133</v>
      </c>
      <c r="C1568" s="328" t="s">
        <v>701</v>
      </c>
      <c r="D1568" s="432">
        <v>7</v>
      </c>
      <c r="E1568" s="433" t="s">
        <v>127</v>
      </c>
    </row>
    <row r="1569" spans="1:5" x14ac:dyDescent="0.4">
      <c r="A1569" s="329">
        <v>45894</v>
      </c>
      <c r="B1569" s="330" t="s">
        <v>425</v>
      </c>
      <c r="C1569" s="328" t="s">
        <v>701</v>
      </c>
      <c r="D1569" s="432">
        <v>1</v>
      </c>
      <c r="E1569" s="433" t="s">
        <v>127</v>
      </c>
    </row>
    <row r="1570" spans="1:5" x14ac:dyDescent="0.4">
      <c r="A1570" s="329">
        <v>45894</v>
      </c>
      <c r="B1570" s="434" t="s">
        <v>1171</v>
      </c>
      <c r="C1570" s="328" t="s">
        <v>701</v>
      </c>
      <c r="D1570" s="432">
        <v>2</v>
      </c>
      <c r="E1570" s="433" t="s">
        <v>127</v>
      </c>
    </row>
    <row r="1571" spans="1:5" x14ac:dyDescent="0.4">
      <c r="A1571" s="329">
        <v>45894</v>
      </c>
      <c r="B1571" s="434" t="s">
        <v>1172</v>
      </c>
      <c r="C1571" s="328" t="s">
        <v>701</v>
      </c>
      <c r="D1571" s="432">
        <v>4</v>
      </c>
      <c r="E1571" s="433" t="s">
        <v>127</v>
      </c>
    </row>
    <row r="1572" spans="1:5" x14ac:dyDescent="0.4">
      <c r="A1572" s="329">
        <v>45894</v>
      </c>
      <c r="B1572" s="434" t="s">
        <v>1172</v>
      </c>
      <c r="C1572" s="328" t="s">
        <v>701</v>
      </c>
      <c r="D1572" s="432">
        <v>4</v>
      </c>
      <c r="E1572" s="433" t="s">
        <v>127</v>
      </c>
    </row>
    <row r="1573" spans="1:5" x14ac:dyDescent="0.4">
      <c r="A1573" s="329">
        <v>45894</v>
      </c>
      <c r="B1573" s="434" t="s">
        <v>1173</v>
      </c>
      <c r="C1573" s="328" t="s">
        <v>701</v>
      </c>
      <c r="D1573" s="432">
        <v>2</v>
      </c>
      <c r="E1573" s="433" t="s">
        <v>127</v>
      </c>
    </row>
    <row r="1574" spans="1:5" x14ac:dyDescent="0.4">
      <c r="A1574" s="329">
        <v>45894</v>
      </c>
      <c r="B1574" s="434" t="s">
        <v>1174</v>
      </c>
      <c r="C1574" s="328" t="s">
        <v>701</v>
      </c>
      <c r="D1574" s="432">
        <v>1</v>
      </c>
      <c r="E1574" s="433" t="s">
        <v>127</v>
      </c>
    </row>
    <row r="1575" spans="1:5" x14ac:dyDescent="0.4">
      <c r="A1575" s="329">
        <v>45894</v>
      </c>
      <c r="B1575" s="435" t="s">
        <v>941</v>
      </c>
      <c r="C1575" s="328" t="s">
        <v>701</v>
      </c>
      <c r="D1575" s="432">
        <v>2</v>
      </c>
      <c r="E1575" s="433" t="s">
        <v>127</v>
      </c>
    </row>
    <row r="1576" spans="1:5" x14ac:dyDescent="0.4">
      <c r="A1576" s="329">
        <v>45894</v>
      </c>
      <c r="B1576" s="435" t="s">
        <v>945</v>
      </c>
      <c r="C1576" s="328" t="s">
        <v>701</v>
      </c>
      <c r="D1576" s="432">
        <v>2</v>
      </c>
      <c r="E1576" s="433" t="s">
        <v>127</v>
      </c>
    </row>
    <row r="1577" spans="1:5" x14ac:dyDescent="0.4">
      <c r="A1577" s="329">
        <v>45894</v>
      </c>
      <c r="B1577" s="435" t="s">
        <v>1175</v>
      </c>
      <c r="C1577" s="328" t="s">
        <v>701</v>
      </c>
      <c r="D1577" s="432">
        <v>1</v>
      </c>
      <c r="E1577" s="433" t="s">
        <v>127</v>
      </c>
    </row>
    <row r="1578" spans="1:5" x14ac:dyDescent="0.4">
      <c r="A1578" s="329">
        <v>45894</v>
      </c>
      <c r="B1578" s="331" t="s">
        <v>1002</v>
      </c>
      <c r="C1578" s="328" t="s">
        <v>701</v>
      </c>
      <c r="D1578" s="432">
        <v>2</v>
      </c>
      <c r="E1578" s="433" t="s">
        <v>127</v>
      </c>
    </row>
    <row r="1579" spans="1:5" x14ac:dyDescent="0.4">
      <c r="A1579" s="329">
        <v>45894</v>
      </c>
      <c r="B1579" s="331" t="s">
        <v>942</v>
      </c>
      <c r="C1579" s="328" t="s">
        <v>701</v>
      </c>
      <c r="D1579" s="432">
        <v>1</v>
      </c>
      <c r="E1579" s="433" t="s">
        <v>127</v>
      </c>
    </row>
    <row r="1580" spans="1:5" x14ac:dyDescent="0.4">
      <c r="A1580" s="329">
        <v>45894</v>
      </c>
      <c r="B1580" s="435" t="s">
        <v>950</v>
      </c>
      <c r="C1580" s="328" t="s">
        <v>701</v>
      </c>
      <c r="D1580" s="432">
        <v>1</v>
      </c>
      <c r="E1580" s="433" t="s">
        <v>127</v>
      </c>
    </row>
    <row r="1581" spans="1:5" x14ac:dyDescent="0.4">
      <c r="A1581" s="329">
        <v>45894</v>
      </c>
      <c r="B1581" s="435" t="s">
        <v>136</v>
      </c>
      <c r="C1581" s="328" t="s">
        <v>701</v>
      </c>
      <c r="D1581" s="432">
        <v>2</v>
      </c>
      <c r="E1581" s="433" t="s">
        <v>127</v>
      </c>
    </row>
    <row r="1582" spans="1:5" x14ac:dyDescent="0.4">
      <c r="A1582" s="329">
        <v>45894</v>
      </c>
      <c r="B1582" s="435" t="s">
        <v>136</v>
      </c>
      <c r="C1582" s="328" t="s">
        <v>701</v>
      </c>
      <c r="D1582" s="432">
        <v>4</v>
      </c>
      <c r="E1582" s="433" t="s">
        <v>127</v>
      </c>
    </row>
    <row r="1583" spans="1:5" x14ac:dyDescent="0.4">
      <c r="A1583" s="329">
        <v>45894</v>
      </c>
      <c r="B1583" s="435" t="s">
        <v>136</v>
      </c>
      <c r="C1583" s="328" t="s">
        <v>701</v>
      </c>
      <c r="D1583" s="432">
        <v>3</v>
      </c>
      <c r="E1583" s="433" t="s">
        <v>127</v>
      </c>
    </row>
    <row r="1584" spans="1:5" x14ac:dyDescent="0.4">
      <c r="A1584" s="329">
        <v>45894</v>
      </c>
      <c r="B1584" s="435" t="s">
        <v>136</v>
      </c>
      <c r="C1584" s="328" t="s">
        <v>701</v>
      </c>
      <c r="D1584" s="432">
        <v>4</v>
      </c>
      <c r="E1584" s="433" t="s">
        <v>127</v>
      </c>
    </row>
    <row r="1585" spans="1:5" x14ac:dyDescent="0.4">
      <c r="A1585" s="329">
        <v>45894</v>
      </c>
      <c r="B1585" s="434" t="s">
        <v>1176</v>
      </c>
      <c r="C1585" s="328" t="s">
        <v>701</v>
      </c>
      <c r="D1585" s="432">
        <v>4</v>
      </c>
      <c r="E1585" s="433" t="s">
        <v>127</v>
      </c>
    </row>
    <row r="1586" spans="1:5" x14ac:dyDescent="0.4">
      <c r="A1586" s="329">
        <v>45894</v>
      </c>
      <c r="B1586" s="434" t="s">
        <v>169</v>
      </c>
      <c r="C1586" s="328" t="s">
        <v>701</v>
      </c>
      <c r="D1586" s="432">
        <v>1</v>
      </c>
      <c r="E1586" s="433" t="s">
        <v>127</v>
      </c>
    </row>
    <row r="1587" spans="1:5" x14ac:dyDescent="0.4">
      <c r="A1587" s="329">
        <v>45894</v>
      </c>
      <c r="B1587" s="435" t="s">
        <v>136</v>
      </c>
      <c r="C1587" s="328" t="s">
        <v>701</v>
      </c>
      <c r="D1587" s="432">
        <v>1</v>
      </c>
      <c r="E1587" s="433" t="s">
        <v>127</v>
      </c>
    </row>
    <row r="1589" spans="1:5" x14ac:dyDescent="0.4">
      <c r="A1589" s="341">
        <v>45894</v>
      </c>
      <c r="B1589" s="349" t="s">
        <v>828</v>
      </c>
      <c r="C1589" s="351" t="s">
        <v>121</v>
      </c>
      <c r="D1589" s="351">
        <v>-11</v>
      </c>
      <c r="E1589" s="235" t="s">
        <v>127</v>
      </c>
    </row>
    <row r="1590" spans="1:5" x14ac:dyDescent="0.4">
      <c r="A1590" s="341">
        <v>45894</v>
      </c>
      <c r="B1590" s="349" t="s">
        <v>829</v>
      </c>
      <c r="C1590" s="351" t="s">
        <v>121</v>
      </c>
      <c r="D1590" s="351">
        <v>-4</v>
      </c>
      <c r="E1590" s="235" t="s">
        <v>127</v>
      </c>
    </row>
    <row r="1591" spans="1:5" x14ac:dyDescent="0.4">
      <c r="A1591" s="341">
        <v>45894</v>
      </c>
      <c r="B1591" s="349" t="s">
        <v>830</v>
      </c>
      <c r="C1591" s="351" t="s">
        <v>121</v>
      </c>
      <c r="D1591" s="351">
        <v>-1</v>
      </c>
      <c r="E1591" s="235" t="s">
        <v>127</v>
      </c>
    </row>
    <row r="1592" spans="1:5" x14ac:dyDescent="0.4">
      <c r="A1592" s="341">
        <v>45894</v>
      </c>
      <c r="B1592" s="349" t="s">
        <v>830</v>
      </c>
      <c r="C1592" s="351" t="s">
        <v>121</v>
      </c>
      <c r="D1592" s="351">
        <v>-2</v>
      </c>
      <c r="E1592" s="235" t="s">
        <v>127</v>
      </c>
    </row>
    <row r="1593" spans="1:5" x14ac:dyDescent="0.4">
      <c r="A1593" s="341">
        <v>45894</v>
      </c>
      <c r="B1593" s="348" t="s">
        <v>133</v>
      </c>
      <c r="C1593" s="351" t="s">
        <v>121</v>
      </c>
      <c r="D1593" s="351">
        <v>-7</v>
      </c>
      <c r="E1593" s="235" t="s">
        <v>127</v>
      </c>
    </row>
    <row r="1594" spans="1:5" x14ac:dyDescent="0.4">
      <c r="A1594" s="341">
        <v>45894</v>
      </c>
      <c r="B1594" s="348" t="s">
        <v>425</v>
      </c>
      <c r="C1594" s="351" t="s">
        <v>121</v>
      </c>
      <c r="D1594" s="351">
        <v>-1</v>
      </c>
      <c r="E1594" s="235" t="s">
        <v>127</v>
      </c>
    </row>
    <row r="1595" spans="1:5" x14ac:dyDescent="0.4">
      <c r="A1595" s="341">
        <v>45894</v>
      </c>
      <c r="B1595" s="350" t="s">
        <v>954</v>
      </c>
      <c r="C1595" s="351" t="s">
        <v>121</v>
      </c>
      <c r="D1595" s="43">
        <v>-1</v>
      </c>
      <c r="E1595" s="235" t="s">
        <v>127</v>
      </c>
    </row>
    <row r="1596" spans="1:5" x14ac:dyDescent="0.4">
      <c r="A1596" s="341">
        <v>45894</v>
      </c>
      <c r="B1596" s="349" t="s">
        <v>136</v>
      </c>
      <c r="C1596" s="351" t="s">
        <v>121</v>
      </c>
      <c r="D1596" s="43">
        <v>-1</v>
      </c>
      <c r="E1596" s="235" t="s">
        <v>127</v>
      </c>
    </row>
    <row r="1597" spans="1:5" x14ac:dyDescent="0.4">
      <c r="A1597" s="341">
        <v>45894</v>
      </c>
      <c r="B1597" s="349" t="s">
        <v>169</v>
      </c>
      <c r="C1597" s="351" t="s">
        <v>121</v>
      </c>
      <c r="D1597" s="43">
        <v>-2</v>
      </c>
      <c r="E1597" s="235" t="s">
        <v>127</v>
      </c>
    </row>
    <row r="1598" spans="1:5" x14ac:dyDescent="0.4">
      <c r="A1598" s="341">
        <v>45894</v>
      </c>
      <c r="B1598" s="349" t="s">
        <v>169</v>
      </c>
      <c r="C1598" s="351" t="s">
        <v>121</v>
      </c>
      <c r="D1598" s="43">
        <v>-1</v>
      </c>
      <c r="E1598" s="235" t="s">
        <v>127</v>
      </c>
    </row>
    <row r="1599" spans="1:5" x14ac:dyDescent="0.4">
      <c r="A1599" s="341">
        <v>45894</v>
      </c>
      <c r="B1599" s="349" t="s">
        <v>999</v>
      </c>
      <c r="C1599" s="351" t="s">
        <v>121</v>
      </c>
      <c r="D1599" s="43">
        <v>-1</v>
      </c>
      <c r="E1599" s="235" t="s">
        <v>127</v>
      </c>
    </row>
    <row r="1600" spans="1:5" x14ac:dyDescent="0.4">
      <c r="A1600" s="341">
        <v>45894</v>
      </c>
      <c r="B1600" s="349" t="s">
        <v>169</v>
      </c>
      <c r="C1600" s="351" t="s">
        <v>121</v>
      </c>
      <c r="D1600" s="43">
        <v>-1</v>
      </c>
      <c r="E1600" s="235" t="s">
        <v>127</v>
      </c>
    </row>
    <row r="1601" spans="1:6" x14ac:dyDescent="0.4">
      <c r="A1601" s="341">
        <v>45894</v>
      </c>
      <c r="B1601" s="94" t="s">
        <v>168</v>
      </c>
      <c r="C1601" s="351" t="s">
        <v>121</v>
      </c>
      <c r="D1601" s="43">
        <v>-1</v>
      </c>
      <c r="E1601" s="235" t="s">
        <v>127</v>
      </c>
    </row>
    <row r="1602" spans="1:6" x14ac:dyDescent="0.4">
      <c r="A1602" s="341">
        <v>45894</v>
      </c>
      <c r="B1602" s="94" t="s">
        <v>171</v>
      </c>
      <c r="C1602" s="351" t="s">
        <v>121</v>
      </c>
      <c r="D1602" s="43">
        <v>-1</v>
      </c>
      <c r="E1602" s="235" t="s">
        <v>127</v>
      </c>
    </row>
    <row r="1604" spans="1:6" x14ac:dyDescent="0.4">
      <c r="A1604" s="341">
        <v>45892</v>
      </c>
      <c r="B1604" s="147" t="s">
        <v>950</v>
      </c>
      <c r="C1604" s="43" t="s">
        <v>697</v>
      </c>
      <c r="D1604" s="43">
        <v>-1</v>
      </c>
      <c r="E1604" s="235" t="s">
        <v>127</v>
      </c>
    </row>
    <row r="1605" spans="1:6" x14ac:dyDescent="0.4">
      <c r="A1605" s="341">
        <v>45892</v>
      </c>
      <c r="B1605" s="349" t="s">
        <v>136</v>
      </c>
      <c r="C1605" s="43" t="s">
        <v>697</v>
      </c>
      <c r="D1605" s="43">
        <v>-5</v>
      </c>
      <c r="E1605" s="235" t="s">
        <v>127</v>
      </c>
    </row>
    <row r="1607" spans="1:6" x14ac:dyDescent="0.4">
      <c r="A1607" s="352">
        <v>45890</v>
      </c>
      <c r="B1607" s="355" t="s">
        <v>171</v>
      </c>
      <c r="C1607" s="354" t="s">
        <v>943</v>
      </c>
      <c r="D1607" s="354">
        <v>1</v>
      </c>
      <c r="E1607" s="368" t="s">
        <v>127</v>
      </c>
      <c r="F1607" t="s">
        <v>1194</v>
      </c>
    </row>
    <row r="1608" spans="1:6" x14ac:dyDescent="0.4">
      <c r="A1608" s="352">
        <v>45890</v>
      </c>
      <c r="B1608" s="355" t="s">
        <v>136</v>
      </c>
      <c r="C1608" s="354" t="s">
        <v>943</v>
      </c>
      <c r="D1608" s="354">
        <v>9</v>
      </c>
      <c r="E1608" s="368" t="s">
        <v>127</v>
      </c>
    </row>
    <row r="1609" spans="1:6" x14ac:dyDescent="0.4">
      <c r="A1609" s="352">
        <v>45890</v>
      </c>
      <c r="B1609" s="355" t="s">
        <v>136</v>
      </c>
      <c r="C1609" s="354" t="s">
        <v>943</v>
      </c>
      <c r="D1609" s="354">
        <v>10</v>
      </c>
      <c r="E1609" s="368" t="s">
        <v>127</v>
      </c>
    </row>
    <row r="1610" spans="1:6" x14ac:dyDescent="0.4">
      <c r="A1610" s="352">
        <v>45890</v>
      </c>
      <c r="B1610" s="356" t="s">
        <v>950</v>
      </c>
      <c r="C1610" s="354" t="s">
        <v>943</v>
      </c>
      <c r="D1610" s="354">
        <v>1</v>
      </c>
      <c r="E1610" s="368" t="s">
        <v>127</v>
      </c>
    </row>
    <row r="1611" spans="1:6" x14ac:dyDescent="0.4">
      <c r="A1611" s="352">
        <v>45890</v>
      </c>
      <c r="B1611" s="355" t="s">
        <v>136</v>
      </c>
      <c r="C1611" s="354" t="s">
        <v>943</v>
      </c>
      <c r="D1611" s="354">
        <v>1</v>
      </c>
      <c r="E1611" s="368" t="s">
        <v>127</v>
      </c>
    </row>
    <row r="1612" spans="1:6" x14ac:dyDescent="0.4">
      <c r="A1612" s="352">
        <v>45890</v>
      </c>
      <c r="B1612" s="355" t="s">
        <v>169</v>
      </c>
      <c r="C1612" s="354" t="s">
        <v>943</v>
      </c>
      <c r="D1612" s="354">
        <v>2</v>
      </c>
      <c r="E1612" s="368" t="s">
        <v>127</v>
      </c>
    </row>
    <row r="1613" spans="1:6" x14ac:dyDescent="0.4">
      <c r="A1613" s="352">
        <v>45890</v>
      </c>
      <c r="B1613" s="355" t="s">
        <v>169</v>
      </c>
      <c r="C1613" s="354" t="s">
        <v>943</v>
      </c>
      <c r="D1613" s="354">
        <v>6</v>
      </c>
      <c r="E1613" s="368" t="s">
        <v>127</v>
      </c>
    </row>
    <row r="1614" spans="1:6" x14ac:dyDescent="0.4">
      <c r="A1614" s="352">
        <v>45890</v>
      </c>
      <c r="B1614" s="355" t="s">
        <v>999</v>
      </c>
      <c r="C1614" s="354" t="s">
        <v>943</v>
      </c>
      <c r="D1614" s="354">
        <v>1</v>
      </c>
      <c r="E1614" s="368" t="s">
        <v>127</v>
      </c>
    </row>
    <row r="1615" spans="1:6" x14ac:dyDescent="0.4">
      <c r="A1615" s="352">
        <v>45890</v>
      </c>
      <c r="B1615" s="355" t="s">
        <v>999</v>
      </c>
      <c r="C1615" s="354" t="s">
        <v>943</v>
      </c>
      <c r="D1615" s="354">
        <v>1</v>
      </c>
      <c r="E1615" s="368" t="s">
        <v>127</v>
      </c>
    </row>
    <row r="1616" spans="1:6" x14ac:dyDescent="0.4">
      <c r="A1616" s="352">
        <v>45890</v>
      </c>
      <c r="B1616" s="355" t="s">
        <v>169</v>
      </c>
      <c r="C1616" s="354" t="s">
        <v>943</v>
      </c>
      <c r="D1616" s="354">
        <v>1</v>
      </c>
      <c r="E1616" s="368" t="s">
        <v>127</v>
      </c>
    </row>
    <row r="1617" spans="1:6" x14ac:dyDescent="0.4">
      <c r="A1617" s="352">
        <v>45890</v>
      </c>
      <c r="B1617" s="355" t="s">
        <v>168</v>
      </c>
      <c r="C1617" s="354" t="s">
        <v>943</v>
      </c>
      <c r="D1617" s="354">
        <v>1</v>
      </c>
      <c r="E1617" s="368" t="s">
        <v>127</v>
      </c>
    </row>
    <row r="1618" spans="1:6" x14ac:dyDescent="0.4">
      <c r="A1618" s="352">
        <v>45890</v>
      </c>
      <c r="B1618" s="355" t="s">
        <v>999</v>
      </c>
      <c r="C1618" s="354" t="s">
        <v>943</v>
      </c>
      <c r="D1618" s="354">
        <v>1</v>
      </c>
      <c r="E1618" s="368" t="s">
        <v>127</v>
      </c>
    </row>
    <row r="1619" spans="1:6" x14ac:dyDescent="0.4">
      <c r="A1619" s="352">
        <v>45890</v>
      </c>
      <c r="B1619" s="356" t="s">
        <v>941</v>
      </c>
      <c r="C1619" s="354" t="s">
        <v>943</v>
      </c>
      <c r="D1619" s="354">
        <v>4</v>
      </c>
      <c r="E1619" s="368" t="s">
        <v>127</v>
      </c>
    </row>
    <row r="1620" spans="1:6" x14ac:dyDescent="0.4">
      <c r="A1620" s="352">
        <v>45890</v>
      </c>
      <c r="B1620" s="436" t="s">
        <v>1177</v>
      </c>
      <c r="C1620" s="354" t="s">
        <v>943</v>
      </c>
      <c r="D1620" s="354">
        <v>1</v>
      </c>
      <c r="E1620" s="368" t="s">
        <v>127</v>
      </c>
    </row>
    <row r="1621" spans="1:6" x14ac:dyDescent="0.4">
      <c r="A1621" s="352">
        <v>45890</v>
      </c>
      <c r="B1621" s="356" t="s">
        <v>941</v>
      </c>
      <c r="C1621" s="354" t="s">
        <v>943</v>
      </c>
      <c r="D1621" s="354">
        <v>1</v>
      </c>
      <c r="E1621" s="368" t="s">
        <v>127</v>
      </c>
    </row>
    <row r="1622" spans="1:6" x14ac:dyDescent="0.4">
      <c r="A1622" s="352">
        <v>45890</v>
      </c>
      <c r="B1622" s="356" t="s">
        <v>945</v>
      </c>
      <c r="C1622" s="354" t="s">
        <v>943</v>
      </c>
      <c r="D1622" s="354">
        <v>1</v>
      </c>
      <c r="E1622" s="368" t="s">
        <v>127</v>
      </c>
    </row>
    <row r="1623" spans="1:6" x14ac:dyDescent="0.4">
      <c r="A1623" s="352">
        <v>45890</v>
      </c>
      <c r="B1623" s="357" t="s">
        <v>954</v>
      </c>
      <c r="C1623" s="354" t="s">
        <v>943</v>
      </c>
      <c r="D1623" s="354">
        <v>4</v>
      </c>
      <c r="E1623" s="368" t="s">
        <v>127</v>
      </c>
    </row>
    <row r="1624" spans="1:6" x14ac:dyDescent="0.4">
      <c r="A1624" s="352">
        <v>45890</v>
      </c>
      <c r="B1624" s="355" t="s">
        <v>942</v>
      </c>
      <c r="C1624" s="354" t="s">
        <v>943</v>
      </c>
      <c r="D1624" s="354">
        <v>9</v>
      </c>
      <c r="E1624" s="368" t="s">
        <v>127</v>
      </c>
    </row>
    <row r="1625" spans="1:6" x14ac:dyDescent="0.4">
      <c r="A1625" s="352">
        <v>45890</v>
      </c>
      <c r="B1625" s="355" t="s">
        <v>1119</v>
      </c>
      <c r="C1625" s="354" t="s">
        <v>943</v>
      </c>
      <c r="D1625" s="354">
        <v>0</v>
      </c>
      <c r="E1625" s="368" t="s">
        <v>127</v>
      </c>
      <c r="F1625" t="s">
        <v>695</v>
      </c>
    </row>
    <row r="1627" spans="1:6" x14ac:dyDescent="0.4">
      <c r="A1627" s="278">
        <v>45895</v>
      </c>
      <c r="B1627" s="127" t="s">
        <v>690</v>
      </c>
      <c r="C1627" s="105" t="s">
        <v>49</v>
      </c>
      <c r="D1627" s="105">
        <v>5</v>
      </c>
      <c r="E1627" s="95" t="s">
        <v>127</v>
      </c>
    </row>
    <row r="1628" spans="1:6" x14ac:dyDescent="0.4">
      <c r="A1628" s="278">
        <v>45895</v>
      </c>
      <c r="B1628" s="139" t="s">
        <v>76</v>
      </c>
      <c r="C1628" s="105" t="s">
        <v>49</v>
      </c>
      <c r="D1628" s="105">
        <v>400</v>
      </c>
      <c r="E1628" s="95" t="s">
        <v>127</v>
      </c>
    </row>
    <row r="1629" spans="1:6" x14ac:dyDescent="0.4">
      <c r="A1629" s="278">
        <v>45895</v>
      </c>
      <c r="B1629" s="139" t="s">
        <v>76</v>
      </c>
      <c r="C1629" s="105" t="s">
        <v>49</v>
      </c>
      <c r="D1629" s="105">
        <v>60</v>
      </c>
      <c r="E1629" s="95" t="s">
        <v>127</v>
      </c>
    </row>
    <row r="1630" spans="1:6" x14ac:dyDescent="0.4">
      <c r="A1630" s="278">
        <v>45895</v>
      </c>
      <c r="B1630" s="139" t="s">
        <v>76</v>
      </c>
      <c r="C1630" s="105" t="s">
        <v>49</v>
      </c>
      <c r="D1630" s="105">
        <v>57</v>
      </c>
      <c r="E1630" s="95" t="s">
        <v>127</v>
      </c>
    </row>
    <row r="1631" spans="1:6" x14ac:dyDescent="0.4">
      <c r="A1631" s="278">
        <v>45895</v>
      </c>
      <c r="B1631" s="139" t="s">
        <v>76</v>
      </c>
      <c r="C1631" s="105" t="s">
        <v>49</v>
      </c>
      <c r="D1631" s="105">
        <v>56</v>
      </c>
      <c r="E1631" s="95" t="s">
        <v>127</v>
      </c>
    </row>
    <row r="1633" spans="1:5" x14ac:dyDescent="0.4">
      <c r="A1633" s="336">
        <v>45895</v>
      </c>
      <c r="B1633" s="335" t="s">
        <v>690</v>
      </c>
      <c r="C1633" s="334" t="s">
        <v>49</v>
      </c>
      <c r="D1633" s="334">
        <v>5</v>
      </c>
      <c r="E1633" s="337" t="s">
        <v>127</v>
      </c>
    </row>
    <row r="1634" spans="1:5" x14ac:dyDescent="0.4">
      <c r="A1634" s="336">
        <v>45895</v>
      </c>
      <c r="B1634" s="335" t="s">
        <v>690</v>
      </c>
      <c r="C1634" s="334" t="s">
        <v>49</v>
      </c>
      <c r="D1634" s="334">
        <v>1</v>
      </c>
      <c r="E1634" s="337" t="s">
        <v>127</v>
      </c>
    </row>
    <row r="1635" spans="1:5" x14ac:dyDescent="0.4">
      <c r="A1635" s="336">
        <v>45895</v>
      </c>
      <c r="B1635" s="335" t="s">
        <v>690</v>
      </c>
      <c r="C1635" s="334" t="s">
        <v>49</v>
      </c>
      <c r="D1635" s="334">
        <v>1</v>
      </c>
      <c r="E1635" s="337" t="s">
        <v>127</v>
      </c>
    </row>
    <row r="1636" spans="1:5" x14ac:dyDescent="0.4">
      <c r="A1636" s="336">
        <v>45895</v>
      </c>
      <c r="B1636" s="335" t="s">
        <v>690</v>
      </c>
      <c r="C1636" s="334" t="s">
        <v>49</v>
      </c>
      <c r="D1636" s="334">
        <v>4</v>
      </c>
      <c r="E1636" s="337" t="s">
        <v>127</v>
      </c>
    </row>
    <row r="1637" spans="1:5" x14ac:dyDescent="0.4">
      <c r="A1637" s="336">
        <v>45895</v>
      </c>
      <c r="B1637" s="335" t="s">
        <v>123</v>
      </c>
      <c r="C1637" s="334" t="s">
        <v>49</v>
      </c>
      <c r="D1637" s="334">
        <v>50</v>
      </c>
      <c r="E1637" s="337" t="s">
        <v>127</v>
      </c>
    </row>
    <row r="1638" spans="1:5" x14ac:dyDescent="0.4">
      <c r="A1638" s="336">
        <v>45895</v>
      </c>
      <c r="B1638" s="335" t="s">
        <v>123</v>
      </c>
      <c r="C1638" s="334" t="s">
        <v>49</v>
      </c>
      <c r="D1638" s="334">
        <v>50</v>
      </c>
      <c r="E1638" s="337" t="s">
        <v>127</v>
      </c>
    </row>
    <row r="1640" spans="1:5" x14ac:dyDescent="0.4">
      <c r="A1640" s="341">
        <v>45895</v>
      </c>
      <c r="B1640" s="349" t="s">
        <v>76</v>
      </c>
      <c r="C1640" s="351" t="s">
        <v>121</v>
      </c>
      <c r="D1640" s="351">
        <v>-57</v>
      </c>
      <c r="E1640" s="235" t="s">
        <v>127</v>
      </c>
    </row>
    <row r="1641" spans="1:5" x14ac:dyDescent="0.4">
      <c r="A1641" s="444">
        <v>45895</v>
      </c>
      <c r="B1641" s="170" t="s">
        <v>136</v>
      </c>
      <c r="C1641" s="168" t="s">
        <v>121</v>
      </c>
      <c r="D1641" s="168">
        <v>0</v>
      </c>
      <c r="E1641" s="426" t="s">
        <v>1190</v>
      </c>
    </row>
    <row r="1642" spans="1:5" x14ac:dyDescent="0.4">
      <c r="A1642" s="444">
        <v>45895</v>
      </c>
      <c r="B1642" s="170" t="s">
        <v>136</v>
      </c>
      <c r="C1642" s="168" t="s">
        <v>121</v>
      </c>
      <c r="D1642" s="168">
        <v>0</v>
      </c>
      <c r="E1642" s="426" t="s">
        <v>1190</v>
      </c>
    </row>
    <row r="1643" spans="1:5" x14ac:dyDescent="0.4">
      <c r="A1643" s="444">
        <v>45895</v>
      </c>
      <c r="B1643" s="170" t="s">
        <v>136</v>
      </c>
      <c r="C1643" s="168" t="s">
        <v>121</v>
      </c>
      <c r="D1643" s="168">
        <v>0</v>
      </c>
      <c r="E1643" s="426" t="s">
        <v>1190</v>
      </c>
    </row>
    <row r="1644" spans="1:5" x14ac:dyDescent="0.4">
      <c r="A1644" s="444">
        <v>45895</v>
      </c>
      <c r="B1644" s="445" t="s">
        <v>950</v>
      </c>
      <c r="C1644" s="168" t="s">
        <v>121</v>
      </c>
      <c r="D1644" s="168">
        <v>0</v>
      </c>
      <c r="E1644" s="426" t="s">
        <v>1190</v>
      </c>
    </row>
    <row r="1645" spans="1:5" x14ac:dyDescent="0.4">
      <c r="A1645" s="444">
        <v>45895</v>
      </c>
      <c r="B1645" s="170" t="s">
        <v>999</v>
      </c>
      <c r="C1645" s="168" t="s">
        <v>121</v>
      </c>
      <c r="D1645" s="168">
        <v>0</v>
      </c>
      <c r="E1645" s="426" t="s">
        <v>1190</v>
      </c>
    </row>
    <row r="1646" spans="1:5" x14ac:dyDescent="0.4">
      <c r="A1646" s="341">
        <v>45895</v>
      </c>
      <c r="B1646" s="93" t="s">
        <v>904</v>
      </c>
      <c r="C1646" s="351" t="s">
        <v>121</v>
      </c>
      <c r="D1646" s="43">
        <v>-17</v>
      </c>
      <c r="E1646" s="235" t="s">
        <v>127</v>
      </c>
    </row>
    <row r="1647" spans="1:5" x14ac:dyDescent="0.4">
      <c r="A1647" s="341">
        <v>45895</v>
      </c>
      <c r="B1647" s="349" t="s">
        <v>962</v>
      </c>
      <c r="C1647" s="351" t="s">
        <v>121</v>
      </c>
      <c r="D1647" s="351">
        <v>-1</v>
      </c>
      <c r="E1647" s="235" t="s">
        <v>127</v>
      </c>
    </row>
    <row r="1648" spans="1:5" x14ac:dyDescent="0.4">
      <c r="A1648" s="341">
        <v>45895</v>
      </c>
      <c r="B1648" s="349" t="s">
        <v>136</v>
      </c>
      <c r="C1648" s="351" t="s">
        <v>121</v>
      </c>
      <c r="D1648" s="351">
        <v>-1</v>
      </c>
      <c r="E1648" s="235" t="s">
        <v>127</v>
      </c>
    </row>
    <row r="1649" spans="1:6" x14ac:dyDescent="0.4">
      <c r="A1649" s="341">
        <v>45895</v>
      </c>
      <c r="B1649" s="349" t="s">
        <v>136</v>
      </c>
      <c r="C1649" s="351" t="s">
        <v>121</v>
      </c>
      <c r="D1649" s="351">
        <v>-3</v>
      </c>
      <c r="E1649" s="235" t="s">
        <v>127</v>
      </c>
    </row>
    <row r="1650" spans="1:6" x14ac:dyDescent="0.4">
      <c r="A1650" s="341">
        <v>45895</v>
      </c>
      <c r="B1650" s="349" t="s">
        <v>168</v>
      </c>
      <c r="C1650" s="351" t="s">
        <v>121</v>
      </c>
      <c r="D1650" s="351">
        <v>-1</v>
      </c>
      <c r="E1650" s="235" t="s">
        <v>127</v>
      </c>
    </row>
    <row r="1651" spans="1:6" x14ac:dyDescent="0.4">
      <c r="A1651" s="341">
        <v>45895</v>
      </c>
      <c r="B1651" s="349" t="s">
        <v>169</v>
      </c>
      <c r="C1651" s="351" t="s">
        <v>121</v>
      </c>
      <c r="D1651" s="351">
        <v>-2</v>
      </c>
      <c r="E1651" s="235" t="s">
        <v>127</v>
      </c>
    </row>
    <row r="1652" spans="1:6" x14ac:dyDescent="0.4">
      <c r="A1652" s="341">
        <v>45895</v>
      </c>
      <c r="B1652" s="103" t="s">
        <v>423</v>
      </c>
      <c r="C1652" s="351" t="s">
        <v>121</v>
      </c>
      <c r="D1652" s="43">
        <v>-1</v>
      </c>
      <c r="E1652" s="235" t="s">
        <v>127</v>
      </c>
    </row>
    <row r="1653" spans="1:6" x14ac:dyDescent="0.4">
      <c r="A1653" s="341">
        <v>45895</v>
      </c>
      <c r="B1653" s="349" t="s">
        <v>942</v>
      </c>
      <c r="C1653" s="351" t="s">
        <v>121</v>
      </c>
      <c r="D1653" s="43">
        <v>-19</v>
      </c>
      <c r="E1653" s="235" t="s">
        <v>127</v>
      </c>
    </row>
    <row r="1655" spans="1:6" x14ac:dyDescent="0.4">
      <c r="A1655" s="341">
        <v>45896</v>
      </c>
      <c r="B1655" s="94" t="s">
        <v>1121</v>
      </c>
      <c r="C1655" s="351" t="s">
        <v>121</v>
      </c>
      <c r="D1655" s="43">
        <v>-2</v>
      </c>
      <c r="E1655" s="235" t="s">
        <v>127</v>
      </c>
    </row>
    <row r="1656" spans="1:6" x14ac:dyDescent="0.4">
      <c r="A1656" s="341">
        <v>45896</v>
      </c>
      <c r="B1656" s="147" t="s">
        <v>953</v>
      </c>
      <c r="C1656" s="351" t="s">
        <v>121</v>
      </c>
      <c r="D1656" s="43">
        <v>-1</v>
      </c>
      <c r="E1656" s="235" t="s">
        <v>127</v>
      </c>
    </row>
    <row r="1658" spans="1:6" x14ac:dyDescent="0.4">
      <c r="A1658" s="352">
        <v>45896</v>
      </c>
      <c r="B1658" s="353" t="s">
        <v>137</v>
      </c>
      <c r="C1658" s="354" t="s">
        <v>943</v>
      </c>
      <c r="D1658" s="354">
        <v>1</v>
      </c>
      <c r="E1658" s="368" t="s">
        <v>127</v>
      </c>
      <c r="F1658" t="s">
        <v>1193</v>
      </c>
    </row>
    <row r="1659" spans="1:6" x14ac:dyDescent="0.4">
      <c r="A1659" s="352">
        <v>45896</v>
      </c>
      <c r="B1659" s="356" t="s">
        <v>941</v>
      </c>
      <c r="C1659" s="354" t="s">
        <v>943</v>
      </c>
      <c r="D1659" s="354">
        <v>3</v>
      </c>
      <c r="E1659" s="368" t="s">
        <v>127</v>
      </c>
    </row>
    <row r="1660" spans="1:6" x14ac:dyDescent="0.4">
      <c r="A1660" s="352">
        <v>45896</v>
      </c>
      <c r="B1660" s="355" t="s">
        <v>136</v>
      </c>
      <c r="C1660" s="354" t="s">
        <v>943</v>
      </c>
      <c r="D1660" s="354">
        <v>3</v>
      </c>
      <c r="E1660" s="368" t="s">
        <v>127</v>
      </c>
    </row>
    <row r="1661" spans="1:6" x14ac:dyDescent="0.4">
      <c r="A1661" s="352">
        <v>45896</v>
      </c>
      <c r="B1661" s="355" t="s">
        <v>136</v>
      </c>
      <c r="C1661" s="354" t="s">
        <v>943</v>
      </c>
      <c r="D1661" s="354">
        <v>1</v>
      </c>
      <c r="E1661" s="368" t="s">
        <v>127</v>
      </c>
    </row>
    <row r="1662" spans="1:6" x14ac:dyDescent="0.4">
      <c r="A1662" s="352">
        <v>45896</v>
      </c>
      <c r="B1662" s="355" t="s">
        <v>169</v>
      </c>
      <c r="C1662" s="354" t="s">
        <v>943</v>
      </c>
      <c r="D1662" s="354">
        <v>2</v>
      </c>
      <c r="E1662" s="368" t="s">
        <v>127</v>
      </c>
    </row>
    <row r="1663" spans="1:6" x14ac:dyDescent="0.4">
      <c r="A1663" s="352">
        <v>45896</v>
      </c>
      <c r="B1663" s="355" t="s">
        <v>942</v>
      </c>
      <c r="C1663" s="354" t="s">
        <v>943</v>
      </c>
      <c r="D1663" s="354">
        <v>8</v>
      </c>
      <c r="E1663" s="368" t="s">
        <v>127</v>
      </c>
    </row>
    <row r="1665" spans="1:5" x14ac:dyDescent="0.4">
      <c r="A1665" s="341">
        <v>45896</v>
      </c>
      <c r="B1665" s="350" t="s">
        <v>1173</v>
      </c>
      <c r="C1665" s="351" t="s">
        <v>121</v>
      </c>
      <c r="D1665" s="43">
        <v>-2</v>
      </c>
      <c r="E1665" s="235" t="s">
        <v>127</v>
      </c>
    </row>
    <row r="1666" spans="1:5" x14ac:dyDescent="0.4">
      <c r="A1666" s="341">
        <v>45896</v>
      </c>
      <c r="B1666" s="349" t="s">
        <v>76</v>
      </c>
      <c r="C1666" s="351" t="s">
        <v>121</v>
      </c>
      <c r="D1666" s="43">
        <v>-65</v>
      </c>
      <c r="E1666" s="235" t="s">
        <v>127</v>
      </c>
    </row>
    <row r="1667" spans="1:5" x14ac:dyDescent="0.4">
      <c r="A1667" s="341">
        <v>45896</v>
      </c>
      <c r="B1667" s="349" t="s">
        <v>76</v>
      </c>
      <c r="C1667" s="351" t="s">
        <v>121</v>
      </c>
      <c r="D1667" s="43">
        <v>-60</v>
      </c>
      <c r="E1667" s="235" t="s">
        <v>127</v>
      </c>
    </row>
    <row r="1668" spans="1:5" x14ac:dyDescent="0.4">
      <c r="A1668" s="341">
        <v>45895</v>
      </c>
      <c r="B1668" s="349" t="s">
        <v>136</v>
      </c>
      <c r="C1668" s="43" t="s">
        <v>697</v>
      </c>
      <c r="D1668" s="43">
        <v>-1</v>
      </c>
      <c r="E1668" s="235" t="s">
        <v>127</v>
      </c>
    </row>
    <row r="1669" spans="1:5" x14ac:dyDescent="0.4">
      <c r="A1669" s="341">
        <v>45896</v>
      </c>
      <c r="B1669" s="349" t="s">
        <v>76</v>
      </c>
      <c r="C1669" s="351" t="s">
        <v>121</v>
      </c>
      <c r="D1669" s="43">
        <v>-5</v>
      </c>
      <c r="E1669" s="235" t="s">
        <v>127</v>
      </c>
    </row>
    <row r="1670" spans="1:5" x14ac:dyDescent="0.4">
      <c r="A1670" s="341">
        <v>45896</v>
      </c>
      <c r="B1670" s="349" t="s">
        <v>76</v>
      </c>
      <c r="C1670" s="351" t="s">
        <v>121</v>
      </c>
      <c r="D1670" s="43">
        <v>-15</v>
      </c>
      <c r="E1670" s="235" t="s">
        <v>127</v>
      </c>
    </row>
    <row r="1671" spans="1:5" x14ac:dyDescent="0.4">
      <c r="A1671" s="341">
        <v>45896</v>
      </c>
      <c r="B1671" s="349" t="s">
        <v>136</v>
      </c>
      <c r="C1671" s="351" t="s">
        <v>121</v>
      </c>
      <c r="D1671" s="43">
        <v>-2</v>
      </c>
      <c r="E1671" s="235" t="s">
        <v>127</v>
      </c>
    </row>
    <row r="1672" spans="1:5" x14ac:dyDescent="0.4">
      <c r="A1672" s="341">
        <v>45896</v>
      </c>
      <c r="B1672" s="350" t="s">
        <v>954</v>
      </c>
      <c r="C1672" s="351" t="s">
        <v>121</v>
      </c>
      <c r="D1672" s="43">
        <v>-2</v>
      </c>
      <c r="E1672" s="235" t="s">
        <v>127</v>
      </c>
    </row>
    <row r="1673" spans="1:5" x14ac:dyDescent="0.4">
      <c r="A1673" s="341">
        <v>45896</v>
      </c>
      <c r="B1673" s="349" t="s">
        <v>169</v>
      </c>
      <c r="C1673" s="351" t="s">
        <v>121</v>
      </c>
      <c r="D1673" s="43">
        <v>-1</v>
      </c>
      <c r="E1673" s="235" t="s">
        <v>127</v>
      </c>
    </row>
    <row r="1674" spans="1:5" x14ac:dyDescent="0.4">
      <c r="A1674" s="341">
        <v>45896</v>
      </c>
      <c r="B1674" s="349" t="s">
        <v>76</v>
      </c>
      <c r="C1674" s="351" t="s">
        <v>121</v>
      </c>
      <c r="D1674" s="43">
        <v>-20</v>
      </c>
      <c r="E1674" s="235" t="s">
        <v>127</v>
      </c>
    </row>
    <row r="1676" spans="1:5" x14ac:dyDescent="0.4">
      <c r="A1676" s="447">
        <v>45897</v>
      </c>
      <c r="B1676" s="227" t="s">
        <v>1199</v>
      </c>
      <c r="C1676" s="225" t="s">
        <v>796</v>
      </c>
      <c r="D1676" s="225">
        <v>65</v>
      </c>
      <c r="E1676" s="448" t="s">
        <v>127</v>
      </c>
    </row>
    <row r="1678" spans="1:5" x14ac:dyDescent="0.4">
      <c r="A1678" s="341">
        <v>45897</v>
      </c>
      <c r="B1678" s="349" t="s">
        <v>1199</v>
      </c>
      <c r="C1678" s="351" t="s">
        <v>121</v>
      </c>
      <c r="D1678" s="351">
        <v>-55</v>
      </c>
      <c r="E1678" s="235" t="s">
        <v>127</v>
      </c>
    </row>
    <row r="1679" spans="1:5" x14ac:dyDescent="0.4">
      <c r="A1679" s="341">
        <v>45897</v>
      </c>
      <c r="B1679" s="349" t="s">
        <v>76</v>
      </c>
      <c r="C1679" s="351" t="s">
        <v>121</v>
      </c>
      <c r="D1679" s="43">
        <v>-4</v>
      </c>
      <c r="E1679" s="235" t="s">
        <v>127</v>
      </c>
    </row>
    <row r="1681" spans="1:6" x14ac:dyDescent="0.4">
      <c r="A1681" s="352">
        <v>45897</v>
      </c>
      <c r="B1681" s="356" t="s">
        <v>941</v>
      </c>
      <c r="C1681" s="354" t="s">
        <v>943</v>
      </c>
      <c r="D1681" s="354">
        <v>1</v>
      </c>
      <c r="E1681" s="368" t="s">
        <v>127</v>
      </c>
      <c r="F1681" t="s">
        <v>1203</v>
      </c>
    </row>
    <row r="1682" spans="1:6" x14ac:dyDescent="0.4">
      <c r="A1682" s="352">
        <v>45897</v>
      </c>
      <c r="B1682" s="356" t="s">
        <v>941</v>
      </c>
      <c r="C1682" s="354" t="s">
        <v>943</v>
      </c>
      <c r="D1682" s="354">
        <v>1</v>
      </c>
      <c r="E1682" s="368" t="s">
        <v>127</v>
      </c>
    </row>
    <row r="1683" spans="1:6" x14ac:dyDescent="0.4">
      <c r="A1683" s="352">
        <v>45897</v>
      </c>
      <c r="B1683" s="355" t="s">
        <v>136</v>
      </c>
      <c r="C1683" s="354" t="s">
        <v>943</v>
      </c>
      <c r="D1683" s="354">
        <v>3</v>
      </c>
      <c r="E1683" s="368" t="s">
        <v>127</v>
      </c>
    </row>
    <row r="1684" spans="1:6" x14ac:dyDescent="0.4">
      <c r="A1684" s="352">
        <v>45897</v>
      </c>
      <c r="B1684" s="355" t="s">
        <v>136</v>
      </c>
      <c r="C1684" s="354" t="s">
        <v>943</v>
      </c>
      <c r="D1684" s="354">
        <v>1</v>
      </c>
      <c r="E1684" s="368" t="s">
        <v>127</v>
      </c>
    </row>
    <row r="1685" spans="1:6" x14ac:dyDescent="0.4">
      <c r="A1685" s="352">
        <v>45897</v>
      </c>
      <c r="B1685" s="355" t="s">
        <v>169</v>
      </c>
      <c r="C1685" s="354" t="s">
        <v>943</v>
      </c>
      <c r="D1685" s="354">
        <v>1</v>
      </c>
      <c r="E1685" s="368" t="s">
        <v>127</v>
      </c>
    </row>
    <row r="1686" spans="1:6" x14ac:dyDescent="0.4">
      <c r="A1686" s="352">
        <v>45897</v>
      </c>
      <c r="B1686" s="353" t="s">
        <v>949</v>
      </c>
      <c r="C1686" s="354" t="s">
        <v>943</v>
      </c>
      <c r="D1686" s="354">
        <v>2</v>
      </c>
      <c r="E1686" s="368" t="s">
        <v>127</v>
      </c>
    </row>
    <row r="1687" spans="1:6" x14ac:dyDescent="0.4">
      <c r="A1687" s="352">
        <v>45897</v>
      </c>
      <c r="B1687" s="436" t="s">
        <v>1202</v>
      </c>
      <c r="C1687" s="354" t="s">
        <v>943</v>
      </c>
      <c r="D1687" s="354">
        <v>1</v>
      </c>
      <c r="E1687" s="368" t="s">
        <v>127</v>
      </c>
    </row>
    <row r="1688" spans="1:6" x14ac:dyDescent="0.4">
      <c r="A1688" s="352">
        <v>45897</v>
      </c>
      <c r="B1688" s="355" t="s">
        <v>942</v>
      </c>
      <c r="C1688" s="354" t="s">
        <v>943</v>
      </c>
      <c r="D1688" s="354">
        <v>5</v>
      </c>
      <c r="E1688" s="368" t="s">
        <v>127</v>
      </c>
    </row>
    <row r="1689" spans="1:6" x14ac:dyDescent="0.4">
      <c r="A1689" s="352">
        <v>45897</v>
      </c>
      <c r="B1689" s="357" t="s">
        <v>954</v>
      </c>
      <c r="C1689" s="354" t="s">
        <v>943</v>
      </c>
      <c r="D1689" s="354">
        <v>4</v>
      </c>
      <c r="E1689" s="368" t="s">
        <v>127</v>
      </c>
    </row>
    <row r="1691" spans="1:6" x14ac:dyDescent="0.4">
      <c r="A1691" s="352">
        <v>45896</v>
      </c>
      <c r="B1691" s="355" t="s">
        <v>962</v>
      </c>
      <c r="C1691" s="354" t="s">
        <v>943</v>
      </c>
      <c r="D1691" s="354">
        <v>1</v>
      </c>
      <c r="E1691" s="368" t="s">
        <v>127</v>
      </c>
      <c r="F1691" t="s">
        <v>1204</v>
      </c>
    </row>
    <row r="1692" spans="1:6" x14ac:dyDescent="0.4">
      <c r="A1692" s="352">
        <v>45896</v>
      </c>
      <c r="B1692" s="355" t="s">
        <v>168</v>
      </c>
      <c r="C1692" s="354" t="s">
        <v>943</v>
      </c>
      <c r="D1692" s="354">
        <v>1</v>
      </c>
      <c r="E1692" s="368" t="s">
        <v>127</v>
      </c>
    </row>
    <row r="1693" spans="1:6" x14ac:dyDescent="0.4">
      <c r="A1693" s="352">
        <v>45896</v>
      </c>
      <c r="B1693" s="357" t="s">
        <v>954</v>
      </c>
      <c r="C1693" s="354" t="s">
        <v>943</v>
      </c>
      <c r="D1693" s="354">
        <v>1</v>
      </c>
      <c r="E1693" s="368" t="s">
        <v>127</v>
      </c>
    </row>
    <row r="1695" spans="1:6" x14ac:dyDescent="0.4">
      <c r="A1695" s="341">
        <v>45897</v>
      </c>
      <c r="B1695" s="348" t="s">
        <v>137</v>
      </c>
      <c r="C1695" s="351" t="s">
        <v>121</v>
      </c>
      <c r="D1695" s="43">
        <v>-1</v>
      </c>
      <c r="E1695" s="235" t="s">
        <v>127</v>
      </c>
    </row>
    <row r="1696" spans="1:6" x14ac:dyDescent="0.4">
      <c r="A1696" s="341">
        <v>45897</v>
      </c>
      <c r="B1696" s="449" t="s">
        <v>941</v>
      </c>
      <c r="C1696" s="351" t="s">
        <v>121</v>
      </c>
      <c r="D1696" s="43">
        <v>-11</v>
      </c>
      <c r="E1696" s="235" t="s">
        <v>127</v>
      </c>
    </row>
    <row r="1697" spans="1:6" x14ac:dyDescent="0.4">
      <c r="A1697" s="341">
        <v>45897</v>
      </c>
      <c r="B1697" s="349" t="s">
        <v>942</v>
      </c>
      <c r="C1697" s="351" t="s">
        <v>121</v>
      </c>
      <c r="D1697" s="43">
        <v>-3</v>
      </c>
      <c r="E1697" s="235" t="s">
        <v>127</v>
      </c>
      <c r="F1697" s="320" t="s">
        <v>1208</v>
      </c>
    </row>
    <row r="1698" spans="1:6" x14ac:dyDescent="0.4">
      <c r="A1698" s="341">
        <v>45897</v>
      </c>
      <c r="B1698" s="348" t="s">
        <v>945</v>
      </c>
      <c r="C1698" s="351" t="s">
        <v>121</v>
      </c>
      <c r="D1698" s="43">
        <v>-3</v>
      </c>
      <c r="E1698" s="235" t="s">
        <v>127</v>
      </c>
    </row>
    <row r="1699" spans="1:6" x14ac:dyDescent="0.4">
      <c r="A1699" s="341">
        <v>45897</v>
      </c>
      <c r="B1699" s="449" t="s">
        <v>941</v>
      </c>
      <c r="C1699" s="351" t="s">
        <v>121</v>
      </c>
      <c r="D1699" s="43">
        <v>-1</v>
      </c>
      <c r="E1699" s="235" t="s">
        <v>127</v>
      </c>
    </row>
    <row r="1700" spans="1:6" x14ac:dyDescent="0.4">
      <c r="A1700" s="341">
        <v>45897</v>
      </c>
      <c r="B1700" s="449" t="s">
        <v>1175</v>
      </c>
      <c r="C1700" s="351" t="s">
        <v>121</v>
      </c>
      <c r="D1700" s="43">
        <v>-1</v>
      </c>
      <c r="E1700" s="235" t="s">
        <v>127</v>
      </c>
    </row>
    <row r="1701" spans="1:6" x14ac:dyDescent="0.4">
      <c r="A1701" s="341">
        <v>45897</v>
      </c>
      <c r="B1701" s="349" t="s">
        <v>1002</v>
      </c>
      <c r="C1701" s="351" t="s">
        <v>121</v>
      </c>
      <c r="D1701" s="43">
        <v>-2</v>
      </c>
      <c r="E1701" s="235" t="s">
        <v>127</v>
      </c>
    </row>
    <row r="1702" spans="1:6" x14ac:dyDescent="0.4">
      <c r="A1702" s="341">
        <v>45897</v>
      </c>
      <c r="B1702" s="349" t="s">
        <v>76</v>
      </c>
      <c r="C1702" s="351" t="s">
        <v>121</v>
      </c>
      <c r="D1702" s="43">
        <v>-20</v>
      </c>
      <c r="E1702" s="235" t="s">
        <v>127</v>
      </c>
    </row>
    <row r="1703" spans="1:6" x14ac:dyDescent="0.4">
      <c r="A1703" s="341">
        <v>45897</v>
      </c>
      <c r="B1703" s="349" t="s">
        <v>76</v>
      </c>
      <c r="C1703" s="351" t="s">
        <v>121</v>
      </c>
      <c r="D1703" s="43">
        <v>-87</v>
      </c>
      <c r="E1703" s="235" t="s">
        <v>127</v>
      </c>
    </row>
    <row r="1704" spans="1:6" x14ac:dyDescent="0.4">
      <c r="A1704" s="341">
        <v>45897</v>
      </c>
      <c r="B1704" s="349" t="s">
        <v>136</v>
      </c>
      <c r="C1704" s="351" t="s">
        <v>121</v>
      </c>
      <c r="D1704" s="43">
        <v>-2</v>
      </c>
      <c r="E1704" s="235" t="s">
        <v>127</v>
      </c>
    </row>
    <row r="1705" spans="1:6" x14ac:dyDescent="0.4">
      <c r="A1705" s="341">
        <v>45897</v>
      </c>
      <c r="B1705" s="94" t="s">
        <v>1119</v>
      </c>
      <c r="C1705" s="351" t="s">
        <v>121</v>
      </c>
      <c r="D1705" s="43">
        <v>0</v>
      </c>
      <c r="E1705" s="235" t="s">
        <v>127</v>
      </c>
      <c r="F1705" s="451" t="s">
        <v>695</v>
      </c>
    </row>
    <row r="1706" spans="1:6" x14ac:dyDescent="0.4">
      <c r="A1706" s="341">
        <v>45897</v>
      </c>
      <c r="B1706" s="349" t="s">
        <v>76</v>
      </c>
      <c r="C1706" s="351" t="s">
        <v>121</v>
      </c>
      <c r="D1706" s="43">
        <v>-6</v>
      </c>
      <c r="E1706" s="235" t="s">
        <v>127</v>
      </c>
    </row>
    <row r="1707" spans="1:6" x14ac:dyDescent="0.4">
      <c r="A1707" s="341">
        <v>45897</v>
      </c>
      <c r="B1707" s="349" t="s">
        <v>1177</v>
      </c>
      <c r="C1707" s="351" t="s">
        <v>121</v>
      </c>
      <c r="D1707" s="43">
        <v>-1</v>
      </c>
      <c r="E1707" s="235" t="s">
        <v>127</v>
      </c>
    </row>
    <row r="1708" spans="1:6" x14ac:dyDescent="0.4">
      <c r="A1708" s="450">
        <v>45898</v>
      </c>
      <c r="B1708" s="227" t="s">
        <v>828</v>
      </c>
      <c r="C1708" s="225" t="s">
        <v>1206</v>
      </c>
      <c r="D1708" s="225">
        <v>1</v>
      </c>
      <c r="E1708" s="448" t="s">
        <v>127</v>
      </c>
    </row>
    <row r="1710" spans="1:6" x14ac:dyDescent="0.4">
      <c r="A1710" s="341">
        <v>45898</v>
      </c>
      <c r="B1710" s="349" t="s">
        <v>828</v>
      </c>
      <c r="C1710" s="351" t="s">
        <v>121</v>
      </c>
      <c r="D1710" s="351">
        <v>-1</v>
      </c>
      <c r="E1710" s="235" t="s">
        <v>127</v>
      </c>
    </row>
    <row r="1711" spans="1:6" x14ac:dyDescent="0.4">
      <c r="A1711" s="341">
        <v>45898</v>
      </c>
      <c r="B1711" s="349" t="s">
        <v>76</v>
      </c>
      <c r="C1711" s="351" t="s">
        <v>121</v>
      </c>
      <c r="D1711" s="43">
        <v>-5</v>
      </c>
      <c r="E1711" s="235" t="s">
        <v>127</v>
      </c>
    </row>
    <row r="1712" spans="1:6" x14ac:dyDescent="0.4">
      <c r="A1712" s="341">
        <v>45898</v>
      </c>
      <c r="B1712" s="349" t="s">
        <v>76</v>
      </c>
      <c r="C1712" s="351" t="s">
        <v>121</v>
      </c>
      <c r="D1712" s="43">
        <v>-10</v>
      </c>
      <c r="E1712" s="235" t="s">
        <v>127</v>
      </c>
    </row>
    <row r="1713" spans="1:5" x14ac:dyDescent="0.4">
      <c r="A1713" s="341">
        <v>45898</v>
      </c>
      <c r="B1713" s="350" t="s">
        <v>954</v>
      </c>
      <c r="C1713" s="351" t="s">
        <v>121</v>
      </c>
      <c r="D1713" s="43">
        <v>-2</v>
      </c>
      <c r="E1713" s="235" t="s">
        <v>127</v>
      </c>
    </row>
    <row r="1714" spans="1:5" x14ac:dyDescent="0.4">
      <c r="A1714" s="341">
        <v>45898</v>
      </c>
      <c r="B1714" s="349" t="s">
        <v>136</v>
      </c>
      <c r="C1714" s="351" t="s">
        <v>121</v>
      </c>
      <c r="D1714" s="43">
        <v>-2</v>
      </c>
      <c r="E1714" s="235" t="s">
        <v>127</v>
      </c>
    </row>
    <row r="1715" spans="1:5" x14ac:dyDescent="0.4">
      <c r="A1715" s="341">
        <v>45898</v>
      </c>
      <c r="B1715" s="350" t="s">
        <v>1176</v>
      </c>
      <c r="C1715" s="351" t="s">
        <v>121</v>
      </c>
      <c r="D1715" s="43">
        <v>-4</v>
      </c>
      <c r="E1715" s="235" t="s">
        <v>127</v>
      </c>
    </row>
    <row r="1717" spans="1:5" x14ac:dyDescent="0.4">
      <c r="A1717" s="291">
        <v>45899</v>
      </c>
      <c r="B1717" s="349" t="s">
        <v>76</v>
      </c>
      <c r="C1717" s="351" t="s">
        <v>121</v>
      </c>
      <c r="D1717" s="43">
        <v>-20</v>
      </c>
      <c r="E1717" s="235" t="s">
        <v>127</v>
      </c>
    </row>
    <row r="1718" spans="1:5" x14ac:dyDescent="0.4">
      <c r="A1718" s="291">
        <v>45899</v>
      </c>
      <c r="B1718" s="349" t="s">
        <v>76</v>
      </c>
      <c r="C1718" s="351" t="s">
        <v>121</v>
      </c>
      <c r="D1718" s="43">
        <v>-42</v>
      </c>
      <c r="E1718" s="235" t="s">
        <v>127</v>
      </c>
    </row>
    <row r="1719" spans="1:5" x14ac:dyDescent="0.4">
      <c r="A1719" s="291">
        <v>45899</v>
      </c>
      <c r="B1719" s="349" t="s">
        <v>76</v>
      </c>
      <c r="C1719" s="351" t="s">
        <v>121</v>
      </c>
      <c r="D1719" s="43">
        <v>-20</v>
      </c>
      <c r="E1719" s="235" t="s">
        <v>127</v>
      </c>
    </row>
    <row r="1720" spans="1:5" x14ac:dyDescent="0.4">
      <c r="A1720" s="291">
        <v>45899</v>
      </c>
      <c r="B1720" s="93" t="s">
        <v>691</v>
      </c>
      <c r="C1720" s="351" t="s">
        <v>121</v>
      </c>
      <c r="D1720" s="43">
        <v>-1</v>
      </c>
      <c r="E1720" s="235" t="s">
        <v>127</v>
      </c>
    </row>
    <row r="1721" spans="1:5" x14ac:dyDescent="0.4">
      <c r="A1721" s="291">
        <v>45899</v>
      </c>
      <c r="B1721" s="349" t="s">
        <v>76</v>
      </c>
      <c r="C1721" s="351" t="s">
        <v>121</v>
      </c>
      <c r="D1721" s="43">
        <v>-10</v>
      </c>
      <c r="E1721" s="235" t="s">
        <v>127</v>
      </c>
    </row>
    <row r="1722" spans="1:5" x14ac:dyDescent="0.4">
      <c r="A1722" s="291">
        <v>45899</v>
      </c>
      <c r="B1722" s="349" t="s">
        <v>76</v>
      </c>
      <c r="C1722" s="351" t="s">
        <v>121</v>
      </c>
      <c r="D1722" s="43">
        <v>-3</v>
      </c>
      <c r="E1722" s="235" t="s">
        <v>127</v>
      </c>
    </row>
    <row r="1723" spans="1:5" x14ac:dyDescent="0.4">
      <c r="A1723" s="291">
        <v>45899</v>
      </c>
      <c r="B1723" s="349" t="s">
        <v>76</v>
      </c>
      <c r="C1723" s="351" t="s">
        <v>121</v>
      </c>
      <c r="D1723" s="43">
        <v>-8</v>
      </c>
      <c r="E1723" s="235" t="s">
        <v>127</v>
      </c>
    </row>
    <row r="1724" spans="1:5" x14ac:dyDescent="0.4">
      <c r="A1724" s="291">
        <v>45899</v>
      </c>
      <c r="B1724" s="349" t="s">
        <v>136</v>
      </c>
      <c r="C1724" s="43" t="s">
        <v>697</v>
      </c>
      <c r="D1724" s="43">
        <v>-1</v>
      </c>
      <c r="E1724" s="235" t="s">
        <v>127</v>
      </c>
    </row>
    <row r="1725" spans="1:5" x14ac:dyDescent="0.4">
      <c r="A1725" s="291">
        <v>45899</v>
      </c>
      <c r="B1725" s="147" t="s">
        <v>950</v>
      </c>
      <c r="C1725" s="43" t="s">
        <v>697</v>
      </c>
      <c r="D1725" s="43">
        <v>-1</v>
      </c>
      <c r="E1725" s="235" t="s">
        <v>127</v>
      </c>
    </row>
    <row r="1726" spans="1:5" x14ac:dyDescent="0.4">
      <c r="A1726" s="291">
        <v>45899</v>
      </c>
      <c r="B1726" s="349" t="s">
        <v>136</v>
      </c>
      <c r="C1726" s="351" t="s">
        <v>121</v>
      </c>
      <c r="D1726" s="43">
        <v>-1</v>
      </c>
      <c r="E1726" s="235" t="s">
        <v>127</v>
      </c>
    </row>
    <row r="1727" spans="1:5" x14ac:dyDescent="0.4">
      <c r="A1727" s="291">
        <v>45899</v>
      </c>
      <c r="B1727" s="349" t="s">
        <v>136</v>
      </c>
      <c r="C1727" s="351" t="s">
        <v>121</v>
      </c>
      <c r="D1727" s="43">
        <v>-2</v>
      </c>
      <c r="E1727" s="235" t="s">
        <v>127</v>
      </c>
    </row>
    <row r="1728" spans="1:5" x14ac:dyDescent="0.4">
      <c r="A1728" s="291">
        <v>45899</v>
      </c>
      <c r="B1728" s="349" t="s">
        <v>136</v>
      </c>
      <c r="C1728" s="351" t="s">
        <v>121</v>
      </c>
      <c r="D1728" s="43">
        <v>-3</v>
      </c>
      <c r="E1728" s="235" t="s">
        <v>127</v>
      </c>
    </row>
    <row r="1729" spans="1:5" x14ac:dyDescent="0.4">
      <c r="A1729" s="291">
        <v>45899</v>
      </c>
      <c r="B1729" s="349" t="s">
        <v>136</v>
      </c>
      <c r="C1729" s="351" t="s">
        <v>121</v>
      </c>
      <c r="D1729" s="43">
        <v>-1</v>
      </c>
      <c r="E1729" s="235" t="s">
        <v>127</v>
      </c>
    </row>
    <row r="1730" spans="1:5" x14ac:dyDescent="0.4">
      <c r="A1730" s="291">
        <v>45899</v>
      </c>
      <c r="B1730" s="85" t="s">
        <v>949</v>
      </c>
      <c r="C1730" s="351" t="s">
        <v>121</v>
      </c>
      <c r="D1730" s="43">
        <v>-2</v>
      </c>
      <c r="E1730" s="235" t="s">
        <v>127</v>
      </c>
    </row>
    <row r="1731" spans="1:5" x14ac:dyDescent="0.4">
      <c r="A1731" s="291">
        <v>45899</v>
      </c>
      <c r="B1731" s="349" t="s">
        <v>1202</v>
      </c>
      <c r="C1731" s="351" t="s">
        <v>121</v>
      </c>
      <c r="D1731" s="43">
        <v>-1</v>
      </c>
      <c r="E1731" s="235" t="s">
        <v>127</v>
      </c>
    </row>
    <row r="1733" spans="1:5" x14ac:dyDescent="0.4">
      <c r="A1733" s="291">
        <v>45900</v>
      </c>
      <c r="B1733" s="349" t="s">
        <v>942</v>
      </c>
      <c r="C1733" s="351" t="s">
        <v>121</v>
      </c>
      <c r="D1733" s="43">
        <v>-3</v>
      </c>
      <c r="E1733" s="235" t="s">
        <v>127</v>
      </c>
    </row>
    <row r="1735" spans="1:5" x14ac:dyDescent="0.4">
      <c r="A1735" s="271">
        <v>45901</v>
      </c>
      <c r="B1735" s="349" t="s">
        <v>76</v>
      </c>
      <c r="C1735" s="351" t="s">
        <v>121</v>
      </c>
      <c r="D1735" s="43">
        <v>-1</v>
      </c>
      <c r="E1735" s="235" t="s">
        <v>127</v>
      </c>
    </row>
    <row r="1736" spans="1:5" x14ac:dyDescent="0.4">
      <c r="A1736" s="271">
        <v>45901</v>
      </c>
      <c r="B1736" s="350" t="s">
        <v>1172</v>
      </c>
      <c r="C1736" s="351" t="s">
        <v>121</v>
      </c>
      <c r="D1736" s="43">
        <v>-2</v>
      </c>
      <c r="E1736" s="235" t="s">
        <v>127</v>
      </c>
    </row>
    <row r="1737" spans="1:5" x14ac:dyDescent="0.4">
      <c r="A1737" s="271">
        <v>45901</v>
      </c>
      <c r="B1737" s="94" t="s">
        <v>122</v>
      </c>
      <c r="C1737" s="351" t="s">
        <v>121</v>
      </c>
      <c r="D1737" s="43">
        <v>-35</v>
      </c>
      <c r="E1737" s="235" t="s">
        <v>127</v>
      </c>
    </row>
    <row r="1738" spans="1:5" x14ac:dyDescent="0.4">
      <c r="A1738" s="271">
        <v>45901</v>
      </c>
      <c r="B1738" s="349" t="s">
        <v>76</v>
      </c>
      <c r="C1738" s="351" t="s">
        <v>121</v>
      </c>
      <c r="D1738" s="43">
        <v>-10</v>
      </c>
      <c r="E1738" s="235" t="s">
        <v>127</v>
      </c>
    </row>
    <row r="1739" spans="1:5" x14ac:dyDescent="0.4">
      <c r="A1739" s="271">
        <v>45901</v>
      </c>
      <c r="B1739" s="349" t="s">
        <v>76</v>
      </c>
      <c r="C1739" s="351" t="s">
        <v>121</v>
      </c>
      <c r="D1739" s="43">
        <v>-1</v>
      </c>
      <c r="E1739" s="235" t="s">
        <v>127</v>
      </c>
    </row>
    <row r="1741" spans="1:5" x14ac:dyDescent="0.4">
      <c r="A1741" s="271">
        <v>45902</v>
      </c>
      <c r="B1741" s="94" t="s">
        <v>828</v>
      </c>
      <c r="C1741" s="351" t="s">
        <v>121</v>
      </c>
      <c r="D1741" s="43">
        <v>-3</v>
      </c>
      <c r="E1741" s="235" t="s">
        <v>127</v>
      </c>
    </row>
    <row r="1742" spans="1:5" x14ac:dyDescent="0.4">
      <c r="A1742" s="271">
        <v>45902</v>
      </c>
      <c r="B1742" s="349" t="s">
        <v>136</v>
      </c>
      <c r="C1742" s="351" t="s">
        <v>121</v>
      </c>
      <c r="D1742" s="43">
        <v>-2</v>
      </c>
      <c r="E1742" s="235" t="s">
        <v>127</v>
      </c>
    </row>
    <row r="1743" spans="1:5" x14ac:dyDescent="0.4">
      <c r="A1743" s="271">
        <v>45902</v>
      </c>
      <c r="B1743" s="349" t="s">
        <v>76</v>
      </c>
      <c r="C1743" s="351" t="s">
        <v>121</v>
      </c>
      <c r="D1743" s="33">
        <v>-20</v>
      </c>
      <c r="E1743" s="235" t="s">
        <v>127</v>
      </c>
    </row>
    <row r="1744" spans="1:5" x14ac:dyDescent="0.4">
      <c r="A1744" s="271">
        <v>45903</v>
      </c>
      <c r="B1744" s="94" t="s">
        <v>92</v>
      </c>
      <c r="C1744" s="351" t="s">
        <v>121</v>
      </c>
      <c r="D1744" s="43">
        <v>-2</v>
      </c>
      <c r="E1744" s="235" t="s">
        <v>127</v>
      </c>
    </row>
    <row r="1745" spans="1:6" x14ac:dyDescent="0.4">
      <c r="A1745" s="271">
        <v>45903</v>
      </c>
      <c r="B1745" s="103" t="s">
        <v>423</v>
      </c>
      <c r="C1745" s="351" t="s">
        <v>121</v>
      </c>
      <c r="D1745" s="43">
        <v>0</v>
      </c>
      <c r="E1745" s="235" t="s">
        <v>127</v>
      </c>
      <c r="F1745" s="451" t="s">
        <v>1219</v>
      </c>
    </row>
    <row r="1747" spans="1:6" x14ac:dyDescent="0.4">
      <c r="A1747" s="312">
        <v>45902</v>
      </c>
      <c r="B1747" s="247" t="s">
        <v>425</v>
      </c>
      <c r="C1747" s="245" t="s">
        <v>701</v>
      </c>
      <c r="D1747" s="245">
        <v>116</v>
      </c>
      <c r="E1747" s="246" t="s">
        <v>127</v>
      </c>
    </row>
    <row r="1748" spans="1:6" x14ac:dyDescent="0.4">
      <c r="A1748" s="312">
        <v>45902</v>
      </c>
      <c r="B1748" s="313" t="s">
        <v>1210</v>
      </c>
      <c r="C1748" s="245" t="s">
        <v>701</v>
      </c>
      <c r="D1748" s="245">
        <v>1</v>
      </c>
      <c r="E1748" s="246" t="s">
        <v>127</v>
      </c>
    </row>
    <row r="1749" spans="1:6" x14ac:dyDescent="0.4">
      <c r="A1749" s="312">
        <v>45902</v>
      </c>
      <c r="B1749" s="313" t="s">
        <v>1211</v>
      </c>
      <c r="C1749" s="245" t="s">
        <v>701</v>
      </c>
      <c r="D1749" s="245">
        <v>1</v>
      </c>
      <c r="E1749" s="246" t="s">
        <v>127</v>
      </c>
    </row>
    <row r="1750" spans="1:6" x14ac:dyDescent="0.4">
      <c r="A1750" s="312">
        <v>45902</v>
      </c>
      <c r="B1750" s="247" t="s">
        <v>878</v>
      </c>
      <c r="C1750" s="245" t="s">
        <v>701</v>
      </c>
      <c r="D1750" s="245">
        <v>7</v>
      </c>
      <c r="E1750" s="246" t="s">
        <v>127</v>
      </c>
    </row>
    <row r="1751" spans="1:6" x14ac:dyDescent="0.4">
      <c r="A1751" s="312">
        <v>45902</v>
      </c>
      <c r="B1751" s="244" t="s">
        <v>398</v>
      </c>
      <c r="C1751" s="245" t="s">
        <v>701</v>
      </c>
      <c r="D1751" s="245">
        <v>1</v>
      </c>
      <c r="E1751" s="246" t="s">
        <v>127</v>
      </c>
    </row>
    <row r="1752" spans="1:6" x14ac:dyDescent="0.4">
      <c r="A1752" s="312">
        <v>45902</v>
      </c>
      <c r="B1752" s="244" t="s">
        <v>828</v>
      </c>
      <c r="C1752" s="245" t="s">
        <v>701</v>
      </c>
      <c r="D1752" s="245">
        <v>3</v>
      </c>
      <c r="E1752" s="246" t="s">
        <v>127</v>
      </c>
    </row>
    <row r="1753" spans="1:6" x14ac:dyDescent="0.4">
      <c r="A1753" s="312">
        <v>45902</v>
      </c>
      <c r="B1753" s="244" t="s">
        <v>829</v>
      </c>
      <c r="C1753" s="245" t="s">
        <v>701</v>
      </c>
      <c r="D1753" s="245">
        <v>1</v>
      </c>
      <c r="E1753" s="246" t="s">
        <v>127</v>
      </c>
    </row>
    <row r="1754" spans="1:6" x14ac:dyDescent="0.4">
      <c r="A1754" s="312">
        <v>45902</v>
      </c>
      <c r="B1754" s="244" t="s">
        <v>156</v>
      </c>
      <c r="C1754" s="245" t="s">
        <v>701</v>
      </c>
      <c r="D1754" s="245">
        <v>6</v>
      </c>
      <c r="E1754" s="246" t="s">
        <v>127</v>
      </c>
    </row>
    <row r="1755" spans="1:6" x14ac:dyDescent="0.4">
      <c r="A1755" s="312">
        <v>45902</v>
      </c>
      <c r="B1755" s="247" t="s">
        <v>137</v>
      </c>
      <c r="C1755" s="245" t="s">
        <v>701</v>
      </c>
      <c r="D1755" s="245">
        <v>3</v>
      </c>
      <c r="E1755" s="246" t="s">
        <v>127</v>
      </c>
    </row>
    <row r="1756" spans="1:6" x14ac:dyDescent="0.4">
      <c r="A1756" s="312">
        <v>45902</v>
      </c>
      <c r="B1756" s="247" t="s">
        <v>941</v>
      </c>
      <c r="C1756" s="245" t="s">
        <v>701</v>
      </c>
      <c r="D1756" s="245">
        <v>3</v>
      </c>
      <c r="E1756" s="246" t="s">
        <v>127</v>
      </c>
    </row>
    <row r="1757" spans="1:6" x14ac:dyDescent="0.4">
      <c r="A1757" s="312">
        <v>45902</v>
      </c>
      <c r="B1757" s="247" t="s">
        <v>945</v>
      </c>
      <c r="C1757" s="245" t="s">
        <v>701</v>
      </c>
      <c r="D1757" s="245">
        <v>1</v>
      </c>
      <c r="E1757" s="246" t="s">
        <v>127</v>
      </c>
    </row>
    <row r="1758" spans="1:6" x14ac:dyDescent="0.4">
      <c r="A1758" s="312">
        <v>45902</v>
      </c>
      <c r="B1758" s="247" t="s">
        <v>1214</v>
      </c>
      <c r="C1758" s="245" t="s">
        <v>701</v>
      </c>
      <c r="D1758" s="245">
        <v>1</v>
      </c>
      <c r="E1758" s="246" t="s">
        <v>127</v>
      </c>
    </row>
    <row r="1759" spans="1:6" x14ac:dyDescent="0.4">
      <c r="A1759" s="312">
        <v>45902</v>
      </c>
      <c r="B1759" s="313" t="s">
        <v>1173</v>
      </c>
      <c r="C1759" s="245" t="s">
        <v>701</v>
      </c>
      <c r="D1759" s="245">
        <v>1</v>
      </c>
      <c r="E1759" s="246" t="s">
        <v>127</v>
      </c>
    </row>
    <row r="1761" spans="1:6" x14ac:dyDescent="0.4">
      <c r="A1761" s="341">
        <v>45903</v>
      </c>
      <c r="B1761" s="348" t="s">
        <v>137</v>
      </c>
      <c r="C1761" s="351" t="s">
        <v>121</v>
      </c>
      <c r="D1761" s="351">
        <v>-3</v>
      </c>
      <c r="E1761" s="235" t="s">
        <v>127</v>
      </c>
    </row>
    <row r="1762" spans="1:6" x14ac:dyDescent="0.4">
      <c r="A1762" s="341">
        <v>45903</v>
      </c>
      <c r="B1762" s="348" t="s">
        <v>941</v>
      </c>
      <c r="C1762" s="351" t="s">
        <v>121</v>
      </c>
      <c r="D1762" s="351">
        <v>-4</v>
      </c>
      <c r="E1762" s="235" t="s">
        <v>127</v>
      </c>
    </row>
    <row r="1763" spans="1:6" x14ac:dyDescent="0.4">
      <c r="A1763" s="341">
        <v>45903</v>
      </c>
      <c r="B1763" s="348" t="s">
        <v>945</v>
      </c>
      <c r="C1763" s="351" t="s">
        <v>121</v>
      </c>
      <c r="D1763" s="351">
        <v>-1</v>
      </c>
      <c r="E1763" s="235" t="s">
        <v>127</v>
      </c>
    </row>
    <row r="1765" spans="1:6" x14ac:dyDescent="0.4">
      <c r="A1765" s="278">
        <v>45902</v>
      </c>
      <c r="B1765" s="139" t="s">
        <v>76</v>
      </c>
      <c r="C1765" s="105" t="s">
        <v>49</v>
      </c>
      <c r="D1765" s="105">
        <v>56</v>
      </c>
      <c r="E1765" s="95" t="s">
        <v>127</v>
      </c>
    </row>
    <row r="1766" spans="1:6" x14ac:dyDescent="0.4">
      <c r="A1766" s="278">
        <v>45902</v>
      </c>
      <c r="B1766" s="127" t="s">
        <v>810</v>
      </c>
      <c r="C1766" s="105" t="s">
        <v>49</v>
      </c>
      <c r="D1766" s="105">
        <v>10</v>
      </c>
      <c r="E1766" s="95" t="s">
        <v>127</v>
      </c>
    </row>
    <row r="1767" spans="1:6" x14ac:dyDescent="0.4">
      <c r="A1767" s="278">
        <v>45902</v>
      </c>
      <c r="B1767" s="139" t="s">
        <v>76</v>
      </c>
      <c r="C1767" s="105" t="s">
        <v>49</v>
      </c>
      <c r="D1767" s="105">
        <v>30</v>
      </c>
      <c r="E1767" s="95" t="s">
        <v>127</v>
      </c>
    </row>
    <row r="1768" spans="1:6" x14ac:dyDescent="0.4">
      <c r="A1768" s="278">
        <v>45902</v>
      </c>
      <c r="B1768" s="239" t="s">
        <v>903</v>
      </c>
      <c r="C1768" s="105" t="s">
        <v>49</v>
      </c>
      <c r="D1768" s="105">
        <v>20</v>
      </c>
      <c r="E1768" s="95" t="s">
        <v>127</v>
      </c>
    </row>
    <row r="1770" spans="1:6" x14ac:dyDescent="0.4">
      <c r="A1770" s="271">
        <v>45902</v>
      </c>
      <c r="B1770" s="349" t="s">
        <v>76</v>
      </c>
      <c r="C1770" s="351" t="s">
        <v>121</v>
      </c>
      <c r="D1770" s="43">
        <v>-10</v>
      </c>
      <c r="E1770" s="235" t="s">
        <v>127</v>
      </c>
    </row>
    <row r="1772" spans="1:6" x14ac:dyDescent="0.4">
      <c r="A1772" s="271">
        <v>45904</v>
      </c>
      <c r="B1772" s="349" t="s">
        <v>1003</v>
      </c>
      <c r="C1772" s="351" t="s">
        <v>121</v>
      </c>
      <c r="D1772" s="43">
        <v>-1</v>
      </c>
      <c r="E1772" s="235" t="s">
        <v>127</v>
      </c>
      <c r="F1772" s="320" t="s">
        <v>1218</v>
      </c>
    </row>
    <row r="1773" spans="1:6" x14ac:dyDescent="0.4">
      <c r="A1773" s="271">
        <v>45904</v>
      </c>
      <c r="B1773" s="350" t="s">
        <v>1173</v>
      </c>
      <c r="C1773" s="351" t="s">
        <v>121</v>
      </c>
      <c r="D1773" s="43">
        <v>-1</v>
      </c>
      <c r="E1773" s="235" t="s">
        <v>127</v>
      </c>
    </row>
    <row r="1774" spans="1:6" x14ac:dyDescent="0.4">
      <c r="A1774" s="271">
        <v>45904</v>
      </c>
      <c r="B1774" s="349" t="s">
        <v>76</v>
      </c>
      <c r="C1774" s="351" t="s">
        <v>121</v>
      </c>
      <c r="D1774" s="43">
        <v>-4</v>
      </c>
      <c r="E1774" s="235" t="s">
        <v>127</v>
      </c>
    </row>
    <row r="1776" spans="1:6" x14ac:dyDescent="0.4">
      <c r="A1776" s="271">
        <v>45906</v>
      </c>
      <c r="B1776" s="85" t="s">
        <v>425</v>
      </c>
      <c r="C1776" s="351" t="s">
        <v>121</v>
      </c>
      <c r="D1776" s="43">
        <v>-116</v>
      </c>
      <c r="E1776" s="235" t="s">
        <v>127</v>
      </c>
    </row>
    <row r="1777" spans="1:5" x14ac:dyDescent="0.4">
      <c r="A1777" s="271">
        <v>45906</v>
      </c>
      <c r="B1777" s="350" t="s">
        <v>1210</v>
      </c>
      <c r="C1777" s="351" t="s">
        <v>121</v>
      </c>
      <c r="D1777" s="43">
        <v>-1</v>
      </c>
      <c r="E1777" s="235" t="s">
        <v>127</v>
      </c>
    </row>
    <row r="1778" spans="1:5" x14ac:dyDescent="0.4">
      <c r="A1778" s="271">
        <v>45906</v>
      </c>
      <c r="B1778" s="350" t="s">
        <v>1211</v>
      </c>
      <c r="C1778" s="351" t="s">
        <v>121</v>
      </c>
      <c r="D1778" s="43">
        <v>-1</v>
      </c>
      <c r="E1778" s="235" t="s">
        <v>127</v>
      </c>
    </row>
    <row r="1779" spans="1:5" x14ac:dyDescent="0.4">
      <c r="A1779" s="271">
        <v>45906</v>
      </c>
      <c r="B1779" s="85" t="s">
        <v>878</v>
      </c>
      <c r="C1779" s="351" t="s">
        <v>121</v>
      </c>
      <c r="D1779" s="43">
        <v>-7</v>
      </c>
      <c r="E1779" s="235" t="s">
        <v>127</v>
      </c>
    </row>
    <row r="1781" spans="1:5" x14ac:dyDescent="0.4">
      <c r="A1781" s="447">
        <v>45906</v>
      </c>
      <c r="B1781" s="227" t="s">
        <v>76</v>
      </c>
      <c r="C1781" s="225" t="s">
        <v>1231</v>
      </c>
      <c r="D1781" s="225">
        <v>10</v>
      </c>
      <c r="E1781" s="448" t="s">
        <v>127</v>
      </c>
    </row>
    <row r="1783" spans="1:5" x14ac:dyDescent="0.4">
      <c r="A1783" s="271">
        <v>45908</v>
      </c>
      <c r="B1783" s="349" t="s">
        <v>76</v>
      </c>
      <c r="C1783" s="351" t="s">
        <v>121</v>
      </c>
      <c r="D1783" s="43">
        <v>-100</v>
      </c>
      <c r="E1783" s="235" t="s">
        <v>127</v>
      </c>
    </row>
    <row r="1785" spans="1:5" x14ac:dyDescent="0.4">
      <c r="A1785" s="447">
        <v>45908</v>
      </c>
      <c r="B1785" s="227" t="s">
        <v>76</v>
      </c>
      <c r="C1785" s="225" t="s">
        <v>1231</v>
      </c>
      <c r="D1785" s="225">
        <v>5</v>
      </c>
      <c r="E1785" s="448" t="s">
        <v>127</v>
      </c>
    </row>
    <row r="1787" spans="1:5" x14ac:dyDescent="0.4">
      <c r="A1787" s="271">
        <v>45908</v>
      </c>
      <c r="B1787" s="349" t="s">
        <v>76</v>
      </c>
      <c r="C1787" s="351" t="s">
        <v>121</v>
      </c>
      <c r="D1787" s="43">
        <v>-5</v>
      </c>
      <c r="E1787" s="235" t="s">
        <v>127</v>
      </c>
    </row>
    <row r="1788" spans="1:5" x14ac:dyDescent="0.4">
      <c r="A1788" s="271">
        <v>45908</v>
      </c>
      <c r="B1788" s="94" t="s">
        <v>828</v>
      </c>
      <c r="C1788" s="351" t="s">
        <v>121</v>
      </c>
      <c r="D1788" s="43">
        <v>-1</v>
      </c>
      <c r="E1788" s="235" t="s">
        <v>127</v>
      </c>
    </row>
    <row r="1790" spans="1:5" x14ac:dyDescent="0.4">
      <c r="A1790" s="447">
        <v>45908</v>
      </c>
      <c r="B1790" s="227" t="s">
        <v>76</v>
      </c>
      <c r="C1790" s="225" t="s">
        <v>1231</v>
      </c>
      <c r="D1790" s="225">
        <v>15</v>
      </c>
      <c r="E1790" s="448" t="s">
        <v>127</v>
      </c>
    </row>
    <row r="1791" spans="1:5" x14ac:dyDescent="0.4">
      <c r="A1791" s="271">
        <v>45908</v>
      </c>
      <c r="B1791" s="349" t="s">
        <v>76</v>
      </c>
      <c r="C1791" s="351" t="s">
        <v>121</v>
      </c>
      <c r="D1791" s="43">
        <v>-15</v>
      </c>
      <c r="E1791" s="235" t="s">
        <v>127</v>
      </c>
    </row>
    <row r="1792" spans="1:5" x14ac:dyDescent="0.4">
      <c r="A1792" s="271">
        <v>45908</v>
      </c>
      <c r="B1792" s="348" t="s">
        <v>941</v>
      </c>
      <c r="C1792" s="351" t="s">
        <v>121</v>
      </c>
      <c r="D1792" s="43">
        <v>-1</v>
      </c>
      <c r="E1792" s="235" t="s">
        <v>127</v>
      </c>
    </row>
    <row r="1793" spans="1:6" x14ac:dyDescent="0.4">
      <c r="A1793" s="271">
        <v>45909</v>
      </c>
      <c r="B1793" s="147" t="s">
        <v>950</v>
      </c>
      <c r="C1793" s="43" t="s">
        <v>697</v>
      </c>
      <c r="D1793" s="33">
        <v>-1</v>
      </c>
      <c r="E1793" s="235" t="s">
        <v>127</v>
      </c>
    </row>
    <row r="1794" spans="1:6" x14ac:dyDescent="0.4">
      <c r="A1794" s="271">
        <v>45909</v>
      </c>
      <c r="B1794" s="350" t="s">
        <v>1172</v>
      </c>
      <c r="C1794" s="351" t="s">
        <v>121</v>
      </c>
      <c r="D1794" s="43">
        <v>-6</v>
      </c>
      <c r="E1794" s="235" t="s">
        <v>127</v>
      </c>
    </row>
    <row r="1796" spans="1:6" x14ac:dyDescent="0.4">
      <c r="A1796" s="352">
        <v>45909</v>
      </c>
      <c r="B1796" s="355" t="s">
        <v>1120</v>
      </c>
      <c r="C1796" s="354" t="s">
        <v>943</v>
      </c>
      <c r="D1796" s="354">
        <v>1</v>
      </c>
      <c r="E1796" s="368" t="s">
        <v>127</v>
      </c>
      <c r="F1796" t="s">
        <v>1233</v>
      </c>
    </row>
    <row r="1797" spans="1:6" x14ac:dyDescent="0.4">
      <c r="A1797" s="352">
        <v>45909</v>
      </c>
      <c r="B1797" s="353" t="s">
        <v>945</v>
      </c>
      <c r="C1797" s="354" t="s">
        <v>943</v>
      </c>
      <c r="D1797" s="354">
        <v>1</v>
      </c>
      <c r="E1797" s="368" t="s">
        <v>127</v>
      </c>
    </row>
    <row r="1798" spans="1:6" x14ac:dyDescent="0.4">
      <c r="A1798" s="352">
        <v>45909</v>
      </c>
      <c r="B1798" s="355" t="s">
        <v>1232</v>
      </c>
      <c r="C1798" s="354" t="s">
        <v>943</v>
      </c>
      <c r="D1798" s="354">
        <v>1</v>
      </c>
      <c r="E1798" s="368" t="s">
        <v>127</v>
      </c>
    </row>
    <row r="1799" spans="1:6" x14ac:dyDescent="0.4">
      <c r="A1799" s="352">
        <v>45909</v>
      </c>
      <c r="B1799" s="353" t="s">
        <v>136</v>
      </c>
      <c r="C1799" s="354" t="s">
        <v>943</v>
      </c>
      <c r="D1799" s="354">
        <v>1</v>
      </c>
      <c r="E1799" s="368" t="s">
        <v>127</v>
      </c>
    </row>
    <row r="1800" spans="1:6" x14ac:dyDescent="0.4">
      <c r="A1800" s="352">
        <v>45909</v>
      </c>
      <c r="B1800" s="356" t="s">
        <v>950</v>
      </c>
      <c r="C1800" s="354" t="s">
        <v>943</v>
      </c>
      <c r="D1800" s="354">
        <v>1</v>
      </c>
      <c r="E1800" s="368" t="s">
        <v>127</v>
      </c>
    </row>
    <row r="1801" spans="1:6" x14ac:dyDescent="0.4">
      <c r="A1801" s="352">
        <v>45909</v>
      </c>
      <c r="B1801" s="353" t="s">
        <v>136</v>
      </c>
      <c r="C1801" s="354" t="s">
        <v>943</v>
      </c>
      <c r="D1801" s="354">
        <v>7</v>
      </c>
      <c r="E1801" s="368" t="s">
        <v>127</v>
      </c>
    </row>
    <row r="1802" spans="1:6" x14ac:dyDescent="0.4">
      <c r="A1802" s="352">
        <v>45909</v>
      </c>
      <c r="B1802" s="355" t="s">
        <v>169</v>
      </c>
      <c r="C1802" s="354" t="s">
        <v>943</v>
      </c>
      <c r="D1802" s="354">
        <v>3</v>
      </c>
      <c r="E1802" s="368" t="s">
        <v>127</v>
      </c>
    </row>
    <row r="1803" spans="1:6" x14ac:dyDescent="0.4">
      <c r="A1803" s="352">
        <v>45909</v>
      </c>
      <c r="B1803" s="355" t="s">
        <v>168</v>
      </c>
      <c r="C1803" s="354" t="s">
        <v>943</v>
      </c>
      <c r="D1803" s="354">
        <v>1</v>
      </c>
      <c r="E1803" s="368" t="s">
        <v>127</v>
      </c>
    </row>
    <row r="1804" spans="1:6" x14ac:dyDescent="0.4">
      <c r="A1804" s="352">
        <v>45909</v>
      </c>
      <c r="B1804" s="355" t="s">
        <v>999</v>
      </c>
      <c r="C1804" s="354" t="s">
        <v>943</v>
      </c>
      <c r="D1804" s="354">
        <v>1</v>
      </c>
      <c r="E1804" s="368" t="s">
        <v>127</v>
      </c>
    </row>
    <row r="1805" spans="1:6" x14ac:dyDescent="0.4">
      <c r="A1805" s="352">
        <v>45909</v>
      </c>
      <c r="B1805" s="355" t="s">
        <v>169</v>
      </c>
      <c r="C1805" s="354" t="s">
        <v>943</v>
      </c>
      <c r="D1805" s="354">
        <v>7</v>
      </c>
      <c r="E1805" s="368" t="s">
        <v>127</v>
      </c>
    </row>
    <row r="1806" spans="1:6" x14ac:dyDescent="0.4">
      <c r="A1806" s="352">
        <v>45909</v>
      </c>
      <c r="B1806" s="355" t="s">
        <v>168</v>
      </c>
      <c r="C1806" s="354" t="s">
        <v>943</v>
      </c>
      <c r="D1806" s="354">
        <v>1</v>
      </c>
      <c r="E1806" s="368" t="s">
        <v>127</v>
      </c>
    </row>
    <row r="1807" spans="1:6" x14ac:dyDescent="0.4">
      <c r="A1807" s="352">
        <v>45909</v>
      </c>
      <c r="B1807" s="355" t="s">
        <v>168</v>
      </c>
      <c r="C1807" s="354" t="s">
        <v>943</v>
      </c>
      <c r="D1807" s="354">
        <v>1</v>
      </c>
      <c r="E1807" s="368" t="s">
        <v>127</v>
      </c>
    </row>
    <row r="1808" spans="1:6" x14ac:dyDescent="0.4">
      <c r="A1808" s="352">
        <v>45909</v>
      </c>
      <c r="B1808" s="355" t="s">
        <v>999</v>
      </c>
      <c r="C1808" s="354" t="s">
        <v>943</v>
      </c>
      <c r="D1808" s="354">
        <v>2</v>
      </c>
      <c r="E1808" s="368" t="s">
        <v>127</v>
      </c>
    </row>
    <row r="1809" spans="1:6" x14ac:dyDescent="0.4">
      <c r="A1809" s="352">
        <v>45909</v>
      </c>
      <c r="B1809" s="355" t="s">
        <v>169</v>
      </c>
      <c r="C1809" s="354" t="s">
        <v>943</v>
      </c>
      <c r="D1809" s="354">
        <v>1</v>
      </c>
      <c r="E1809" s="368" t="s">
        <v>127</v>
      </c>
    </row>
    <row r="1810" spans="1:6" x14ac:dyDescent="0.4">
      <c r="A1810" s="352">
        <v>45909</v>
      </c>
      <c r="B1810" s="356" t="s">
        <v>952</v>
      </c>
      <c r="C1810" s="354" t="s">
        <v>943</v>
      </c>
      <c r="D1810" s="354">
        <v>1</v>
      </c>
      <c r="E1810" s="368" t="s">
        <v>127</v>
      </c>
    </row>
    <row r="1811" spans="1:6" x14ac:dyDescent="0.4">
      <c r="A1811" s="352">
        <v>45909</v>
      </c>
      <c r="B1811" s="355" t="s">
        <v>942</v>
      </c>
      <c r="C1811" s="354" t="s">
        <v>943</v>
      </c>
      <c r="D1811" s="354">
        <v>8</v>
      </c>
      <c r="E1811" s="368" t="s">
        <v>127</v>
      </c>
    </row>
    <row r="1812" spans="1:6" x14ac:dyDescent="0.4">
      <c r="A1812" s="352">
        <v>45909</v>
      </c>
      <c r="B1812" s="355" t="s">
        <v>942</v>
      </c>
      <c r="C1812" s="354" t="s">
        <v>943</v>
      </c>
      <c r="D1812" s="354">
        <v>0</v>
      </c>
      <c r="E1812" s="368" t="s">
        <v>127</v>
      </c>
      <c r="F1812" t="s">
        <v>1241</v>
      </c>
    </row>
    <row r="1814" spans="1:6" x14ac:dyDescent="0.4">
      <c r="A1814" s="352">
        <v>45909</v>
      </c>
      <c r="B1814" s="353" t="s">
        <v>941</v>
      </c>
      <c r="C1814" s="354" t="s">
        <v>943</v>
      </c>
      <c r="D1814" s="354">
        <v>1</v>
      </c>
      <c r="E1814" s="368" t="s">
        <v>127</v>
      </c>
      <c r="F1814" t="s">
        <v>1234</v>
      </c>
    </row>
    <row r="1815" spans="1:6" x14ac:dyDescent="0.4">
      <c r="A1815" s="352">
        <v>45909</v>
      </c>
      <c r="B1815" s="353" t="s">
        <v>136</v>
      </c>
      <c r="C1815" s="354" t="s">
        <v>943</v>
      </c>
      <c r="D1815" s="354">
        <v>8</v>
      </c>
      <c r="E1815" s="368" t="s">
        <v>127</v>
      </c>
    </row>
    <row r="1816" spans="1:6" x14ac:dyDescent="0.4">
      <c r="A1816" s="352">
        <v>45909</v>
      </c>
      <c r="B1816" s="355" t="s">
        <v>168</v>
      </c>
      <c r="C1816" s="354" t="s">
        <v>943</v>
      </c>
      <c r="D1816" s="354">
        <v>1</v>
      </c>
      <c r="E1816" s="368" t="s">
        <v>127</v>
      </c>
    </row>
    <row r="1817" spans="1:6" x14ac:dyDescent="0.4">
      <c r="A1817" s="352">
        <v>45909</v>
      </c>
      <c r="B1817" s="356" t="s">
        <v>950</v>
      </c>
      <c r="C1817" s="354" t="s">
        <v>943</v>
      </c>
      <c r="D1817" s="354">
        <v>1</v>
      </c>
      <c r="E1817" s="368" t="s">
        <v>127</v>
      </c>
    </row>
    <row r="1818" spans="1:6" x14ac:dyDescent="0.4">
      <c r="A1818" s="352">
        <v>45909</v>
      </c>
      <c r="B1818" s="353" t="s">
        <v>136</v>
      </c>
      <c r="C1818" s="354" t="s">
        <v>943</v>
      </c>
      <c r="D1818" s="354">
        <v>4</v>
      </c>
      <c r="E1818" s="368" t="s">
        <v>127</v>
      </c>
    </row>
    <row r="1819" spans="1:6" x14ac:dyDescent="0.4">
      <c r="A1819" s="352">
        <v>45909</v>
      </c>
      <c r="B1819" s="355" t="s">
        <v>168</v>
      </c>
      <c r="C1819" s="354" t="s">
        <v>943</v>
      </c>
      <c r="D1819" s="354">
        <v>1</v>
      </c>
      <c r="E1819" s="368" t="s">
        <v>127</v>
      </c>
    </row>
    <row r="1820" spans="1:6" x14ac:dyDescent="0.4">
      <c r="A1820" s="352">
        <v>45909</v>
      </c>
      <c r="B1820" s="355" t="s">
        <v>169</v>
      </c>
      <c r="C1820" s="354" t="s">
        <v>943</v>
      </c>
      <c r="D1820" s="354">
        <v>1</v>
      </c>
      <c r="E1820" s="368" t="s">
        <v>127</v>
      </c>
    </row>
    <row r="1821" spans="1:6" x14ac:dyDescent="0.4">
      <c r="A1821" s="352">
        <v>45909</v>
      </c>
      <c r="B1821" s="355" t="s">
        <v>168</v>
      </c>
      <c r="C1821" s="354" t="s">
        <v>943</v>
      </c>
      <c r="D1821" s="354">
        <v>2</v>
      </c>
      <c r="E1821" s="368" t="s">
        <v>127</v>
      </c>
    </row>
    <row r="1822" spans="1:6" x14ac:dyDescent="0.4">
      <c r="A1822" s="352">
        <v>45909</v>
      </c>
      <c r="B1822" s="355" t="s">
        <v>942</v>
      </c>
      <c r="C1822" s="354" t="s">
        <v>943</v>
      </c>
      <c r="D1822" s="354">
        <v>3</v>
      </c>
      <c r="E1822" s="368" t="s">
        <v>127</v>
      </c>
    </row>
    <row r="1823" spans="1:6" x14ac:dyDescent="0.4">
      <c r="A1823" s="352">
        <v>45909</v>
      </c>
      <c r="B1823" s="355" t="s">
        <v>942</v>
      </c>
      <c r="C1823" s="354" t="s">
        <v>943</v>
      </c>
      <c r="D1823" s="354">
        <v>0</v>
      </c>
      <c r="E1823" s="368" t="s">
        <v>127</v>
      </c>
      <c r="F1823" t="s">
        <v>1240</v>
      </c>
    </row>
    <row r="1824" spans="1:6" x14ac:dyDescent="0.4">
      <c r="A1824" s="352">
        <v>45909</v>
      </c>
      <c r="B1824" s="357" t="s">
        <v>954</v>
      </c>
      <c r="C1824" s="354" t="s">
        <v>943</v>
      </c>
      <c r="D1824" s="354">
        <v>3</v>
      </c>
      <c r="E1824" s="368" t="s">
        <v>127</v>
      </c>
    </row>
    <row r="1826" spans="1:5" x14ac:dyDescent="0.4">
      <c r="A1826" s="329">
        <v>45908</v>
      </c>
      <c r="B1826" s="457" t="s">
        <v>828</v>
      </c>
      <c r="C1826" s="328" t="s">
        <v>701</v>
      </c>
      <c r="D1826" s="328">
        <v>3</v>
      </c>
      <c r="E1826" s="327" t="s">
        <v>127</v>
      </c>
    </row>
    <row r="1827" spans="1:5" x14ac:dyDescent="0.4">
      <c r="A1827" s="329">
        <v>45908</v>
      </c>
      <c r="B1827" s="457" t="s">
        <v>829</v>
      </c>
      <c r="C1827" s="328" t="s">
        <v>701</v>
      </c>
      <c r="D1827" s="328">
        <v>2</v>
      </c>
      <c r="E1827" s="327" t="s">
        <v>127</v>
      </c>
    </row>
    <row r="1828" spans="1:5" x14ac:dyDescent="0.4">
      <c r="A1828" s="329">
        <v>45908</v>
      </c>
      <c r="B1828" s="458" t="s">
        <v>1210</v>
      </c>
      <c r="C1828" s="328" t="s">
        <v>701</v>
      </c>
      <c r="D1828" s="328">
        <v>1</v>
      </c>
      <c r="E1828" s="327" t="s">
        <v>127</v>
      </c>
    </row>
    <row r="1829" spans="1:5" x14ac:dyDescent="0.4">
      <c r="A1829" s="329">
        <v>45908</v>
      </c>
      <c r="B1829" s="459" t="s">
        <v>425</v>
      </c>
      <c r="C1829" s="328" t="s">
        <v>701</v>
      </c>
      <c r="D1829" s="328">
        <v>4</v>
      </c>
      <c r="E1829" s="327" t="s">
        <v>127</v>
      </c>
    </row>
    <row r="1830" spans="1:5" x14ac:dyDescent="0.4">
      <c r="A1830" s="329">
        <v>45908</v>
      </c>
      <c r="B1830" s="459" t="s">
        <v>133</v>
      </c>
      <c r="C1830" s="328" t="s">
        <v>701</v>
      </c>
      <c r="D1830" s="328">
        <v>13</v>
      </c>
      <c r="E1830" s="327" t="s">
        <v>127</v>
      </c>
    </row>
    <row r="1831" spans="1:5" x14ac:dyDescent="0.4">
      <c r="A1831" s="329">
        <v>45908</v>
      </c>
      <c r="B1831" s="459" t="s">
        <v>941</v>
      </c>
      <c r="C1831" s="328" t="s">
        <v>701</v>
      </c>
      <c r="D1831" s="328">
        <v>4</v>
      </c>
      <c r="E1831" s="327" t="s">
        <v>127</v>
      </c>
    </row>
    <row r="1832" spans="1:5" x14ac:dyDescent="0.4">
      <c r="A1832" s="329">
        <v>45908</v>
      </c>
      <c r="B1832" s="459" t="s">
        <v>941</v>
      </c>
      <c r="C1832" s="328" t="s">
        <v>701</v>
      </c>
      <c r="D1832" s="328">
        <v>4</v>
      </c>
      <c r="E1832" s="327" t="s">
        <v>127</v>
      </c>
    </row>
    <row r="1833" spans="1:5" x14ac:dyDescent="0.4">
      <c r="A1833" s="329">
        <v>45908</v>
      </c>
      <c r="B1833" s="459" t="s">
        <v>137</v>
      </c>
      <c r="C1833" s="328" t="s">
        <v>701</v>
      </c>
      <c r="D1833" s="328">
        <v>1</v>
      </c>
      <c r="E1833" s="327" t="s">
        <v>127</v>
      </c>
    </row>
    <row r="1834" spans="1:5" x14ac:dyDescent="0.4">
      <c r="A1834" s="329">
        <v>45908</v>
      </c>
      <c r="B1834" s="459" t="s">
        <v>137</v>
      </c>
      <c r="C1834" s="328" t="s">
        <v>701</v>
      </c>
      <c r="D1834" s="328">
        <v>1</v>
      </c>
      <c r="E1834" s="327" t="s">
        <v>127</v>
      </c>
    </row>
    <row r="1835" spans="1:5" x14ac:dyDescent="0.4">
      <c r="A1835" s="329">
        <v>45908</v>
      </c>
      <c r="B1835" s="459" t="s">
        <v>139</v>
      </c>
      <c r="C1835" s="328" t="s">
        <v>701</v>
      </c>
      <c r="D1835" s="328">
        <v>1</v>
      </c>
      <c r="E1835" s="327" t="s">
        <v>127</v>
      </c>
    </row>
    <row r="1836" spans="1:5" x14ac:dyDescent="0.4">
      <c r="A1836" s="329">
        <v>45908</v>
      </c>
      <c r="B1836" s="457" t="s">
        <v>1177</v>
      </c>
      <c r="C1836" s="328" t="s">
        <v>701</v>
      </c>
      <c r="D1836" s="328">
        <v>1</v>
      </c>
      <c r="E1836" s="327" t="s">
        <v>127</v>
      </c>
    </row>
    <row r="1837" spans="1:5" x14ac:dyDescent="0.4">
      <c r="A1837" s="329">
        <v>45908</v>
      </c>
      <c r="B1837" s="457" t="s">
        <v>1120</v>
      </c>
      <c r="C1837" s="328" t="s">
        <v>701</v>
      </c>
      <c r="D1837" s="328">
        <v>1</v>
      </c>
      <c r="E1837" s="327" t="s">
        <v>127</v>
      </c>
    </row>
    <row r="1838" spans="1:5" x14ac:dyDescent="0.4">
      <c r="A1838" s="329">
        <v>45908</v>
      </c>
      <c r="B1838" s="460" t="s">
        <v>1235</v>
      </c>
      <c r="C1838" s="328" t="s">
        <v>701</v>
      </c>
      <c r="D1838" s="328">
        <v>1</v>
      </c>
      <c r="E1838" s="327" t="s">
        <v>127</v>
      </c>
    </row>
    <row r="1839" spans="1:5" x14ac:dyDescent="0.4">
      <c r="A1839" s="329">
        <v>45908</v>
      </c>
      <c r="B1839" s="459" t="s">
        <v>136</v>
      </c>
      <c r="C1839" s="328" t="s">
        <v>701</v>
      </c>
      <c r="D1839" s="328">
        <v>9</v>
      </c>
      <c r="E1839" s="327" t="s">
        <v>127</v>
      </c>
    </row>
    <row r="1840" spans="1:5" x14ac:dyDescent="0.4">
      <c r="A1840" s="329">
        <v>45908</v>
      </c>
      <c r="B1840" s="461" t="s">
        <v>950</v>
      </c>
      <c r="C1840" s="328" t="s">
        <v>701</v>
      </c>
      <c r="D1840" s="328">
        <v>2</v>
      </c>
      <c r="E1840" s="327" t="s">
        <v>127</v>
      </c>
    </row>
    <row r="1841" spans="1:6" x14ac:dyDescent="0.4">
      <c r="A1841" s="329">
        <v>45908</v>
      </c>
      <c r="B1841" s="459" t="s">
        <v>136</v>
      </c>
      <c r="C1841" s="328" t="s">
        <v>701</v>
      </c>
      <c r="D1841" s="328">
        <v>1</v>
      </c>
      <c r="E1841" s="327" t="s">
        <v>127</v>
      </c>
    </row>
    <row r="1842" spans="1:6" x14ac:dyDescent="0.4">
      <c r="A1842" s="329">
        <v>45908</v>
      </c>
      <c r="B1842" s="457" t="s">
        <v>169</v>
      </c>
      <c r="C1842" s="328" t="s">
        <v>701</v>
      </c>
      <c r="D1842" s="328">
        <v>1</v>
      </c>
      <c r="E1842" s="327" t="s">
        <v>127</v>
      </c>
    </row>
    <row r="1843" spans="1:6" x14ac:dyDescent="0.4">
      <c r="A1843" s="329">
        <v>45908</v>
      </c>
      <c r="B1843" s="457" t="s">
        <v>171</v>
      </c>
      <c r="C1843" s="328" t="s">
        <v>701</v>
      </c>
      <c r="D1843" s="328">
        <v>2</v>
      </c>
      <c r="E1843" s="327" t="s">
        <v>127</v>
      </c>
    </row>
    <row r="1845" spans="1:6" x14ac:dyDescent="0.4">
      <c r="A1845" s="341">
        <v>45910</v>
      </c>
      <c r="B1845" s="348" t="s">
        <v>136</v>
      </c>
      <c r="C1845" s="351" t="s">
        <v>121</v>
      </c>
      <c r="D1845" s="351">
        <v>-6</v>
      </c>
      <c r="E1845" s="235" t="s">
        <v>127</v>
      </c>
      <c r="F1845" t="s">
        <v>213</v>
      </c>
    </row>
    <row r="1846" spans="1:6" x14ac:dyDescent="0.4">
      <c r="A1846" s="341">
        <v>45910</v>
      </c>
      <c r="B1846" s="348" t="s">
        <v>136</v>
      </c>
      <c r="C1846" s="351" t="s">
        <v>121</v>
      </c>
      <c r="D1846" s="351">
        <v>-8</v>
      </c>
      <c r="E1846" s="235" t="s">
        <v>127</v>
      </c>
    </row>
    <row r="1847" spans="1:6" x14ac:dyDescent="0.4">
      <c r="A1847" s="341">
        <v>45910</v>
      </c>
      <c r="B1847" s="449" t="s">
        <v>950</v>
      </c>
      <c r="C1847" s="351" t="s">
        <v>121</v>
      </c>
      <c r="D1847" s="351">
        <v>-2</v>
      </c>
      <c r="E1847" s="235" t="s">
        <v>127</v>
      </c>
    </row>
    <row r="1848" spans="1:6" x14ac:dyDescent="0.4">
      <c r="A1848" s="341">
        <v>45910</v>
      </c>
      <c r="B1848" s="349" t="s">
        <v>169</v>
      </c>
      <c r="C1848" s="351" t="s">
        <v>121</v>
      </c>
      <c r="D1848" s="351">
        <v>-2</v>
      </c>
      <c r="E1848" s="235" t="s">
        <v>127</v>
      </c>
    </row>
    <row r="1849" spans="1:6" x14ac:dyDescent="0.4">
      <c r="A1849" s="341">
        <v>45910</v>
      </c>
      <c r="B1849" s="349" t="s">
        <v>168</v>
      </c>
      <c r="C1849" s="351" t="s">
        <v>121</v>
      </c>
      <c r="D1849" s="351">
        <v>-1</v>
      </c>
      <c r="E1849" s="235" t="s">
        <v>127</v>
      </c>
    </row>
    <row r="1850" spans="1:6" x14ac:dyDescent="0.4">
      <c r="A1850" s="341">
        <v>45910</v>
      </c>
      <c r="B1850" s="349" t="s">
        <v>169</v>
      </c>
      <c r="C1850" s="351" t="s">
        <v>121</v>
      </c>
      <c r="D1850" s="351">
        <v>-8</v>
      </c>
      <c r="E1850" s="235" t="s">
        <v>127</v>
      </c>
    </row>
    <row r="1851" spans="1:6" x14ac:dyDescent="0.4">
      <c r="A1851" s="341">
        <v>45910</v>
      </c>
      <c r="B1851" s="349" t="s">
        <v>169</v>
      </c>
      <c r="C1851" s="351" t="s">
        <v>121</v>
      </c>
      <c r="D1851" s="351">
        <v>-3</v>
      </c>
      <c r="E1851" s="235" t="s">
        <v>127</v>
      </c>
    </row>
    <row r="1852" spans="1:6" x14ac:dyDescent="0.4">
      <c r="A1852" s="341">
        <v>45910</v>
      </c>
      <c r="B1852" s="349" t="s">
        <v>168</v>
      </c>
      <c r="C1852" s="351" t="s">
        <v>121</v>
      </c>
      <c r="D1852" s="351">
        <v>-2</v>
      </c>
      <c r="E1852" s="235" t="s">
        <v>127</v>
      </c>
    </row>
    <row r="1853" spans="1:6" x14ac:dyDescent="0.4">
      <c r="A1853" s="341">
        <v>45910</v>
      </c>
      <c r="B1853" s="349" t="s">
        <v>168</v>
      </c>
      <c r="C1853" s="351" t="s">
        <v>121</v>
      </c>
      <c r="D1853" s="351">
        <v>-1</v>
      </c>
      <c r="E1853" s="235" t="s">
        <v>127</v>
      </c>
    </row>
    <row r="1854" spans="1:6" x14ac:dyDescent="0.4">
      <c r="A1854" s="341">
        <v>45910</v>
      </c>
      <c r="B1854" s="349" t="s">
        <v>168</v>
      </c>
      <c r="C1854" s="351" t="s">
        <v>121</v>
      </c>
      <c r="D1854" s="351">
        <v>-2</v>
      </c>
      <c r="E1854" s="235" t="s">
        <v>127</v>
      </c>
    </row>
    <row r="1855" spans="1:6" x14ac:dyDescent="0.4">
      <c r="A1855" s="341">
        <v>45910</v>
      </c>
      <c r="B1855" s="349" t="s">
        <v>999</v>
      </c>
      <c r="C1855" s="351" t="s">
        <v>121</v>
      </c>
      <c r="D1855" s="351">
        <v>-2</v>
      </c>
      <c r="E1855" s="235" t="s">
        <v>127</v>
      </c>
    </row>
    <row r="1856" spans="1:6" x14ac:dyDescent="0.4">
      <c r="A1856" s="341">
        <v>45910</v>
      </c>
      <c r="B1856" s="349" t="s">
        <v>999</v>
      </c>
      <c r="C1856" s="351" t="s">
        <v>121</v>
      </c>
      <c r="D1856" s="351">
        <v>-1</v>
      </c>
      <c r="E1856" s="235" t="s">
        <v>127</v>
      </c>
    </row>
    <row r="1857" spans="1:6" x14ac:dyDescent="0.4">
      <c r="A1857" s="341">
        <v>45910</v>
      </c>
      <c r="B1857" s="349" t="s">
        <v>171</v>
      </c>
      <c r="C1857" s="351" t="s">
        <v>121</v>
      </c>
      <c r="D1857" s="351">
        <v>-2</v>
      </c>
      <c r="E1857" s="235" t="s">
        <v>127</v>
      </c>
    </row>
    <row r="1858" spans="1:6" x14ac:dyDescent="0.4">
      <c r="A1858" s="341">
        <v>45910</v>
      </c>
      <c r="B1858" s="349" t="s">
        <v>1232</v>
      </c>
      <c r="C1858" s="351" t="s">
        <v>121</v>
      </c>
      <c r="D1858" s="351">
        <v>-1</v>
      </c>
      <c r="E1858" s="235" t="s">
        <v>127</v>
      </c>
    </row>
    <row r="1859" spans="1:6" x14ac:dyDescent="0.4">
      <c r="A1859" s="341">
        <v>45910</v>
      </c>
      <c r="B1859" s="348" t="s">
        <v>136</v>
      </c>
      <c r="C1859" s="351" t="s">
        <v>121</v>
      </c>
      <c r="D1859" s="351">
        <v>-2</v>
      </c>
      <c r="E1859" s="235" t="s">
        <v>127</v>
      </c>
    </row>
    <row r="1861" spans="1:6" x14ac:dyDescent="0.4">
      <c r="A1861" s="341">
        <v>45910</v>
      </c>
      <c r="B1861" s="348" t="s">
        <v>136</v>
      </c>
      <c r="C1861" s="351" t="s">
        <v>121</v>
      </c>
      <c r="D1861" s="43">
        <v>-3</v>
      </c>
      <c r="E1861" s="235" t="s">
        <v>127</v>
      </c>
      <c r="F1861" t="s">
        <v>1236</v>
      </c>
    </row>
    <row r="1862" spans="1:6" x14ac:dyDescent="0.4">
      <c r="A1862" s="341">
        <v>45910</v>
      </c>
      <c r="B1862" s="348" t="s">
        <v>136</v>
      </c>
      <c r="C1862" s="351" t="s">
        <v>121</v>
      </c>
      <c r="D1862" s="43">
        <v>-4</v>
      </c>
      <c r="E1862" s="235" t="s">
        <v>127</v>
      </c>
    </row>
    <row r="1863" spans="1:6" x14ac:dyDescent="0.4">
      <c r="A1863" s="341">
        <v>45910</v>
      </c>
      <c r="B1863" s="449" t="s">
        <v>950</v>
      </c>
      <c r="C1863" s="351" t="s">
        <v>121</v>
      </c>
      <c r="D1863" s="43">
        <v>-2</v>
      </c>
      <c r="E1863" s="235" t="s">
        <v>127</v>
      </c>
    </row>
    <row r="1864" spans="1:6" x14ac:dyDescent="0.4">
      <c r="A1864" s="341">
        <v>45910</v>
      </c>
      <c r="B1864" s="449" t="s">
        <v>950</v>
      </c>
      <c r="C1864" s="351" t="s">
        <v>121</v>
      </c>
      <c r="D1864" s="43">
        <v>-1</v>
      </c>
      <c r="E1864" s="235" t="s">
        <v>127</v>
      </c>
    </row>
    <row r="1865" spans="1:6" x14ac:dyDescent="0.4">
      <c r="A1865" s="341">
        <v>45910</v>
      </c>
      <c r="B1865" s="348" t="s">
        <v>136</v>
      </c>
      <c r="C1865" s="351" t="s">
        <v>121</v>
      </c>
      <c r="D1865" s="43">
        <v>-1</v>
      </c>
      <c r="E1865" s="235" t="s">
        <v>127</v>
      </c>
    </row>
    <row r="1866" spans="1:6" x14ac:dyDescent="0.4">
      <c r="A1866" s="341">
        <v>45910</v>
      </c>
      <c r="B1866" s="348" t="s">
        <v>136</v>
      </c>
      <c r="C1866" s="351" t="s">
        <v>121</v>
      </c>
      <c r="D1866" s="43">
        <v>-1</v>
      </c>
      <c r="E1866" s="235" t="s">
        <v>127</v>
      </c>
    </row>
    <row r="1867" spans="1:6" x14ac:dyDescent="0.4">
      <c r="A1867" s="341">
        <v>45910</v>
      </c>
      <c r="B1867" s="349" t="s">
        <v>169</v>
      </c>
      <c r="C1867" s="351" t="s">
        <v>121</v>
      </c>
      <c r="D1867" s="43">
        <v>-1</v>
      </c>
      <c r="E1867" s="235" t="s">
        <v>127</v>
      </c>
    </row>
    <row r="1869" spans="1:6" x14ac:dyDescent="0.4">
      <c r="A1869" s="341">
        <v>45910</v>
      </c>
      <c r="B1869" s="349" t="s">
        <v>942</v>
      </c>
      <c r="C1869" s="351" t="s">
        <v>121</v>
      </c>
      <c r="D1869" s="351">
        <v>-3</v>
      </c>
      <c r="E1869" s="235" t="s">
        <v>127</v>
      </c>
      <c r="F1869" t="s">
        <v>1237</v>
      </c>
    </row>
    <row r="1870" spans="1:6" x14ac:dyDescent="0.4">
      <c r="A1870" s="341">
        <v>45910</v>
      </c>
      <c r="B1870" s="349" t="s">
        <v>942</v>
      </c>
      <c r="C1870" s="351" t="s">
        <v>121</v>
      </c>
      <c r="D1870" s="351">
        <v>-9</v>
      </c>
      <c r="E1870" s="235" t="s">
        <v>127</v>
      </c>
    </row>
    <row r="1871" spans="1:6" x14ac:dyDescent="0.4">
      <c r="A1871" s="341">
        <v>45910</v>
      </c>
      <c r="B1871" s="449" t="s">
        <v>952</v>
      </c>
      <c r="C1871" s="351" t="s">
        <v>121</v>
      </c>
      <c r="D1871" s="351">
        <v>-1</v>
      </c>
      <c r="E1871" s="235" t="s">
        <v>127</v>
      </c>
    </row>
    <row r="1872" spans="1:6" x14ac:dyDescent="0.4">
      <c r="A1872" s="341">
        <v>45910</v>
      </c>
      <c r="B1872" s="462" t="s">
        <v>941</v>
      </c>
      <c r="C1872" s="351" t="s">
        <v>121</v>
      </c>
      <c r="D1872" s="351">
        <v>-8</v>
      </c>
      <c r="E1872" s="235" t="s">
        <v>127</v>
      </c>
    </row>
    <row r="1873" spans="1:6" x14ac:dyDescent="0.4">
      <c r="A1873" s="341">
        <v>45910</v>
      </c>
      <c r="B1873" s="348" t="s">
        <v>945</v>
      </c>
      <c r="C1873" s="351" t="s">
        <v>121</v>
      </c>
      <c r="D1873" s="351">
        <v>-1</v>
      </c>
      <c r="E1873" s="235" t="s">
        <v>127</v>
      </c>
    </row>
    <row r="1874" spans="1:6" x14ac:dyDescent="0.4">
      <c r="A1874" s="341">
        <v>45910</v>
      </c>
      <c r="B1874" s="462" t="s">
        <v>137</v>
      </c>
      <c r="C1874" s="351" t="s">
        <v>121</v>
      </c>
      <c r="D1874" s="351">
        <v>-2</v>
      </c>
      <c r="E1874" s="235" t="s">
        <v>127</v>
      </c>
    </row>
    <row r="1875" spans="1:6" x14ac:dyDescent="0.4">
      <c r="A1875" s="341">
        <v>45910</v>
      </c>
      <c r="B1875" s="462" t="s">
        <v>139</v>
      </c>
      <c r="C1875" s="351" t="s">
        <v>121</v>
      </c>
      <c r="D1875" s="351">
        <v>-1</v>
      </c>
      <c r="E1875" s="235" t="s">
        <v>127</v>
      </c>
    </row>
    <row r="1876" spans="1:6" x14ac:dyDescent="0.4">
      <c r="A1876" s="341">
        <v>45910</v>
      </c>
      <c r="B1876" s="456" t="s">
        <v>1120</v>
      </c>
      <c r="C1876" s="351" t="s">
        <v>121</v>
      </c>
      <c r="D1876" s="351">
        <v>-2</v>
      </c>
      <c r="E1876" s="235" t="s">
        <v>127</v>
      </c>
    </row>
    <row r="1877" spans="1:6" x14ac:dyDescent="0.4">
      <c r="A1877" s="341">
        <v>45910</v>
      </c>
      <c r="B1877" s="456" t="s">
        <v>1177</v>
      </c>
      <c r="C1877" s="351" t="s">
        <v>121</v>
      </c>
      <c r="D1877" s="351">
        <v>-1</v>
      </c>
      <c r="E1877" s="235" t="s">
        <v>127</v>
      </c>
    </row>
    <row r="1878" spans="1:6" x14ac:dyDescent="0.4">
      <c r="A1878" s="341">
        <v>45910</v>
      </c>
      <c r="B1878" s="349" t="s">
        <v>1235</v>
      </c>
      <c r="C1878" s="351" t="s">
        <v>121</v>
      </c>
      <c r="D1878" s="351">
        <v>-1</v>
      </c>
      <c r="E1878" s="235" t="s">
        <v>127</v>
      </c>
    </row>
    <row r="1880" spans="1:6" x14ac:dyDescent="0.4">
      <c r="A1880" s="341">
        <v>45910</v>
      </c>
      <c r="B1880" s="94" t="s">
        <v>92</v>
      </c>
      <c r="C1880" s="351" t="s">
        <v>121</v>
      </c>
      <c r="D1880" s="43">
        <v>-2</v>
      </c>
      <c r="E1880" s="235" t="s">
        <v>127</v>
      </c>
      <c r="F1880" t="s">
        <v>1238</v>
      </c>
    </row>
    <row r="1881" spans="1:6" x14ac:dyDescent="0.4">
      <c r="A1881" s="341">
        <v>45910</v>
      </c>
      <c r="B1881" s="103" t="s">
        <v>954</v>
      </c>
      <c r="C1881" s="351" t="s">
        <v>121</v>
      </c>
      <c r="D1881" s="43">
        <v>-3</v>
      </c>
      <c r="E1881" s="235" t="s">
        <v>127</v>
      </c>
      <c r="F1881" t="s">
        <v>1239</v>
      </c>
    </row>
    <row r="1883" spans="1:6" x14ac:dyDescent="0.4">
      <c r="A1883" s="341">
        <v>45911</v>
      </c>
      <c r="B1883" s="348" t="s">
        <v>136</v>
      </c>
      <c r="C1883" s="351" t="s">
        <v>121</v>
      </c>
      <c r="D1883" s="43">
        <v>-7</v>
      </c>
      <c r="E1883" s="235" t="s">
        <v>127</v>
      </c>
      <c r="F1883" t="s">
        <v>1236</v>
      </c>
    </row>
    <row r="1884" spans="1:6" x14ac:dyDescent="0.4">
      <c r="A1884" s="341">
        <v>45911</v>
      </c>
      <c r="B1884" s="85" t="s">
        <v>133</v>
      </c>
      <c r="C1884" s="351" t="s">
        <v>121</v>
      </c>
      <c r="D1884" s="43">
        <v>-13</v>
      </c>
      <c r="E1884" s="235" t="s">
        <v>127</v>
      </c>
      <c r="F1884" t="s">
        <v>1242</v>
      </c>
    </row>
    <row r="1885" spans="1:6" x14ac:dyDescent="0.4">
      <c r="A1885" s="341">
        <v>45911</v>
      </c>
      <c r="B1885" s="348" t="s">
        <v>136</v>
      </c>
      <c r="C1885" s="43" t="s">
        <v>697</v>
      </c>
      <c r="D1885" s="43">
        <v>-1</v>
      </c>
      <c r="E1885" s="235" t="s">
        <v>127</v>
      </c>
      <c r="F1885" t="s">
        <v>1243</v>
      </c>
    </row>
    <row r="1886" spans="1:6" x14ac:dyDescent="0.4">
      <c r="A1886" s="341">
        <v>45911</v>
      </c>
      <c r="B1886" s="103" t="s">
        <v>266</v>
      </c>
      <c r="C1886" s="351" t="s">
        <v>121</v>
      </c>
      <c r="D1886" s="43">
        <v>-2</v>
      </c>
      <c r="E1886" s="235" t="s">
        <v>127</v>
      </c>
      <c r="F1886" t="s">
        <v>1244</v>
      </c>
    </row>
    <row r="1887" spans="1:6" x14ac:dyDescent="0.4">
      <c r="A1887" s="341">
        <v>45911</v>
      </c>
      <c r="B1887" s="94" t="s">
        <v>91</v>
      </c>
      <c r="C1887" s="351" t="s">
        <v>121</v>
      </c>
      <c r="D1887" s="43">
        <v>-1</v>
      </c>
      <c r="E1887" s="235" t="s">
        <v>127</v>
      </c>
      <c r="F1887" t="s">
        <v>1244</v>
      </c>
    </row>
    <row r="1888" spans="1:6" x14ac:dyDescent="0.4">
      <c r="A1888" s="341">
        <v>45911</v>
      </c>
      <c r="B1888" s="350" t="s">
        <v>1174</v>
      </c>
      <c r="C1888" s="351" t="s">
        <v>121</v>
      </c>
      <c r="D1888" s="43">
        <v>-1</v>
      </c>
      <c r="E1888" s="235" t="s">
        <v>127</v>
      </c>
      <c r="F1888" t="s">
        <v>1237</v>
      </c>
    </row>
    <row r="1889" spans="1:6" x14ac:dyDescent="0.4">
      <c r="A1889" s="341">
        <v>45911</v>
      </c>
      <c r="B1889" s="348" t="s">
        <v>1214</v>
      </c>
      <c r="C1889" s="351" t="s">
        <v>121</v>
      </c>
      <c r="D1889" s="43">
        <v>-1</v>
      </c>
      <c r="E1889" s="235" t="s">
        <v>127</v>
      </c>
      <c r="F1889" t="s">
        <v>1237</v>
      </c>
    </row>
    <row r="1891" spans="1:6" x14ac:dyDescent="0.4">
      <c r="A1891" s="336">
        <v>45912</v>
      </c>
      <c r="B1891" s="335" t="s">
        <v>123</v>
      </c>
      <c r="C1891" s="334" t="s">
        <v>49</v>
      </c>
      <c r="D1891" s="334">
        <v>50</v>
      </c>
      <c r="E1891" s="335" t="s">
        <v>127</v>
      </c>
    </row>
    <row r="1892" spans="1:6" x14ac:dyDescent="0.4">
      <c r="A1892" s="336">
        <v>45912</v>
      </c>
      <c r="B1892" s="335" t="s">
        <v>76</v>
      </c>
      <c r="C1892" s="334" t="s">
        <v>49</v>
      </c>
      <c r="D1892" s="334">
        <v>400</v>
      </c>
      <c r="E1892" s="335" t="s">
        <v>127</v>
      </c>
    </row>
    <row r="1894" spans="1:6" x14ac:dyDescent="0.4">
      <c r="A1894" s="278">
        <v>45912</v>
      </c>
      <c r="B1894" s="139" t="s">
        <v>1247</v>
      </c>
      <c r="C1894" s="105" t="s">
        <v>49</v>
      </c>
      <c r="D1894" s="105">
        <v>10</v>
      </c>
      <c r="E1894" s="139" t="s">
        <v>127</v>
      </c>
    </row>
    <row r="1895" spans="1:6" x14ac:dyDescent="0.4">
      <c r="A1895" s="278">
        <v>45912</v>
      </c>
      <c r="B1895" s="139" t="s">
        <v>1248</v>
      </c>
      <c r="C1895" s="105" t="s">
        <v>49</v>
      </c>
      <c r="D1895" s="105">
        <v>10</v>
      </c>
      <c r="E1895" s="139" t="s">
        <v>127</v>
      </c>
    </row>
    <row r="1896" spans="1:6" x14ac:dyDescent="0.4">
      <c r="A1896" s="278">
        <v>45912</v>
      </c>
      <c r="B1896" s="127" t="s">
        <v>904</v>
      </c>
      <c r="C1896" s="105" t="s">
        <v>49</v>
      </c>
      <c r="D1896" s="105">
        <v>5</v>
      </c>
      <c r="E1896" s="139" t="s">
        <v>127</v>
      </c>
    </row>
    <row r="1897" spans="1:6" x14ac:dyDescent="0.4">
      <c r="A1897" s="278">
        <v>45912</v>
      </c>
      <c r="B1897" s="139" t="s">
        <v>1258</v>
      </c>
      <c r="C1897" s="105" t="s">
        <v>49</v>
      </c>
      <c r="D1897" s="105">
        <v>15</v>
      </c>
      <c r="E1897" s="139" t="s">
        <v>127</v>
      </c>
    </row>
    <row r="1898" spans="1:6" x14ac:dyDescent="0.4">
      <c r="A1898" s="278">
        <v>45912</v>
      </c>
      <c r="B1898" s="139" t="s">
        <v>1259</v>
      </c>
      <c r="C1898" s="105" t="s">
        <v>49</v>
      </c>
      <c r="D1898" s="105">
        <v>10</v>
      </c>
      <c r="E1898" s="139" t="s">
        <v>127</v>
      </c>
    </row>
    <row r="1899" spans="1:6" x14ac:dyDescent="0.4">
      <c r="A1899" s="278">
        <v>45912</v>
      </c>
      <c r="B1899" s="127" t="s">
        <v>691</v>
      </c>
      <c r="C1899" s="105" t="s">
        <v>49</v>
      </c>
      <c r="D1899" s="105">
        <v>5</v>
      </c>
      <c r="E1899" s="139" t="s">
        <v>127</v>
      </c>
    </row>
    <row r="1900" spans="1:6" x14ac:dyDescent="0.4">
      <c r="A1900" s="278">
        <v>45912</v>
      </c>
      <c r="B1900" s="127" t="s">
        <v>904</v>
      </c>
      <c r="C1900" s="105" t="s">
        <v>49</v>
      </c>
      <c r="D1900" s="105">
        <v>9</v>
      </c>
      <c r="E1900" s="139" t="s">
        <v>127</v>
      </c>
    </row>
    <row r="1901" spans="1:6" x14ac:dyDescent="0.4">
      <c r="A1901" s="278">
        <v>45912</v>
      </c>
      <c r="B1901" s="139" t="s">
        <v>887</v>
      </c>
      <c r="C1901" s="105" t="s">
        <v>49</v>
      </c>
      <c r="D1901" s="105">
        <v>9</v>
      </c>
      <c r="E1901" s="139" t="s">
        <v>127</v>
      </c>
    </row>
    <row r="1902" spans="1:6" x14ac:dyDescent="0.4">
      <c r="A1902" s="278">
        <v>45912</v>
      </c>
      <c r="B1902" s="127" t="s">
        <v>690</v>
      </c>
      <c r="C1902" s="105" t="s">
        <v>49</v>
      </c>
      <c r="D1902" s="105">
        <v>1</v>
      </c>
      <c r="E1902" s="139" t="s">
        <v>127</v>
      </c>
    </row>
    <row r="1903" spans="1:6" x14ac:dyDescent="0.4">
      <c r="A1903" s="278">
        <v>45912</v>
      </c>
      <c r="B1903" s="238" t="s">
        <v>304</v>
      </c>
      <c r="C1903" s="105" t="s">
        <v>49</v>
      </c>
      <c r="D1903" s="105">
        <v>50</v>
      </c>
      <c r="E1903" s="139" t="s">
        <v>127</v>
      </c>
    </row>
    <row r="1904" spans="1:6" x14ac:dyDescent="0.4">
      <c r="A1904" s="278">
        <v>45912</v>
      </c>
      <c r="B1904" s="127" t="s">
        <v>690</v>
      </c>
      <c r="C1904" s="105" t="s">
        <v>49</v>
      </c>
      <c r="D1904" s="105">
        <v>4</v>
      </c>
      <c r="E1904" s="139" t="s">
        <v>127</v>
      </c>
    </row>
    <row r="1905" spans="1:6" x14ac:dyDescent="0.4">
      <c r="A1905" s="278">
        <v>45912</v>
      </c>
      <c r="B1905" s="239" t="s">
        <v>492</v>
      </c>
      <c r="C1905" s="105" t="s">
        <v>49</v>
      </c>
      <c r="D1905" s="105">
        <v>5</v>
      </c>
      <c r="E1905" s="139" t="s">
        <v>127</v>
      </c>
      <c r="F1905" t="s">
        <v>1264</v>
      </c>
    </row>
    <row r="1906" spans="1:6" x14ac:dyDescent="0.4">
      <c r="A1906" s="278">
        <v>45912</v>
      </c>
      <c r="B1906" s="127" t="s">
        <v>810</v>
      </c>
      <c r="C1906" s="105" t="s">
        <v>49</v>
      </c>
      <c r="D1906" s="105">
        <v>2</v>
      </c>
      <c r="E1906" s="139" t="s">
        <v>127</v>
      </c>
      <c r="F1906" t="s">
        <v>1264</v>
      </c>
    </row>
    <row r="1907" spans="1:6" x14ac:dyDescent="0.4">
      <c r="A1907" s="278">
        <v>45912</v>
      </c>
      <c r="B1907" s="127" t="s">
        <v>903</v>
      </c>
      <c r="C1907" s="105" t="s">
        <v>49</v>
      </c>
      <c r="D1907" s="105">
        <v>20</v>
      </c>
      <c r="E1907" s="139" t="s">
        <v>127</v>
      </c>
      <c r="F1907" t="s">
        <v>1264</v>
      </c>
    </row>
    <row r="1908" spans="1:6" x14ac:dyDescent="0.4">
      <c r="A1908" s="278">
        <v>45912</v>
      </c>
      <c r="B1908" s="127" t="s">
        <v>691</v>
      </c>
      <c r="C1908" s="105" t="s">
        <v>49</v>
      </c>
      <c r="D1908" s="105">
        <v>1</v>
      </c>
      <c r="E1908" s="139" t="s">
        <v>127</v>
      </c>
      <c r="F1908" t="s">
        <v>1264</v>
      </c>
    </row>
    <row r="1048576" spans="5:5" x14ac:dyDescent="0.4">
      <c r="E1048576" s="18"/>
    </row>
  </sheetData>
  <mergeCells count="1">
    <mergeCell ref="E1410:F14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26"/>
  <sheetViews>
    <sheetView tabSelected="1" zoomScale="56" zoomScaleNormal="56" workbookViewId="0">
      <pane ySplit="2" topLeftCell="A126" activePane="bottomLeft" state="frozen"/>
      <selection activeCell="B1897" activeCellId="1" sqref="B1894:B1895 B1897:B1898"/>
      <selection pane="bottomLeft" activeCell="F142" sqref="F142"/>
    </sheetView>
  </sheetViews>
  <sheetFormatPr defaultRowHeight="21" x14ac:dyDescent="0.3"/>
  <cols>
    <col min="1" max="1" width="7.44140625" customWidth="1"/>
    <col min="2" max="2" width="47.44140625" style="44" customWidth="1"/>
    <col min="3" max="3" width="22.44140625" style="35" customWidth="1"/>
    <col min="4" max="4" width="14.21875" style="35" customWidth="1"/>
    <col min="5" max="5" width="19.88671875" style="35" customWidth="1"/>
    <col min="6" max="6" width="23.5546875" style="35" customWidth="1"/>
    <col min="7" max="7" width="16.44140625" style="35" customWidth="1"/>
    <col min="8" max="8" width="17.6640625" style="35" customWidth="1"/>
    <col min="9" max="9" width="25.109375" style="35" customWidth="1"/>
    <col min="10" max="10" width="16.44140625" style="35" customWidth="1"/>
    <col min="11" max="11" width="20.88671875" customWidth="1"/>
    <col min="12" max="12" width="19.77734375" customWidth="1"/>
    <col min="13" max="13" width="28.109375" customWidth="1"/>
    <col min="14" max="14" width="148.109375" customWidth="1"/>
  </cols>
  <sheetData>
    <row r="1" spans="1:14" ht="33.75" customHeight="1" x14ac:dyDescent="0.3">
      <c r="F1" s="497" t="s">
        <v>20</v>
      </c>
      <c r="G1" s="498"/>
      <c r="H1" s="87" t="s">
        <v>35</v>
      </c>
      <c r="I1" s="88" t="s">
        <v>17</v>
      </c>
    </row>
    <row r="2" spans="1:14" ht="46.5" customHeight="1" x14ac:dyDescent="0.3">
      <c r="A2" s="34" t="s">
        <v>153</v>
      </c>
      <c r="B2" s="34" t="s">
        <v>70</v>
      </c>
      <c r="C2" s="34" t="s">
        <v>71</v>
      </c>
      <c r="D2" s="34" t="s">
        <v>72</v>
      </c>
      <c r="E2" s="39" t="s">
        <v>73</v>
      </c>
      <c r="F2" s="89" t="s">
        <v>18</v>
      </c>
      <c r="G2" s="89" t="s">
        <v>74</v>
      </c>
      <c r="H2" s="90" t="s">
        <v>74</v>
      </c>
      <c r="I2" s="91" t="s">
        <v>18</v>
      </c>
      <c r="J2" s="86" t="s">
        <v>19</v>
      </c>
      <c r="K2" s="92" t="s">
        <v>146</v>
      </c>
      <c r="N2" s="30" t="s">
        <v>56</v>
      </c>
    </row>
    <row r="3" spans="1:14" x14ac:dyDescent="0.3">
      <c r="A3" s="19">
        <v>1</v>
      </c>
      <c r="B3" s="93" t="s">
        <v>76</v>
      </c>
      <c r="C3" s="37">
        <f>SUMIFS(Stock_Transactions!D:D, Stock_Transactions!B:B, B3, Stock_Transactions!D:D, "&gt;0")</f>
        <v>2776</v>
      </c>
      <c r="D3" s="37">
        <f>SUMIFS(Stock_Transactions!D:D, Stock_Transactions!B:B, B3, Stock_Transactions!D:D, "&lt;0") * -1</f>
        <v>2221</v>
      </c>
      <c r="E3" s="80">
        <f t="shared" ref="E3:E34" si="0">C3-D3</f>
        <v>555</v>
      </c>
      <c r="F3" s="48">
        <f t="shared" ref="F3:F34" si="1">E3-G3-H3-I3-J3</f>
        <v>549</v>
      </c>
      <c r="G3" s="48">
        <f>SUMIF(Pending_Stock!C:C, B3, Pending_Stock!F:F)</f>
        <v>6</v>
      </c>
      <c r="H3" s="49">
        <f>SUMIF(Pending_Stock!I:I, B3, Pending_Stock!L:L)</f>
        <v>0</v>
      </c>
      <c r="I3" s="50">
        <f>SUMIF(ShipToDubai!C:C, B3, ShipToDubai!F:F) - (SUMIFS(Stock_Transactions!D:D, Stock_Transactions!B:B, B3, Stock_Transactions!D:D, "&lt;0") * -1)</f>
        <v>0</v>
      </c>
      <c r="J3" s="38">
        <f>SUMIF(ShipToDubai!C:C, B3, ShipToDubai!G:G)</f>
        <v>0</v>
      </c>
      <c r="L3" t="s">
        <v>871</v>
      </c>
      <c r="N3" s="31" t="s">
        <v>55</v>
      </c>
    </row>
    <row r="4" spans="1:14" x14ac:dyDescent="0.3">
      <c r="A4" s="19">
        <f t="shared" ref="A4:A35" si="2">A3+1</f>
        <v>2</v>
      </c>
      <c r="B4" s="93" t="s">
        <v>78</v>
      </c>
      <c r="C4" s="37">
        <f>SUMIFS(Stock_Transactions!D:D, Stock_Transactions!B:B, B4, Stock_Transactions!D:D, "&gt;0")</f>
        <v>1143</v>
      </c>
      <c r="D4" s="37">
        <f>SUMIFS(Stock_Transactions!D:D, Stock_Transactions!B:B, B4, Stock_Transactions!D:D, "&lt;0") * -1</f>
        <v>1086</v>
      </c>
      <c r="E4" s="80">
        <f t="shared" si="0"/>
        <v>57</v>
      </c>
      <c r="F4" s="48">
        <f t="shared" si="1"/>
        <v>24</v>
      </c>
      <c r="G4" s="48">
        <f>SUMIF(Pending_Stock!C:C, B4, Pending_Stock!F:F)</f>
        <v>0</v>
      </c>
      <c r="H4" s="49">
        <f>SUMIF(Pending_Stock!I:I, B4, Pending_Stock!L:L)</f>
        <v>0</v>
      </c>
      <c r="I4" s="50">
        <f>SUMIF(ShipToDubai!C:C, B4, ShipToDubai!F:F) - (SUMIFS(Stock_Transactions!D:D, Stock_Transactions!B:B, B4, Stock_Transactions!D:D, "&lt;0") * -1)</f>
        <v>33</v>
      </c>
      <c r="J4" s="38">
        <f>SUMIF(ShipToDubai!C:C, B4, ShipToDubai!G:G)</f>
        <v>0</v>
      </c>
      <c r="L4" t="s">
        <v>1063</v>
      </c>
      <c r="N4" s="31"/>
    </row>
    <row r="5" spans="1:14" x14ac:dyDescent="0.4">
      <c r="A5" s="19">
        <f t="shared" si="2"/>
        <v>3</v>
      </c>
      <c r="B5" s="94" t="s">
        <v>87</v>
      </c>
      <c r="C5" s="37">
        <f>SUMIFS(Stock_Transactions!D:D, Stock_Transactions!B:B, B5, Stock_Transactions!D:D, "&gt;0")</f>
        <v>117</v>
      </c>
      <c r="D5" s="37">
        <f>SUMIFS(Stock_Transactions!D:D, Stock_Transactions!B:B, B5, Stock_Transactions!D:D, "&lt;0") * -1</f>
        <v>134</v>
      </c>
      <c r="E5" s="80">
        <f t="shared" si="0"/>
        <v>-17</v>
      </c>
      <c r="F5" s="48">
        <f t="shared" si="1"/>
        <v>-21</v>
      </c>
      <c r="G5" s="48">
        <f>SUMIF(Pending_Stock!C:C, B5, Pending_Stock!F:F)</f>
        <v>0</v>
      </c>
      <c r="H5" s="49">
        <f>SUMIF(Pending_Stock!I:I, B5, Pending_Stock!L:L)</f>
        <v>0</v>
      </c>
      <c r="I5" s="50">
        <f>SUMIF(ShipToDubai!C:C, B5, ShipToDubai!F:F) - (SUMIFS(Stock_Transactions!D:D, Stock_Transactions!B:B, B5, Stock_Transactions!D:D, "&lt;0") * -1)</f>
        <v>4</v>
      </c>
      <c r="J5" s="38">
        <f>SUMIF(ShipToDubai!C:C, B5, ShipToDubai!G:G)</f>
        <v>0</v>
      </c>
      <c r="N5" s="30" t="s">
        <v>57</v>
      </c>
    </row>
    <row r="6" spans="1:14" x14ac:dyDescent="0.3">
      <c r="A6" s="19">
        <f t="shared" si="2"/>
        <v>4</v>
      </c>
      <c r="B6" s="93" t="s">
        <v>80</v>
      </c>
      <c r="C6" s="37">
        <f>SUMIFS(Stock_Transactions!D:D, Stock_Transactions!B:B, B6, Stock_Transactions!D:D, "&gt;0")</f>
        <v>217</v>
      </c>
      <c r="D6" s="37">
        <f>SUMIFS(Stock_Transactions!D:D, Stock_Transactions!B:B, B6, Stock_Transactions!D:D, "&lt;0") * -1</f>
        <v>17</v>
      </c>
      <c r="E6" s="80">
        <f t="shared" si="0"/>
        <v>200</v>
      </c>
      <c r="F6" s="48">
        <f t="shared" si="1"/>
        <v>12</v>
      </c>
      <c r="G6" s="48">
        <f>SUMIF(Pending_Stock!C:C, B6, Pending_Stock!F:F)</f>
        <v>0</v>
      </c>
      <c r="H6" s="49">
        <f>SUMIF(Pending_Stock!I:I, B6, Pending_Stock!L:L)</f>
        <v>0</v>
      </c>
      <c r="I6" s="50">
        <f>SUMIF(ShipToDubai!C:C, B6, ShipToDubai!F:F) - (SUMIFS(Stock_Transactions!D:D, Stock_Transactions!B:B, B6, Stock_Transactions!D:D, "&lt;0") * -1)</f>
        <v>188</v>
      </c>
      <c r="J6" s="38">
        <f>SUMIF(ShipToDubai!C:C, B6, ShipToDubai!G:G)</f>
        <v>0</v>
      </c>
      <c r="N6" s="31" t="s">
        <v>58</v>
      </c>
    </row>
    <row r="7" spans="1:14" x14ac:dyDescent="0.3">
      <c r="A7" s="19">
        <f t="shared" si="2"/>
        <v>5</v>
      </c>
      <c r="B7" s="93" t="s">
        <v>81</v>
      </c>
      <c r="C7" s="37">
        <f>SUMIFS(Stock_Transactions!D:D, Stock_Transactions!B:B, B7, Stock_Transactions!D:D, "&gt;0")</f>
        <v>10</v>
      </c>
      <c r="D7" s="37">
        <f>SUMIFS(Stock_Transactions!D:D, Stock_Transactions!B:B, B7, Stock_Transactions!D:D, "&lt;0") * -1</f>
        <v>8</v>
      </c>
      <c r="E7" s="80">
        <f t="shared" si="0"/>
        <v>2</v>
      </c>
      <c r="F7" s="48">
        <f t="shared" si="1"/>
        <v>0</v>
      </c>
      <c r="G7" s="48">
        <f>SUMIF(Pending_Stock!C:C, B7, Pending_Stock!F:F)</f>
        <v>2</v>
      </c>
      <c r="H7" s="49">
        <f>SUMIF(Pending_Stock!I:I, B7, Pending_Stock!L:L)</f>
        <v>0</v>
      </c>
      <c r="I7" s="50">
        <f>SUMIF(ShipToDubai!C:C, B7, ShipToDubai!F:F) - (SUMIFS(Stock_Transactions!D:D, Stock_Transactions!B:B, B7, Stock_Transactions!D:D, "&lt;0") * -1)</f>
        <v>0</v>
      </c>
      <c r="J7" s="38">
        <f>SUMIF(ShipToDubai!C:C, B7, ShipToDubai!G:G)</f>
        <v>0</v>
      </c>
      <c r="L7" t="s">
        <v>305</v>
      </c>
      <c r="N7" s="31"/>
    </row>
    <row r="8" spans="1:14" x14ac:dyDescent="0.3">
      <c r="A8" s="19">
        <f t="shared" si="2"/>
        <v>6</v>
      </c>
      <c r="B8" s="93" t="s">
        <v>82</v>
      </c>
      <c r="C8" s="37">
        <f>SUMIFS(Stock_Transactions!D:D, Stock_Transactions!B:B, B8, Stock_Transactions!D:D, "&gt;0")</f>
        <v>559</v>
      </c>
      <c r="D8" s="37">
        <f>SUMIFS(Stock_Transactions!D:D, Stock_Transactions!B:B, B8, Stock_Transactions!D:D, "&lt;0") * -1</f>
        <v>558</v>
      </c>
      <c r="E8" s="80">
        <f t="shared" si="0"/>
        <v>1</v>
      </c>
      <c r="F8" s="48">
        <f t="shared" si="1"/>
        <v>0</v>
      </c>
      <c r="G8" s="48">
        <f>SUMIF(Pending_Stock!C:C, B8, Pending_Stock!F:F)</f>
        <v>0</v>
      </c>
      <c r="H8" s="49">
        <f>SUMIF(Pending_Stock!I:I, B8, Pending_Stock!L:L)</f>
        <v>0</v>
      </c>
      <c r="I8" s="50">
        <f>SUMIF(ShipToDubai!C:C, B8, ShipToDubai!F:F) - (SUMIFS(Stock_Transactions!D:D, Stock_Transactions!B:B, B8, Stock_Transactions!D:D, "&lt;0") * -1)</f>
        <v>1</v>
      </c>
      <c r="J8" s="38">
        <f>SUMIF(ShipToDubai!C:C, B8, ShipToDubai!G:G)</f>
        <v>0</v>
      </c>
      <c r="L8" t="s">
        <v>305</v>
      </c>
      <c r="N8" s="30" t="s">
        <v>59</v>
      </c>
    </row>
    <row r="9" spans="1:14" x14ac:dyDescent="0.3">
      <c r="A9" s="19">
        <f t="shared" si="2"/>
        <v>7</v>
      </c>
      <c r="B9" s="93" t="s">
        <v>84</v>
      </c>
      <c r="C9" s="37">
        <f>SUMIFS(Stock_Transactions!D:D, Stock_Transactions!B:B, B9, Stock_Transactions!D:D, "&gt;0")</f>
        <v>438</v>
      </c>
      <c r="D9" s="37">
        <f>SUMIFS(Stock_Transactions!D:D, Stock_Transactions!B:B, B9, Stock_Transactions!D:D, "&lt;0") * -1</f>
        <v>435</v>
      </c>
      <c r="E9" s="80">
        <f t="shared" si="0"/>
        <v>3</v>
      </c>
      <c r="F9" s="48">
        <f t="shared" si="1"/>
        <v>3</v>
      </c>
      <c r="G9" s="48">
        <f>SUMIF(Pending_Stock!C:C, B9, Pending_Stock!F:F)</f>
        <v>0</v>
      </c>
      <c r="H9" s="49">
        <f>SUMIF(Pending_Stock!I:I, B9, Pending_Stock!L:L)</f>
        <v>0</v>
      </c>
      <c r="I9" s="50">
        <f>SUMIF(ShipToDubai!C:C, B9, ShipToDubai!F:F) - (SUMIFS(Stock_Transactions!D:D, Stock_Transactions!B:B, B9, Stock_Transactions!D:D, "&lt;0") * -1)</f>
        <v>0</v>
      </c>
      <c r="J9" s="38">
        <f>SUMIF(ShipToDubai!C:C, B9, ShipToDubai!G:G)</f>
        <v>0</v>
      </c>
      <c r="N9" s="31" t="s">
        <v>60</v>
      </c>
    </row>
    <row r="10" spans="1:14" x14ac:dyDescent="0.3">
      <c r="A10" s="19">
        <f t="shared" si="2"/>
        <v>8</v>
      </c>
      <c r="B10" s="93" t="s">
        <v>85</v>
      </c>
      <c r="C10" s="37">
        <f>SUMIFS(Stock_Transactions!D:D, Stock_Transactions!B:B, B10, Stock_Transactions!D:D, "&gt;0")</f>
        <v>22</v>
      </c>
      <c r="D10" s="37">
        <f>SUMIFS(Stock_Transactions!D:D, Stock_Transactions!B:B, B10, Stock_Transactions!D:D, "&lt;0") * -1</f>
        <v>8</v>
      </c>
      <c r="E10" s="80">
        <f t="shared" si="0"/>
        <v>14</v>
      </c>
      <c r="F10" s="48">
        <f t="shared" si="1"/>
        <v>12</v>
      </c>
      <c r="G10" s="48">
        <f>SUMIF(Pending_Stock!C:C, B10, Pending_Stock!F:F)</f>
        <v>0</v>
      </c>
      <c r="H10" s="49">
        <f>SUMIF(Pending_Stock!I:I, B10, Pending_Stock!L:L)</f>
        <v>0</v>
      </c>
      <c r="I10" s="50">
        <f>SUMIF(ShipToDubai!C:C, B10, ShipToDubai!F:F) - (SUMIFS(Stock_Transactions!D:D, Stock_Transactions!B:B, B10, Stock_Transactions!D:D, "&lt;0") * -1)</f>
        <v>2</v>
      </c>
      <c r="J10" s="38">
        <f>SUMIF(ShipToDubai!C:C, B10, ShipToDubai!G:G)</f>
        <v>0</v>
      </c>
      <c r="N10" s="31"/>
    </row>
    <row r="11" spans="1:14" x14ac:dyDescent="0.4">
      <c r="A11" s="19">
        <f t="shared" si="2"/>
        <v>9</v>
      </c>
      <c r="B11" s="94" t="s">
        <v>86</v>
      </c>
      <c r="C11" s="37">
        <f>SUMIFS(Stock_Transactions!D:D, Stock_Transactions!B:B, B11, Stock_Transactions!D:D, "&gt;0")</f>
        <v>70</v>
      </c>
      <c r="D11" s="37">
        <f>SUMIFS(Stock_Transactions!D:D, Stock_Transactions!B:B, B11, Stock_Transactions!D:D, "&lt;0") * -1</f>
        <v>92</v>
      </c>
      <c r="E11" s="80">
        <f t="shared" si="0"/>
        <v>-22</v>
      </c>
      <c r="F11" s="48">
        <f t="shared" si="1"/>
        <v>-22</v>
      </c>
      <c r="G11" s="48">
        <f>SUMIF(Pending_Stock!C:C, B11, Pending_Stock!F:F)</f>
        <v>0</v>
      </c>
      <c r="H11" s="49">
        <f>SUMIF(Pending_Stock!I:I, B11, Pending_Stock!L:L)</f>
        <v>0</v>
      </c>
      <c r="I11" s="50">
        <f>SUMIF(ShipToDubai!C:C, B11, ShipToDubai!F:F) - (SUMIFS(Stock_Transactions!D:D, Stock_Transactions!B:B, B11, Stock_Transactions!D:D, "&lt;0") * -1)</f>
        <v>0</v>
      </c>
      <c r="J11" s="38">
        <f>SUMIF(ShipToDubai!C:C, B11, ShipToDubai!G:G)</f>
        <v>0</v>
      </c>
      <c r="N11" s="31"/>
    </row>
    <row r="12" spans="1:14" x14ac:dyDescent="0.4">
      <c r="A12" s="19">
        <f t="shared" si="2"/>
        <v>10</v>
      </c>
      <c r="B12" s="103" t="s">
        <v>302</v>
      </c>
      <c r="C12" s="37">
        <f>SUMIFS(Stock_Transactions!D:D, Stock_Transactions!B:B, B12, Stock_Transactions!D:D, "&gt;0")</f>
        <v>6</v>
      </c>
      <c r="D12" s="37">
        <f>SUMIFS(Stock_Transactions!D:D, Stock_Transactions!B:B, B12, Stock_Transactions!D:D, "&lt;0") * -1</f>
        <v>6</v>
      </c>
      <c r="E12" s="80">
        <f t="shared" si="0"/>
        <v>0</v>
      </c>
      <c r="F12" s="48">
        <f t="shared" si="1"/>
        <v>0</v>
      </c>
      <c r="G12" s="48">
        <f>SUMIF(Pending_Stock!C:C, B12, Pending_Stock!F:F)</f>
        <v>0</v>
      </c>
      <c r="H12" s="49">
        <f>SUMIF(Pending_Stock!I:I, B12, Pending_Stock!L:L)</f>
        <v>0</v>
      </c>
      <c r="I12" s="50">
        <f>SUMIF(ShipToDubai!C:C, B12, ShipToDubai!F:F) - (SUMIFS(Stock_Transactions!D:D, Stock_Transactions!B:B, B12, Stock_Transactions!D:D, "&lt;0") * -1)</f>
        <v>0</v>
      </c>
      <c r="J12" s="38">
        <f>SUMIF(ShipToDubai!C:C, B12, ShipToDubai!G:G)</f>
        <v>0</v>
      </c>
      <c r="N12" s="30" t="s">
        <v>61</v>
      </c>
    </row>
    <row r="13" spans="1:14" x14ac:dyDescent="0.3">
      <c r="A13" s="19">
        <f t="shared" si="2"/>
        <v>11</v>
      </c>
      <c r="B13" s="93" t="s">
        <v>88</v>
      </c>
      <c r="C13" s="37">
        <f>SUMIFS(Stock_Transactions!D:D, Stock_Transactions!B:B, B13, Stock_Transactions!D:D, "&gt;0")</f>
        <v>2</v>
      </c>
      <c r="D13" s="37">
        <f>SUMIFS(Stock_Transactions!D:D, Stock_Transactions!B:B, B13, Stock_Transactions!D:D, "&lt;0") * -1</f>
        <v>2</v>
      </c>
      <c r="E13" s="80">
        <f t="shared" si="0"/>
        <v>0</v>
      </c>
      <c r="F13" s="48">
        <f t="shared" si="1"/>
        <v>0</v>
      </c>
      <c r="G13" s="48">
        <f>SUMIF(Pending_Stock!C:C, B13, Pending_Stock!F:F)</f>
        <v>0</v>
      </c>
      <c r="H13" s="49">
        <f>SUMIF(Pending_Stock!I:I, B13, Pending_Stock!L:L)</f>
        <v>0</v>
      </c>
      <c r="I13" s="50">
        <f>SUMIF(ShipToDubai!C:C, B13, ShipToDubai!F:F) - (SUMIFS(Stock_Transactions!D:D, Stock_Transactions!B:B, B13, Stock_Transactions!D:D, "&lt;0") * -1)</f>
        <v>0</v>
      </c>
      <c r="J13" s="38">
        <f>SUMIF(ShipToDubai!C:C, B13, ShipToDubai!G:G)</f>
        <v>0</v>
      </c>
      <c r="N13" s="31" t="s">
        <v>62</v>
      </c>
    </row>
    <row r="14" spans="1:14" x14ac:dyDescent="0.3">
      <c r="A14" s="19">
        <f t="shared" si="2"/>
        <v>12</v>
      </c>
      <c r="B14" s="93" t="s">
        <v>89</v>
      </c>
      <c r="C14" s="37">
        <f>SUMIFS(Stock_Transactions!D:D, Stock_Transactions!B:B, B14, Stock_Transactions!D:D, "&gt;0")</f>
        <v>14</v>
      </c>
      <c r="D14" s="37">
        <f>SUMIFS(Stock_Transactions!D:D, Stock_Transactions!B:B, B14, Stock_Transactions!D:D, "&lt;0") * -1</f>
        <v>1</v>
      </c>
      <c r="E14" s="80">
        <f t="shared" si="0"/>
        <v>13</v>
      </c>
      <c r="F14" s="48">
        <f t="shared" si="1"/>
        <v>12</v>
      </c>
      <c r="G14" s="48">
        <f>SUMIF(Pending_Stock!C:C, B14, Pending_Stock!F:F)</f>
        <v>0</v>
      </c>
      <c r="H14" s="49">
        <f>SUMIF(Pending_Stock!I:I, B14, Pending_Stock!L:L)</f>
        <v>0</v>
      </c>
      <c r="I14" s="50">
        <f>SUMIF(ShipToDubai!C:C, B14, ShipToDubai!F:F) - (SUMIFS(Stock_Transactions!D:D, Stock_Transactions!B:B, B14, Stock_Transactions!D:D, "&lt;0") * -1)</f>
        <v>1</v>
      </c>
      <c r="J14" s="38">
        <f>SUMIF(ShipToDubai!C:C, B14, ShipToDubai!G:G)</f>
        <v>0</v>
      </c>
      <c r="N14" s="31"/>
    </row>
    <row r="15" spans="1:14" x14ac:dyDescent="0.3">
      <c r="A15" s="19">
        <f t="shared" si="2"/>
        <v>13</v>
      </c>
      <c r="B15" s="93" t="s">
        <v>90</v>
      </c>
      <c r="C15" s="37">
        <f>SUMIFS(Stock_Transactions!D:D, Stock_Transactions!B:B, B15, Stock_Transactions!D:D, "&gt;0")</f>
        <v>2</v>
      </c>
      <c r="D15" s="37">
        <f>SUMIFS(Stock_Transactions!D:D, Stock_Transactions!B:B, B15, Stock_Transactions!D:D, "&lt;0") * -1</f>
        <v>2</v>
      </c>
      <c r="E15" s="80">
        <f t="shared" si="0"/>
        <v>0</v>
      </c>
      <c r="F15" s="48">
        <f t="shared" si="1"/>
        <v>0</v>
      </c>
      <c r="G15" s="48">
        <f>SUMIF(Pending_Stock!C:C, B15, Pending_Stock!F:F)</f>
        <v>0</v>
      </c>
      <c r="H15" s="49">
        <f>SUMIF(Pending_Stock!I:I, B15, Pending_Stock!L:L)</f>
        <v>0</v>
      </c>
      <c r="I15" s="50">
        <f>SUMIF(ShipToDubai!C:C, B15, ShipToDubai!F:F) - (SUMIFS(Stock_Transactions!D:D, Stock_Transactions!B:B, B15, Stock_Transactions!D:D, "&lt;0") * -1)</f>
        <v>0</v>
      </c>
      <c r="J15" s="38">
        <f>SUMIF(ShipToDubai!C:C, B15, ShipToDubai!G:G)</f>
        <v>0</v>
      </c>
      <c r="L15" t="s">
        <v>305</v>
      </c>
      <c r="N15" s="30" t="s">
        <v>63</v>
      </c>
    </row>
    <row r="16" spans="1:14" x14ac:dyDescent="0.4">
      <c r="A16" s="19">
        <f t="shared" si="2"/>
        <v>14</v>
      </c>
      <c r="B16" s="94" t="s">
        <v>91</v>
      </c>
      <c r="C16" s="37">
        <f>SUMIFS(Stock_Transactions!D:D, Stock_Transactions!B:B, B16, Stock_Transactions!D:D, "&gt;0")</f>
        <v>2</v>
      </c>
      <c r="D16" s="37">
        <f>SUMIFS(Stock_Transactions!D:D, Stock_Transactions!B:B, B16, Stock_Transactions!D:D, "&lt;0") * -1</f>
        <v>1</v>
      </c>
      <c r="E16" s="80">
        <f t="shared" si="0"/>
        <v>1</v>
      </c>
      <c r="F16" s="48">
        <f t="shared" si="1"/>
        <v>0</v>
      </c>
      <c r="G16" s="48">
        <f>SUMIF(Pending_Stock!C:C, B16, Pending_Stock!F:F)</f>
        <v>0</v>
      </c>
      <c r="H16" s="49">
        <f>SUMIF(Pending_Stock!I:I, B16, Pending_Stock!L:L)</f>
        <v>0</v>
      </c>
      <c r="I16" s="50">
        <f>SUMIF(ShipToDubai!C:C, B16, ShipToDubai!F:F) - (SUMIFS(Stock_Transactions!D:D, Stock_Transactions!B:B, B16, Stock_Transactions!D:D, "&lt;0") * -1)</f>
        <v>1</v>
      </c>
      <c r="J16" s="38">
        <f>SUMIF(ShipToDubai!C:C, B16, ShipToDubai!G:G)</f>
        <v>0</v>
      </c>
      <c r="L16" t="s">
        <v>305</v>
      </c>
      <c r="N16" s="31" t="s">
        <v>64</v>
      </c>
    </row>
    <row r="17" spans="1:14" x14ac:dyDescent="0.4">
      <c r="A17" s="19">
        <f t="shared" si="2"/>
        <v>15</v>
      </c>
      <c r="B17" s="94" t="s">
        <v>92</v>
      </c>
      <c r="C17" s="37">
        <f>SUMIFS(Stock_Transactions!D:D, Stock_Transactions!B:B, B17, Stock_Transactions!D:D, "&gt;0")</f>
        <v>21</v>
      </c>
      <c r="D17" s="37">
        <f>SUMIFS(Stock_Transactions!D:D, Stock_Transactions!B:B, B17, Stock_Transactions!D:D, "&lt;0") * -1</f>
        <v>12</v>
      </c>
      <c r="E17" s="80">
        <f t="shared" si="0"/>
        <v>9</v>
      </c>
      <c r="F17" s="48">
        <f t="shared" si="1"/>
        <v>0</v>
      </c>
      <c r="G17" s="48">
        <f>SUMIF(Pending_Stock!C:C, B17, Pending_Stock!F:F)</f>
        <v>0</v>
      </c>
      <c r="H17" s="49">
        <f>SUMIF(Pending_Stock!I:I, B17, Pending_Stock!L:L)</f>
        <v>0</v>
      </c>
      <c r="I17" s="50">
        <f>SUMIF(ShipToDubai!C:C, B17, ShipToDubai!F:F) - (SUMIFS(Stock_Transactions!D:D, Stock_Transactions!B:B, B17, Stock_Transactions!D:D, "&lt;0") * -1)</f>
        <v>9</v>
      </c>
      <c r="J17" s="38">
        <f>SUMIF(ShipToDubai!C:C, B17, ShipToDubai!G:G)</f>
        <v>0</v>
      </c>
      <c r="L17" t="s">
        <v>305</v>
      </c>
    </row>
    <row r="18" spans="1:14" x14ac:dyDescent="0.4">
      <c r="A18" s="19">
        <f t="shared" si="2"/>
        <v>16</v>
      </c>
      <c r="B18" s="94" t="s">
        <v>122</v>
      </c>
      <c r="C18" s="37">
        <f>SUMIFS(Stock_Transactions!D:D, Stock_Transactions!B:B, B18, Stock_Transactions!D:D, "&gt;0")</f>
        <v>117</v>
      </c>
      <c r="D18" s="37">
        <f>SUMIFS(Stock_Transactions!D:D, Stock_Transactions!B:B, B18, Stock_Transactions!D:D, "&lt;0") * -1</f>
        <v>77</v>
      </c>
      <c r="E18" s="80">
        <f t="shared" si="0"/>
        <v>40</v>
      </c>
      <c r="F18" s="48">
        <f t="shared" si="1"/>
        <v>0</v>
      </c>
      <c r="G18" s="48">
        <f>SUMIF(Pending_Stock!C:C, B18, Pending_Stock!F:F)</f>
        <v>10</v>
      </c>
      <c r="H18" s="49">
        <f>SUMIF(Pending_Stock!I:I, B18, Pending_Stock!L:L)</f>
        <v>0</v>
      </c>
      <c r="I18" s="50">
        <f>SUMIF(ShipToDubai!C:C, B18, ShipToDubai!F:F) - (SUMIFS(Stock_Transactions!D:D, Stock_Transactions!B:B, B18, Stock_Transactions!D:D, "&lt;0") * -1)</f>
        <v>30</v>
      </c>
      <c r="J18" s="38">
        <f>SUMIF(ShipToDubai!C:C, B18, ShipToDubai!G:G)</f>
        <v>0</v>
      </c>
      <c r="L18" t="s">
        <v>305</v>
      </c>
    </row>
    <row r="19" spans="1:14" x14ac:dyDescent="0.4">
      <c r="A19" s="19">
        <f t="shared" si="2"/>
        <v>17</v>
      </c>
      <c r="B19" s="94" t="s">
        <v>123</v>
      </c>
      <c r="C19" s="37">
        <f>SUMIFS(Stock_Transactions!D:D, Stock_Transactions!B:B, B19, Stock_Transactions!D:D, "&gt;0")</f>
        <v>543</v>
      </c>
      <c r="D19" s="37">
        <f>SUMIFS(Stock_Transactions!D:D, Stock_Transactions!B:B, B19, Stock_Transactions!D:D, "&lt;0") * -1</f>
        <v>340</v>
      </c>
      <c r="E19" s="80">
        <f t="shared" si="0"/>
        <v>203</v>
      </c>
      <c r="F19" s="48">
        <f t="shared" si="1"/>
        <v>103</v>
      </c>
      <c r="G19" s="48">
        <f>SUMIF(Pending_Stock!C:C, B19, Pending_Stock!F:F)</f>
        <v>0</v>
      </c>
      <c r="H19" s="49">
        <f>SUMIF(Pending_Stock!I:I, B19, Pending_Stock!L:L)</f>
        <v>100</v>
      </c>
      <c r="I19" s="50">
        <f>SUMIF(ShipToDubai!C:C, B19, ShipToDubai!F:F) - (SUMIFS(Stock_Transactions!D:D, Stock_Transactions!B:B, B19, Stock_Transactions!D:D, "&lt;0") * -1)</f>
        <v>0</v>
      </c>
      <c r="J19" s="38">
        <f>SUMIF(ShipToDubai!C:C, B19, ShipToDubai!G:G)</f>
        <v>0</v>
      </c>
      <c r="N19" s="28" t="s">
        <v>65</v>
      </c>
    </row>
    <row r="20" spans="1:14" x14ac:dyDescent="0.4">
      <c r="A20" s="19">
        <f t="shared" si="2"/>
        <v>18</v>
      </c>
      <c r="B20" s="94" t="s">
        <v>303</v>
      </c>
      <c r="C20" s="37">
        <f>SUMIFS(Stock_Transactions!D:D, Stock_Transactions!B:B, B20, Stock_Transactions!D:D, "&gt;0")</f>
        <v>57</v>
      </c>
      <c r="D20" s="37">
        <f>SUMIFS(Stock_Transactions!D:D, Stock_Transactions!B:B, B20, Stock_Transactions!D:D, "&lt;0") * -1</f>
        <v>57</v>
      </c>
      <c r="E20" s="80">
        <f t="shared" si="0"/>
        <v>0</v>
      </c>
      <c r="F20" s="48">
        <f t="shared" si="1"/>
        <v>0</v>
      </c>
      <c r="G20" s="48">
        <f>SUMIF(Pending_Stock!C:C, B20, Pending_Stock!F:F)</f>
        <v>0</v>
      </c>
      <c r="H20" s="49">
        <f>SUMIF(Pending_Stock!I:I, B20, Pending_Stock!L:L)</f>
        <v>0</v>
      </c>
      <c r="I20" s="50">
        <f>SUMIF(ShipToDubai!C:C, B20, ShipToDubai!F:F) - (SUMIFS(Stock_Transactions!D:D, Stock_Transactions!B:B, B20, Stock_Transactions!D:D, "&lt;0") * -1)</f>
        <v>0</v>
      </c>
      <c r="J20" s="38">
        <f>SUMIF(ShipToDubai!C:C, B20, ShipToDubai!G:G)</f>
        <v>0</v>
      </c>
      <c r="L20" t="s">
        <v>305</v>
      </c>
      <c r="N20" s="29" t="s">
        <v>66</v>
      </c>
    </row>
    <row r="21" spans="1:14" x14ac:dyDescent="0.4">
      <c r="A21" s="19">
        <f t="shared" si="2"/>
        <v>19</v>
      </c>
      <c r="B21" s="94" t="s">
        <v>202</v>
      </c>
      <c r="C21" s="37">
        <f>SUMIFS(Stock_Transactions!D:D, Stock_Transactions!B:B, B21, Stock_Transactions!D:D, "&gt;0")</f>
        <v>30</v>
      </c>
      <c r="D21" s="37">
        <f>SUMIFS(Stock_Transactions!D:D, Stock_Transactions!B:B, B21, Stock_Transactions!D:D, "&lt;0") * -1</f>
        <v>30</v>
      </c>
      <c r="E21" s="80">
        <f t="shared" si="0"/>
        <v>0</v>
      </c>
      <c r="F21" s="48">
        <f t="shared" si="1"/>
        <v>0</v>
      </c>
      <c r="G21" s="48">
        <f>SUMIF(Pending_Stock!C:C, B21, Pending_Stock!F:F)</f>
        <v>0</v>
      </c>
      <c r="H21" s="49">
        <f>SUMIF(Pending_Stock!I:I, B21, Pending_Stock!L:L)</f>
        <v>0</v>
      </c>
      <c r="I21" s="50">
        <f>SUMIF(ShipToDubai!C:C, B21, ShipToDubai!F:F) - (SUMIFS(Stock_Transactions!D:D, Stock_Transactions!B:B, B21, Stock_Transactions!D:D, "&lt;0") * -1)</f>
        <v>0</v>
      </c>
      <c r="J21" s="38">
        <f>SUMIF(ShipToDubai!C:C, B21, ShipToDubai!G:G)</f>
        <v>0</v>
      </c>
      <c r="N21" s="29"/>
    </row>
    <row r="22" spans="1:14" x14ac:dyDescent="0.4">
      <c r="A22" s="19">
        <f t="shared" si="2"/>
        <v>20</v>
      </c>
      <c r="B22" s="94" t="s">
        <v>126</v>
      </c>
      <c r="C22" s="37">
        <f>SUMIFS(Stock_Transactions!D:D, Stock_Transactions!B:B, B22, Stock_Transactions!D:D, "&gt;0")</f>
        <v>3</v>
      </c>
      <c r="D22" s="37">
        <f>SUMIFS(Stock_Transactions!D:D, Stock_Transactions!B:B, B22, Stock_Transactions!D:D, "&lt;0") * -1</f>
        <v>3</v>
      </c>
      <c r="E22" s="80">
        <f t="shared" si="0"/>
        <v>0</v>
      </c>
      <c r="F22" s="48">
        <f t="shared" si="1"/>
        <v>0</v>
      </c>
      <c r="G22" s="48">
        <f>SUMIF(Pending_Stock!C:C, B22, Pending_Stock!F:F)</f>
        <v>0</v>
      </c>
      <c r="H22" s="49">
        <f>SUMIF(Pending_Stock!I:I, B22, Pending_Stock!L:L)</f>
        <v>0</v>
      </c>
      <c r="I22" s="50">
        <f>SUMIF(ShipToDubai!C:C, B22, ShipToDubai!F:F) - (SUMIFS(Stock_Transactions!D:D, Stock_Transactions!B:B, B22, Stock_Transactions!D:D, "&lt;0") * -1)</f>
        <v>0</v>
      </c>
      <c r="J22" s="38">
        <f>SUMIF(ShipToDubai!C:C, B22, ShipToDubai!G:G)</f>
        <v>0</v>
      </c>
      <c r="N22" s="28" t="s">
        <v>67</v>
      </c>
    </row>
    <row r="23" spans="1:14" x14ac:dyDescent="0.4">
      <c r="A23" s="19">
        <f t="shared" si="2"/>
        <v>21</v>
      </c>
      <c r="B23" s="94" t="s">
        <v>93</v>
      </c>
      <c r="C23" s="37">
        <f>SUMIFS(Stock_Transactions!D:D, Stock_Transactions!B:B, B23, Stock_Transactions!D:D, "&gt;0")</f>
        <v>13</v>
      </c>
      <c r="D23" s="37">
        <f>SUMIFS(Stock_Transactions!D:D, Stock_Transactions!B:B, B23, Stock_Transactions!D:D, "&lt;0") * -1</f>
        <v>0</v>
      </c>
      <c r="E23" s="80">
        <f t="shared" si="0"/>
        <v>13</v>
      </c>
      <c r="F23" s="48">
        <f t="shared" si="1"/>
        <v>12</v>
      </c>
      <c r="G23" s="48">
        <f>SUMIF(Pending_Stock!C:C, B23, Pending_Stock!F:F)</f>
        <v>0</v>
      </c>
      <c r="H23" s="49">
        <f>SUMIF(Pending_Stock!I:I, B23, Pending_Stock!L:L)</f>
        <v>0</v>
      </c>
      <c r="I23" s="50">
        <f>SUMIF(ShipToDubai!C:C, B23, ShipToDubai!F:F) - (SUMIFS(Stock_Transactions!D:D, Stock_Transactions!B:B, B23, Stock_Transactions!D:D, "&lt;0") * -1)</f>
        <v>1</v>
      </c>
      <c r="J23" s="38">
        <f>SUMIF(ShipToDubai!C:C, B23, ShipToDubai!G:G)</f>
        <v>0</v>
      </c>
      <c r="N23" s="29" t="s">
        <v>68</v>
      </c>
    </row>
    <row r="24" spans="1:14" x14ac:dyDescent="0.4">
      <c r="A24" s="19">
        <f t="shared" si="2"/>
        <v>22</v>
      </c>
      <c r="B24" s="94" t="s">
        <v>94</v>
      </c>
      <c r="C24" s="37">
        <f>SUMIFS(Stock_Transactions!D:D, Stock_Transactions!B:B, B24, Stock_Transactions!D:D, "&gt;0")</f>
        <v>1</v>
      </c>
      <c r="D24" s="37">
        <f>SUMIFS(Stock_Transactions!D:D, Stock_Transactions!B:B, B24, Stock_Transactions!D:D, "&lt;0") * -1</f>
        <v>0</v>
      </c>
      <c r="E24" s="80">
        <f t="shared" si="0"/>
        <v>1</v>
      </c>
      <c r="F24" s="48">
        <f t="shared" si="1"/>
        <v>0</v>
      </c>
      <c r="G24" s="48">
        <f>SUMIF(Pending_Stock!C:C, B24, Pending_Stock!F:F)</f>
        <v>0</v>
      </c>
      <c r="H24" s="49">
        <f>SUMIF(Pending_Stock!I:I, B24, Pending_Stock!L:L)</f>
        <v>0</v>
      </c>
      <c r="I24" s="50">
        <f>SUMIF(ShipToDubai!C:C, B24, ShipToDubai!F:F) - (SUMIFS(Stock_Transactions!D:D, Stock_Transactions!B:B, B24, Stock_Transactions!D:D, "&lt;0") * -1)</f>
        <v>1</v>
      </c>
      <c r="J24" s="38">
        <f>SUMIF(ShipToDubai!C:C, B24, ShipToDubai!G:G)</f>
        <v>0</v>
      </c>
      <c r="L24" t="s">
        <v>305</v>
      </c>
      <c r="N24" s="29"/>
    </row>
    <row r="25" spans="1:14" x14ac:dyDescent="0.4">
      <c r="A25" s="19">
        <f t="shared" si="2"/>
        <v>23</v>
      </c>
      <c r="B25" s="94" t="s">
        <v>95</v>
      </c>
      <c r="C25" s="37">
        <f>SUMIFS(Stock_Transactions!D:D, Stock_Transactions!B:B, B25, Stock_Transactions!D:D, "&gt;0")</f>
        <v>2</v>
      </c>
      <c r="D25" s="37">
        <f>SUMIFS(Stock_Transactions!D:D, Stock_Transactions!B:B, B25, Stock_Transactions!D:D, "&lt;0") * -1</f>
        <v>2</v>
      </c>
      <c r="E25" s="80">
        <f t="shared" si="0"/>
        <v>0</v>
      </c>
      <c r="F25" s="48">
        <f t="shared" si="1"/>
        <v>0</v>
      </c>
      <c r="G25" s="48">
        <f>SUMIF(Pending_Stock!C:C, B25, Pending_Stock!F:F)</f>
        <v>0</v>
      </c>
      <c r="H25" s="49">
        <f>SUMIF(Pending_Stock!I:I, B25, Pending_Stock!L:L)</f>
        <v>0</v>
      </c>
      <c r="I25" s="50">
        <f>SUMIF(ShipToDubai!C:C, B25, ShipToDubai!F:F) - (SUMIFS(Stock_Transactions!D:D, Stock_Transactions!B:B, B25, Stock_Transactions!D:D, "&lt;0") * -1)</f>
        <v>0</v>
      </c>
      <c r="J25" s="38">
        <f>SUMIF(ShipToDubai!C:C, B25, ShipToDubai!G:G)</f>
        <v>0</v>
      </c>
      <c r="N25" s="28" t="s">
        <v>69</v>
      </c>
    </row>
    <row r="26" spans="1:14" x14ac:dyDescent="0.3">
      <c r="A26" s="19">
        <f t="shared" si="2"/>
        <v>24</v>
      </c>
      <c r="B26" s="85" t="s">
        <v>133</v>
      </c>
      <c r="C26" s="37">
        <f>SUMIFS(Stock_Transactions!D:D, Stock_Transactions!B:B, B26, Stock_Transactions!D:D, "&gt;0")</f>
        <v>138</v>
      </c>
      <c r="D26" s="37">
        <f>SUMIFS(Stock_Transactions!D:D, Stock_Transactions!B:B, B26, Stock_Transactions!D:D, "&lt;0") * -1</f>
        <v>87</v>
      </c>
      <c r="E26" s="80">
        <f t="shared" si="0"/>
        <v>51</v>
      </c>
      <c r="F26" s="48">
        <f t="shared" si="1"/>
        <v>36</v>
      </c>
      <c r="G26" s="48">
        <f>SUMIF(Pending_Stock!C:C, B26, Pending_Stock!F:F)</f>
        <v>0</v>
      </c>
      <c r="H26" s="49">
        <f>SUMIF(Pending_Stock!I:I, B26, Pending_Stock!L:L)</f>
        <v>0</v>
      </c>
      <c r="I26" s="50">
        <f>SUMIF(ShipToDubai!C:C, B26, ShipToDubai!F:F) - (SUMIFS(Stock_Transactions!D:D, Stock_Transactions!B:B, B26, Stock_Transactions!D:D, "&lt;0") * -1)</f>
        <v>15</v>
      </c>
      <c r="J26" s="38">
        <f>SUMIF(ShipToDubai!C:C, B26, ShipToDubai!G:G)</f>
        <v>0</v>
      </c>
    </row>
    <row r="27" spans="1:14" x14ac:dyDescent="0.3">
      <c r="A27" s="19">
        <f t="shared" si="2"/>
        <v>25</v>
      </c>
      <c r="B27" s="85" t="s">
        <v>425</v>
      </c>
      <c r="C27" s="37">
        <f>SUMIFS(Stock_Transactions!D:D, Stock_Transactions!B:B, B27, Stock_Transactions!D:D, "&gt;0")</f>
        <v>319</v>
      </c>
      <c r="D27" s="37">
        <f>SUMIFS(Stock_Transactions!D:D, Stock_Transactions!B:B, B27, Stock_Transactions!D:D, "&lt;0") * -1</f>
        <v>314</v>
      </c>
      <c r="E27" s="80">
        <f t="shared" si="0"/>
        <v>5</v>
      </c>
      <c r="F27" s="48">
        <f t="shared" si="1"/>
        <v>1</v>
      </c>
      <c r="G27" s="48">
        <f>SUMIF(Pending_Stock!C:C, B27, Pending_Stock!F:F)</f>
        <v>0</v>
      </c>
      <c r="H27" s="49">
        <f>SUMIF(Pending_Stock!I:I, B27, Pending_Stock!L:L)</f>
        <v>0</v>
      </c>
      <c r="I27" s="50">
        <f>SUMIF(ShipToDubai!C:C, B27, ShipToDubai!F:F) - (SUMIFS(Stock_Transactions!D:D, Stock_Transactions!B:B, B27, Stock_Transactions!D:D, "&lt;0") * -1)</f>
        <v>4</v>
      </c>
      <c r="J27" s="38">
        <f>SUMIF(ShipToDubai!C:C, B27, ShipToDubai!G:G)</f>
        <v>0</v>
      </c>
    </row>
    <row r="28" spans="1:14" x14ac:dyDescent="0.3">
      <c r="A28" s="19">
        <f t="shared" si="2"/>
        <v>26</v>
      </c>
      <c r="B28" s="85" t="s">
        <v>878</v>
      </c>
      <c r="C28" s="37">
        <f>SUMIFS(Stock_Transactions!D:D, Stock_Transactions!B:B, B28, Stock_Transactions!D:D, "&gt;0")</f>
        <v>46</v>
      </c>
      <c r="D28" s="37">
        <f>SUMIFS(Stock_Transactions!D:D, Stock_Transactions!B:B, B28, Stock_Transactions!D:D, "&lt;0") * -1</f>
        <v>46</v>
      </c>
      <c r="E28" s="80">
        <f t="shared" si="0"/>
        <v>0</v>
      </c>
      <c r="F28" s="48">
        <f t="shared" si="1"/>
        <v>0</v>
      </c>
      <c r="G28" s="48">
        <f>SUMIF(Pending_Stock!C:C, B28, Pending_Stock!F:F)</f>
        <v>0</v>
      </c>
      <c r="H28" s="49">
        <f>SUMIF(Pending_Stock!I:I, B28, Pending_Stock!L:L)</f>
        <v>0</v>
      </c>
      <c r="I28" s="50">
        <f>SUMIF(ShipToDubai!C:C, B28, ShipToDubai!F:F) - (SUMIFS(Stock_Transactions!D:D, Stock_Transactions!B:B, B28, Stock_Transactions!D:D, "&lt;0") * -1)</f>
        <v>0</v>
      </c>
      <c r="J28" s="38">
        <f>SUMIF(ShipToDubai!C:C, B28, ShipToDubai!G:G)</f>
        <v>0</v>
      </c>
    </row>
    <row r="29" spans="1:14" x14ac:dyDescent="0.3">
      <c r="A29" s="19">
        <f t="shared" si="2"/>
        <v>27</v>
      </c>
      <c r="B29" s="85" t="s">
        <v>139</v>
      </c>
      <c r="C29" s="37">
        <f>SUMIFS(Stock_Transactions!D:D, Stock_Transactions!B:B, B29, Stock_Transactions!D:D, "&gt;0")</f>
        <v>15</v>
      </c>
      <c r="D29" s="37">
        <f>SUMIFS(Stock_Transactions!D:D, Stock_Transactions!B:B, B29, Stock_Transactions!D:D, "&lt;0") * -1</f>
        <v>14</v>
      </c>
      <c r="E29" s="80">
        <f t="shared" si="0"/>
        <v>1</v>
      </c>
      <c r="F29" s="48">
        <f t="shared" si="1"/>
        <v>0</v>
      </c>
      <c r="G29" s="48">
        <f>SUMIF(Pending_Stock!C:C, B29, Pending_Stock!F:F)</f>
        <v>0</v>
      </c>
      <c r="H29" s="49">
        <f>SUMIF(Pending_Stock!I:I, B29, Pending_Stock!L:L)</f>
        <v>0</v>
      </c>
      <c r="I29" s="50">
        <f>SUMIF(ShipToDubai!C:C, B29, ShipToDubai!F:F) - (SUMIFS(Stock_Transactions!D:D, Stock_Transactions!B:B, B29, Stock_Transactions!D:D, "&lt;0") * -1)</f>
        <v>1</v>
      </c>
      <c r="J29" s="38">
        <f>SUMIF(ShipToDubai!C:C, B29, ShipToDubai!G:G)</f>
        <v>0</v>
      </c>
      <c r="L29" t="s">
        <v>875</v>
      </c>
    </row>
    <row r="30" spans="1:14" x14ac:dyDescent="0.3">
      <c r="A30" s="19">
        <f t="shared" si="2"/>
        <v>28</v>
      </c>
      <c r="B30" s="85" t="s">
        <v>140</v>
      </c>
      <c r="C30" s="37">
        <f>SUMIFS(Stock_Transactions!D:D, Stock_Transactions!B:B, B30, Stock_Transactions!D:D, "&gt;0")</f>
        <v>14</v>
      </c>
      <c r="D30" s="37">
        <f>SUMIFS(Stock_Transactions!D:D, Stock_Transactions!B:B, B30, Stock_Transactions!D:D, "&lt;0") * -1</f>
        <v>0</v>
      </c>
      <c r="E30" s="80">
        <f t="shared" si="0"/>
        <v>14</v>
      </c>
      <c r="F30" s="48">
        <f t="shared" si="1"/>
        <v>12</v>
      </c>
      <c r="G30" s="48">
        <f>SUMIF(Pending_Stock!C:C, B30, Pending_Stock!F:F)</f>
        <v>0</v>
      </c>
      <c r="H30" s="49">
        <f>SUMIF(Pending_Stock!I:I, B30, Pending_Stock!L:L)</f>
        <v>0</v>
      </c>
      <c r="I30" s="50">
        <f>SUMIF(ShipToDubai!C:C, B30, ShipToDubai!F:F) - (SUMIFS(Stock_Transactions!D:D, Stock_Transactions!B:B, B30, Stock_Transactions!D:D, "&lt;0") * -1)</f>
        <v>2</v>
      </c>
      <c r="J30" s="38">
        <f>SUMIF(ShipToDubai!C:C, B30, ShipToDubai!G:G)</f>
        <v>0</v>
      </c>
    </row>
    <row r="31" spans="1:14" x14ac:dyDescent="0.3">
      <c r="A31" s="19">
        <f t="shared" si="2"/>
        <v>29</v>
      </c>
      <c r="B31" s="85" t="s">
        <v>141</v>
      </c>
      <c r="C31" s="37">
        <f>SUMIFS(Stock_Transactions!D:D, Stock_Transactions!B:B, B31, Stock_Transactions!D:D, "&gt;0")</f>
        <v>13</v>
      </c>
      <c r="D31" s="37">
        <f>SUMIFS(Stock_Transactions!D:D, Stock_Transactions!B:B, B31, Stock_Transactions!D:D, "&lt;0") * -1</f>
        <v>0</v>
      </c>
      <c r="E31" s="80">
        <f t="shared" si="0"/>
        <v>13</v>
      </c>
      <c r="F31" s="48">
        <f t="shared" si="1"/>
        <v>12</v>
      </c>
      <c r="G31" s="48">
        <f>SUMIF(Pending_Stock!C:C, B31, Pending_Stock!F:F)</f>
        <v>0</v>
      </c>
      <c r="H31" s="49">
        <f>SUMIF(Pending_Stock!I:I, B31, Pending_Stock!L:L)</f>
        <v>0</v>
      </c>
      <c r="I31" s="50">
        <f>SUMIF(ShipToDubai!C:C, B31, ShipToDubai!F:F) - (SUMIFS(Stock_Transactions!D:D, Stock_Transactions!B:B, B31, Stock_Transactions!D:D, "&lt;0") * -1)</f>
        <v>1</v>
      </c>
      <c r="J31" s="38">
        <f>SUMIF(ShipToDubai!C:C, B31, ShipToDubai!G:G)</f>
        <v>0</v>
      </c>
    </row>
    <row r="32" spans="1:14" x14ac:dyDescent="0.4">
      <c r="A32" s="19">
        <f t="shared" si="2"/>
        <v>30</v>
      </c>
      <c r="B32" s="94"/>
      <c r="C32" s="37">
        <f>SUMIFS(Stock_Transactions!D:D, Stock_Transactions!B:B, B32, Stock_Transactions!D:D, "&gt;0")</f>
        <v>0</v>
      </c>
      <c r="D32" s="37">
        <f>SUMIFS(Stock_Transactions!D:D, Stock_Transactions!B:B, B32, Stock_Transactions!D:D, "&lt;0") * -1</f>
        <v>0</v>
      </c>
      <c r="E32" s="80">
        <f t="shared" si="0"/>
        <v>0</v>
      </c>
      <c r="F32" s="48">
        <f t="shared" si="1"/>
        <v>0</v>
      </c>
      <c r="G32" s="48">
        <f>SUMIF(Pending_Stock!C:C, B32, Pending_Stock!F:F)</f>
        <v>0</v>
      </c>
      <c r="H32" s="49">
        <f>SUMIF(Pending_Stock!I:I, B32, Pending_Stock!L:L)</f>
        <v>0</v>
      </c>
      <c r="I32" s="50">
        <f>SUMIF(ShipToDubai!C:C, B32, ShipToDubai!F:F) - (SUMIFS(Stock_Transactions!D:D, Stock_Transactions!B:B, B32, Stock_Transactions!D:D, "&lt;0") * -1)</f>
        <v>0</v>
      </c>
      <c r="J32" s="38">
        <f>SUMIF(ShipToDubai!C:C, B32, ShipToDubai!G:G)</f>
        <v>0</v>
      </c>
    </row>
    <row r="33" spans="1:14" x14ac:dyDescent="0.4">
      <c r="A33" s="19">
        <f t="shared" si="2"/>
        <v>31</v>
      </c>
      <c r="B33" s="94"/>
      <c r="C33" s="37">
        <f>SUMIFS(Stock_Transactions!D:D, Stock_Transactions!B:B, B33, Stock_Transactions!D:D, "&gt;0")</f>
        <v>0</v>
      </c>
      <c r="D33" s="37">
        <f>SUMIFS(Stock_Transactions!D:D, Stock_Transactions!B:B, B33, Stock_Transactions!D:D, "&lt;0") * -1</f>
        <v>0</v>
      </c>
      <c r="E33" s="80">
        <f t="shared" si="0"/>
        <v>0</v>
      </c>
      <c r="F33" s="48">
        <f t="shared" si="1"/>
        <v>0</v>
      </c>
      <c r="G33" s="48">
        <f>SUMIF(Pending_Stock!C:C, B33, Pending_Stock!F:F)</f>
        <v>0</v>
      </c>
      <c r="H33" s="49">
        <f>SUMIF(Pending_Stock!I:I, B33, Pending_Stock!L:L)</f>
        <v>0</v>
      </c>
      <c r="I33" s="50">
        <f>SUMIF(ShipToDubai!C:C, B33, ShipToDubai!F:F) - (SUMIFS(Stock_Transactions!D:D, Stock_Transactions!B:B, B33, Stock_Transactions!D:D, "&lt;0") * -1)</f>
        <v>0</v>
      </c>
      <c r="J33" s="38">
        <f>SUMIF(ShipToDubai!C:C, B33, ShipToDubai!G:G)</f>
        <v>0</v>
      </c>
      <c r="K33" t="s">
        <v>752</v>
      </c>
    </row>
    <row r="34" spans="1:14" x14ac:dyDescent="0.4">
      <c r="A34" s="19">
        <f t="shared" si="2"/>
        <v>32</v>
      </c>
      <c r="B34" s="94" t="s">
        <v>156</v>
      </c>
      <c r="C34" s="37">
        <f>SUMIFS(Stock_Transactions!D:D, Stock_Transactions!B:B, B34, Stock_Transactions!D:D, "&gt;0")</f>
        <v>113</v>
      </c>
      <c r="D34" s="37">
        <f>SUMIFS(Stock_Transactions!D:D, Stock_Transactions!B:B, B34, Stock_Transactions!D:D, "&lt;0") * -1</f>
        <v>82</v>
      </c>
      <c r="E34" s="80">
        <f t="shared" si="0"/>
        <v>31</v>
      </c>
      <c r="F34" s="48">
        <f t="shared" si="1"/>
        <v>14</v>
      </c>
      <c r="G34" s="48">
        <f>SUMIF(Pending_Stock!C:C, B34, Pending_Stock!F:F)</f>
        <v>0</v>
      </c>
      <c r="H34" s="49">
        <f>SUMIF(Pending_Stock!I:I, B34, Pending_Stock!L:L)</f>
        <v>0</v>
      </c>
      <c r="I34" s="50">
        <f>SUMIF(ShipToDubai!C:C, B34, ShipToDubai!F:F) - (SUMIFS(Stock_Transactions!D:D, Stock_Transactions!B:B, B34, Stock_Transactions!D:D, "&lt;0") * -1)</f>
        <v>17</v>
      </c>
      <c r="J34" s="38">
        <f>SUMIF(ShipToDubai!C:C, B34, ShipToDubai!G:G)</f>
        <v>0</v>
      </c>
      <c r="L34" t="s">
        <v>305</v>
      </c>
    </row>
    <row r="35" spans="1:14" x14ac:dyDescent="0.4">
      <c r="A35" s="19">
        <f t="shared" si="2"/>
        <v>33</v>
      </c>
      <c r="B35" s="94" t="s">
        <v>157</v>
      </c>
      <c r="C35" s="37">
        <f>SUMIFS(Stock_Transactions!D:D, Stock_Transactions!B:B, B35, Stock_Transactions!D:D, "&gt;0")</f>
        <v>24</v>
      </c>
      <c r="D35" s="37">
        <f>SUMIFS(Stock_Transactions!D:D, Stock_Transactions!B:B, B35, Stock_Transactions!D:D, "&lt;0") * -1</f>
        <v>0</v>
      </c>
      <c r="E35" s="80">
        <f t="shared" ref="E35:E66" si="3">C35-D35</f>
        <v>24</v>
      </c>
      <c r="F35" s="48">
        <f t="shared" ref="F35:F66" si="4">E35-G35-H35-I35-J35</f>
        <v>7</v>
      </c>
      <c r="G35" s="48">
        <f>SUMIF(Pending_Stock!C:C, B35, Pending_Stock!F:F)</f>
        <v>0</v>
      </c>
      <c r="H35" s="49">
        <f>SUMIF(Pending_Stock!I:I, B35, Pending_Stock!L:L)</f>
        <v>0</v>
      </c>
      <c r="I35" s="50">
        <f>SUMIF(ShipToDubai!C:C, B35, ShipToDubai!F:F) - (SUMIFS(Stock_Transactions!D:D, Stock_Transactions!B:B, B35, Stock_Transactions!D:D, "&lt;0") * -1)</f>
        <v>17</v>
      </c>
      <c r="J35" s="38">
        <f>SUMIF(ShipToDubai!C:C, B35, ShipToDubai!G:G)</f>
        <v>0</v>
      </c>
    </row>
    <row r="36" spans="1:14" x14ac:dyDescent="0.4">
      <c r="A36" s="19">
        <f t="shared" ref="A36:A67" si="5">A35+1</f>
        <v>34</v>
      </c>
      <c r="B36" s="94" t="s">
        <v>161</v>
      </c>
      <c r="C36" s="37">
        <f>SUMIFS(Stock_Transactions!D:D, Stock_Transactions!B:B, B36, Stock_Transactions!D:D, "&gt;0")</f>
        <v>24</v>
      </c>
      <c r="D36" s="37">
        <f>SUMIFS(Stock_Transactions!D:D, Stock_Transactions!B:B, B36, Stock_Transactions!D:D, "&lt;0") * -1</f>
        <v>0</v>
      </c>
      <c r="E36" s="80">
        <f t="shared" si="3"/>
        <v>24</v>
      </c>
      <c r="F36" s="48">
        <f t="shared" si="4"/>
        <v>17</v>
      </c>
      <c r="G36" s="48">
        <f>SUMIF(Pending_Stock!C:C, B36, Pending_Stock!F:F)</f>
        <v>0</v>
      </c>
      <c r="H36" s="49">
        <f>SUMIF(Pending_Stock!I:I, B36, Pending_Stock!L:L)</f>
        <v>0</v>
      </c>
      <c r="I36" s="50">
        <f>SUMIF(ShipToDubai!C:C, B36, ShipToDubai!F:F) - (SUMIFS(Stock_Transactions!D:D, Stock_Transactions!B:B, B36, Stock_Transactions!D:D, "&lt;0") * -1)</f>
        <v>7</v>
      </c>
      <c r="J36" s="38">
        <f>SUMIF(ShipToDubai!C:C, B36, ShipToDubai!G:G)</f>
        <v>0</v>
      </c>
      <c r="L36" t="s">
        <v>305</v>
      </c>
    </row>
    <row r="37" spans="1:14" x14ac:dyDescent="0.4">
      <c r="A37" s="19">
        <f t="shared" si="5"/>
        <v>35</v>
      </c>
      <c r="B37" s="94" t="s">
        <v>170</v>
      </c>
      <c r="C37" s="37">
        <f>SUMIFS(Stock_Transactions!D:D, Stock_Transactions!B:B, B37, Stock_Transactions!D:D, "&gt;0")</f>
        <v>12</v>
      </c>
      <c r="D37" s="37">
        <f>SUMIFS(Stock_Transactions!D:D, Stock_Transactions!B:B, B37, Stock_Transactions!D:D, "&lt;0") * -1</f>
        <v>1</v>
      </c>
      <c r="E37" s="80">
        <f t="shared" si="3"/>
        <v>11</v>
      </c>
      <c r="F37" s="48">
        <f t="shared" si="4"/>
        <v>11</v>
      </c>
      <c r="G37" s="48">
        <f>SUMIF(Pending_Stock!C:C, B37, Pending_Stock!F:F)</f>
        <v>0</v>
      </c>
      <c r="H37" s="49">
        <f>SUMIF(Pending_Stock!I:I, B37, Pending_Stock!L:L)</f>
        <v>0</v>
      </c>
      <c r="I37" s="50">
        <f>SUMIF(ShipToDubai!C:C, B37, ShipToDubai!F:F) - (SUMIFS(Stock_Transactions!D:D, Stock_Transactions!B:B, B37, Stock_Transactions!D:D, "&lt;0") * -1)</f>
        <v>0</v>
      </c>
      <c r="J37" s="38">
        <f>SUMIF(ShipToDubai!C:C, B37, ShipToDubai!G:G)</f>
        <v>0</v>
      </c>
    </row>
    <row r="38" spans="1:14" x14ac:dyDescent="0.4">
      <c r="A38" s="19">
        <f t="shared" si="5"/>
        <v>36</v>
      </c>
      <c r="B38" s="94" t="s">
        <v>171</v>
      </c>
      <c r="C38" s="37">
        <f>SUMIFS(Stock_Transactions!D:D, Stock_Transactions!B:B, B38, Stock_Transactions!D:D, "&gt;0")</f>
        <v>30</v>
      </c>
      <c r="D38" s="37">
        <f>SUMIFS(Stock_Transactions!D:D, Stock_Transactions!B:B, B38, Stock_Transactions!D:D, "&lt;0") * -1</f>
        <v>19</v>
      </c>
      <c r="E38" s="80">
        <f t="shared" si="3"/>
        <v>11</v>
      </c>
      <c r="F38" s="48">
        <f t="shared" si="4"/>
        <v>11</v>
      </c>
      <c r="G38" s="48">
        <f>SUMIF(Pending_Stock!C:C, B38, Pending_Stock!F:F)</f>
        <v>0</v>
      </c>
      <c r="H38" s="49">
        <f>SUMIF(Pending_Stock!I:I, B38, Pending_Stock!L:L)</f>
        <v>0</v>
      </c>
      <c r="I38" s="50">
        <f>SUMIF(ShipToDubai!C:C, B38, ShipToDubai!F:F) - (SUMIFS(Stock_Transactions!D:D, Stock_Transactions!B:B, B38, Stock_Transactions!D:D, "&lt;0") * -1)</f>
        <v>0</v>
      </c>
      <c r="J38" s="38">
        <f>SUMIF(ShipToDubai!C:C, B38, ShipToDubai!G:G)</f>
        <v>0</v>
      </c>
    </row>
    <row r="39" spans="1:14" x14ac:dyDescent="0.4">
      <c r="A39" s="19">
        <f t="shared" si="5"/>
        <v>37</v>
      </c>
      <c r="B39" s="103" t="s">
        <v>172</v>
      </c>
      <c r="C39" s="37">
        <f>SUMIFS(Stock_Transactions!D:D, Stock_Transactions!B:B, B39, Stock_Transactions!D:D, "&gt;0")</f>
        <v>12</v>
      </c>
      <c r="D39" s="37">
        <f>SUMIFS(Stock_Transactions!D:D, Stock_Transactions!B:B, B39, Stock_Transactions!D:D, "&lt;0") * -1</f>
        <v>1</v>
      </c>
      <c r="E39" s="80">
        <f t="shared" si="3"/>
        <v>11</v>
      </c>
      <c r="F39" s="48">
        <f t="shared" si="4"/>
        <v>11</v>
      </c>
      <c r="G39" s="48">
        <f>SUMIF(Pending_Stock!C:C, B39, Pending_Stock!F:F)</f>
        <v>0</v>
      </c>
      <c r="H39" s="49">
        <f>SUMIF(Pending_Stock!I:I, B39, Pending_Stock!L:L)</f>
        <v>0</v>
      </c>
      <c r="I39" s="50">
        <f>SUMIF(ShipToDubai!C:C, B39, ShipToDubai!F:F) - (SUMIFS(Stock_Transactions!D:D, Stock_Transactions!B:B, B39, Stock_Transactions!D:D, "&lt;0") * -1)</f>
        <v>0</v>
      </c>
      <c r="J39" s="38">
        <f>SUMIF(ShipToDubai!C:C, B39, ShipToDubai!G:G)</f>
        <v>0</v>
      </c>
    </row>
    <row r="40" spans="1:14" x14ac:dyDescent="0.4">
      <c r="A40" s="19">
        <f t="shared" si="5"/>
        <v>38</v>
      </c>
      <c r="B40" s="103"/>
      <c r="C40" s="37">
        <f>SUMIFS(Stock_Transactions!D:D, Stock_Transactions!B:B, B40, Stock_Transactions!D:D, "&gt;0")</f>
        <v>0</v>
      </c>
      <c r="D40" s="37">
        <f>SUMIFS(Stock_Transactions!D:D, Stock_Transactions!B:B, B40, Stock_Transactions!D:D, "&lt;0") * -1</f>
        <v>0</v>
      </c>
      <c r="E40" s="80">
        <f t="shared" si="3"/>
        <v>0</v>
      </c>
      <c r="F40" s="48">
        <f t="shared" si="4"/>
        <v>0</v>
      </c>
      <c r="G40" s="48">
        <f>SUMIF(Pending_Stock!C:C, B40, Pending_Stock!F:F)</f>
        <v>0</v>
      </c>
      <c r="H40" s="49">
        <f>SUMIF(Pending_Stock!I:I, B40, Pending_Stock!L:L)</f>
        <v>0</v>
      </c>
      <c r="I40" s="50">
        <f>SUMIF(ShipToDubai!C:C, B40, ShipToDubai!F:F) - (SUMIFS(Stock_Transactions!D:D, Stock_Transactions!B:B, B40, Stock_Transactions!D:D, "&lt;0") * -1)</f>
        <v>0</v>
      </c>
      <c r="J40" s="38">
        <f>SUMIF(ShipToDubai!C:C, B40, ShipToDubai!G:G)</f>
        <v>0</v>
      </c>
    </row>
    <row r="41" spans="1:14" x14ac:dyDescent="0.4">
      <c r="A41" s="19">
        <f t="shared" si="5"/>
        <v>39</v>
      </c>
      <c r="B41" s="103" t="s">
        <v>274</v>
      </c>
      <c r="C41" s="37">
        <f>SUMIFS(Stock_Transactions!D:D, Stock_Transactions!B:B, B41, Stock_Transactions!D:D, "&gt;0")</f>
        <v>274</v>
      </c>
      <c r="D41" s="37">
        <f>SUMIFS(Stock_Transactions!D:D, Stock_Transactions!B:B, B41, Stock_Transactions!D:D, "&lt;0") * -1</f>
        <v>274</v>
      </c>
      <c r="E41" s="80">
        <f t="shared" si="3"/>
        <v>0</v>
      </c>
      <c r="F41" s="48">
        <f t="shared" si="4"/>
        <v>0</v>
      </c>
      <c r="G41" s="48">
        <f>SUMIF(Pending_Stock!C:C, B41, Pending_Stock!F:F)</f>
        <v>0</v>
      </c>
      <c r="H41" s="49">
        <f>SUMIF(Pending_Stock!I:I, B41, Pending_Stock!L:L)</f>
        <v>0</v>
      </c>
      <c r="I41" s="50">
        <f>SUMIF(ShipToDubai!C:C, B41, ShipToDubai!F:F) - (SUMIFS(Stock_Transactions!D:D, Stock_Transactions!B:B, B41, Stock_Transactions!D:D, "&lt;0") * -1)</f>
        <v>0</v>
      </c>
      <c r="J41" s="38">
        <f>SUMIF(ShipToDubai!C:C, B41, ShipToDubai!G:G)</f>
        <v>0</v>
      </c>
    </row>
    <row r="42" spans="1:14" x14ac:dyDescent="0.4">
      <c r="A42" s="19">
        <f t="shared" si="5"/>
        <v>40</v>
      </c>
      <c r="B42" s="103" t="s">
        <v>502</v>
      </c>
      <c r="C42" s="37">
        <f>SUMIFS(Stock_Transactions!D:D, Stock_Transactions!B:B, B42, Stock_Transactions!D:D, "&gt;0")</f>
        <v>0</v>
      </c>
      <c r="D42" s="37">
        <f>SUMIFS(Stock_Transactions!D:D, Stock_Transactions!B:B, B42, Stock_Transactions!D:D, "&lt;0") * -1</f>
        <v>0</v>
      </c>
      <c r="E42" s="80">
        <f t="shared" si="3"/>
        <v>0</v>
      </c>
      <c r="F42" s="48">
        <f t="shared" si="4"/>
        <v>0</v>
      </c>
      <c r="G42" s="48">
        <f>SUMIF(Pending_Stock!C:C, B42, Pending_Stock!F:F)</f>
        <v>0</v>
      </c>
      <c r="H42" s="49">
        <f>SUMIF(Pending_Stock!I:I, B42, Pending_Stock!L:L)</f>
        <v>0</v>
      </c>
      <c r="I42" s="50">
        <f>SUMIF(ShipToDubai!C:C, B42, ShipToDubai!F:F) - (SUMIFS(Stock_Transactions!D:D, Stock_Transactions!B:B, B42, Stock_Transactions!D:D, "&lt;0") * -1)</f>
        <v>0</v>
      </c>
      <c r="J42" s="38">
        <f>SUMIF(ShipToDubai!C:C, B42, ShipToDubai!G:G)</f>
        <v>0</v>
      </c>
      <c r="N42" s="211"/>
    </row>
    <row r="43" spans="1:14" x14ac:dyDescent="0.4">
      <c r="A43" s="19">
        <f t="shared" si="5"/>
        <v>41</v>
      </c>
      <c r="B43" s="103" t="s">
        <v>266</v>
      </c>
      <c r="C43" s="37">
        <f>SUMIFS(Stock_Transactions!D:D, Stock_Transactions!B:B, B43, Stock_Transactions!D:D, "&gt;0")</f>
        <v>125</v>
      </c>
      <c r="D43" s="37">
        <f>SUMIFS(Stock_Transactions!D:D, Stock_Transactions!B:B, B43, Stock_Transactions!D:D, "&lt;0") * -1</f>
        <v>133</v>
      </c>
      <c r="E43" s="80">
        <f t="shared" si="3"/>
        <v>-8</v>
      </c>
      <c r="F43" s="48">
        <f t="shared" si="4"/>
        <v>1</v>
      </c>
      <c r="G43" s="48">
        <f>SUMIF(Pending_Stock!C:C, B43, Pending_Stock!F:F)</f>
        <v>0</v>
      </c>
      <c r="H43" s="49">
        <f>SUMIF(Pending_Stock!I:I, B43, Pending_Stock!L:L)</f>
        <v>0</v>
      </c>
      <c r="I43" s="50">
        <f>SUMIF(ShipToDubai!C:C, B43, ShipToDubai!F:F) - (SUMIFS(Stock_Transactions!D:D, Stock_Transactions!B:B, B43, Stock_Transactions!D:D, "&lt;0") * -1)</f>
        <v>-9</v>
      </c>
      <c r="J43" s="38">
        <f>SUMIF(ShipToDubai!C:C, B43, ShipToDubai!G:G)</f>
        <v>0</v>
      </c>
      <c r="L43" t="s">
        <v>305</v>
      </c>
    </row>
    <row r="44" spans="1:14" x14ac:dyDescent="0.4">
      <c r="A44" s="19">
        <f t="shared" si="5"/>
        <v>42</v>
      </c>
      <c r="B44" s="103" t="s">
        <v>423</v>
      </c>
      <c r="C44" s="37">
        <f>SUMIFS(Stock_Transactions!D:D, Stock_Transactions!B:B, B44, Stock_Transactions!D:D, "&gt;0")</f>
        <v>14</v>
      </c>
      <c r="D44" s="37">
        <f>SUMIFS(Stock_Transactions!D:D, Stock_Transactions!B:B, B44, Stock_Transactions!D:D, "&lt;0") * -1</f>
        <v>5</v>
      </c>
      <c r="E44" s="80">
        <f t="shared" si="3"/>
        <v>9</v>
      </c>
      <c r="F44" s="48">
        <f t="shared" si="4"/>
        <v>0</v>
      </c>
      <c r="G44" s="48">
        <f>SUMIF(Pending_Stock!C:C, B44, Pending_Stock!F:F)</f>
        <v>0</v>
      </c>
      <c r="H44" s="49">
        <f>SUMIF(Pending_Stock!I:I, B44, Pending_Stock!L:L)</f>
        <v>0</v>
      </c>
      <c r="I44" s="50">
        <f>SUMIF(ShipToDubai!C:C, B44, ShipToDubai!F:F) - (SUMIFS(Stock_Transactions!D:D, Stock_Transactions!B:B, B44, Stock_Transactions!D:D, "&lt;0") * -1)</f>
        <v>9</v>
      </c>
      <c r="J44" s="38">
        <f>SUMIF(ShipToDubai!C:C, B44, ShipToDubai!G:G)</f>
        <v>0</v>
      </c>
      <c r="L44" t="s">
        <v>305</v>
      </c>
    </row>
    <row r="45" spans="1:14" x14ac:dyDescent="0.4">
      <c r="A45" s="19">
        <f t="shared" si="5"/>
        <v>43</v>
      </c>
      <c r="B45" s="103" t="s">
        <v>380</v>
      </c>
      <c r="C45" s="37">
        <f>SUMIFS(Stock_Transactions!D:D, Stock_Transactions!B:B, B45, Stock_Transactions!D:D, "&gt;0")</f>
        <v>30</v>
      </c>
      <c r="D45" s="37">
        <f>SUMIFS(Stock_Transactions!D:D, Stock_Transactions!B:B, B45, Stock_Transactions!D:D, "&lt;0") * -1</f>
        <v>26</v>
      </c>
      <c r="E45" s="80">
        <f t="shared" si="3"/>
        <v>4</v>
      </c>
      <c r="F45" s="48">
        <f t="shared" si="4"/>
        <v>1</v>
      </c>
      <c r="G45" s="48">
        <f>SUMIF(Pending_Stock!C:C, B45, Pending_Stock!F:F)</f>
        <v>0</v>
      </c>
      <c r="H45" s="49">
        <f>SUMIF(Pending_Stock!I:I, B45, Pending_Stock!L:L)</f>
        <v>0</v>
      </c>
      <c r="I45" s="50">
        <f>SUMIF(ShipToDubai!C:C, B45, ShipToDubai!F:F) - (SUMIFS(Stock_Transactions!D:D, Stock_Transactions!B:B, B45, Stock_Transactions!D:D, "&lt;0") * -1)</f>
        <v>3</v>
      </c>
      <c r="J45" s="38">
        <f>SUMIF(ShipToDubai!C:C, B45, ShipToDubai!G:G)</f>
        <v>0</v>
      </c>
      <c r="L45" t="s">
        <v>305</v>
      </c>
    </row>
    <row r="46" spans="1:14" x14ac:dyDescent="0.3">
      <c r="A46" s="19">
        <f t="shared" si="5"/>
        <v>44</v>
      </c>
      <c r="B46" s="85"/>
      <c r="C46" s="37">
        <f>SUMIFS(Stock_Transactions!D:D, Stock_Transactions!B:B, B46, Stock_Transactions!D:D, "&gt;0")</f>
        <v>0</v>
      </c>
      <c r="D46" s="37">
        <f>SUMIFS(Stock_Transactions!D:D, Stock_Transactions!B:B, B46, Stock_Transactions!D:D, "&lt;0") * -1</f>
        <v>0</v>
      </c>
      <c r="E46" s="80">
        <f t="shared" si="3"/>
        <v>0</v>
      </c>
      <c r="F46" s="48">
        <f t="shared" si="4"/>
        <v>0</v>
      </c>
      <c r="G46" s="48">
        <f>SUMIF(Pending_Stock!C:C, B46, Pending_Stock!F:F)</f>
        <v>0</v>
      </c>
      <c r="H46" s="49">
        <f>SUMIF(Pending_Stock!I:I, B46, Pending_Stock!L:L)</f>
        <v>0</v>
      </c>
      <c r="I46" s="50">
        <f>SUMIF(ShipToDubai!C:C, B46, ShipToDubai!F:F) - (SUMIFS(Stock_Transactions!D:D, Stock_Transactions!B:B, B46, Stock_Transactions!D:D, "&lt;0") * -1)</f>
        <v>0</v>
      </c>
      <c r="J46" s="38">
        <f>SUMIF(ShipToDubai!C:C, B46, ShipToDubai!G:G)</f>
        <v>0</v>
      </c>
    </row>
    <row r="47" spans="1:14" x14ac:dyDescent="0.4">
      <c r="A47" s="19">
        <f t="shared" si="5"/>
        <v>45</v>
      </c>
      <c r="B47" s="103" t="s">
        <v>334</v>
      </c>
      <c r="C47" s="37">
        <f>SUMIFS(Stock_Transactions!D:D, Stock_Transactions!B:B, B47, Stock_Transactions!D:D, "&gt;0")</f>
        <v>8</v>
      </c>
      <c r="D47" s="37">
        <f>SUMIFS(Stock_Transactions!D:D, Stock_Transactions!B:B, B47, Stock_Transactions!D:D, "&lt;0") * -1</f>
        <v>8</v>
      </c>
      <c r="E47" s="80">
        <f t="shared" si="3"/>
        <v>0</v>
      </c>
      <c r="F47" s="48">
        <f t="shared" si="4"/>
        <v>0</v>
      </c>
      <c r="G47" s="48">
        <f>SUMIF(Pending_Stock!C:C, B47, Pending_Stock!F:F)</f>
        <v>0</v>
      </c>
      <c r="H47" s="49">
        <f>SUMIF(Pending_Stock!I:I, B47, Pending_Stock!L:L)</f>
        <v>0</v>
      </c>
      <c r="I47" s="50">
        <f>SUMIF(ShipToDubai!C:C, B47, ShipToDubai!F:F) - (SUMIFS(Stock_Transactions!D:D, Stock_Transactions!B:B, B47, Stock_Transactions!D:D, "&lt;0") * -1)</f>
        <v>0</v>
      </c>
      <c r="J47" s="38">
        <f>SUMIF(ShipToDubai!C:C, B47, ShipToDubai!G:G)</f>
        <v>0</v>
      </c>
    </row>
    <row r="48" spans="1:14" x14ac:dyDescent="0.4">
      <c r="A48" s="19">
        <f t="shared" si="5"/>
        <v>46</v>
      </c>
      <c r="B48" s="103" t="s">
        <v>390</v>
      </c>
      <c r="C48" s="37">
        <f>SUMIFS(Stock_Transactions!D:D, Stock_Transactions!B:B, B48, Stock_Transactions!D:D, "&gt;0")</f>
        <v>156</v>
      </c>
      <c r="D48" s="37">
        <f>SUMIFS(Stock_Transactions!D:D, Stock_Transactions!B:B, B48, Stock_Transactions!D:D, "&lt;0") * -1</f>
        <v>156</v>
      </c>
      <c r="E48" s="80">
        <f t="shared" si="3"/>
        <v>0</v>
      </c>
      <c r="F48" s="48">
        <f t="shared" si="4"/>
        <v>0</v>
      </c>
      <c r="G48" s="48">
        <f>SUMIF(Pending_Stock!C:C, B48, Pending_Stock!F:F)</f>
        <v>0</v>
      </c>
      <c r="H48" s="49">
        <f>SUMIF(Pending_Stock!I:I, B48, Pending_Stock!L:L)</f>
        <v>0</v>
      </c>
      <c r="I48" s="50">
        <f>SUMIF(ShipToDubai!C:C, B48, ShipToDubai!F:F) - (SUMIFS(Stock_Transactions!D:D, Stock_Transactions!B:B, B48, Stock_Transactions!D:D, "&lt;0") * -1)</f>
        <v>0</v>
      </c>
      <c r="J48" s="38">
        <f>SUMIF(ShipToDubai!C:C, B48, ShipToDubai!G:G)</f>
        <v>0</v>
      </c>
      <c r="N48" s="103"/>
    </row>
    <row r="49" spans="1:14" x14ac:dyDescent="0.4">
      <c r="A49" s="19">
        <f t="shared" si="5"/>
        <v>47</v>
      </c>
      <c r="B49" s="103" t="s">
        <v>397</v>
      </c>
      <c r="C49" s="37">
        <f>SUMIFS(Stock_Transactions!D:D, Stock_Transactions!B:B, B49, Stock_Transactions!D:D, "&gt;0")</f>
        <v>29</v>
      </c>
      <c r="D49" s="37">
        <f>SUMIFS(Stock_Transactions!D:D, Stock_Transactions!B:B, B49, Stock_Transactions!D:D, "&lt;0") * -1</f>
        <v>29</v>
      </c>
      <c r="E49" s="80">
        <f t="shared" si="3"/>
        <v>0</v>
      </c>
      <c r="F49" s="48">
        <f t="shared" si="4"/>
        <v>0</v>
      </c>
      <c r="G49" s="48">
        <f>SUMIF(Pending_Stock!C:C, B49, Pending_Stock!F:F)</f>
        <v>0</v>
      </c>
      <c r="H49" s="49">
        <f>SUMIF(Pending_Stock!I:I, B49, Pending_Stock!L:L)</f>
        <v>0</v>
      </c>
      <c r="I49" s="50">
        <f>SUMIF(ShipToDubai!C:C, B49, ShipToDubai!F:F) - (SUMIFS(Stock_Transactions!D:D, Stock_Transactions!B:B, B49, Stock_Transactions!D:D, "&lt;0") * -1)</f>
        <v>0</v>
      </c>
      <c r="J49" s="38">
        <f>SUMIF(ShipToDubai!C:C, B49, ShipToDubai!G:G)</f>
        <v>0</v>
      </c>
    </row>
    <row r="50" spans="1:14" x14ac:dyDescent="0.4">
      <c r="A50" s="19">
        <f t="shared" si="5"/>
        <v>48</v>
      </c>
      <c r="B50" s="94" t="s">
        <v>398</v>
      </c>
      <c r="C50" s="37">
        <f>SUMIFS(Stock_Transactions!D:D, Stock_Transactions!B:B, B50, Stock_Transactions!D:D, "&gt;0")</f>
        <v>9</v>
      </c>
      <c r="D50" s="37">
        <f>SUMIFS(Stock_Transactions!D:D, Stock_Transactions!B:B, B50, Stock_Transactions!D:D, "&lt;0") * -1</f>
        <v>8</v>
      </c>
      <c r="E50" s="80">
        <f t="shared" si="3"/>
        <v>1</v>
      </c>
      <c r="F50" s="48">
        <f t="shared" si="4"/>
        <v>0</v>
      </c>
      <c r="G50" s="48">
        <f>SUMIF(Pending_Stock!C:C, B50, Pending_Stock!F:F)</f>
        <v>0</v>
      </c>
      <c r="H50" s="49">
        <f>SUMIF(Pending_Stock!I:I, B50, Pending_Stock!L:L)</f>
        <v>0</v>
      </c>
      <c r="I50" s="50">
        <f>SUMIF(ShipToDubai!C:C, B50, ShipToDubai!F:F) - (SUMIFS(Stock_Transactions!D:D, Stock_Transactions!B:B, B50, Stock_Transactions!D:D, "&lt;0") * -1)</f>
        <v>1</v>
      </c>
      <c r="J50" s="38">
        <f>SUMIF(ShipToDubai!C:C, B50, ShipToDubai!G:G)</f>
        <v>0</v>
      </c>
    </row>
    <row r="51" spans="1:14" x14ac:dyDescent="0.4">
      <c r="A51" s="19">
        <f t="shared" si="5"/>
        <v>49</v>
      </c>
      <c r="B51" s="94" t="s">
        <v>399</v>
      </c>
      <c r="C51" s="37">
        <f>SUMIFS(Stock_Transactions!D:D, Stock_Transactions!B:B, B51, Stock_Transactions!D:D, "&gt;0")</f>
        <v>30</v>
      </c>
      <c r="D51" s="37">
        <f>SUMIFS(Stock_Transactions!D:D, Stock_Transactions!B:B, B51, Stock_Transactions!D:D, "&lt;0") * -1</f>
        <v>30</v>
      </c>
      <c r="E51" s="80">
        <f t="shared" si="3"/>
        <v>0</v>
      </c>
      <c r="F51" s="48">
        <f t="shared" si="4"/>
        <v>0</v>
      </c>
      <c r="G51" s="48">
        <f>SUMIF(Pending_Stock!C:C, B51, Pending_Stock!F:F)</f>
        <v>0</v>
      </c>
      <c r="H51" s="49">
        <f>SUMIF(Pending_Stock!I:I, B51, Pending_Stock!L:L)</f>
        <v>0</v>
      </c>
      <c r="I51" s="50">
        <f>SUMIF(ShipToDubai!C:C, B51, ShipToDubai!F:F) - (SUMIFS(Stock_Transactions!D:D, Stock_Transactions!B:B, B51, Stock_Transactions!D:D, "&lt;0") * -1)</f>
        <v>0</v>
      </c>
      <c r="J51" s="38">
        <f>SUMIF(ShipToDubai!C:C, B51, ShipToDubai!G:G)</f>
        <v>0</v>
      </c>
    </row>
    <row r="52" spans="1:14" x14ac:dyDescent="0.4">
      <c r="A52" s="19">
        <f t="shared" si="5"/>
        <v>50</v>
      </c>
      <c r="B52" s="94" t="s">
        <v>400</v>
      </c>
      <c r="C52" s="37">
        <f>SUMIFS(Stock_Transactions!D:D, Stock_Transactions!B:B, B52, Stock_Transactions!D:D, "&gt;0")</f>
        <v>12</v>
      </c>
      <c r="D52" s="37">
        <f>SUMIFS(Stock_Transactions!D:D, Stock_Transactions!B:B, B52, Stock_Transactions!D:D, "&lt;0") * -1</f>
        <v>12</v>
      </c>
      <c r="E52" s="80">
        <f t="shared" si="3"/>
        <v>0</v>
      </c>
      <c r="F52" s="48">
        <f t="shared" si="4"/>
        <v>0</v>
      </c>
      <c r="G52" s="48">
        <f>SUMIF(Pending_Stock!C:C, B52, Pending_Stock!F:F)</f>
        <v>0</v>
      </c>
      <c r="H52" s="49">
        <f>SUMIF(Pending_Stock!I:I, B52, Pending_Stock!L:L)</f>
        <v>0</v>
      </c>
      <c r="I52" s="50">
        <f>SUMIF(ShipToDubai!C:C, B52, ShipToDubai!F:F) - (SUMIFS(Stock_Transactions!D:D, Stock_Transactions!B:B, B52, Stock_Transactions!D:D, "&lt;0") * -1)</f>
        <v>0</v>
      </c>
      <c r="J52" s="38">
        <f>SUMIF(ShipToDubai!C:C, B52, ShipToDubai!G:G)</f>
        <v>0</v>
      </c>
    </row>
    <row r="53" spans="1:14" x14ac:dyDescent="0.4">
      <c r="A53" s="19">
        <f t="shared" si="5"/>
        <v>51</v>
      </c>
      <c r="B53" s="103" t="s">
        <v>337</v>
      </c>
      <c r="C53" s="37">
        <f>SUMIFS(Stock_Transactions!D:D, Stock_Transactions!B:B, B53, Stock_Transactions!D:D, "&gt;0")</f>
        <v>1</v>
      </c>
      <c r="D53" s="37">
        <f>SUMIFS(Stock_Transactions!D:D, Stock_Transactions!B:B, B53, Stock_Transactions!D:D, "&lt;0") * -1</f>
        <v>0</v>
      </c>
      <c r="E53" s="80">
        <f t="shared" si="3"/>
        <v>1</v>
      </c>
      <c r="F53" s="48">
        <f t="shared" si="4"/>
        <v>1</v>
      </c>
      <c r="G53" s="48">
        <f>SUMIF(Pending_Stock!C:C, B53, Pending_Stock!F:F)</f>
        <v>0</v>
      </c>
      <c r="H53" s="49">
        <f>SUMIF(Pending_Stock!I:I, B53, Pending_Stock!L:L)</f>
        <v>0</v>
      </c>
      <c r="I53" s="50">
        <f>SUMIF(ShipToDubai!C:C, B53, ShipToDubai!F:F) - (SUMIFS(Stock_Transactions!D:D, Stock_Transactions!B:B, B53, Stock_Transactions!D:D, "&lt;0") * -1)</f>
        <v>0</v>
      </c>
      <c r="J53" s="38">
        <f>SUMIF(ShipToDubai!C:C, B53, ShipToDubai!G:G)</f>
        <v>0</v>
      </c>
    </row>
    <row r="54" spans="1:14" x14ac:dyDescent="0.3">
      <c r="A54" s="19">
        <f t="shared" si="5"/>
        <v>52</v>
      </c>
      <c r="B54" s="85"/>
      <c r="C54" s="37">
        <f>SUMIFS(Stock_Transactions!D:D, Stock_Transactions!B:B, B54, Stock_Transactions!D:D, "&gt;0")</f>
        <v>0</v>
      </c>
      <c r="D54" s="37">
        <f>SUMIFS(Stock_Transactions!D:D, Stock_Transactions!B:B, B54, Stock_Transactions!D:D, "&lt;0") * -1</f>
        <v>0</v>
      </c>
      <c r="E54" s="80">
        <f t="shared" si="3"/>
        <v>0</v>
      </c>
      <c r="F54" s="48">
        <f t="shared" si="4"/>
        <v>0</v>
      </c>
      <c r="G54" s="48">
        <f>SUMIF(Pending_Stock!C:C, B54, Pending_Stock!F:F)</f>
        <v>0</v>
      </c>
      <c r="H54" s="49">
        <f>SUMIF(Pending_Stock!I:I, B54, Pending_Stock!L:L)</f>
        <v>0</v>
      </c>
      <c r="I54" s="50">
        <f>SUMIF(ShipToDubai!C:C, B54, ShipToDubai!F:F) - (SUMIFS(Stock_Transactions!D:D, Stock_Transactions!B:B, B54, Stock_Transactions!D:D, "&lt;0") * -1)</f>
        <v>0</v>
      </c>
      <c r="J54" s="38">
        <f>SUMIF(ShipToDubai!C:C, B54, ShipToDubai!G:G)</f>
        <v>0</v>
      </c>
      <c r="K54" t="s">
        <v>752</v>
      </c>
    </row>
    <row r="55" spans="1:14" x14ac:dyDescent="0.3">
      <c r="A55" s="19">
        <f t="shared" si="5"/>
        <v>53</v>
      </c>
      <c r="B55" s="85" t="s">
        <v>482</v>
      </c>
      <c r="C55" s="37">
        <f>SUMIFS(Stock_Transactions!D:D, Stock_Transactions!B:B, B55, Stock_Transactions!D:D, "&gt;0")</f>
        <v>98</v>
      </c>
      <c r="D55" s="37">
        <f>SUMIFS(Stock_Transactions!D:D, Stock_Transactions!B:B, B55, Stock_Transactions!D:D, "&lt;0") * -1</f>
        <v>0</v>
      </c>
      <c r="E55" s="80">
        <f t="shared" si="3"/>
        <v>98</v>
      </c>
      <c r="F55" s="48">
        <f t="shared" si="4"/>
        <v>0</v>
      </c>
      <c r="G55" s="48">
        <f>SUMIF(Pending_Stock!C:C, B55, Pending_Stock!F:F)</f>
        <v>20</v>
      </c>
      <c r="H55" s="49">
        <f>SUMIF(Pending_Stock!I:I, B55, Pending_Stock!L:L)</f>
        <v>0</v>
      </c>
      <c r="I55" s="50">
        <f>SUMIF(ShipToDubai!C:C, B55, ShipToDubai!F:F) - (SUMIFS(Stock_Transactions!D:D, Stock_Transactions!B:B, B55, Stock_Transactions!D:D, "&lt;0") * -1)</f>
        <v>78</v>
      </c>
      <c r="J55" s="38">
        <f>SUMIF(ShipToDubai!C:C, B55, ShipToDubai!G:G)</f>
        <v>0</v>
      </c>
      <c r="L55" t="s">
        <v>305</v>
      </c>
    </row>
    <row r="56" spans="1:14" x14ac:dyDescent="0.3">
      <c r="A56" s="19">
        <f t="shared" si="5"/>
        <v>54</v>
      </c>
      <c r="B56" s="239" t="s">
        <v>492</v>
      </c>
      <c r="C56" s="37">
        <f>SUMIFS(Stock_Transactions!D:D, Stock_Transactions!B:B, B56, Stock_Transactions!D:D, "&gt;0")</f>
        <v>23</v>
      </c>
      <c r="D56" s="37">
        <f>SUMIFS(Stock_Transactions!D:D, Stock_Transactions!B:B, B56, Stock_Transactions!D:D, "&lt;0") * -1</f>
        <v>18</v>
      </c>
      <c r="E56" s="80">
        <f t="shared" si="3"/>
        <v>5</v>
      </c>
      <c r="F56" s="48">
        <f t="shared" si="4"/>
        <v>5</v>
      </c>
      <c r="G56" s="48">
        <f>SUMIF(Pending_Stock!C:C, B56, Pending_Stock!F:F)</f>
        <v>0</v>
      </c>
      <c r="H56" s="49">
        <f>SUMIF(Pending_Stock!I:I, B56, Pending_Stock!L:L)</f>
        <v>0</v>
      </c>
      <c r="I56" s="50">
        <f>SUMIF(ShipToDubai!C:C, B56, ShipToDubai!F:F) - (SUMIFS(Stock_Transactions!D:D, Stock_Transactions!B:B, B56, Stock_Transactions!D:D, "&lt;0") * -1)</f>
        <v>0</v>
      </c>
      <c r="J56" s="38">
        <f>SUMIF(ShipToDubai!C:C, B56, ShipToDubai!G:G)</f>
        <v>0</v>
      </c>
      <c r="L56" t="s">
        <v>305</v>
      </c>
    </row>
    <row r="57" spans="1:14" x14ac:dyDescent="0.3">
      <c r="A57" s="19">
        <f t="shared" si="5"/>
        <v>55</v>
      </c>
      <c r="B57" s="85" t="s">
        <v>512</v>
      </c>
      <c r="C57" s="37">
        <f>SUMIFS(Stock_Transactions!D:D, Stock_Transactions!B:B, B57, Stock_Transactions!D:D, "&gt;0")</f>
        <v>47</v>
      </c>
      <c r="D57" s="37">
        <f>SUMIFS(Stock_Transactions!D:D, Stock_Transactions!B:B, B57, Stock_Transactions!D:D, "&lt;0") * -1</f>
        <v>47</v>
      </c>
      <c r="E57" s="80">
        <f t="shared" si="3"/>
        <v>0</v>
      </c>
      <c r="F57" s="48">
        <f t="shared" si="4"/>
        <v>0</v>
      </c>
      <c r="G57" s="48">
        <f>SUMIF(Pending_Stock!C:C, B57, Pending_Stock!F:F)</f>
        <v>0</v>
      </c>
      <c r="H57" s="49">
        <f>SUMIF(Pending_Stock!I:I, B57, Pending_Stock!L:L)</f>
        <v>0</v>
      </c>
      <c r="I57" s="50">
        <f>SUMIF(ShipToDubai!C:C, B57, ShipToDubai!F:F) - (SUMIFS(Stock_Transactions!D:D, Stock_Transactions!B:B, B57, Stock_Transactions!D:D, "&lt;0") * -1)</f>
        <v>0</v>
      </c>
      <c r="J57" s="38">
        <f>SUMIF(ShipToDubai!C:C, B57, ShipToDubai!G:G)</f>
        <v>0</v>
      </c>
      <c r="N57" s="85"/>
    </row>
    <row r="58" spans="1:14" x14ac:dyDescent="0.3">
      <c r="A58" s="19">
        <f t="shared" si="5"/>
        <v>56</v>
      </c>
      <c r="B58" s="85" t="s">
        <v>513</v>
      </c>
      <c r="C58" s="37">
        <f>SUMIFS(Stock_Transactions!D:D, Stock_Transactions!B:B, B58, Stock_Transactions!D:D, "&gt;0")</f>
        <v>30</v>
      </c>
      <c r="D58" s="37">
        <f>SUMIFS(Stock_Transactions!D:D, Stock_Transactions!B:B, B58, Stock_Transactions!D:D, "&lt;0") * -1</f>
        <v>30</v>
      </c>
      <c r="E58" s="80">
        <f t="shared" si="3"/>
        <v>0</v>
      </c>
      <c r="F58" s="48">
        <f t="shared" si="4"/>
        <v>0</v>
      </c>
      <c r="G58" s="48">
        <f>SUMIF(Pending_Stock!C:C, B58, Pending_Stock!F:F)</f>
        <v>0</v>
      </c>
      <c r="H58" s="49">
        <f>SUMIF(Pending_Stock!I:I, B58, Pending_Stock!L:L)</f>
        <v>0</v>
      </c>
      <c r="I58" s="50">
        <f>SUMIF(ShipToDubai!C:C, B58, ShipToDubai!F:F) - (SUMIFS(Stock_Transactions!D:D, Stock_Transactions!B:B, B58, Stock_Transactions!D:D, "&lt;0") * -1)</f>
        <v>0</v>
      </c>
      <c r="J58" s="38">
        <f>SUMIF(ShipToDubai!C:C, B58, ShipToDubai!G:G)</f>
        <v>0</v>
      </c>
    </row>
    <row r="59" spans="1:14" x14ac:dyDescent="0.4">
      <c r="A59" s="19">
        <f t="shared" si="5"/>
        <v>57</v>
      </c>
      <c r="B59" s="103" t="s">
        <v>304</v>
      </c>
      <c r="C59" s="37">
        <f>SUMIFS(Stock_Transactions!D:D, Stock_Transactions!B:B, B59, Stock_Transactions!D:D, "&gt;0")</f>
        <v>52</v>
      </c>
      <c r="D59" s="37">
        <f>SUMIFS(Stock_Transactions!D:D, Stock_Transactions!B:B, B59, Stock_Transactions!D:D, "&lt;0") * -1</f>
        <v>2</v>
      </c>
      <c r="E59" s="80">
        <f t="shared" si="3"/>
        <v>50</v>
      </c>
      <c r="F59" s="48">
        <f t="shared" si="4"/>
        <v>50</v>
      </c>
      <c r="G59" s="48">
        <f>SUMIF(Pending_Stock!C:C, B59, Pending_Stock!F:F)</f>
        <v>0</v>
      </c>
      <c r="H59" s="49">
        <f>SUMIF(Pending_Stock!I:I, B59, Pending_Stock!L:L)</f>
        <v>0</v>
      </c>
      <c r="I59" s="50">
        <f>SUMIF(ShipToDubai!C:C, B59, ShipToDubai!F:F) - (SUMIFS(Stock_Transactions!D:D, Stock_Transactions!B:B, B59, Stock_Transactions!D:D, "&lt;0") * -1)</f>
        <v>0</v>
      </c>
      <c r="J59" s="38">
        <f>SUMIF(ShipToDubai!C:C, B59, ShipToDubai!G:G)</f>
        <v>0</v>
      </c>
      <c r="L59" t="s">
        <v>305</v>
      </c>
      <c r="N59" s="93"/>
    </row>
    <row r="60" spans="1:14" x14ac:dyDescent="0.4">
      <c r="A60" s="19">
        <f t="shared" si="5"/>
        <v>58</v>
      </c>
      <c r="B60" s="94" t="s">
        <v>497</v>
      </c>
      <c r="C60" s="37">
        <f>SUMIFS(Stock_Transactions!D:D, Stock_Transactions!B:B, B60, Stock_Transactions!D:D, "&gt;0")</f>
        <v>776</v>
      </c>
      <c r="D60" s="37">
        <f>SUMIFS(Stock_Transactions!D:D, Stock_Transactions!B:B, B60, Stock_Transactions!D:D, "&lt;0") * -1</f>
        <v>776</v>
      </c>
      <c r="E60" s="80">
        <f t="shared" si="3"/>
        <v>0</v>
      </c>
      <c r="F60" s="48">
        <f t="shared" si="4"/>
        <v>0</v>
      </c>
      <c r="G60" s="48">
        <f>SUMIF(Pending_Stock!C:C, B60, Pending_Stock!F:F)</f>
        <v>0</v>
      </c>
      <c r="H60" s="49">
        <f>SUMIF(Pending_Stock!I:I, B60, Pending_Stock!L:L)</f>
        <v>0</v>
      </c>
      <c r="I60" s="50">
        <f>SUMIF(ShipToDubai!C:C, B60, ShipToDubai!F:F) - (SUMIFS(Stock_Transactions!D:D, Stock_Transactions!B:B, B60, Stock_Transactions!D:D, "&lt;0") * -1)</f>
        <v>0</v>
      </c>
      <c r="J60" s="38">
        <f>SUMIF(ShipToDubai!C:C, B60, ShipToDubai!G:G)</f>
        <v>0</v>
      </c>
      <c r="L60" t="s">
        <v>305</v>
      </c>
    </row>
    <row r="61" spans="1:14" x14ac:dyDescent="0.4">
      <c r="A61" s="19">
        <f t="shared" si="5"/>
        <v>59</v>
      </c>
      <c r="B61" s="94" t="s">
        <v>125</v>
      </c>
      <c r="C61" s="37">
        <f>SUMIFS(Stock_Transactions!D:D, Stock_Transactions!B:B, B61, Stock_Transactions!D:D, "&gt;0")</f>
        <v>6</v>
      </c>
      <c r="D61" s="37">
        <f>SUMIFS(Stock_Transactions!D:D, Stock_Transactions!B:B, B61, Stock_Transactions!D:D, "&lt;0") * -1</f>
        <v>6</v>
      </c>
      <c r="E61" s="80">
        <f t="shared" si="3"/>
        <v>0</v>
      </c>
      <c r="F61" s="48">
        <f t="shared" si="4"/>
        <v>0</v>
      </c>
      <c r="G61" s="48">
        <f>SUMIF(Pending_Stock!C:C, B61, Pending_Stock!F:F)</f>
        <v>0</v>
      </c>
      <c r="H61" s="49">
        <f>SUMIF(Pending_Stock!I:I, B61, Pending_Stock!L:L)</f>
        <v>0</v>
      </c>
      <c r="I61" s="50">
        <f>SUMIF(ShipToDubai!C:C, B61, ShipToDubai!F:F) - (SUMIFS(Stock_Transactions!D:D, Stock_Transactions!B:B, B61, Stock_Transactions!D:D, "&lt;0") * -1)</f>
        <v>0</v>
      </c>
      <c r="J61" s="38">
        <f>SUMIF(ShipToDubai!C:C, B61, ShipToDubai!G:G)</f>
        <v>0</v>
      </c>
    </row>
    <row r="62" spans="1:14" x14ac:dyDescent="0.3">
      <c r="A62" s="19">
        <f t="shared" si="5"/>
        <v>60</v>
      </c>
      <c r="B62" s="85" t="s">
        <v>529</v>
      </c>
      <c r="C62" s="37">
        <f>SUMIFS(Stock_Transactions!D:D, Stock_Transactions!B:B, B62, Stock_Transactions!D:D, "&gt;0")</f>
        <v>9</v>
      </c>
      <c r="D62" s="37">
        <f>SUMIFS(Stock_Transactions!D:D, Stock_Transactions!B:B, B62, Stock_Transactions!D:D, "&lt;0") * -1</f>
        <v>9</v>
      </c>
      <c r="E62" s="80">
        <f t="shared" si="3"/>
        <v>0</v>
      </c>
      <c r="F62" s="48">
        <f t="shared" si="4"/>
        <v>0</v>
      </c>
      <c r="G62" s="48">
        <f>SUMIF(Pending_Stock!C:C, B62, Pending_Stock!F:F)</f>
        <v>0</v>
      </c>
      <c r="H62" s="49">
        <f>SUMIF(Pending_Stock!I:I, B62, Pending_Stock!L:L)</f>
        <v>0</v>
      </c>
      <c r="I62" s="50">
        <f>SUMIF(ShipToDubai!C:C, B62, ShipToDubai!F:F) - (SUMIFS(Stock_Transactions!D:D, Stock_Transactions!B:B, B62, Stock_Transactions!D:D, "&lt;0") * -1)</f>
        <v>0</v>
      </c>
      <c r="J62" s="38">
        <f>SUMIF(ShipToDubai!C:C, B62, ShipToDubai!G:G)</f>
        <v>0</v>
      </c>
    </row>
    <row r="63" spans="1:14" x14ac:dyDescent="0.3">
      <c r="A63" s="19">
        <f t="shared" si="5"/>
        <v>61</v>
      </c>
      <c r="B63" s="85" t="s">
        <v>124</v>
      </c>
      <c r="C63" s="37">
        <f>SUMIFS(Stock_Transactions!D:D, Stock_Transactions!B:B, B63, Stock_Transactions!D:D, "&gt;0")</f>
        <v>12</v>
      </c>
      <c r="D63" s="37">
        <f>SUMIFS(Stock_Transactions!D:D, Stock_Transactions!B:B, B63, Stock_Transactions!D:D, "&lt;0") * -1</f>
        <v>12</v>
      </c>
      <c r="E63" s="80">
        <f t="shared" si="3"/>
        <v>0</v>
      </c>
      <c r="F63" s="48">
        <f t="shared" si="4"/>
        <v>0</v>
      </c>
      <c r="G63" s="48">
        <f>SUMIF(Pending_Stock!C:C, B63, Pending_Stock!F:F)</f>
        <v>0</v>
      </c>
      <c r="H63" s="49">
        <f>SUMIF(Pending_Stock!I:I, B63, Pending_Stock!L:L)</f>
        <v>0</v>
      </c>
      <c r="I63" s="50">
        <f>SUMIF(ShipToDubai!C:C, B63, ShipToDubai!F:F) - (SUMIFS(Stock_Transactions!D:D, Stock_Transactions!B:B, B63, Stock_Transactions!D:D, "&lt;0") * -1)</f>
        <v>0</v>
      </c>
      <c r="J63" s="38">
        <f>SUMIF(ShipToDubai!C:C, B63, ShipToDubai!G:G)</f>
        <v>0</v>
      </c>
    </row>
    <row r="64" spans="1:14" x14ac:dyDescent="0.4">
      <c r="A64" s="19">
        <f t="shared" si="5"/>
        <v>62</v>
      </c>
      <c r="B64" s="94" t="s">
        <v>598</v>
      </c>
      <c r="C64" s="37">
        <f>SUMIFS(Stock_Transactions!D:D, Stock_Transactions!B:B, B64, Stock_Transactions!D:D, "&gt;0")</f>
        <v>47</v>
      </c>
      <c r="D64" s="37">
        <f>SUMIFS(Stock_Transactions!D:D, Stock_Transactions!B:B, B64, Stock_Transactions!D:D, "&lt;0") * -1</f>
        <v>47</v>
      </c>
      <c r="E64" s="80">
        <f t="shared" si="3"/>
        <v>0</v>
      </c>
      <c r="F64" s="48">
        <f t="shared" si="4"/>
        <v>0</v>
      </c>
      <c r="G64" s="48">
        <f>SUMIF(Pending_Stock!C:C, B64, Pending_Stock!F:F)</f>
        <v>0</v>
      </c>
      <c r="H64" s="49">
        <f>SUMIF(Pending_Stock!I:I, B64, Pending_Stock!L:L)</f>
        <v>0</v>
      </c>
      <c r="I64" s="50">
        <f>SUMIF(ShipToDubai!C:C, B64, ShipToDubai!F:F) - (SUMIFS(Stock_Transactions!D:D, Stock_Transactions!B:B, B64, Stock_Transactions!D:D, "&lt;0") * -1)</f>
        <v>0</v>
      </c>
      <c r="J64" s="38">
        <f>SUMIF(ShipToDubai!C:C, B64, ShipToDubai!G:G)</f>
        <v>0</v>
      </c>
      <c r="N64" s="93"/>
    </row>
    <row r="65" spans="1:14" x14ac:dyDescent="0.4">
      <c r="A65" s="19">
        <f t="shared" si="5"/>
        <v>63</v>
      </c>
      <c r="B65" s="94" t="s">
        <v>597</v>
      </c>
      <c r="C65" s="37">
        <f>SUMIFS(Stock_Transactions!D:D, Stock_Transactions!B:B, B65, Stock_Transactions!D:D, "&gt;0")</f>
        <v>1</v>
      </c>
      <c r="D65" s="37">
        <f>SUMIFS(Stock_Transactions!D:D, Stock_Transactions!B:B, B65, Stock_Transactions!D:D, "&lt;0") * -1</f>
        <v>1</v>
      </c>
      <c r="E65" s="80">
        <f t="shared" si="3"/>
        <v>0</v>
      </c>
      <c r="F65" s="48">
        <f t="shared" si="4"/>
        <v>0</v>
      </c>
      <c r="G65" s="48">
        <f>SUMIF(Pending_Stock!C:C, B65, Pending_Stock!F:F)</f>
        <v>0</v>
      </c>
      <c r="H65" s="49">
        <f>SUMIF(Pending_Stock!I:I, B65, Pending_Stock!L:L)</f>
        <v>0</v>
      </c>
      <c r="I65" s="50">
        <f>SUMIF(ShipToDubai!C:C, B65, ShipToDubai!F:F) - (SUMIFS(Stock_Transactions!D:D, Stock_Transactions!B:B, B65, Stock_Transactions!D:D, "&lt;0") * -1)</f>
        <v>0</v>
      </c>
      <c r="J65" s="38">
        <f>SUMIF(ShipToDubai!C:C, B65, ShipToDubai!G:G)</f>
        <v>0</v>
      </c>
      <c r="N65" s="93"/>
    </row>
    <row r="66" spans="1:14" x14ac:dyDescent="0.4">
      <c r="A66" s="310">
        <f t="shared" si="5"/>
        <v>64</v>
      </c>
      <c r="B66" s="238" t="s">
        <v>550</v>
      </c>
      <c r="C66" s="37">
        <f>SUMIFS(Stock_Transactions!D:D, Stock_Transactions!B:B, B66, Stock_Transactions!D:D, "&gt;0")</f>
        <v>7</v>
      </c>
      <c r="D66" s="37">
        <f>SUMIFS(Stock_Transactions!D:D, Stock_Transactions!B:B, B66, Stock_Transactions!D:D, "&lt;0") * -1</f>
        <v>5</v>
      </c>
      <c r="E66" s="80">
        <f t="shared" si="3"/>
        <v>2</v>
      </c>
      <c r="F66" s="48">
        <f t="shared" si="4"/>
        <v>0</v>
      </c>
      <c r="G66" s="48">
        <f>SUMIF(Pending_Stock!C:C, B66, Pending_Stock!F:F)</f>
        <v>2</v>
      </c>
      <c r="H66" s="49">
        <f>SUMIF(Pending_Stock!I:I, B66, Pending_Stock!L:L)</f>
        <v>0</v>
      </c>
      <c r="I66" s="50">
        <f>SUMIF(ShipToDubai!C:C, B66, ShipToDubai!F:F) - (SUMIFS(Stock_Transactions!D:D, Stock_Transactions!B:B, B66, Stock_Transactions!D:D, "&lt;0") * -1)</f>
        <v>0</v>
      </c>
      <c r="J66" s="38">
        <f>SUMIF(ShipToDubai!C:C, B66, ShipToDubai!G:G)</f>
        <v>0</v>
      </c>
    </row>
    <row r="67" spans="1:14" x14ac:dyDescent="0.4">
      <c r="A67" s="310">
        <f t="shared" si="5"/>
        <v>65</v>
      </c>
      <c r="B67" s="238" t="s">
        <v>549</v>
      </c>
      <c r="C67" s="37">
        <f>SUMIFS(Stock_Transactions!D:D, Stock_Transactions!B:B, B67, Stock_Transactions!D:D, "&gt;0")</f>
        <v>2</v>
      </c>
      <c r="D67" s="37">
        <f>SUMIFS(Stock_Transactions!D:D, Stock_Transactions!B:B, B67, Stock_Transactions!D:D, "&lt;0") * -1</f>
        <v>0</v>
      </c>
      <c r="E67" s="80">
        <f t="shared" ref="E67:E98" si="6">C67-D67</f>
        <v>2</v>
      </c>
      <c r="F67" s="48">
        <f t="shared" ref="F67:F98" si="7">E67-G67-H67-I67-J67</f>
        <v>0</v>
      </c>
      <c r="G67" s="48">
        <f>SUMIF(Pending_Stock!C:C, B67, Pending_Stock!F:F)</f>
        <v>2</v>
      </c>
      <c r="H67" s="49">
        <f>SUMIF(Pending_Stock!I:I, B67, Pending_Stock!L:L)</f>
        <v>0</v>
      </c>
      <c r="I67" s="50">
        <f>SUMIF(ShipToDubai!C:C, B67, ShipToDubai!F:F) - (SUMIFS(Stock_Transactions!D:D, Stock_Transactions!B:B, B67, Stock_Transactions!D:D, "&lt;0") * -1)</f>
        <v>0</v>
      </c>
      <c r="J67" s="38">
        <f>SUMIF(ShipToDubai!C:C, B67, ShipToDubai!G:G)</f>
        <v>0</v>
      </c>
      <c r="N67" s="94"/>
    </row>
    <row r="68" spans="1:14" x14ac:dyDescent="0.3">
      <c r="A68" s="19">
        <f t="shared" ref="A68:A99" si="8">A67+1</f>
        <v>66</v>
      </c>
      <c r="B68" s="85" t="s">
        <v>638</v>
      </c>
      <c r="C68" s="37">
        <f>SUMIFS(Stock_Transactions!D:D, Stock_Transactions!B:B, B68, Stock_Transactions!D:D, "&gt;0")</f>
        <v>108</v>
      </c>
      <c r="D68" s="37">
        <f>SUMIFS(Stock_Transactions!D:D, Stock_Transactions!B:B, B68, Stock_Transactions!D:D, "&lt;0") * -1</f>
        <v>108</v>
      </c>
      <c r="E68" s="80">
        <f t="shared" si="6"/>
        <v>0</v>
      </c>
      <c r="F68" s="48">
        <f t="shared" si="7"/>
        <v>0</v>
      </c>
      <c r="G68" s="48">
        <f>SUMIF(Pending_Stock!C:C, B68, Pending_Stock!F:F)</f>
        <v>0</v>
      </c>
      <c r="H68" s="49">
        <f>SUMIF(Pending_Stock!I:I, B68, Pending_Stock!L:L)</f>
        <v>0</v>
      </c>
      <c r="I68" s="50">
        <f>SUMIF(ShipToDubai!C:C, B68, ShipToDubai!F:F) - (SUMIFS(Stock_Transactions!D:D, Stock_Transactions!B:B, B68, Stock_Transactions!D:D, "&lt;0") * -1)</f>
        <v>0</v>
      </c>
      <c r="J68" s="38">
        <f>SUMIF(ShipToDubai!C:C, B68, ShipToDubai!G:G)</f>
        <v>0</v>
      </c>
      <c r="N68" s="93"/>
    </row>
    <row r="69" spans="1:14" x14ac:dyDescent="0.4">
      <c r="A69" s="19">
        <f t="shared" si="8"/>
        <v>67</v>
      </c>
      <c r="B69" s="93" t="s">
        <v>653</v>
      </c>
      <c r="C69" s="37">
        <f>SUMIFS(Stock_Transactions!D:D, Stock_Transactions!B:B, B69, Stock_Transactions!D:D, "&gt;0")</f>
        <v>500</v>
      </c>
      <c r="D69" s="37">
        <f>SUMIFS(Stock_Transactions!D:D, Stock_Transactions!B:B, B69, Stock_Transactions!D:D, "&lt;0") * -1</f>
        <v>496</v>
      </c>
      <c r="E69" s="80">
        <f t="shared" si="6"/>
        <v>4</v>
      </c>
      <c r="F69" s="48">
        <f t="shared" si="7"/>
        <v>0</v>
      </c>
      <c r="G69" s="48">
        <f>SUMIF(Pending_Stock!C:C, B69, Pending_Stock!F:F)</f>
        <v>0</v>
      </c>
      <c r="H69" s="49">
        <f>SUMIF(Pending_Stock!I:I, B69, Pending_Stock!L:L)</f>
        <v>0</v>
      </c>
      <c r="I69" s="50">
        <f>SUMIF(ShipToDubai!C:C, B69, ShipToDubai!F:F) - (SUMIFS(Stock_Transactions!D:D, Stock_Transactions!B:B, B69, Stock_Transactions!D:D, "&lt;0") * -1)</f>
        <v>4</v>
      </c>
      <c r="J69" s="38">
        <f>SUMIF(ShipToDubai!C:C, B69, ShipToDubai!G:G)</f>
        <v>0</v>
      </c>
      <c r="N69" s="94"/>
    </row>
    <row r="70" spans="1:14" x14ac:dyDescent="0.4">
      <c r="A70" s="19">
        <f t="shared" si="8"/>
        <v>68</v>
      </c>
      <c r="B70" s="93" t="s">
        <v>660</v>
      </c>
      <c r="C70" s="37">
        <f>SUMIFS(Stock_Transactions!D:D, Stock_Transactions!B:B, B70, Stock_Transactions!D:D, "&gt;0")</f>
        <v>5</v>
      </c>
      <c r="D70" s="37">
        <f>SUMIFS(Stock_Transactions!D:D, Stock_Transactions!B:B, B70, Stock_Transactions!D:D, "&lt;0") * -1</f>
        <v>5</v>
      </c>
      <c r="E70" s="80">
        <f t="shared" si="6"/>
        <v>0</v>
      </c>
      <c r="F70" s="48">
        <f t="shared" si="7"/>
        <v>0</v>
      </c>
      <c r="G70" s="48">
        <f>SUMIF(Pending_Stock!C:C, B70, Pending_Stock!F:F)</f>
        <v>0</v>
      </c>
      <c r="H70" s="49">
        <f>SUMIF(Pending_Stock!I:I, B70, Pending_Stock!L:L)</f>
        <v>0</v>
      </c>
      <c r="I70" s="50">
        <f>SUMIF(ShipToDubai!C:C, B70, ShipToDubai!F:F) - (SUMIFS(Stock_Transactions!D:D, Stock_Transactions!B:B, B70, Stock_Transactions!D:D, "&lt;0") * -1)</f>
        <v>0</v>
      </c>
      <c r="J70" s="38">
        <f>SUMIF(ShipToDubai!C:C, B70, ShipToDubai!G:G)</f>
        <v>0</v>
      </c>
      <c r="N70" s="94"/>
    </row>
    <row r="71" spans="1:14" x14ac:dyDescent="0.4">
      <c r="A71" s="19">
        <f t="shared" si="8"/>
        <v>69</v>
      </c>
      <c r="B71" s="93" t="s">
        <v>661</v>
      </c>
      <c r="C71" s="37">
        <f>SUMIFS(Stock_Transactions!D:D, Stock_Transactions!B:B, B71, Stock_Transactions!D:D, "&gt;0")</f>
        <v>21</v>
      </c>
      <c r="D71" s="37">
        <f>SUMIFS(Stock_Transactions!D:D, Stock_Transactions!B:B, B71, Stock_Transactions!D:D, "&lt;0") * -1</f>
        <v>21</v>
      </c>
      <c r="E71" s="80">
        <f t="shared" si="6"/>
        <v>0</v>
      </c>
      <c r="F71" s="48">
        <f t="shared" si="7"/>
        <v>0</v>
      </c>
      <c r="G71" s="48">
        <f>SUMIF(Pending_Stock!C:C, B71, Pending_Stock!F:F)</f>
        <v>0</v>
      </c>
      <c r="H71" s="49">
        <f>SUMIF(Pending_Stock!I:I, B71, Pending_Stock!L:L)</f>
        <v>0</v>
      </c>
      <c r="I71" s="50">
        <f>SUMIF(ShipToDubai!C:C, B71, ShipToDubai!F:F) - (SUMIFS(Stock_Transactions!D:D, Stock_Transactions!B:B, B71, Stock_Transactions!D:D, "&lt;0") * -1)</f>
        <v>0</v>
      </c>
      <c r="J71" s="38">
        <f>SUMIF(ShipToDubai!C:C, B71, ShipToDubai!G:G)</f>
        <v>0</v>
      </c>
      <c r="N71" s="94"/>
    </row>
    <row r="72" spans="1:14" x14ac:dyDescent="0.3">
      <c r="A72" s="19">
        <f t="shared" si="8"/>
        <v>70</v>
      </c>
      <c r="B72" s="93" t="s">
        <v>689</v>
      </c>
      <c r="C72" s="37">
        <f>SUMIFS(Stock_Transactions!D:D, Stock_Transactions!B:B, B72, Stock_Transactions!D:D, "&gt;0")</f>
        <v>2</v>
      </c>
      <c r="D72" s="37">
        <f>SUMIFS(Stock_Transactions!D:D, Stock_Transactions!B:B, B72, Stock_Transactions!D:D, "&lt;0") * -1</f>
        <v>2</v>
      </c>
      <c r="E72" s="80">
        <f t="shared" si="6"/>
        <v>0</v>
      </c>
      <c r="F72" s="48">
        <f t="shared" si="7"/>
        <v>0</v>
      </c>
      <c r="G72" s="48">
        <f>SUMIF(Pending_Stock!C:C, B72, Pending_Stock!F:F)</f>
        <v>0</v>
      </c>
      <c r="H72" s="49">
        <f>SUMIF(Pending_Stock!I:I, B72, Pending_Stock!L:L)</f>
        <v>0</v>
      </c>
      <c r="I72" s="50">
        <f>SUMIF(ShipToDubai!C:C, B72, ShipToDubai!F:F) - (SUMIFS(Stock_Transactions!D:D, Stock_Transactions!B:B, B72, Stock_Transactions!D:D, "&lt;0") * -1)</f>
        <v>0</v>
      </c>
      <c r="J72" s="38">
        <f>SUMIF(ShipToDubai!C:C, B72, ShipToDubai!G:G)</f>
        <v>0</v>
      </c>
    </row>
    <row r="73" spans="1:14" x14ac:dyDescent="0.3">
      <c r="A73" s="19">
        <f t="shared" si="8"/>
        <v>71</v>
      </c>
      <c r="B73" s="93" t="s">
        <v>690</v>
      </c>
      <c r="C73" s="37">
        <f>SUMIFS(Stock_Transactions!D:D, Stock_Transactions!B:B, B73, Stock_Transactions!D:D, "&gt;0")</f>
        <v>146</v>
      </c>
      <c r="D73" s="37">
        <f>SUMIFS(Stock_Transactions!D:D, Stock_Transactions!B:B, B73, Stock_Transactions!D:D, "&lt;0") * -1</f>
        <v>69</v>
      </c>
      <c r="E73" s="80">
        <f t="shared" si="6"/>
        <v>77</v>
      </c>
      <c r="F73" s="48">
        <f t="shared" si="7"/>
        <v>21</v>
      </c>
      <c r="G73" s="48">
        <f>SUMIF(Pending_Stock!C:C, B73, Pending_Stock!F:F)</f>
        <v>0</v>
      </c>
      <c r="H73" s="49">
        <f>SUMIF(Pending_Stock!I:I, B73, Pending_Stock!L:L)</f>
        <v>39</v>
      </c>
      <c r="I73" s="50">
        <f>SUMIF(ShipToDubai!C:C, B73, ShipToDubai!F:F) - (SUMIFS(Stock_Transactions!D:D, Stock_Transactions!B:B, B73, Stock_Transactions!D:D, "&lt;0") * -1)</f>
        <v>17</v>
      </c>
      <c r="J73" s="38">
        <f>SUMIF(ShipToDubai!C:C, B73, ShipToDubai!G:G)</f>
        <v>0</v>
      </c>
      <c r="L73" t="s">
        <v>305</v>
      </c>
    </row>
    <row r="74" spans="1:14" x14ac:dyDescent="0.4">
      <c r="A74" s="19">
        <f t="shared" si="8"/>
        <v>72</v>
      </c>
      <c r="B74" s="94" t="s">
        <v>818</v>
      </c>
      <c r="C74" s="37">
        <f>SUMIFS(Stock_Transactions!D:D, Stock_Transactions!B:B, B74, Stock_Transactions!D:D, "&gt;0")</f>
        <v>1</v>
      </c>
      <c r="D74" s="37">
        <f>SUMIFS(Stock_Transactions!D:D, Stock_Transactions!B:B, B74, Stock_Transactions!D:D, "&lt;0") * -1</f>
        <v>0</v>
      </c>
      <c r="E74" s="80">
        <f t="shared" si="6"/>
        <v>1</v>
      </c>
      <c r="F74" s="48">
        <f t="shared" si="7"/>
        <v>0</v>
      </c>
      <c r="G74" s="48">
        <f>SUMIF(Pending_Stock!C:C, B74, Pending_Stock!F:F)</f>
        <v>0</v>
      </c>
      <c r="H74" s="49">
        <f>SUMIF(Pending_Stock!I:I, B74, Pending_Stock!L:L)</f>
        <v>0</v>
      </c>
      <c r="I74" s="50">
        <f>SUMIF(ShipToDubai!C:C, B74, ShipToDubai!F:F) - (SUMIFS(Stock_Transactions!D:D, Stock_Transactions!B:B, B74, Stock_Transactions!D:D, "&lt;0") * -1)</f>
        <v>1</v>
      </c>
      <c r="J74" s="38">
        <f>SUMIF(ShipToDubai!C:C, B74, ShipToDubai!G:G)</f>
        <v>0</v>
      </c>
      <c r="L74" t="s">
        <v>305</v>
      </c>
    </row>
    <row r="75" spans="1:14" x14ac:dyDescent="0.3">
      <c r="A75" s="19">
        <f t="shared" si="8"/>
        <v>73</v>
      </c>
      <c r="B75" s="93" t="s">
        <v>681</v>
      </c>
      <c r="C75" s="37">
        <f>SUMIFS(Stock_Transactions!D:D, Stock_Transactions!B:B, B75, Stock_Transactions!D:D, "&gt;0")</f>
        <v>134</v>
      </c>
      <c r="D75" s="37">
        <f>SUMIFS(Stock_Transactions!D:D, Stock_Transactions!B:B, B75, Stock_Transactions!D:D, "&lt;0") * -1</f>
        <v>134</v>
      </c>
      <c r="E75" s="80">
        <f t="shared" si="6"/>
        <v>0</v>
      </c>
      <c r="F75" s="48">
        <f t="shared" si="7"/>
        <v>0</v>
      </c>
      <c r="G75" s="48">
        <f>SUMIF(Pending_Stock!C:C, B75, Pending_Stock!F:F)</f>
        <v>0</v>
      </c>
      <c r="H75" s="49">
        <f>SUMIF(Pending_Stock!I:I, B75, Pending_Stock!L:L)</f>
        <v>0</v>
      </c>
      <c r="I75" s="50">
        <f>SUMIF(ShipToDubai!C:C, B75, ShipToDubai!F:F) - (SUMIFS(Stock_Transactions!D:D, Stock_Transactions!B:B, B75, Stock_Transactions!D:D, "&lt;0") * -1)</f>
        <v>0</v>
      </c>
      <c r="J75" s="38">
        <f>SUMIF(ShipToDubai!C:C, B75, ShipToDubai!G:G)</f>
        <v>0</v>
      </c>
    </row>
    <row r="76" spans="1:14" x14ac:dyDescent="0.4">
      <c r="A76" s="19">
        <f t="shared" si="8"/>
        <v>74</v>
      </c>
      <c r="B76" s="103" t="s">
        <v>692</v>
      </c>
      <c r="C76" s="37">
        <f>SUMIFS(Stock_Transactions!D:D, Stock_Transactions!B:B, B76, Stock_Transactions!D:D, "&gt;0")</f>
        <v>2</v>
      </c>
      <c r="D76" s="37">
        <f>SUMIFS(Stock_Transactions!D:D, Stock_Transactions!B:B, B76, Stock_Transactions!D:D, "&lt;0") * -1</f>
        <v>0</v>
      </c>
      <c r="E76" s="80">
        <f t="shared" si="6"/>
        <v>2</v>
      </c>
      <c r="F76" s="48">
        <f t="shared" si="7"/>
        <v>0</v>
      </c>
      <c r="G76" s="48">
        <f>SUMIF(Pending_Stock!C:C, B76, Pending_Stock!F:F)</f>
        <v>0</v>
      </c>
      <c r="H76" s="49">
        <f>SUMIF(Pending_Stock!I:I, B76, Pending_Stock!L:L)</f>
        <v>0</v>
      </c>
      <c r="I76" s="50">
        <f>SUMIF(ShipToDubai!C:C, B76, ShipToDubai!F:F) - (SUMIFS(Stock_Transactions!D:D, Stock_Transactions!B:B, B76, Stock_Transactions!D:D, "&lt;0") * -1)</f>
        <v>2</v>
      </c>
      <c r="J76" s="38">
        <f>SUMIF(ShipToDubai!C:C, B76, ShipToDubai!G:G)</f>
        <v>0</v>
      </c>
    </row>
    <row r="77" spans="1:14" x14ac:dyDescent="0.4">
      <c r="A77" s="19">
        <f t="shared" si="8"/>
        <v>75</v>
      </c>
      <c r="B77" s="103" t="s">
        <v>700</v>
      </c>
      <c r="C77" s="37">
        <f>SUMIFS(Stock_Transactions!D:D, Stock_Transactions!B:B, B77, Stock_Transactions!D:D, "&gt;0")</f>
        <v>11</v>
      </c>
      <c r="D77" s="37">
        <f>SUMIFS(Stock_Transactions!D:D, Stock_Transactions!B:B, B77, Stock_Transactions!D:D, "&lt;0") * -1</f>
        <v>11</v>
      </c>
      <c r="E77" s="80">
        <f t="shared" si="6"/>
        <v>0</v>
      </c>
      <c r="F77" s="48">
        <f t="shared" si="7"/>
        <v>0</v>
      </c>
      <c r="G77" s="48">
        <f>SUMIF(Pending_Stock!C:C, B77, Pending_Stock!F:F)</f>
        <v>0</v>
      </c>
      <c r="H77" s="49">
        <f>SUMIF(Pending_Stock!I:I, B77, Pending_Stock!L:L)</f>
        <v>0</v>
      </c>
      <c r="I77" s="50">
        <f>SUMIF(ShipToDubai!C:C, B77, ShipToDubai!F:F) - (SUMIFS(Stock_Transactions!D:D, Stock_Transactions!B:B, B77, Stock_Transactions!D:D, "&lt;0") * -1)</f>
        <v>0</v>
      </c>
      <c r="J77" s="38">
        <f>SUMIF(ShipToDubai!C:C, B77, ShipToDubai!G:G)</f>
        <v>0</v>
      </c>
    </row>
    <row r="78" spans="1:14" x14ac:dyDescent="0.3">
      <c r="A78" s="19">
        <f t="shared" si="8"/>
        <v>76</v>
      </c>
      <c r="B78" s="93" t="s">
        <v>810</v>
      </c>
      <c r="C78" s="37">
        <f>SUMIFS(Stock_Transactions!D:D, Stock_Transactions!B:B, B78, Stock_Transactions!D:D, "&gt;0")</f>
        <v>26</v>
      </c>
      <c r="D78" s="37">
        <f>SUMIFS(Stock_Transactions!D:D, Stock_Transactions!B:B, B78, Stock_Transactions!D:D, "&lt;0") * -1</f>
        <v>14</v>
      </c>
      <c r="E78" s="80">
        <f t="shared" si="6"/>
        <v>12</v>
      </c>
      <c r="F78" s="48">
        <f t="shared" si="7"/>
        <v>12</v>
      </c>
      <c r="G78" s="48">
        <f>SUMIF(Pending_Stock!C:C, B78, Pending_Stock!F:F)</f>
        <v>0</v>
      </c>
      <c r="H78" s="49">
        <f>SUMIF(Pending_Stock!I:I, B78, Pending_Stock!L:L)</f>
        <v>0</v>
      </c>
      <c r="I78" s="50">
        <f>SUMIF(ShipToDubai!C:C, B78, ShipToDubai!F:F) - (SUMIFS(Stock_Transactions!D:D, Stock_Transactions!B:B, B78, Stock_Transactions!D:D, "&lt;0") * -1)</f>
        <v>0</v>
      </c>
      <c r="J78" s="38">
        <f>SUMIF(ShipToDubai!C:C, B78, ShipToDubai!G:G)</f>
        <v>0</v>
      </c>
      <c r="L78" t="s">
        <v>305</v>
      </c>
    </row>
    <row r="79" spans="1:14" x14ac:dyDescent="0.3">
      <c r="A79" s="19">
        <f t="shared" si="8"/>
        <v>77</v>
      </c>
      <c r="B79" s="93" t="s">
        <v>691</v>
      </c>
      <c r="C79" s="37">
        <f>SUMIFS(Stock_Transactions!D:D, Stock_Transactions!B:B, B79, Stock_Transactions!D:D, "&gt;0")</f>
        <v>23</v>
      </c>
      <c r="D79" s="37">
        <f>SUMIFS(Stock_Transactions!D:D, Stock_Transactions!B:B, B79, Stock_Transactions!D:D, "&lt;0") * -1</f>
        <v>9</v>
      </c>
      <c r="E79" s="80">
        <f t="shared" si="6"/>
        <v>14</v>
      </c>
      <c r="F79" s="48">
        <f t="shared" si="7"/>
        <v>6</v>
      </c>
      <c r="G79" s="48">
        <f>SUMIF(Pending_Stock!C:C, B79, Pending_Stock!F:F)</f>
        <v>0</v>
      </c>
      <c r="H79" s="49">
        <f>SUMIF(Pending_Stock!I:I, B79, Pending_Stock!L:L)</f>
        <v>0</v>
      </c>
      <c r="I79" s="50">
        <f>SUMIF(ShipToDubai!C:C, B79, ShipToDubai!F:F) - (SUMIFS(Stock_Transactions!D:D, Stock_Transactions!B:B, B79, Stock_Transactions!D:D, "&lt;0") * -1)</f>
        <v>8</v>
      </c>
      <c r="J79" s="38">
        <f>SUMIF(ShipToDubai!C:C, B79, ShipToDubai!G:G)</f>
        <v>0</v>
      </c>
    </row>
    <row r="80" spans="1:14" x14ac:dyDescent="0.4">
      <c r="A80" s="19">
        <f t="shared" si="8"/>
        <v>78</v>
      </c>
      <c r="B80" s="94" t="s">
        <v>827</v>
      </c>
      <c r="C80" s="37">
        <f>SUMIFS(Stock_Transactions!D:D, Stock_Transactions!B:B, B80, Stock_Transactions!D:D, "&gt;0")</f>
        <v>2</v>
      </c>
      <c r="D80" s="37">
        <f>SUMIFS(Stock_Transactions!D:D, Stock_Transactions!B:B, B80, Stock_Transactions!D:D, "&lt;0") * -1</f>
        <v>2</v>
      </c>
      <c r="E80" s="80">
        <f t="shared" si="6"/>
        <v>0</v>
      </c>
      <c r="F80" s="48">
        <f t="shared" si="7"/>
        <v>0</v>
      </c>
      <c r="G80" s="48">
        <f>SUMIF(Pending_Stock!C:C, B80, Pending_Stock!F:F)</f>
        <v>0</v>
      </c>
      <c r="H80" s="49">
        <f>SUMIF(Pending_Stock!I:I, B80, Pending_Stock!L:L)</f>
        <v>0</v>
      </c>
      <c r="I80" s="50">
        <f>SUMIF(ShipToDubai!C:C, B80, ShipToDubai!F:F) - (SUMIFS(Stock_Transactions!D:D, Stock_Transactions!B:B, B80, Stock_Transactions!D:D, "&lt;0") * -1)</f>
        <v>0</v>
      </c>
      <c r="J80" s="38">
        <f>SUMIF(ShipToDubai!C:C, B80, ShipToDubai!G:G)</f>
        <v>0</v>
      </c>
    </row>
    <row r="81" spans="1:12" x14ac:dyDescent="0.4">
      <c r="A81" s="19">
        <f t="shared" si="8"/>
        <v>79</v>
      </c>
      <c r="B81" s="94" t="s">
        <v>828</v>
      </c>
      <c r="C81" s="37">
        <f>SUMIFS(Stock_Transactions!D:D, Stock_Transactions!B:B, B81, Stock_Transactions!D:D, "&gt;0")</f>
        <v>159</v>
      </c>
      <c r="D81" s="37">
        <f>SUMIFS(Stock_Transactions!D:D, Stock_Transactions!B:B, B81, Stock_Transactions!D:D, "&lt;0") * -1</f>
        <v>157</v>
      </c>
      <c r="E81" s="80">
        <f t="shared" si="6"/>
        <v>2</v>
      </c>
      <c r="F81" s="48">
        <f t="shared" si="7"/>
        <v>0</v>
      </c>
      <c r="G81" s="48">
        <f>SUMIF(Pending_Stock!C:C, B81, Pending_Stock!F:F)</f>
        <v>0</v>
      </c>
      <c r="H81" s="49">
        <f>SUMIF(Pending_Stock!I:I, B81, Pending_Stock!L:L)</f>
        <v>0</v>
      </c>
      <c r="I81" s="50">
        <f>SUMIF(ShipToDubai!C:C, B81, ShipToDubai!F:F) - (SUMIFS(Stock_Transactions!D:D, Stock_Transactions!B:B, B81, Stock_Transactions!D:D, "&lt;0") * -1)</f>
        <v>2</v>
      </c>
      <c r="J81" s="38">
        <f>SUMIF(ShipToDubai!C:C, B81, ShipToDubai!G:G)</f>
        <v>0</v>
      </c>
    </row>
    <row r="82" spans="1:12" x14ac:dyDescent="0.4">
      <c r="A82" s="19">
        <f t="shared" si="8"/>
        <v>80</v>
      </c>
      <c r="B82" s="94" t="s">
        <v>829</v>
      </c>
      <c r="C82" s="37">
        <f>SUMIFS(Stock_Transactions!D:D, Stock_Transactions!B:B, B82, Stock_Transactions!D:D, "&gt;0")</f>
        <v>91</v>
      </c>
      <c r="D82" s="37">
        <f>SUMIFS(Stock_Transactions!D:D, Stock_Transactions!B:B, B82, Stock_Transactions!D:D, "&lt;0") * -1</f>
        <v>88</v>
      </c>
      <c r="E82" s="80">
        <f t="shared" si="6"/>
        <v>3</v>
      </c>
      <c r="F82" s="48">
        <f t="shared" si="7"/>
        <v>0</v>
      </c>
      <c r="G82" s="48">
        <f>SUMIF(Pending_Stock!C:C, B82, Pending_Stock!F:F)</f>
        <v>0</v>
      </c>
      <c r="H82" s="49">
        <f>SUMIF(Pending_Stock!I:I, B82, Pending_Stock!L:L)</f>
        <v>0</v>
      </c>
      <c r="I82" s="50">
        <f>SUMIF(ShipToDubai!C:C, B82, ShipToDubai!F:F) - (SUMIFS(Stock_Transactions!D:D, Stock_Transactions!B:B, B82, Stock_Transactions!D:D, "&lt;0") * -1)</f>
        <v>3</v>
      </c>
      <c r="J82" s="38">
        <f>SUMIF(ShipToDubai!C:C, B82, ShipToDubai!G:G)</f>
        <v>0</v>
      </c>
    </row>
    <row r="83" spans="1:12" x14ac:dyDescent="0.4">
      <c r="A83" s="19">
        <f t="shared" si="8"/>
        <v>81</v>
      </c>
      <c r="B83" s="94" t="s">
        <v>830</v>
      </c>
      <c r="C83" s="37">
        <f>SUMIFS(Stock_Transactions!D:D, Stock_Transactions!B:B, B83, Stock_Transactions!D:D, "&gt;0")</f>
        <v>74</v>
      </c>
      <c r="D83" s="37">
        <f>SUMIFS(Stock_Transactions!D:D, Stock_Transactions!B:B, B83, Stock_Transactions!D:D, "&lt;0") * -1</f>
        <v>74</v>
      </c>
      <c r="E83" s="80">
        <f t="shared" si="6"/>
        <v>0</v>
      </c>
      <c r="F83" s="48">
        <f t="shared" si="7"/>
        <v>0</v>
      </c>
      <c r="G83" s="48">
        <f>SUMIF(Pending_Stock!C:C, B83, Pending_Stock!F:F)</f>
        <v>0</v>
      </c>
      <c r="H83" s="49">
        <f>SUMIF(Pending_Stock!I:I, B83, Pending_Stock!L:L)</f>
        <v>0</v>
      </c>
      <c r="I83" s="50">
        <f>SUMIF(ShipToDubai!C:C, B83, ShipToDubai!F:F) - (SUMIFS(Stock_Transactions!D:D, Stock_Transactions!B:B, B83, Stock_Transactions!D:D, "&lt;0") * -1)</f>
        <v>0</v>
      </c>
      <c r="J83" s="38">
        <f>SUMIF(ShipToDubai!C:C, B83, ShipToDubai!G:G)</f>
        <v>0</v>
      </c>
    </row>
    <row r="84" spans="1:12" x14ac:dyDescent="0.4">
      <c r="A84" s="19">
        <f t="shared" si="8"/>
        <v>82</v>
      </c>
      <c r="B84" s="94" t="s">
        <v>860</v>
      </c>
      <c r="C84" s="37">
        <f>SUMIFS(Stock_Transactions!D:D, Stock_Transactions!B:B, B84, Stock_Transactions!D:D, "&gt;0")</f>
        <v>15</v>
      </c>
      <c r="D84" s="37">
        <f>SUMIFS(Stock_Transactions!D:D, Stock_Transactions!B:B, B84, Stock_Transactions!D:D, "&lt;0") * -1</f>
        <v>14</v>
      </c>
      <c r="E84" s="80">
        <f t="shared" si="6"/>
        <v>1</v>
      </c>
      <c r="F84" s="48">
        <f t="shared" si="7"/>
        <v>1</v>
      </c>
      <c r="G84" s="48">
        <f>SUMIF(Pending_Stock!C:C, B84, Pending_Stock!F:F)</f>
        <v>0</v>
      </c>
      <c r="H84" s="49">
        <f>SUMIF(Pending_Stock!I:I, B84, Pending_Stock!L:L)</f>
        <v>0</v>
      </c>
      <c r="I84" s="50">
        <f>SUMIF(ShipToDubai!C:C, B84, ShipToDubai!F:F) - (SUMIFS(Stock_Transactions!D:D, Stock_Transactions!B:B, B84, Stock_Transactions!D:D, "&lt;0") * -1)</f>
        <v>0</v>
      </c>
      <c r="J84" s="38">
        <f>SUMIF(ShipToDubai!C:C, B84, ShipToDubai!G:G)</f>
        <v>0</v>
      </c>
    </row>
    <row r="85" spans="1:12" x14ac:dyDescent="0.4">
      <c r="A85" s="19">
        <f t="shared" si="8"/>
        <v>83</v>
      </c>
      <c r="B85" s="94" t="s">
        <v>861</v>
      </c>
      <c r="C85" s="37">
        <f>SUMIFS(Stock_Transactions!D:D, Stock_Transactions!B:B, B85, Stock_Transactions!D:D, "&gt;0")</f>
        <v>25</v>
      </c>
      <c r="D85" s="37">
        <f>SUMIFS(Stock_Transactions!D:D, Stock_Transactions!B:B, B85, Stock_Transactions!D:D, "&lt;0") * -1</f>
        <v>15</v>
      </c>
      <c r="E85" s="80">
        <f t="shared" si="6"/>
        <v>10</v>
      </c>
      <c r="F85" s="48">
        <f t="shared" si="7"/>
        <v>7</v>
      </c>
      <c r="G85" s="48">
        <f>SUMIF(Pending_Stock!C:C, B85, Pending_Stock!F:F)</f>
        <v>0</v>
      </c>
      <c r="H85" s="49">
        <f>SUMIF(Pending_Stock!I:I, B85, Pending_Stock!L:L)</f>
        <v>0</v>
      </c>
      <c r="I85" s="50">
        <f>SUMIF(ShipToDubai!C:C, B85, ShipToDubai!F:F) - (SUMIFS(Stock_Transactions!D:D, Stock_Transactions!B:B, B85, Stock_Transactions!D:D, "&lt;0") * -1)</f>
        <v>3</v>
      </c>
      <c r="J85" s="38">
        <f>SUMIF(ShipToDubai!C:C, B85, ShipToDubai!G:G)</f>
        <v>0</v>
      </c>
    </row>
    <row r="86" spans="1:12" x14ac:dyDescent="0.4">
      <c r="A86" s="19">
        <f t="shared" si="8"/>
        <v>84</v>
      </c>
      <c r="B86" s="94" t="s">
        <v>862</v>
      </c>
      <c r="C86" s="37">
        <f>SUMIFS(Stock_Transactions!D:D, Stock_Transactions!B:B, B86, Stock_Transactions!D:D, "&gt;0")</f>
        <v>6</v>
      </c>
      <c r="D86" s="37">
        <f>SUMIFS(Stock_Transactions!D:D, Stock_Transactions!B:B, B86, Stock_Transactions!D:D, "&lt;0") * -1</f>
        <v>6</v>
      </c>
      <c r="E86" s="80">
        <f t="shared" si="6"/>
        <v>0</v>
      </c>
      <c r="F86" s="48">
        <f t="shared" si="7"/>
        <v>0</v>
      </c>
      <c r="G86" s="48">
        <f>SUMIF(Pending_Stock!C:C, B86, Pending_Stock!F:F)</f>
        <v>0</v>
      </c>
      <c r="H86" s="49">
        <f>SUMIF(Pending_Stock!I:I, B86, Pending_Stock!L:L)</f>
        <v>0</v>
      </c>
      <c r="I86" s="50">
        <f>SUMIF(ShipToDubai!C:C, B86, ShipToDubai!F:F) - (SUMIFS(Stock_Transactions!D:D, Stock_Transactions!B:B, B86, Stock_Transactions!D:D, "&lt;0") * -1)</f>
        <v>0</v>
      </c>
      <c r="J86" s="38">
        <f>SUMIF(ShipToDubai!C:C, B86, ShipToDubai!G:G)</f>
        <v>0</v>
      </c>
      <c r="L86" t="s">
        <v>305</v>
      </c>
    </row>
    <row r="87" spans="1:12" x14ac:dyDescent="0.4">
      <c r="A87" s="19">
        <f t="shared" si="8"/>
        <v>85</v>
      </c>
      <c r="B87" s="94" t="s">
        <v>865</v>
      </c>
      <c r="C87" s="37">
        <f>SUMIFS(Stock_Transactions!D:D, Stock_Transactions!B:B, B87, Stock_Transactions!D:D, "&gt;0")</f>
        <v>5</v>
      </c>
      <c r="D87" s="37">
        <f>SUMIFS(Stock_Transactions!D:D, Stock_Transactions!B:B, B87, Stock_Transactions!D:D, "&lt;0") * -1</f>
        <v>0</v>
      </c>
      <c r="E87" s="80">
        <f t="shared" si="6"/>
        <v>5</v>
      </c>
      <c r="F87" s="48">
        <f t="shared" si="7"/>
        <v>0</v>
      </c>
      <c r="G87" s="48">
        <f>SUMIF(Pending_Stock!C:C, B87, Pending_Stock!F:F)</f>
        <v>0</v>
      </c>
      <c r="H87" s="49">
        <f>SUMIF(Pending_Stock!I:I, B87, Pending_Stock!L:L)</f>
        <v>0</v>
      </c>
      <c r="I87" s="50">
        <f>SUMIF(ShipToDubai!C:C, B87, ShipToDubai!F:F) - (SUMIFS(Stock_Transactions!D:D, Stock_Transactions!B:B, B87, Stock_Transactions!D:D, "&lt;0") * -1)</f>
        <v>5</v>
      </c>
      <c r="J87" s="38">
        <f>SUMIF(ShipToDubai!C:C, B87, ShipToDubai!G:G)</f>
        <v>0</v>
      </c>
      <c r="L87" t="s">
        <v>305</v>
      </c>
    </row>
    <row r="88" spans="1:12" x14ac:dyDescent="0.4">
      <c r="A88" s="19">
        <f t="shared" si="8"/>
        <v>86</v>
      </c>
      <c r="B88" s="340" t="s">
        <v>866</v>
      </c>
      <c r="C88" s="37">
        <f>SUMIFS(Stock_Transactions!D:D, Stock_Transactions!B:B, B88, Stock_Transactions!D:D, "&gt;0")</f>
        <v>5</v>
      </c>
      <c r="D88" s="37">
        <f>SUMIFS(Stock_Transactions!D:D, Stock_Transactions!B:B, B88, Stock_Transactions!D:D, "&lt;0") * -1</f>
        <v>0</v>
      </c>
      <c r="E88" s="80">
        <f t="shared" si="6"/>
        <v>5</v>
      </c>
      <c r="F88" s="48">
        <f t="shared" si="7"/>
        <v>0</v>
      </c>
      <c r="G88" s="48">
        <f>SUMIF(Pending_Stock!C:C, B88, Pending_Stock!F:F)</f>
        <v>0</v>
      </c>
      <c r="H88" s="49">
        <f>SUMIF(Pending_Stock!I:I, B88, Pending_Stock!L:L)</f>
        <v>0</v>
      </c>
      <c r="I88" s="50">
        <f>SUMIF(ShipToDubai!C:C, B88, ShipToDubai!F:F) - (SUMIFS(Stock_Transactions!D:D, Stock_Transactions!B:B, B88, Stock_Transactions!D:D, "&lt;0") * -1)</f>
        <v>5</v>
      </c>
      <c r="J88" s="38">
        <f>SUMIF(ShipToDubai!C:C, B88, ShipToDubai!G:G)</f>
        <v>0</v>
      </c>
      <c r="L88" t="s">
        <v>305</v>
      </c>
    </row>
    <row r="89" spans="1:12" x14ac:dyDescent="0.3">
      <c r="A89" s="338">
        <f t="shared" si="8"/>
        <v>87</v>
      </c>
      <c r="B89" s="85" t="s">
        <v>903</v>
      </c>
      <c r="C89" s="339">
        <f>SUMIFS(Stock_Transactions!D:D, Stock_Transactions!B:B, B89, Stock_Transactions!D:D, "&gt;0")</f>
        <v>86</v>
      </c>
      <c r="D89" s="37">
        <f>SUMIFS(Stock_Transactions!D:D, Stock_Transactions!B:B, B89, Stock_Transactions!D:D, "&lt;0") * -1</f>
        <v>5</v>
      </c>
      <c r="E89" s="80">
        <f t="shared" si="6"/>
        <v>81</v>
      </c>
      <c r="F89" s="48">
        <f t="shared" si="7"/>
        <v>35</v>
      </c>
      <c r="G89" s="48">
        <f>SUMIF(Pending_Stock!C:C, B89, Pending_Stock!F:F)</f>
        <v>20</v>
      </c>
      <c r="H89" s="49">
        <f>SUMIF(Pending_Stock!I:I, B89, Pending_Stock!L:L)</f>
        <v>0</v>
      </c>
      <c r="I89" s="50">
        <f>SUMIF(ShipToDubai!C:C, B89, ShipToDubai!F:F) - (SUMIFS(Stock_Transactions!D:D, Stock_Transactions!B:B, B89, Stock_Transactions!D:D, "&lt;0") * -1)</f>
        <v>26</v>
      </c>
      <c r="J89" s="38">
        <f>SUMIF(ShipToDubai!C:C, B89, ShipToDubai!G:G)</f>
        <v>0</v>
      </c>
      <c r="L89" t="s">
        <v>305</v>
      </c>
    </row>
    <row r="90" spans="1:12" x14ac:dyDescent="0.3">
      <c r="A90" s="338">
        <f t="shared" si="8"/>
        <v>88</v>
      </c>
      <c r="B90" s="93" t="s">
        <v>904</v>
      </c>
      <c r="C90" s="339">
        <f>SUMIFS(Stock_Transactions!D:D, Stock_Transactions!B:B, B90, Stock_Transactions!D:D, "&gt;0")</f>
        <v>54</v>
      </c>
      <c r="D90" s="37">
        <f>SUMIFS(Stock_Transactions!D:D, Stock_Transactions!B:B, B90, Stock_Transactions!D:D, "&lt;0") * -1</f>
        <v>40</v>
      </c>
      <c r="E90" s="80">
        <f t="shared" si="6"/>
        <v>14</v>
      </c>
      <c r="F90" s="48">
        <f t="shared" si="7"/>
        <v>14</v>
      </c>
      <c r="G90" s="48">
        <f>SUMIF(Pending_Stock!C:C, B90, Pending_Stock!F:F)</f>
        <v>0</v>
      </c>
      <c r="H90" s="49">
        <f>SUMIF(Pending_Stock!I:I, B90, Pending_Stock!L:L)</f>
        <v>0</v>
      </c>
      <c r="I90" s="50">
        <f>SUMIF(ShipToDubai!C:C, B90, ShipToDubai!F:F) - (SUMIFS(Stock_Transactions!D:D, Stock_Transactions!B:B, B90, Stock_Transactions!D:D, "&lt;0") * -1)</f>
        <v>0</v>
      </c>
      <c r="J90" s="38">
        <f>SUMIF(ShipToDubai!C:C, B90, ShipToDubai!G:G)</f>
        <v>0</v>
      </c>
      <c r="L90" t="s">
        <v>305</v>
      </c>
    </row>
    <row r="91" spans="1:12" x14ac:dyDescent="0.4">
      <c r="A91" s="338">
        <f t="shared" si="8"/>
        <v>89</v>
      </c>
      <c r="B91" s="94" t="s">
        <v>887</v>
      </c>
      <c r="C91" s="339">
        <f>SUMIFS(Stock_Transactions!D:D, Stock_Transactions!B:B, B91, Stock_Transactions!D:D, "&gt;0")</f>
        <v>15</v>
      </c>
      <c r="D91" s="37">
        <f>SUMIFS(Stock_Transactions!D:D, Stock_Transactions!B:B, B91, Stock_Transactions!D:D, "&lt;0") * -1</f>
        <v>1</v>
      </c>
      <c r="E91" s="80">
        <f t="shared" si="6"/>
        <v>14</v>
      </c>
      <c r="F91" s="48">
        <f t="shared" si="7"/>
        <v>9</v>
      </c>
      <c r="G91" s="48">
        <f>SUMIF(Pending_Stock!C:C, B91, Pending_Stock!F:F)</f>
        <v>0</v>
      </c>
      <c r="H91" s="49">
        <f>SUMIF(Pending_Stock!I:I, B91, Pending_Stock!L:L)</f>
        <v>0</v>
      </c>
      <c r="I91" s="50">
        <f>SUMIF(ShipToDubai!C:C, B91, ShipToDubai!F:F) - (SUMIFS(Stock_Transactions!D:D, Stock_Transactions!B:B, B91, Stock_Transactions!D:D, "&lt;0") * -1)</f>
        <v>5</v>
      </c>
      <c r="J91" s="38">
        <f>SUMIF(ShipToDubai!C:C, B91, ShipToDubai!G:G)</f>
        <v>0</v>
      </c>
    </row>
    <row r="92" spans="1:12" x14ac:dyDescent="0.4">
      <c r="A92" s="338">
        <f t="shared" si="8"/>
        <v>90</v>
      </c>
      <c r="B92" s="345" t="s">
        <v>923</v>
      </c>
      <c r="C92" s="339">
        <f>SUMIFS(Stock_Transactions!D:D, Stock_Transactions!B:B, B92, Stock_Transactions!D:D, "&gt;0")</f>
        <v>2</v>
      </c>
      <c r="D92" s="37">
        <f>SUMIFS(Stock_Transactions!D:D, Stock_Transactions!B:B, B92, Stock_Transactions!D:D, "&lt;0") * -1</f>
        <v>2</v>
      </c>
      <c r="E92" s="80">
        <f t="shared" si="6"/>
        <v>0</v>
      </c>
      <c r="F92" s="48">
        <f t="shared" si="7"/>
        <v>0</v>
      </c>
      <c r="G92" s="48">
        <f>SUMIF(Pending_Stock!C:C, B92, Pending_Stock!F:F)</f>
        <v>0</v>
      </c>
      <c r="H92" s="49">
        <f>SUMIF(Pending_Stock!I:I, B92, Pending_Stock!L:L)</f>
        <v>0</v>
      </c>
      <c r="I92" s="50">
        <f>SUMIF(ShipToDubai!C:C, B92, ShipToDubai!F:F) - (SUMIFS(Stock_Transactions!D:D, Stock_Transactions!B:B, B92, Stock_Transactions!D:D, "&lt;0") * -1)</f>
        <v>0</v>
      </c>
      <c r="J92" s="38">
        <f>SUMIF(ShipToDubai!C:C, B92, ShipToDubai!G:G)</f>
        <v>0</v>
      </c>
    </row>
    <row r="93" spans="1:12" x14ac:dyDescent="0.3">
      <c r="A93" s="338">
        <f t="shared" si="8"/>
        <v>91</v>
      </c>
      <c r="B93" s="85" t="s">
        <v>941</v>
      </c>
      <c r="C93" s="339">
        <f>SUMIFS(Stock_Transactions!D:D, Stock_Transactions!B:B, B93, Stock_Transactions!D:D, "&gt;0")</f>
        <v>50</v>
      </c>
      <c r="D93" s="37">
        <f>SUMIFS(Stock_Transactions!D:D, Stock_Transactions!B:B, B93, Stock_Transactions!D:D, "&lt;0") * -1</f>
        <v>50</v>
      </c>
      <c r="E93" s="80">
        <f t="shared" si="6"/>
        <v>0</v>
      </c>
      <c r="F93" s="48">
        <f t="shared" si="7"/>
        <v>0</v>
      </c>
      <c r="G93" s="48">
        <f>SUMIF(Pending_Stock!C:C, B93, Pending_Stock!F:F)</f>
        <v>0</v>
      </c>
      <c r="H93" s="49">
        <f>SUMIF(Pending_Stock!I:I, B93, Pending_Stock!L:L)</f>
        <v>0</v>
      </c>
      <c r="I93" s="50">
        <f>SUMIF(ShipToDubai!C:C, B93, ShipToDubai!F:F) - (SUMIFS(Stock_Transactions!D:D, Stock_Transactions!B:B, B93, Stock_Transactions!D:D, "&lt;0") * -1)</f>
        <v>0</v>
      </c>
      <c r="J93" s="38">
        <f>SUMIF(ShipToDubai!C:C, B93, ShipToDubai!G:G)</f>
        <v>0</v>
      </c>
      <c r="L93" t="s">
        <v>305</v>
      </c>
    </row>
    <row r="94" spans="1:12" x14ac:dyDescent="0.3">
      <c r="A94" s="338">
        <f t="shared" si="8"/>
        <v>92</v>
      </c>
      <c r="B94" s="85" t="s">
        <v>945</v>
      </c>
      <c r="C94" s="339">
        <f>SUMIFS(Stock_Transactions!D:D, Stock_Transactions!B:B, B94, Stock_Transactions!D:D, "&gt;0")</f>
        <v>12</v>
      </c>
      <c r="D94" s="37">
        <f>SUMIFS(Stock_Transactions!D:D, Stock_Transactions!B:B, B94, Stock_Transactions!D:D, "&lt;0") * -1</f>
        <v>13</v>
      </c>
      <c r="E94" s="80">
        <f t="shared" si="6"/>
        <v>-1</v>
      </c>
      <c r="F94" s="48">
        <f t="shared" si="7"/>
        <v>0</v>
      </c>
      <c r="G94" s="48">
        <f>SUMIF(Pending_Stock!C:C, B94, Pending_Stock!F:F)</f>
        <v>0</v>
      </c>
      <c r="H94" s="49">
        <f>SUMIF(Pending_Stock!I:I, B94, Pending_Stock!L:L)</f>
        <v>0</v>
      </c>
      <c r="I94" s="50">
        <f>SUMIF(ShipToDubai!C:C, B94, ShipToDubai!F:F) - (SUMIFS(Stock_Transactions!D:D, Stock_Transactions!B:B, B94, Stock_Transactions!D:D, "&lt;0") * -1)</f>
        <v>-1</v>
      </c>
      <c r="J94" s="38">
        <f>SUMIF(ShipToDubai!C:C, B94, ShipToDubai!G:G)</f>
        <v>0</v>
      </c>
    </row>
    <row r="95" spans="1:12" x14ac:dyDescent="0.3">
      <c r="A95" s="338">
        <f t="shared" si="8"/>
        <v>93</v>
      </c>
      <c r="B95" s="85" t="s">
        <v>948</v>
      </c>
      <c r="C95" s="339">
        <f>SUMIFS(Stock_Transactions!D:D, Stock_Transactions!B:B, B95, Stock_Transactions!D:D, "&gt;0")</f>
        <v>4</v>
      </c>
      <c r="D95" s="37">
        <f>SUMIFS(Stock_Transactions!D:D, Stock_Transactions!B:B, B95, Stock_Transactions!D:D, "&lt;0") * -1</f>
        <v>4</v>
      </c>
      <c r="E95" s="80">
        <f t="shared" si="6"/>
        <v>0</v>
      </c>
      <c r="F95" s="48">
        <f t="shared" si="7"/>
        <v>0</v>
      </c>
      <c r="G95" s="48">
        <f>SUMIF(Pending_Stock!C:C, B95, Pending_Stock!F:F)</f>
        <v>0</v>
      </c>
      <c r="H95" s="49">
        <f>SUMIF(Pending_Stock!I:I, B95, Pending_Stock!L:L)</f>
        <v>0</v>
      </c>
      <c r="I95" s="50">
        <f>SUMIF(ShipToDubai!C:C, B95, ShipToDubai!F:F) - (SUMIFS(Stock_Transactions!D:D, Stock_Transactions!B:B, B95, Stock_Transactions!D:D, "&lt;0") * -1)</f>
        <v>0</v>
      </c>
      <c r="J95" s="38">
        <f>SUMIF(ShipToDubai!C:C, B95, ShipToDubai!G:G)</f>
        <v>0</v>
      </c>
      <c r="L95" t="s">
        <v>305</v>
      </c>
    </row>
    <row r="96" spans="1:12" x14ac:dyDescent="0.3">
      <c r="A96" s="338">
        <f t="shared" si="8"/>
        <v>94</v>
      </c>
      <c r="B96" s="147" t="s">
        <v>947</v>
      </c>
      <c r="C96" s="339">
        <f>SUMIFS(Stock_Transactions!D:D, Stock_Transactions!B:B, B96, Stock_Transactions!D:D, "&gt;0")</f>
        <v>1</v>
      </c>
      <c r="D96" s="37">
        <f>SUMIFS(Stock_Transactions!D:D, Stock_Transactions!B:B, B96, Stock_Transactions!D:D, "&lt;0") * -1</f>
        <v>1</v>
      </c>
      <c r="E96" s="80">
        <f t="shared" si="6"/>
        <v>0</v>
      </c>
      <c r="F96" s="48">
        <f t="shared" si="7"/>
        <v>0</v>
      </c>
      <c r="G96" s="48">
        <f>SUMIF(Pending_Stock!C:C, B96, Pending_Stock!F:F)</f>
        <v>0</v>
      </c>
      <c r="H96" s="49">
        <f>SUMIF(Pending_Stock!I:I, B96, Pending_Stock!L:L)</f>
        <v>0</v>
      </c>
      <c r="I96" s="50">
        <f>SUMIF(ShipToDubai!C:C, B96, ShipToDubai!F:F) - (SUMIFS(Stock_Transactions!D:D, Stock_Transactions!B:B, B96, Stock_Transactions!D:D, "&lt;0") * -1)</f>
        <v>0</v>
      </c>
      <c r="J96" s="38">
        <f>SUMIF(ShipToDubai!C:C, B96, ShipToDubai!G:G)</f>
        <v>0</v>
      </c>
    </row>
    <row r="97" spans="1:12" x14ac:dyDescent="0.3">
      <c r="A97" s="338">
        <f t="shared" si="8"/>
        <v>95</v>
      </c>
      <c r="B97" s="85" t="s">
        <v>137</v>
      </c>
      <c r="C97" s="339">
        <f>SUMIFS(Stock_Transactions!D:D, Stock_Transactions!B:B, B97, Stock_Transactions!D:D, "&gt;0")</f>
        <v>11</v>
      </c>
      <c r="D97" s="37">
        <f>SUMIFS(Stock_Transactions!D:D, Stock_Transactions!B:B, B97, Stock_Transactions!D:D, "&lt;0") * -1</f>
        <v>11</v>
      </c>
      <c r="E97" s="80">
        <f t="shared" si="6"/>
        <v>0</v>
      </c>
      <c r="F97" s="48">
        <f t="shared" si="7"/>
        <v>0</v>
      </c>
      <c r="G97" s="48">
        <f>SUMIF(Pending_Stock!C:C, B97, Pending_Stock!F:F)</f>
        <v>0</v>
      </c>
      <c r="H97" s="49">
        <f>SUMIF(Pending_Stock!I:I, B97, Pending_Stock!L:L)</f>
        <v>0</v>
      </c>
      <c r="I97" s="50">
        <f>SUMIF(ShipToDubai!C:C, B97, ShipToDubai!F:F) - (SUMIFS(Stock_Transactions!D:D, Stock_Transactions!B:B, B97, Stock_Transactions!D:D, "&lt;0") * -1)</f>
        <v>0</v>
      </c>
      <c r="J97" s="38">
        <f>SUMIF(ShipToDubai!C:C, B97, ShipToDubai!G:G)</f>
        <v>0</v>
      </c>
      <c r="L97" t="s">
        <v>305</v>
      </c>
    </row>
    <row r="98" spans="1:12" x14ac:dyDescent="0.4">
      <c r="A98" s="338">
        <f t="shared" si="8"/>
        <v>96</v>
      </c>
      <c r="B98" s="94" t="s">
        <v>942</v>
      </c>
      <c r="C98" s="339">
        <f>SUMIFS(Stock_Transactions!D:D, Stock_Transactions!B:B, B98, Stock_Transactions!D:D, "&gt;0")</f>
        <v>55</v>
      </c>
      <c r="D98" s="37">
        <f>SUMIFS(Stock_Transactions!D:D, Stock_Transactions!B:B, B98, Stock_Transactions!D:D, "&lt;0") * -1</f>
        <v>51</v>
      </c>
      <c r="E98" s="80">
        <f t="shared" si="6"/>
        <v>4</v>
      </c>
      <c r="F98" s="48">
        <f t="shared" si="7"/>
        <v>0</v>
      </c>
      <c r="G98" s="48">
        <f>SUMIF(Pending_Stock!C:C, B98, Pending_Stock!F:F)</f>
        <v>0</v>
      </c>
      <c r="H98" s="49">
        <f>SUMIF(Pending_Stock!I:I, B98, Pending_Stock!L:L)</f>
        <v>0</v>
      </c>
      <c r="I98" s="50">
        <f>SUMIF(ShipToDubai!C:C, B98, ShipToDubai!F:F) - (SUMIFS(Stock_Transactions!D:D, Stock_Transactions!B:B, B98, Stock_Transactions!D:D, "&lt;0") * -1)</f>
        <v>4</v>
      </c>
      <c r="J98" s="38">
        <f>SUMIF(ShipToDubai!C:C, B98, ShipToDubai!G:G)</f>
        <v>0</v>
      </c>
      <c r="L98" t="s">
        <v>305</v>
      </c>
    </row>
    <row r="99" spans="1:12" x14ac:dyDescent="0.3">
      <c r="A99" s="338">
        <f t="shared" si="8"/>
        <v>97</v>
      </c>
      <c r="B99" s="85" t="s">
        <v>136</v>
      </c>
      <c r="C99" s="339">
        <f>SUMIFS(Stock_Transactions!D:D, Stock_Transactions!B:B, B99, Stock_Transactions!D:D, "&gt;0")</f>
        <v>305</v>
      </c>
      <c r="D99" s="37">
        <f>SUMIFS(Stock_Transactions!D:D, Stock_Transactions!B:B, B99, Stock_Transactions!D:D, "&lt;0") * -1</f>
        <v>286</v>
      </c>
      <c r="E99" s="80">
        <f t="shared" ref="E99:E118" si="9">C99-D99</f>
        <v>19</v>
      </c>
      <c r="F99" s="48">
        <f t="shared" ref="F99:F118" si="10">E99-G99-H99-I99-J99</f>
        <v>11</v>
      </c>
      <c r="G99" s="48">
        <f>SUMIF(Pending_Stock!C:C, B99, Pending_Stock!F:F)</f>
        <v>0</v>
      </c>
      <c r="H99" s="49">
        <f>SUMIF(Pending_Stock!I:I, B99, Pending_Stock!L:L)</f>
        <v>0</v>
      </c>
      <c r="I99" s="50">
        <f>SUMIF(ShipToDubai!C:C, B99, ShipToDubai!F:F) - (SUMIFS(Stock_Transactions!D:D, Stock_Transactions!B:B, B99, Stock_Transactions!D:D, "&lt;0") * -1)</f>
        <v>8</v>
      </c>
      <c r="J99" s="38">
        <f>SUMIF(ShipToDubai!C:C, B99, ShipToDubai!G:G)</f>
        <v>0</v>
      </c>
    </row>
    <row r="100" spans="1:12" x14ac:dyDescent="0.3">
      <c r="A100" s="338">
        <f t="shared" ref="A100:A140" si="11">A99+1</f>
        <v>98</v>
      </c>
      <c r="B100" s="147" t="s">
        <v>950</v>
      </c>
      <c r="C100" s="339">
        <f>SUMIFS(Stock_Transactions!D:D, Stock_Transactions!B:B, B100, Stock_Transactions!D:D, "&gt;0")</f>
        <v>19</v>
      </c>
      <c r="D100" s="37">
        <f>SUMIFS(Stock_Transactions!D:D, Stock_Transactions!B:B, B100, Stock_Transactions!D:D, "&lt;0") * -1</f>
        <v>20</v>
      </c>
      <c r="E100" s="80">
        <f t="shared" si="9"/>
        <v>-1</v>
      </c>
      <c r="F100" s="48">
        <f t="shared" si="10"/>
        <v>0</v>
      </c>
      <c r="G100" s="48">
        <f>SUMIF(Pending_Stock!C:C, B100, Pending_Stock!F:F)</f>
        <v>0</v>
      </c>
      <c r="H100" s="49">
        <f>SUMIF(Pending_Stock!I:I, B100, Pending_Stock!L:L)</f>
        <v>0</v>
      </c>
      <c r="I100" s="50">
        <f>SUMIF(ShipToDubai!C:C, B100, ShipToDubai!F:F) - (SUMIFS(Stock_Transactions!D:D, Stock_Transactions!B:B, B100, Stock_Transactions!D:D, "&lt;0") * -1)</f>
        <v>-1</v>
      </c>
      <c r="J100" s="38">
        <f>SUMIF(ShipToDubai!C:C, B100, ShipToDubai!G:G)</f>
        <v>0</v>
      </c>
    </row>
    <row r="101" spans="1:12" x14ac:dyDescent="0.4">
      <c r="A101" s="338">
        <f t="shared" si="11"/>
        <v>99</v>
      </c>
      <c r="B101" s="94" t="s">
        <v>951</v>
      </c>
      <c r="C101" s="339">
        <f>SUMIFS(Stock_Transactions!D:D, Stock_Transactions!B:B, B101, Stock_Transactions!D:D, "&gt;0")</f>
        <v>3</v>
      </c>
      <c r="D101" s="37">
        <f>SUMIFS(Stock_Transactions!D:D, Stock_Transactions!B:B, B101, Stock_Transactions!D:D, "&lt;0") * -1</f>
        <v>3</v>
      </c>
      <c r="E101" s="80">
        <f t="shared" si="9"/>
        <v>0</v>
      </c>
      <c r="F101" s="48">
        <f t="shared" si="10"/>
        <v>0</v>
      </c>
      <c r="G101" s="48">
        <f>SUMIF(Pending_Stock!C:C, B101, Pending_Stock!F:F)</f>
        <v>0</v>
      </c>
      <c r="H101" s="49">
        <f>SUMIF(Pending_Stock!I:I, B101, Pending_Stock!L:L)</f>
        <v>0</v>
      </c>
      <c r="I101" s="50">
        <f>SUMIF(ShipToDubai!C:C, B101, ShipToDubai!F:F) - (SUMIFS(Stock_Transactions!D:D, Stock_Transactions!B:B, B101, Stock_Transactions!D:D, "&lt;0") * -1)</f>
        <v>0</v>
      </c>
      <c r="J101" s="38">
        <f>SUMIF(ShipToDubai!C:C, B101, ShipToDubai!G:G)</f>
        <v>0</v>
      </c>
    </row>
    <row r="102" spans="1:12" x14ac:dyDescent="0.4">
      <c r="A102" s="338">
        <f t="shared" si="11"/>
        <v>100</v>
      </c>
      <c r="B102" s="94" t="s">
        <v>169</v>
      </c>
      <c r="C102" s="339">
        <f>SUMIFS(Stock_Transactions!D:D, Stock_Transactions!B:B, B102, Stock_Transactions!D:D, "&gt;0")</f>
        <v>56</v>
      </c>
      <c r="D102" s="37">
        <f>SUMIFS(Stock_Transactions!D:D, Stock_Transactions!B:B, B102, Stock_Transactions!D:D, "&lt;0") * -1</f>
        <v>54</v>
      </c>
      <c r="E102" s="80">
        <f t="shared" si="9"/>
        <v>2</v>
      </c>
      <c r="F102" s="48">
        <f t="shared" si="10"/>
        <v>0</v>
      </c>
      <c r="G102" s="48">
        <f>SUMIF(Pending_Stock!C:C, B102, Pending_Stock!F:F)</f>
        <v>0</v>
      </c>
      <c r="H102" s="49">
        <f>SUMIF(Pending_Stock!I:I, B102, Pending_Stock!L:L)</f>
        <v>0</v>
      </c>
      <c r="I102" s="50">
        <f>SUMIF(ShipToDubai!C:C, B102, ShipToDubai!F:F) - (SUMIFS(Stock_Transactions!D:D, Stock_Transactions!B:B, B102, Stock_Transactions!D:D, "&lt;0") * -1)</f>
        <v>2</v>
      </c>
      <c r="J102" s="38">
        <f>SUMIF(ShipToDubai!C:C, B102, ShipToDubai!G:G)</f>
        <v>0</v>
      </c>
      <c r="L102" t="s">
        <v>1104</v>
      </c>
    </row>
    <row r="103" spans="1:12" x14ac:dyDescent="0.4">
      <c r="A103" s="338">
        <f t="shared" si="11"/>
        <v>101</v>
      </c>
      <c r="B103" s="94" t="s">
        <v>168</v>
      </c>
      <c r="C103" s="339">
        <f>SUMIFS(Stock_Transactions!D:D, Stock_Transactions!B:B, B103, Stock_Transactions!D:D, "&gt;0")</f>
        <v>25</v>
      </c>
      <c r="D103" s="37">
        <f>SUMIFS(Stock_Transactions!D:D, Stock_Transactions!B:B, B103, Stock_Transactions!D:D, "&lt;0") * -1</f>
        <v>24</v>
      </c>
      <c r="E103" s="80">
        <f t="shared" si="9"/>
        <v>1</v>
      </c>
      <c r="F103" s="48">
        <f t="shared" si="10"/>
        <v>0</v>
      </c>
      <c r="G103" s="48">
        <f>SUMIF(Pending_Stock!C:C, B103, Pending_Stock!F:F)</f>
        <v>0</v>
      </c>
      <c r="H103" s="49">
        <f>SUMIF(Pending_Stock!I:I, B103, Pending_Stock!L:L)</f>
        <v>0</v>
      </c>
      <c r="I103" s="50">
        <f>SUMIF(ShipToDubai!C:C, B103, ShipToDubai!F:F) - (SUMIFS(Stock_Transactions!D:D, Stock_Transactions!B:B, B103, Stock_Transactions!D:D, "&lt;0") * -1)</f>
        <v>1</v>
      </c>
      <c r="J103" s="38">
        <f>SUMIF(ShipToDubai!C:C, B103, ShipToDubai!G:G)</f>
        <v>0</v>
      </c>
    </row>
    <row r="104" spans="1:12" x14ac:dyDescent="0.3">
      <c r="A104" s="338">
        <f t="shared" si="11"/>
        <v>102</v>
      </c>
      <c r="B104" s="85" t="s">
        <v>949</v>
      </c>
      <c r="C104" s="339">
        <f>SUMIFS(Stock_Transactions!D:D, Stock_Transactions!B:B, B104, Stock_Transactions!D:D, "&gt;0")</f>
        <v>6</v>
      </c>
      <c r="D104" s="37">
        <f>SUMIFS(Stock_Transactions!D:D, Stock_Transactions!B:B, B104, Stock_Transactions!D:D, "&lt;0") * -1</f>
        <v>6</v>
      </c>
      <c r="E104" s="80">
        <f t="shared" si="9"/>
        <v>0</v>
      </c>
      <c r="F104" s="48">
        <f t="shared" si="10"/>
        <v>0</v>
      </c>
      <c r="G104" s="48">
        <f>SUMIF(Pending_Stock!C:C, B104, Pending_Stock!F:F)</f>
        <v>0</v>
      </c>
      <c r="H104" s="49">
        <f>SUMIF(Pending_Stock!I:I, B104, Pending_Stock!L:L)</f>
        <v>0</v>
      </c>
      <c r="I104" s="50">
        <f>SUMIF(ShipToDubai!C:C, B104, ShipToDubai!F:F) - (SUMIFS(Stock_Transactions!D:D, Stock_Transactions!B:B, B104, Stock_Transactions!D:D, "&lt;0") * -1)</f>
        <v>0</v>
      </c>
      <c r="J104" s="38">
        <f>SUMIF(ShipToDubai!C:C, B104, ShipToDubai!G:G)</f>
        <v>0</v>
      </c>
    </row>
    <row r="105" spans="1:12" x14ac:dyDescent="0.3">
      <c r="A105" s="338">
        <f t="shared" si="11"/>
        <v>103</v>
      </c>
      <c r="B105" s="147" t="s">
        <v>952</v>
      </c>
      <c r="C105" s="339">
        <f>SUMIFS(Stock_Transactions!D:D, Stock_Transactions!B:B, B105, Stock_Transactions!D:D, "&gt;0")</f>
        <v>3</v>
      </c>
      <c r="D105" s="37">
        <f>SUMIFS(Stock_Transactions!D:D, Stock_Transactions!B:B, B105, Stock_Transactions!D:D, "&lt;0") * -1</f>
        <v>2</v>
      </c>
      <c r="E105" s="80">
        <f t="shared" si="9"/>
        <v>1</v>
      </c>
      <c r="F105" s="48">
        <f t="shared" si="10"/>
        <v>0</v>
      </c>
      <c r="G105" s="48">
        <f>SUMIF(Pending_Stock!C:C, B105, Pending_Stock!F:F)</f>
        <v>0</v>
      </c>
      <c r="H105" s="49">
        <f>SUMIF(Pending_Stock!I:I, B105, Pending_Stock!L:L)</f>
        <v>0</v>
      </c>
      <c r="I105" s="50">
        <f>SUMIF(ShipToDubai!C:C, B105, ShipToDubai!F:F) - (SUMIFS(Stock_Transactions!D:D, Stock_Transactions!B:B, B105, Stock_Transactions!D:D, "&lt;0") * -1)</f>
        <v>1</v>
      </c>
      <c r="J105" s="38">
        <f>SUMIF(ShipToDubai!C:C, B105, ShipToDubai!G:G)</f>
        <v>0</v>
      </c>
      <c r="L105" t="s">
        <v>305</v>
      </c>
    </row>
    <row r="106" spans="1:12" x14ac:dyDescent="0.3">
      <c r="A106" s="338">
        <f t="shared" si="11"/>
        <v>104</v>
      </c>
      <c r="B106" s="147" t="s">
        <v>953</v>
      </c>
      <c r="C106" s="339">
        <f>SUMIFS(Stock_Transactions!D:D, Stock_Transactions!B:B, B106, Stock_Transactions!D:D, "&gt;0")</f>
        <v>3</v>
      </c>
      <c r="D106" s="37">
        <f>SUMIFS(Stock_Transactions!D:D, Stock_Transactions!B:B, B106, Stock_Transactions!D:D, "&lt;0") * -1</f>
        <v>3</v>
      </c>
      <c r="E106" s="80">
        <f t="shared" si="9"/>
        <v>0</v>
      </c>
      <c r="F106" s="48">
        <f t="shared" si="10"/>
        <v>0</v>
      </c>
      <c r="G106" s="48">
        <f>SUMIF(Pending_Stock!C:C, B106, Pending_Stock!F:F)</f>
        <v>0</v>
      </c>
      <c r="H106" s="49">
        <f>SUMIF(Pending_Stock!I:I, B106, Pending_Stock!L:L)</f>
        <v>0</v>
      </c>
      <c r="I106" s="50">
        <f>SUMIF(ShipToDubai!C:C, B106, ShipToDubai!F:F) - (SUMIFS(Stock_Transactions!D:D, Stock_Transactions!B:B, B106, Stock_Transactions!D:D, "&lt;0") * -1)</f>
        <v>0</v>
      </c>
      <c r="J106" s="38">
        <f>SUMIF(ShipToDubai!C:C, B106, ShipToDubai!G:G)</f>
        <v>0</v>
      </c>
    </row>
    <row r="107" spans="1:12" x14ac:dyDescent="0.4">
      <c r="A107" s="338">
        <f t="shared" si="11"/>
        <v>105</v>
      </c>
      <c r="B107" s="103" t="s">
        <v>954</v>
      </c>
      <c r="C107" s="339">
        <f>SUMIFS(Stock_Transactions!D:D, Stock_Transactions!B:B, B107, Stock_Transactions!D:D, "&gt;0")</f>
        <v>49</v>
      </c>
      <c r="D107" s="37">
        <f>SUMIFS(Stock_Transactions!D:D, Stock_Transactions!B:B, B107, Stock_Transactions!D:D, "&lt;0") * -1</f>
        <v>50</v>
      </c>
      <c r="E107" s="80">
        <f t="shared" si="9"/>
        <v>-1</v>
      </c>
      <c r="F107" s="48">
        <f t="shared" si="10"/>
        <v>0</v>
      </c>
      <c r="G107" s="48">
        <f>SUMIF(Pending_Stock!C:C, B107, Pending_Stock!F:F)</f>
        <v>0</v>
      </c>
      <c r="H107" s="49">
        <f>SUMIF(Pending_Stock!I:I, B107, Pending_Stock!L:L)</f>
        <v>0</v>
      </c>
      <c r="I107" s="50">
        <f>SUMIF(ShipToDubai!C:C, B107, ShipToDubai!F:F) - (SUMIFS(Stock_Transactions!D:D, Stock_Transactions!B:B, B107, Stock_Transactions!D:D, "&lt;0") * -1)</f>
        <v>-1</v>
      </c>
      <c r="J107" s="38">
        <f>SUMIF(ShipToDubai!C:C, B107, ShipToDubai!G:G)</f>
        <v>0</v>
      </c>
      <c r="L107" t="s">
        <v>1102</v>
      </c>
    </row>
    <row r="108" spans="1:12" x14ac:dyDescent="0.4">
      <c r="A108" s="338">
        <f t="shared" si="11"/>
        <v>106</v>
      </c>
      <c r="B108" s="350" t="s">
        <v>956</v>
      </c>
      <c r="C108" s="339">
        <f>SUMIFS(Stock_Transactions!D:D, Stock_Transactions!B:B, B108, Stock_Transactions!D:D, "&gt;0")</f>
        <v>14</v>
      </c>
      <c r="D108" s="37">
        <f>SUMIFS(Stock_Transactions!D:D, Stock_Transactions!B:B, B108, Stock_Transactions!D:D, "&lt;0") * -1</f>
        <v>2</v>
      </c>
      <c r="E108" s="80">
        <f t="shared" si="9"/>
        <v>12</v>
      </c>
      <c r="F108" s="48">
        <f t="shared" si="10"/>
        <v>11</v>
      </c>
      <c r="G108" s="48">
        <f>SUMIF(Pending_Stock!C:C, B108, Pending_Stock!F:F)</f>
        <v>0</v>
      </c>
      <c r="H108" s="49">
        <f>SUMIF(Pending_Stock!I:I, B108, Pending_Stock!L:L)</f>
        <v>0</v>
      </c>
      <c r="I108" s="50">
        <f>SUMIF(ShipToDubai!C:C, B108, ShipToDubai!F:F) - (SUMIFS(Stock_Transactions!D:D, Stock_Transactions!B:B, B108, Stock_Transactions!D:D, "&lt;0") * -1)</f>
        <v>1</v>
      </c>
      <c r="J108" s="38">
        <f>SUMIF(ShipToDubai!C:C, B108, ShipToDubai!G:G)</f>
        <v>0</v>
      </c>
      <c r="L108" t="s">
        <v>1103</v>
      </c>
    </row>
    <row r="109" spans="1:12" x14ac:dyDescent="0.4">
      <c r="A109" s="465">
        <f t="shared" si="11"/>
        <v>107</v>
      </c>
      <c r="B109" s="466" t="s">
        <v>962</v>
      </c>
      <c r="C109" s="467">
        <f>SUMIFS(Stock_Transactions!D:D, Stock_Transactions!B:B, B109, Stock_Transactions!D:D, "&gt;0")</f>
        <v>6</v>
      </c>
      <c r="D109" s="468">
        <f>SUMIFS(Stock_Transactions!D:D, Stock_Transactions!B:B, B109, Stock_Transactions!D:D, "&lt;0") * -1</f>
        <v>6</v>
      </c>
      <c r="E109" s="469">
        <f t="shared" si="9"/>
        <v>0</v>
      </c>
      <c r="F109" s="470">
        <f t="shared" si="10"/>
        <v>0</v>
      </c>
      <c r="G109" s="470">
        <f>SUMIF(Pending_Stock!C:C, B109, Pending_Stock!F:F)</f>
        <v>0</v>
      </c>
      <c r="H109" s="471">
        <f>SUMIF(Pending_Stock!I:I, B109, Pending_Stock!L:L)</f>
        <v>0</v>
      </c>
      <c r="I109" s="472">
        <f>SUMIF(ShipToDubai!C:C, B109, ShipToDubai!F:F) - (SUMIFS(Stock_Transactions!D:D, Stock_Transactions!B:B, B109, Stock_Transactions!D:D, "&lt;0") * -1)</f>
        <v>0</v>
      </c>
      <c r="J109" s="473">
        <f>SUMIF(ShipToDubai!C:C, B109, ShipToDubai!G:G)</f>
        <v>0</v>
      </c>
    </row>
    <row r="110" spans="1:12" x14ac:dyDescent="0.3">
      <c r="A110" s="19">
        <f t="shared" si="11"/>
        <v>108</v>
      </c>
      <c r="B110" s="348" t="s">
        <v>986</v>
      </c>
      <c r="C110" s="37">
        <f>SUMIFS(Stock_Transactions!D:D, Stock_Transactions!B:B, B110, Stock_Transactions!D:D, "&gt;0")</f>
        <v>8</v>
      </c>
      <c r="D110" s="37">
        <f>SUMIFS(Stock_Transactions!D:D, Stock_Transactions!B:B, B110, Stock_Transactions!D:D, "&lt;0") * -1</f>
        <v>8</v>
      </c>
      <c r="E110" s="80">
        <f t="shared" si="9"/>
        <v>0</v>
      </c>
      <c r="F110" s="48">
        <f t="shared" si="10"/>
        <v>0</v>
      </c>
      <c r="G110" s="48">
        <f>SUMIF(Pending_Stock!C:C, B110, Pending_Stock!F:F)</f>
        <v>0</v>
      </c>
      <c r="H110" s="49">
        <f>SUMIF(Pending_Stock!I:I, B110, Pending_Stock!L:L)</f>
        <v>0</v>
      </c>
      <c r="I110" s="50">
        <f>SUMIF(ShipToDubai!C:C, B110, ShipToDubai!F:F) - (SUMIFS(Stock_Transactions!D:D, Stock_Transactions!B:B, B110, Stock_Transactions!D:D, "&lt;0") * -1)</f>
        <v>0</v>
      </c>
      <c r="J110" s="38">
        <f>SUMIF(ShipToDubai!C:C, B110, ShipToDubai!G:G)</f>
        <v>0</v>
      </c>
      <c r="L110" t="s">
        <v>305</v>
      </c>
    </row>
    <row r="111" spans="1:12" x14ac:dyDescent="0.4">
      <c r="A111" s="476">
        <f t="shared" si="11"/>
        <v>109</v>
      </c>
      <c r="B111" s="477" t="s">
        <v>988</v>
      </c>
      <c r="C111" s="478">
        <f>SUMIFS(Stock_Transactions!D:D, Stock_Transactions!B:B, B111, Stock_Transactions!D:D, "&gt;0")</f>
        <v>14</v>
      </c>
      <c r="D111" s="479">
        <f>SUMIFS(Stock_Transactions!D:D, Stock_Transactions!B:B, B111, Stock_Transactions!D:D, "&lt;0") * -1</f>
        <v>14</v>
      </c>
      <c r="E111" s="480">
        <f t="shared" si="9"/>
        <v>0</v>
      </c>
      <c r="F111" s="481">
        <f t="shared" si="10"/>
        <v>0</v>
      </c>
      <c r="G111" s="481">
        <f>SUMIF(Pending_Stock!C:C, B111, Pending_Stock!F:F)</f>
        <v>0</v>
      </c>
      <c r="H111" s="482">
        <f>SUMIF(Pending_Stock!I:I, B111, Pending_Stock!L:L)</f>
        <v>0</v>
      </c>
      <c r="I111" s="483">
        <f>SUMIF(ShipToDubai!C:C, B111, ShipToDubai!F:F) - (SUMIFS(Stock_Transactions!D:D, Stock_Transactions!B:B, B111, Stock_Transactions!D:D, "&lt;0") * -1)</f>
        <v>0</v>
      </c>
      <c r="J111" s="484">
        <f>SUMIF(ShipToDubai!C:C, B111, ShipToDubai!G:G)</f>
        <v>0</v>
      </c>
      <c r="L111" t="s">
        <v>305</v>
      </c>
    </row>
    <row r="112" spans="1:12" x14ac:dyDescent="0.4">
      <c r="A112" s="338">
        <f t="shared" si="11"/>
        <v>110</v>
      </c>
      <c r="B112" s="349" t="s">
        <v>961</v>
      </c>
      <c r="C112" s="339">
        <f>SUMIFS(Stock_Transactions!D:D, Stock_Transactions!B:B, B112, Stock_Transactions!D:D, "&gt;0")</f>
        <v>6</v>
      </c>
      <c r="D112" s="37">
        <f>SUMIFS(Stock_Transactions!D:D, Stock_Transactions!B:B, B112, Stock_Transactions!D:D, "&lt;0") * -1</f>
        <v>6</v>
      </c>
      <c r="E112" s="80">
        <f t="shared" si="9"/>
        <v>0</v>
      </c>
      <c r="F112" s="48">
        <f t="shared" si="10"/>
        <v>0</v>
      </c>
      <c r="G112" s="48">
        <f>SUMIF(Pending_Stock!C:C, B112, Pending_Stock!F:F)</f>
        <v>0</v>
      </c>
      <c r="H112" s="49">
        <f>SUMIF(Pending_Stock!I:I, B112, Pending_Stock!L:L)</f>
        <v>0</v>
      </c>
      <c r="I112" s="50">
        <f>SUMIF(ShipToDubai!C:C, B112, ShipToDubai!F:F) - (SUMIFS(Stock_Transactions!D:D, Stock_Transactions!B:B, B112, Stock_Transactions!D:D, "&lt;0") * -1)</f>
        <v>0</v>
      </c>
      <c r="J112" s="38">
        <f>SUMIF(ShipToDubai!C:C, B112, ShipToDubai!G:G)</f>
        <v>0</v>
      </c>
    </row>
    <row r="113" spans="1:12" x14ac:dyDescent="0.4">
      <c r="A113" s="338">
        <f t="shared" si="11"/>
        <v>111</v>
      </c>
      <c r="B113" s="94" t="s">
        <v>997</v>
      </c>
      <c r="C113" s="339">
        <f>SUMIFS(Stock_Transactions!D:D, Stock_Transactions!B:B, B113, Stock_Transactions!D:D, "&gt;0")</f>
        <v>1</v>
      </c>
      <c r="D113" s="37">
        <f>SUMIFS(Stock_Transactions!D:D, Stock_Transactions!B:B, B113, Stock_Transactions!D:D, "&lt;0") * -1</f>
        <v>1</v>
      </c>
      <c r="E113" s="80">
        <f t="shared" si="9"/>
        <v>0</v>
      </c>
      <c r="F113" s="48">
        <f t="shared" si="10"/>
        <v>0</v>
      </c>
      <c r="G113" s="48">
        <f>SUMIF(Pending_Stock!C:C, B113, Pending_Stock!F:F)</f>
        <v>0</v>
      </c>
      <c r="H113" s="49">
        <f>SUMIF(Pending_Stock!I:I, B113, Pending_Stock!L:L)</f>
        <v>0</v>
      </c>
      <c r="I113" s="50">
        <f>SUMIF(ShipToDubai!C:C, B113, ShipToDubai!F:F) - (SUMIFS(Stock_Transactions!D:D, Stock_Transactions!B:B, B113, Stock_Transactions!D:D, "&lt;0") * -1)</f>
        <v>0</v>
      </c>
      <c r="J113" s="38">
        <f>SUMIF(ShipToDubai!C:C, B113, ShipToDubai!G:G)</f>
        <v>0</v>
      </c>
      <c r="L113" t="s">
        <v>305</v>
      </c>
    </row>
    <row r="114" spans="1:12" x14ac:dyDescent="0.4">
      <c r="A114" s="338">
        <f t="shared" si="11"/>
        <v>112</v>
      </c>
      <c r="B114" s="349" t="s">
        <v>998</v>
      </c>
      <c r="C114" s="339">
        <f>SUMIFS(Stock_Transactions!D:D, Stock_Transactions!B:B, B114, Stock_Transactions!D:D, "&gt;0")</f>
        <v>1</v>
      </c>
      <c r="D114" s="37">
        <f>SUMIFS(Stock_Transactions!D:D, Stock_Transactions!B:B, B114, Stock_Transactions!D:D, "&lt;0") * -1</f>
        <v>1</v>
      </c>
      <c r="E114" s="80">
        <f t="shared" si="9"/>
        <v>0</v>
      </c>
      <c r="F114" s="48">
        <f t="shared" si="10"/>
        <v>0</v>
      </c>
      <c r="G114" s="48">
        <f>SUMIF(Pending_Stock!C:C, B114, Pending_Stock!F:F)</f>
        <v>0</v>
      </c>
      <c r="H114" s="49">
        <f>SUMIF(Pending_Stock!I:I, B114, Pending_Stock!L:L)</f>
        <v>0</v>
      </c>
      <c r="I114" s="50">
        <f>SUMIF(ShipToDubai!C:C, B114, ShipToDubai!F:F) - (SUMIFS(Stock_Transactions!D:D, Stock_Transactions!B:B, B114, Stock_Transactions!D:D, "&lt;0") * -1)</f>
        <v>0</v>
      </c>
      <c r="J114" s="38">
        <f>SUMIF(ShipToDubai!C:C, B114, ShipToDubai!G:G)</f>
        <v>0</v>
      </c>
      <c r="L114" t="s">
        <v>305</v>
      </c>
    </row>
    <row r="115" spans="1:12" x14ac:dyDescent="0.4">
      <c r="A115" s="338">
        <f t="shared" si="11"/>
        <v>113</v>
      </c>
      <c r="B115" s="355" t="s">
        <v>999</v>
      </c>
      <c r="C115" s="339">
        <f>SUMIFS(Stock_Transactions!D:D, Stock_Transactions!B:B, B115, Stock_Transactions!D:D, "&gt;0")</f>
        <v>7</v>
      </c>
      <c r="D115" s="37">
        <f>SUMIFS(Stock_Transactions!D:D, Stock_Transactions!B:B, B115, Stock_Transactions!D:D, "&lt;0") * -1</f>
        <v>7</v>
      </c>
      <c r="E115" s="80">
        <f t="shared" si="9"/>
        <v>0</v>
      </c>
      <c r="F115" s="48">
        <f t="shared" si="10"/>
        <v>0</v>
      </c>
      <c r="G115" s="48">
        <f>SUMIF(Pending_Stock!C:C, B115, Pending_Stock!F:F)</f>
        <v>0</v>
      </c>
      <c r="H115" s="49">
        <f>SUMIF(Pending_Stock!I:I, B115, Pending_Stock!L:L)</f>
        <v>0</v>
      </c>
      <c r="I115" s="50">
        <f>SUMIF(ShipToDubai!C:C, B115, ShipToDubai!F:F) - (SUMIFS(Stock_Transactions!D:D, Stock_Transactions!B:B, B115, Stock_Transactions!D:D, "&lt;0") * -1)</f>
        <v>0</v>
      </c>
      <c r="J115" s="38">
        <f>SUMIF(ShipToDubai!C:C, B115, ShipToDubai!G:G)</f>
        <v>0</v>
      </c>
    </row>
    <row r="116" spans="1:12" x14ac:dyDescent="0.4">
      <c r="A116" s="338">
        <f t="shared" si="11"/>
        <v>114</v>
      </c>
      <c r="B116" s="94" t="s">
        <v>1001</v>
      </c>
      <c r="C116" s="339">
        <f>SUMIFS(Stock_Transactions!D:D, Stock_Transactions!B:B, B116, Stock_Transactions!D:D, "&gt;0")</f>
        <v>5</v>
      </c>
      <c r="D116" s="37">
        <f>SUMIFS(Stock_Transactions!D:D, Stock_Transactions!B:B, B116, Stock_Transactions!D:D, "&lt;0") * -1</f>
        <v>5</v>
      </c>
      <c r="E116" s="80">
        <f t="shared" si="9"/>
        <v>0</v>
      </c>
      <c r="F116" s="48">
        <f t="shared" si="10"/>
        <v>0</v>
      </c>
      <c r="G116" s="48">
        <f>SUMIF(Pending_Stock!C:C, B116, Pending_Stock!F:F)</f>
        <v>0</v>
      </c>
      <c r="H116" s="49">
        <f>SUMIF(Pending_Stock!I:I, B116, Pending_Stock!L:L)</f>
        <v>0</v>
      </c>
      <c r="I116" s="50">
        <f>SUMIF(ShipToDubai!C:C, B116, ShipToDubai!F:F) - (SUMIFS(Stock_Transactions!D:D, Stock_Transactions!B:B, B116, Stock_Transactions!D:D, "&lt;0") * -1)</f>
        <v>0</v>
      </c>
      <c r="J116" s="38">
        <f>SUMIF(ShipToDubai!C:C, B116, ShipToDubai!G:G)</f>
        <v>0</v>
      </c>
    </row>
    <row r="117" spans="1:12" x14ac:dyDescent="0.4">
      <c r="A117" s="338">
        <f t="shared" si="11"/>
        <v>115</v>
      </c>
      <c r="B117" s="94" t="s">
        <v>1002</v>
      </c>
      <c r="C117" s="339">
        <f>SUMIFS(Stock_Transactions!D:D, Stock_Transactions!B:B, B117, Stock_Transactions!D:D, "&gt;0")</f>
        <v>3</v>
      </c>
      <c r="D117" s="37">
        <f>SUMIFS(Stock_Transactions!D:D, Stock_Transactions!B:B, B117, Stock_Transactions!D:D, "&lt;0") * -1</f>
        <v>3</v>
      </c>
      <c r="E117" s="80">
        <f t="shared" si="9"/>
        <v>0</v>
      </c>
      <c r="F117" s="48">
        <f t="shared" si="10"/>
        <v>0</v>
      </c>
      <c r="G117" s="48">
        <f>SUMIF(Pending_Stock!C:C, B117, Pending_Stock!F:F)</f>
        <v>0</v>
      </c>
      <c r="H117" s="49">
        <f>SUMIF(Pending_Stock!I:I, B117, Pending_Stock!L:L)</f>
        <v>0</v>
      </c>
      <c r="I117" s="50">
        <f>SUMIF(ShipToDubai!C:C, B117, ShipToDubai!F:F) - (SUMIFS(Stock_Transactions!D:D, Stock_Transactions!B:B, B117, Stock_Transactions!D:D, "&lt;0") * -1)</f>
        <v>0</v>
      </c>
      <c r="J117" s="38">
        <f>SUMIF(ShipToDubai!C:C, B117, ShipToDubai!G:G)</f>
        <v>0</v>
      </c>
      <c r="L117" t="s">
        <v>305</v>
      </c>
    </row>
    <row r="118" spans="1:12" x14ac:dyDescent="0.4">
      <c r="A118" s="338">
        <f t="shared" si="11"/>
        <v>116</v>
      </c>
      <c r="B118" s="331" t="s">
        <v>1003</v>
      </c>
      <c r="C118" s="339">
        <f>SUMIFS(Stock_Transactions!D:D, Stock_Transactions!B:B, B118, Stock_Transactions!D:D, "&gt;0")</f>
        <v>1</v>
      </c>
      <c r="D118" s="37">
        <f>SUMIFS(Stock_Transactions!D:D, Stock_Transactions!B:B, B118, Stock_Transactions!D:D, "&lt;0") * -1</f>
        <v>1</v>
      </c>
      <c r="E118" s="80">
        <f t="shared" si="9"/>
        <v>0</v>
      </c>
      <c r="F118" s="48">
        <f t="shared" si="10"/>
        <v>0</v>
      </c>
      <c r="G118" s="48">
        <f>SUMIF(Pending_Stock!C:C, B118, Pending_Stock!F:F)</f>
        <v>0</v>
      </c>
      <c r="H118" s="49">
        <f>SUMIF(Pending_Stock!I:I, B118, Pending_Stock!L:L)</f>
        <v>0</v>
      </c>
      <c r="I118" s="50">
        <f>SUMIF(ShipToDubai!C:C, B118, ShipToDubai!F:F) - (SUMIFS(Stock_Transactions!D:D, Stock_Transactions!B:B, B118, Stock_Transactions!D:D, "&lt;0") * -1)</f>
        <v>0</v>
      </c>
      <c r="J118" s="38">
        <f>SUMIF(ShipToDubai!C:C, B118, ShipToDubai!G:G)</f>
        <v>0</v>
      </c>
      <c r="L118" t="s">
        <v>305</v>
      </c>
    </row>
    <row r="119" spans="1:12" x14ac:dyDescent="0.4">
      <c r="A119" s="338">
        <f t="shared" si="11"/>
        <v>117</v>
      </c>
      <c r="B119" s="94" t="s">
        <v>1119</v>
      </c>
      <c r="C119" s="339">
        <f>SUMIFS(Stock_Transactions!D:D, Stock_Transactions!B:B, B119, Stock_Transactions!D:D, "&gt;0")</f>
        <v>1</v>
      </c>
      <c r="D119" s="37">
        <f>SUMIFS(Stock_Transactions!D:D, Stock_Transactions!B:B, B119, Stock_Transactions!D:D, "&lt;0") * -1</f>
        <v>0</v>
      </c>
      <c r="E119" s="80">
        <f t="shared" ref="E119" si="12">C119-D119</f>
        <v>1</v>
      </c>
      <c r="F119" s="48">
        <f t="shared" ref="F119" si="13">E119-G119-H119-I119-J119</f>
        <v>0</v>
      </c>
      <c r="G119" s="48">
        <f>SUMIF(Pending_Stock!C:C, B119, Pending_Stock!F:F)</f>
        <v>0</v>
      </c>
      <c r="H119" s="49">
        <f>SUMIF(Pending_Stock!I:I, B119, Pending_Stock!L:L)</f>
        <v>0</v>
      </c>
      <c r="I119" s="50">
        <f>SUMIF(ShipToDubai!C:C, B119, ShipToDubai!F:F) - (SUMIFS(Stock_Transactions!D:D, Stock_Transactions!B:B, B119, Stock_Transactions!D:D, "&lt;0") * -1)</f>
        <v>1</v>
      </c>
      <c r="J119" s="38">
        <f>SUMIF(ShipToDubai!C:C, B119, ShipToDubai!G:G)</f>
        <v>0</v>
      </c>
    </row>
    <row r="120" spans="1:12" x14ac:dyDescent="0.4">
      <c r="A120" s="338">
        <f t="shared" si="11"/>
        <v>118</v>
      </c>
      <c r="B120" s="94" t="s">
        <v>1120</v>
      </c>
      <c r="C120" s="339">
        <f>SUMIFS(Stock_Transactions!D:D, Stock_Transactions!B:B, B120, Stock_Transactions!D:D, "&gt;0")</f>
        <v>3</v>
      </c>
      <c r="D120" s="37">
        <f>SUMIFS(Stock_Transactions!D:D, Stock_Transactions!B:B, B120, Stock_Transactions!D:D, "&lt;0") * -1</f>
        <v>2</v>
      </c>
      <c r="E120" s="80">
        <f t="shared" ref="E120" si="14">C120-D120</f>
        <v>1</v>
      </c>
      <c r="F120" s="48">
        <f t="shared" ref="F120" si="15">E120-G120-H120-I120-J120</f>
        <v>0</v>
      </c>
      <c r="G120" s="48">
        <f>SUMIF(Pending_Stock!C:C, B120, Pending_Stock!F:F)</f>
        <v>0</v>
      </c>
      <c r="H120" s="49">
        <f>SUMIF(Pending_Stock!I:I, B120, Pending_Stock!L:L)</f>
        <v>0</v>
      </c>
      <c r="I120" s="50">
        <f>SUMIF(ShipToDubai!C:C, B120, ShipToDubai!F:F) - (SUMIFS(Stock_Transactions!D:D, Stock_Transactions!B:B, B120, Stock_Transactions!D:D, "&lt;0") * -1)</f>
        <v>1</v>
      </c>
      <c r="J120" s="38">
        <f>SUMIF(ShipToDubai!C:C, B120, ShipToDubai!G:G)</f>
        <v>0</v>
      </c>
    </row>
    <row r="121" spans="1:12" x14ac:dyDescent="0.4">
      <c r="A121" s="338">
        <f t="shared" si="11"/>
        <v>119</v>
      </c>
      <c r="B121" s="94" t="s">
        <v>1121</v>
      </c>
      <c r="C121" s="339">
        <f>SUMIFS(Stock_Transactions!D:D, Stock_Transactions!B:B, B121, Stock_Transactions!D:D, "&gt;0")</f>
        <v>2</v>
      </c>
      <c r="D121" s="37">
        <f>SUMIFS(Stock_Transactions!D:D, Stock_Transactions!B:B, B121, Stock_Transactions!D:D, "&lt;0") * -1</f>
        <v>2</v>
      </c>
      <c r="E121" s="80">
        <f t="shared" ref="E121" si="16">C121-D121</f>
        <v>0</v>
      </c>
      <c r="F121" s="48">
        <f t="shared" ref="F121" si="17">E121-G121-H121-I121-J121</f>
        <v>0</v>
      </c>
      <c r="G121" s="48">
        <f>SUMIF(Pending_Stock!C:C, B121, Pending_Stock!F:F)</f>
        <v>0</v>
      </c>
      <c r="H121" s="49">
        <f>SUMIF(Pending_Stock!I:I, B121, Pending_Stock!L:L)</f>
        <v>0</v>
      </c>
      <c r="I121" s="50">
        <f>SUMIF(ShipToDubai!C:C, B121, ShipToDubai!F:F) - (SUMIFS(Stock_Transactions!D:D, Stock_Transactions!B:B, B121, Stock_Transactions!D:D, "&lt;0") * -1)</f>
        <v>0</v>
      </c>
      <c r="J121" s="38">
        <f>SUMIF(ShipToDubai!C:C, B121, ShipToDubai!G:G)</f>
        <v>0</v>
      </c>
    </row>
    <row r="122" spans="1:12" x14ac:dyDescent="0.4">
      <c r="A122" s="338">
        <f t="shared" si="11"/>
        <v>120</v>
      </c>
      <c r="B122" s="94" t="s">
        <v>1122</v>
      </c>
      <c r="C122" s="339">
        <f>SUMIFS(Stock_Transactions!D:D, Stock_Transactions!B:B, B122, Stock_Transactions!D:D, "&gt;0")</f>
        <v>1</v>
      </c>
      <c r="D122" s="37">
        <f>SUMIFS(Stock_Transactions!D:D, Stock_Transactions!B:B, B122, Stock_Transactions!D:D, "&lt;0") * -1</f>
        <v>1</v>
      </c>
      <c r="E122" s="80">
        <f t="shared" ref="E122" si="18">C122-D122</f>
        <v>0</v>
      </c>
      <c r="F122" s="48">
        <f t="shared" ref="F122" si="19">E122-G122-H122-I122-J122</f>
        <v>0</v>
      </c>
      <c r="G122" s="48">
        <f>SUMIF(Pending_Stock!C:C, B122, Pending_Stock!F:F)</f>
        <v>0</v>
      </c>
      <c r="H122" s="49">
        <f>SUMIF(Pending_Stock!I:I, B122, Pending_Stock!L:L)</f>
        <v>0</v>
      </c>
      <c r="I122" s="50">
        <f>SUMIF(ShipToDubai!C:C, B122, ShipToDubai!F:F) - (SUMIFS(Stock_Transactions!D:D, Stock_Transactions!B:B, B122, Stock_Transactions!D:D, "&lt;0") * -1)</f>
        <v>0</v>
      </c>
      <c r="J122" s="38">
        <f>SUMIF(ShipToDubai!C:C, B122, ShipToDubai!G:G)</f>
        <v>0</v>
      </c>
    </row>
    <row r="123" spans="1:12" x14ac:dyDescent="0.4">
      <c r="A123" s="338">
        <f t="shared" si="11"/>
        <v>121</v>
      </c>
      <c r="B123" s="350" t="s">
        <v>1171</v>
      </c>
      <c r="C123" s="339">
        <f>SUMIFS(Stock_Transactions!D:D, Stock_Transactions!B:B, B123, Stock_Transactions!D:D, "&gt;0")</f>
        <v>2</v>
      </c>
      <c r="D123" s="37">
        <f>SUMIFS(Stock_Transactions!D:D, Stock_Transactions!B:B, B123, Stock_Transactions!D:D, "&lt;0") * -1</f>
        <v>0</v>
      </c>
      <c r="E123" s="80">
        <f t="shared" ref="E123:E127" si="20">C123-D123</f>
        <v>2</v>
      </c>
      <c r="F123" s="48">
        <f t="shared" ref="F123:F127" si="21">E123-G123-H123-I123-J123</f>
        <v>0</v>
      </c>
      <c r="G123" s="48">
        <f>SUMIF(Pending_Stock!C:C, B123, Pending_Stock!F:F)</f>
        <v>0</v>
      </c>
      <c r="H123" s="49">
        <f>SUMIF(Pending_Stock!I:I, B123, Pending_Stock!L:L)</f>
        <v>0</v>
      </c>
      <c r="I123" s="50">
        <f>SUMIF(ShipToDubai!C:C, B123, ShipToDubai!F:F) - (SUMIFS(Stock_Transactions!D:D, Stock_Transactions!B:B, B123, Stock_Transactions!D:D, "&lt;0") * -1)</f>
        <v>2</v>
      </c>
      <c r="J123" s="38">
        <f>SUMIF(ShipToDubai!C:C, B123, ShipToDubai!G:G)</f>
        <v>0</v>
      </c>
    </row>
    <row r="124" spans="1:12" x14ac:dyDescent="0.4">
      <c r="A124" s="338">
        <f t="shared" si="11"/>
        <v>122</v>
      </c>
      <c r="B124" s="350" t="s">
        <v>1172</v>
      </c>
      <c r="C124" s="339">
        <f>SUMIFS(Stock_Transactions!D:D, Stock_Transactions!B:B, B124, Stock_Transactions!D:D, "&gt;0")</f>
        <v>8</v>
      </c>
      <c r="D124" s="37">
        <f>SUMIFS(Stock_Transactions!D:D, Stock_Transactions!B:B, B124, Stock_Transactions!D:D, "&lt;0") * -1</f>
        <v>8</v>
      </c>
      <c r="E124" s="80">
        <f t="shared" si="20"/>
        <v>0</v>
      </c>
      <c r="F124" s="48">
        <f t="shared" si="21"/>
        <v>0</v>
      </c>
      <c r="G124" s="48">
        <f>SUMIF(Pending_Stock!C:C, B124, Pending_Stock!F:F)</f>
        <v>0</v>
      </c>
      <c r="H124" s="49">
        <f>SUMIF(Pending_Stock!I:I, B124, Pending_Stock!L:L)</f>
        <v>0</v>
      </c>
      <c r="I124" s="50">
        <f>SUMIF(ShipToDubai!C:C, B124, ShipToDubai!F:F) - (SUMIFS(Stock_Transactions!D:D, Stock_Transactions!B:B, B124, Stock_Transactions!D:D, "&lt;0") * -1)</f>
        <v>0</v>
      </c>
      <c r="J124" s="38">
        <f>SUMIF(ShipToDubai!C:C, B124, ShipToDubai!G:G)</f>
        <v>0</v>
      </c>
    </row>
    <row r="125" spans="1:12" x14ac:dyDescent="0.4">
      <c r="A125" s="338">
        <f t="shared" si="11"/>
        <v>123</v>
      </c>
      <c r="B125" s="350" t="s">
        <v>1173</v>
      </c>
      <c r="C125" s="339">
        <f>SUMIFS(Stock_Transactions!D:D, Stock_Transactions!B:B, B125, Stock_Transactions!D:D, "&gt;0")</f>
        <v>3</v>
      </c>
      <c r="D125" s="37">
        <f>SUMIFS(Stock_Transactions!D:D, Stock_Transactions!B:B, B125, Stock_Transactions!D:D, "&lt;0") * -1</f>
        <v>3</v>
      </c>
      <c r="E125" s="80">
        <f t="shared" si="20"/>
        <v>0</v>
      </c>
      <c r="F125" s="48">
        <f t="shared" si="21"/>
        <v>0</v>
      </c>
      <c r="G125" s="48">
        <f>SUMIF(Pending_Stock!C:C, B125, Pending_Stock!F:F)</f>
        <v>0</v>
      </c>
      <c r="H125" s="49">
        <f>SUMIF(Pending_Stock!I:I, B125, Pending_Stock!L:L)</f>
        <v>0</v>
      </c>
      <c r="I125" s="50">
        <f>SUMIF(ShipToDubai!C:C, B125, ShipToDubai!F:F) - (SUMIFS(Stock_Transactions!D:D, Stock_Transactions!B:B, B125, Stock_Transactions!D:D, "&lt;0") * -1)</f>
        <v>0</v>
      </c>
      <c r="J125" s="38">
        <f>SUMIF(ShipToDubai!C:C, B125, ShipToDubai!G:G)</f>
        <v>0</v>
      </c>
    </row>
    <row r="126" spans="1:12" x14ac:dyDescent="0.4">
      <c r="A126" s="338">
        <f t="shared" si="11"/>
        <v>124</v>
      </c>
      <c r="B126" s="350" t="s">
        <v>1174</v>
      </c>
      <c r="C126" s="339">
        <f>SUMIFS(Stock_Transactions!D:D, Stock_Transactions!B:B, B126, Stock_Transactions!D:D, "&gt;0")</f>
        <v>1</v>
      </c>
      <c r="D126" s="37">
        <f>SUMIFS(Stock_Transactions!D:D, Stock_Transactions!B:B, B126, Stock_Transactions!D:D, "&lt;0") * -1</f>
        <v>1</v>
      </c>
      <c r="E126" s="80">
        <f t="shared" si="20"/>
        <v>0</v>
      </c>
      <c r="F126" s="48">
        <f t="shared" si="21"/>
        <v>0</v>
      </c>
      <c r="G126" s="48">
        <f>SUMIF(Pending_Stock!C:C, B126, Pending_Stock!F:F)</f>
        <v>0</v>
      </c>
      <c r="H126" s="49">
        <f>SUMIF(Pending_Stock!I:I, B126, Pending_Stock!L:L)</f>
        <v>0</v>
      </c>
      <c r="I126" s="50">
        <f>SUMIF(ShipToDubai!C:C, B126, ShipToDubai!F:F) - (SUMIFS(Stock_Transactions!D:D, Stock_Transactions!B:B, B126, Stock_Transactions!D:D, "&lt;0") * -1)</f>
        <v>0</v>
      </c>
      <c r="J126" s="38">
        <f>SUMIF(ShipToDubai!C:C, B126, ShipToDubai!G:G)</f>
        <v>0</v>
      </c>
    </row>
    <row r="127" spans="1:12" x14ac:dyDescent="0.4">
      <c r="A127" s="338">
        <f t="shared" si="11"/>
        <v>125</v>
      </c>
      <c r="B127" s="350" t="s">
        <v>1176</v>
      </c>
      <c r="C127" s="339">
        <f>SUMIFS(Stock_Transactions!D:D, Stock_Transactions!B:B, B127, Stock_Transactions!D:D, "&gt;0")</f>
        <v>4</v>
      </c>
      <c r="D127" s="37">
        <f>SUMIFS(Stock_Transactions!D:D, Stock_Transactions!B:B, B127, Stock_Transactions!D:D, "&lt;0") * -1</f>
        <v>4</v>
      </c>
      <c r="E127" s="80">
        <f t="shared" si="20"/>
        <v>0</v>
      </c>
      <c r="F127" s="48">
        <f t="shared" si="21"/>
        <v>0</v>
      </c>
      <c r="G127" s="48">
        <f>SUMIF(Pending_Stock!C:C, B127, Pending_Stock!F:F)</f>
        <v>0</v>
      </c>
      <c r="H127" s="49">
        <f>SUMIF(Pending_Stock!I:I, B127, Pending_Stock!L:L)</f>
        <v>0</v>
      </c>
      <c r="I127" s="50">
        <f>SUMIF(ShipToDubai!C:C, B127, ShipToDubai!F:F) - (SUMIFS(Stock_Transactions!D:D, Stock_Transactions!B:B, B127, Stock_Transactions!D:D, "&lt;0") * -1)</f>
        <v>0</v>
      </c>
      <c r="J127" s="38">
        <f>SUMIF(ShipToDubai!C:C, B127, ShipToDubai!G:G)</f>
        <v>0</v>
      </c>
    </row>
    <row r="128" spans="1:12" x14ac:dyDescent="0.4">
      <c r="A128" s="338">
        <f t="shared" si="11"/>
        <v>126</v>
      </c>
      <c r="B128" s="349" t="s">
        <v>1199</v>
      </c>
      <c r="C128" s="339">
        <f>SUMIFS(Stock_Transactions!D:D, Stock_Transactions!B:B, B128, Stock_Transactions!D:D, "&gt;0")</f>
        <v>65</v>
      </c>
      <c r="D128" s="37">
        <f>SUMIFS(Stock_Transactions!D:D, Stock_Transactions!B:B, B128, Stock_Transactions!D:D, "&lt;0") * -1</f>
        <v>55</v>
      </c>
      <c r="E128" s="80">
        <f t="shared" ref="E128" si="22">C128-D128</f>
        <v>10</v>
      </c>
      <c r="F128" s="48">
        <f t="shared" ref="F128" si="23">E128-G128-H128-I128-J128</f>
        <v>0</v>
      </c>
      <c r="G128" s="48">
        <f>SUMIF(Pending_Stock!C:C, B128, Pending_Stock!F:F)</f>
        <v>0</v>
      </c>
      <c r="H128" s="49">
        <f>SUMIF(Pending_Stock!I:I, B128, Pending_Stock!L:L)</f>
        <v>0</v>
      </c>
      <c r="I128" s="50">
        <f>SUMIF(ShipToDubai!C:C, B128, ShipToDubai!F:F) - (SUMIFS(Stock_Transactions!D:D, Stock_Transactions!B:B, B128, Stock_Transactions!D:D, "&lt;0") * -1)</f>
        <v>10</v>
      </c>
      <c r="J128" s="38">
        <f>SUMIF(ShipToDubai!C:C, B128, ShipToDubai!G:G)</f>
        <v>0</v>
      </c>
    </row>
    <row r="129" spans="1:10" x14ac:dyDescent="0.4">
      <c r="A129" s="338">
        <f t="shared" si="11"/>
        <v>127</v>
      </c>
      <c r="B129" s="349" t="s">
        <v>1202</v>
      </c>
      <c r="C129" s="339">
        <f>SUMIFS(Stock_Transactions!D:D, Stock_Transactions!B:B, B129, Stock_Transactions!D:D, "&gt;0")</f>
        <v>1</v>
      </c>
      <c r="D129" s="37">
        <f>SUMIFS(Stock_Transactions!D:D, Stock_Transactions!B:B, B129, Stock_Transactions!D:D, "&lt;0") * -1</f>
        <v>1</v>
      </c>
      <c r="E129" s="80">
        <f t="shared" ref="E129" si="24">C129-D129</f>
        <v>0</v>
      </c>
      <c r="F129" s="48">
        <f t="shared" ref="F129" si="25">E129-G129-H129-I129-J129</f>
        <v>0</v>
      </c>
      <c r="G129" s="48">
        <f>SUMIF(Pending_Stock!C:C, B129, Pending_Stock!F:F)</f>
        <v>0</v>
      </c>
      <c r="H129" s="49">
        <f>SUMIF(Pending_Stock!I:I, B129, Pending_Stock!L:L)</f>
        <v>0</v>
      </c>
      <c r="I129" s="50">
        <f>SUMIF(ShipToDubai!C:C, B129, ShipToDubai!F:F) - (SUMIFS(Stock_Transactions!D:D, Stock_Transactions!B:B, B129, Stock_Transactions!D:D, "&lt;0") * -1)</f>
        <v>0</v>
      </c>
      <c r="J129" s="38">
        <f>SUMIF(ShipToDubai!C:C, B129, ShipToDubai!G:G)</f>
        <v>0</v>
      </c>
    </row>
    <row r="130" spans="1:10" x14ac:dyDescent="0.3">
      <c r="A130" s="338">
        <f t="shared" si="11"/>
        <v>128</v>
      </c>
      <c r="B130" s="449" t="s">
        <v>1175</v>
      </c>
      <c r="C130" s="339">
        <f>SUMIFS(Stock_Transactions!D:D, Stock_Transactions!B:B, B130, Stock_Transactions!D:D, "&gt;0")</f>
        <v>1</v>
      </c>
      <c r="D130" s="37">
        <f>SUMIFS(Stock_Transactions!D:D, Stock_Transactions!B:B, B130, Stock_Transactions!D:D, "&lt;0") * -1</f>
        <v>1</v>
      </c>
      <c r="E130" s="80">
        <f t="shared" ref="E130" si="26">C130-D130</f>
        <v>0</v>
      </c>
      <c r="F130" s="48">
        <f t="shared" ref="F130" si="27">E130-G130-H130-I130-J130</f>
        <v>0</v>
      </c>
      <c r="G130" s="48">
        <f>SUMIF(Pending_Stock!C:C, B130, Pending_Stock!F:F)</f>
        <v>0</v>
      </c>
      <c r="H130" s="49">
        <f>SUMIF(Pending_Stock!I:I, B130, Pending_Stock!L:L)</f>
        <v>0</v>
      </c>
      <c r="I130" s="50">
        <f>SUMIF(ShipToDubai!C:C, B130, ShipToDubai!F:F) - (SUMIFS(Stock_Transactions!D:D, Stock_Transactions!B:B, B130, Stock_Transactions!D:D, "&lt;0") * -1)</f>
        <v>0</v>
      </c>
      <c r="J130" s="38">
        <f>SUMIF(ShipToDubai!C:C, B130, ShipToDubai!G:G)</f>
        <v>0</v>
      </c>
    </row>
    <row r="131" spans="1:10" x14ac:dyDescent="0.4">
      <c r="A131" s="338">
        <f t="shared" si="11"/>
        <v>129</v>
      </c>
      <c r="B131" s="349" t="s">
        <v>1177</v>
      </c>
      <c r="C131" s="339">
        <f>SUMIFS(Stock_Transactions!D:D, Stock_Transactions!B:B, B131, Stock_Transactions!D:D, "&gt;0")</f>
        <v>2</v>
      </c>
      <c r="D131" s="37">
        <f>SUMIFS(Stock_Transactions!D:D, Stock_Transactions!B:B, B131, Stock_Transactions!D:D, "&lt;0") * -1</f>
        <v>2</v>
      </c>
      <c r="E131" s="80">
        <f t="shared" ref="E131" si="28">C131-D131</f>
        <v>0</v>
      </c>
      <c r="F131" s="48">
        <f t="shared" ref="F131" si="29">E131-G131-H131-I131-J131</f>
        <v>0</v>
      </c>
      <c r="G131" s="48">
        <f>SUMIF(Pending_Stock!C:C, B131, Pending_Stock!F:F)</f>
        <v>0</v>
      </c>
      <c r="H131" s="49">
        <f>SUMIF(Pending_Stock!I:I, B131, Pending_Stock!L:L)</f>
        <v>0</v>
      </c>
      <c r="I131" s="50">
        <f>SUMIF(ShipToDubai!C:C, B131, ShipToDubai!F:F) - (SUMIFS(Stock_Transactions!D:D, Stock_Transactions!B:B, B131, Stock_Transactions!D:D, "&lt;0") * -1)</f>
        <v>0</v>
      </c>
      <c r="J131" s="38">
        <f>SUMIF(ShipToDubai!C:C, B131, ShipToDubai!G:G)</f>
        <v>0</v>
      </c>
    </row>
    <row r="132" spans="1:10" x14ac:dyDescent="0.4">
      <c r="A132" s="338">
        <f t="shared" si="11"/>
        <v>130</v>
      </c>
      <c r="B132" s="350" t="s">
        <v>1210</v>
      </c>
      <c r="C132" s="339">
        <f>SUMIFS(Stock_Transactions!D:D, Stock_Transactions!B:B, B132, Stock_Transactions!D:D, "&gt;0")</f>
        <v>2</v>
      </c>
      <c r="D132" s="37">
        <f>SUMIFS(Stock_Transactions!D:D, Stock_Transactions!B:B, B132, Stock_Transactions!D:D, "&lt;0") * -1</f>
        <v>1</v>
      </c>
      <c r="E132" s="80">
        <f t="shared" ref="E132:E134" si="30">C132-D132</f>
        <v>1</v>
      </c>
      <c r="F132" s="48">
        <f t="shared" ref="F132:F134" si="31">E132-G132-H132-I132-J132</f>
        <v>0</v>
      </c>
      <c r="G132" s="48">
        <f>SUMIF(Pending_Stock!C:C, B132, Pending_Stock!F:F)</f>
        <v>0</v>
      </c>
      <c r="H132" s="49">
        <f>SUMIF(Pending_Stock!I:I, B132, Pending_Stock!L:L)</f>
        <v>0</v>
      </c>
      <c r="I132" s="50">
        <f>SUMIF(ShipToDubai!C:C, B132, ShipToDubai!F:F) - (SUMIFS(Stock_Transactions!D:D, Stock_Transactions!B:B, B132, Stock_Transactions!D:D, "&lt;0") * -1)</f>
        <v>1</v>
      </c>
      <c r="J132" s="38">
        <f>SUMIF(ShipToDubai!C:C, B132, ShipToDubai!G:G)</f>
        <v>0</v>
      </c>
    </row>
    <row r="133" spans="1:10" x14ac:dyDescent="0.4">
      <c r="A133" s="338">
        <f t="shared" si="11"/>
        <v>131</v>
      </c>
      <c r="B133" s="350" t="s">
        <v>1211</v>
      </c>
      <c r="C133" s="339">
        <f>SUMIFS(Stock_Transactions!D:D, Stock_Transactions!B:B, B133, Stock_Transactions!D:D, "&gt;0")</f>
        <v>1</v>
      </c>
      <c r="D133" s="37">
        <f>SUMIFS(Stock_Transactions!D:D, Stock_Transactions!B:B, B133, Stock_Transactions!D:D, "&lt;0") * -1</f>
        <v>1</v>
      </c>
      <c r="E133" s="80">
        <f t="shared" si="30"/>
        <v>0</v>
      </c>
      <c r="F133" s="48">
        <f t="shared" si="31"/>
        <v>0</v>
      </c>
      <c r="G133" s="48">
        <f>SUMIF(Pending_Stock!C:C, B133, Pending_Stock!F:F)</f>
        <v>0</v>
      </c>
      <c r="H133" s="49">
        <f>SUMIF(Pending_Stock!I:I, B133, Pending_Stock!L:L)</f>
        <v>0</v>
      </c>
      <c r="I133" s="50">
        <f>SUMIF(ShipToDubai!C:C, B133, ShipToDubai!F:F) - (SUMIFS(Stock_Transactions!D:D, Stock_Transactions!B:B, B133, Stock_Transactions!D:D, "&lt;0") * -1)</f>
        <v>0</v>
      </c>
      <c r="J133" s="38">
        <f>SUMIF(ShipToDubai!C:C, B133, ShipToDubai!G:G)</f>
        <v>0</v>
      </c>
    </row>
    <row r="134" spans="1:10" x14ac:dyDescent="0.3">
      <c r="A134" s="338">
        <f t="shared" si="11"/>
        <v>132</v>
      </c>
      <c r="B134" s="348" t="s">
        <v>1214</v>
      </c>
      <c r="C134" s="339">
        <f>SUMIFS(Stock_Transactions!D:D, Stock_Transactions!B:B, B134, Stock_Transactions!D:D, "&gt;0")</f>
        <v>1</v>
      </c>
      <c r="D134" s="37">
        <f>SUMIFS(Stock_Transactions!D:D, Stock_Transactions!B:B, B134, Stock_Transactions!D:D, "&lt;0") * -1</f>
        <v>1</v>
      </c>
      <c r="E134" s="80">
        <f t="shared" si="30"/>
        <v>0</v>
      </c>
      <c r="F134" s="48">
        <f t="shared" si="31"/>
        <v>0</v>
      </c>
      <c r="G134" s="48">
        <f>SUMIF(Pending_Stock!C:C, B134, Pending_Stock!F:F)</f>
        <v>0</v>
      </c>
      <c r="H134" s="49">
        <f>SUMIF(Pending_Stock!I:I, B134, Pending_Stock!L:L)</f>
        <v>0</v>
      </c>
      <c r="I134" s="50">
        <f>SUMIF(ShipToDubai!C:C, B134, ShipToDubai!F:F) - (SUMIFS(Stock_Transactions!D:D, Stock_Transactions!B:B, B134, Stock_Transactions!D:D, "&lt;0") * -1)</f>
        <v>0</v>
      </c>
      <c r="J134" s="38">
        <f>SUMIF(ShipToDubai!C:C, B134, ShipToDubai!G:G)</f>
        <v>0</v>
      </c>
    </row>
    <row r="135" spans="1:10" x14ac:dyDescent="0.4">
      <c r="A135" s="338">
        <f t="shared" si="11"/>
        <v>133</v>
      </c>
      <c r="B135" s="349" t="s">
        <v>1232</v>
      </c>
      <c r="C135" s="339">
        <f>SUMIFS(Stock_Transactions!D:D, Stock_Transactions!B:B, B135, Stock_Transactions!D:D, "&gt;0")</f>
        <v>1</v>
      </c>
      <c r="D135" s="37">
        <f>SUMIFS(Stock_Transactions!D:D, Stock_Transactions!B:B, B135, Stock_Transactions!D:D, "&lt;0") * -1</f>
        <v>1</v>
      </c>
      <c r="E135" s="80">
        <f t="shared" ref="E135" si="32">C135-D135</f>
        <v>0</v>
      </c>
      <c r="F135" s="48">
        <f t="shared" ref="F135" si="33">E135-G135-H135-I135-J135</f>
        <v>0</v>
      </c>
      <c r="G135" s="48">
        <f>SUMIF(Pending_Stock!C:C, B135, Pending_Stock!F:F)</f>
        <v>0</v>
      </c>
      <c r="H135" s="49">
        <f>SUMIF(Pending_Stock!I:I, B135, Pending_Stock!L:L)</f>
        <v>0</v>
      </c>
      <c r="I135" s="50">
        <f>SUMIF(ShipToDubai!C:C, B135, ShipToDubai!F:F) - (SUMIFS(Stock_Transactions!D:D, Stock_Transactions!B:B, B135, Stock_Transactions!D:D, "&lt;0") * -1)</f>
        <v>0</v>
      </c>
      <c r="J135" s="38">
        <f>SUMIF(ShipToDubai!C:C, B135, ShipToDubai!G:G)</f>
        <v>0</v>
      </c>
    </row>
    <row r="136" spans="1:10" x14ac:dyDescent="0.4">
      <c r="A136" s="465">
        <f t="shared" si="11"/>
        <v>134</v>
      </c>
      <c r="B136" s="474" t="s">
        <v>1235</v>
      </c>
      <c r="C136" s="467">
        <f>SUMIFS(Stock_Transactions!D:D, Stock_Transactions!B:B, B136, Stock_Transactions!D:D, "&gt;0")</f>
        <v>1</v>
      </c>
      <c r="D136" s="468">
        <f>SUMIFS(Stock_Transactions!D:D, Stock_Transactions!B:B, B136, Stock_Transactions!D:D, "&lt;0") * -1</f>
        <v>1</v>
      </c>
      <c r="E136" s="469">
        <f t="shared" ref="E136:E140" si="34">C136-D136</f>
        <v>0</v>
      </c>
      <c r="F136" s="470">
        <f t="shared" ref="F136:F140" si="35">E136-G136-H136-I136-J136</f>
        <v>0</v>
      </c>
      <c r="G136" s="470">
        <f>SUMIF(Pending_Stock!C:C, B136, Pending_Stock!F:F)</f>
        <v>0</v>
      </c>
      <c r="H136" s="471">
        <f>SUMIF(Pending_Stock!I:I, B136, Pending_Stock!L:L)</f>
        <v>0</v>
      </c>
      <c r="I136" s="472">
        <f>SUMIF(ShipToDubai!C:C, B136, ShipToDubai!F:F) - (SUMIFS(Stock_Transactions!D:D, Stock_Transactions!B:B, B136, Stock_Transactions!D:D, "&lt;0") * -1)</f>
        <v>0</v>
      </c>
      <c r="J136" s="473">
        <f>SUMIF(ShipToDubai!C:C, B136, ShipToDubai!G:G)</f>
        <v>0</v>
      </c>
    </row>
    <row r="137" spans="1:10" x14ac:dyDescent="0.4">
      <c r="A137" s="19">
        <f t="shared" si="11"/>
        <v>135</v>
      </c>
      <c r="B137" s="94" t="s">
        <v>1247</v>
      </c>
      <c r="C137" s="37">
        <f>SUMIFS(Stock_Transactions!D:D, Stock_Transactions!B:B, B137, Stock_Transactions!D:D, "&gt;0")</f>
        <v>10</v>
      </c>
      <c r="D137" s="37">
        <f>SUMIFS(Stock_Transactions!D:D, Stock_Transactions!B:B, B137, Stock_Transactions!D:D, "&lt;0") * -1</f>
        <v>0</v>
      </c>
      <c r="E137" s="80">
        <f t="shared" si="34"/>
        <v>10</v>
      </c>
      <c r="F137" s="48">
        <f t="shared" si="35"/>
        <v>10</v>
      </c>
      <c r="G137" s="48">
        <f>SUMIF(Pending_Stock!C:C, B137, Pending_Stock!F:F)</f>
        <v>0</v>
      </c>
      <c r="H137" s="49">
        <f>SUMIF(Pending_Stock!I:I, B137, Pending_Stock!L:L)</f>
        <v>0</v>
      </c>
      <c r="I137" s="50">
        <f>SUMIF(ShipToDubai!C:C, B137, ShipToDubai!F:F) - (SUMIFS(Stock_Transactions!D:D, Stock_Transactions!B:B, B137, Stock_Transactions!D:D, "&lt;0") * -1)</f>
        <v>0</v>
      </c>
      <c r="J137" s="38">
        <f>SUMIF(ShipToDubai!C:C, B137, ShipToDubai!G:G)</f>
        <v>0</v>
      </c>
    </row>
    <row r="138" spans="1:10" x14ac:dyDescent="0.4">
      <c r="A138" s="19">
        <f t="shared" si="11"/>
        <v>136</v>
      </c>
      <c r="B138" s="94" t="s">
        <v>1248</v>
      </c>
      <c r="C138" s="37">
        <f>SUMIFS(Stock_Transactions!D:D, Stock_Transactions!B:B, B138, Stock_Transactions!D:D, "&gt;0")</f>
        <v>10</v>
      </c>
      <c r="D138" s="37">
        <f>SUMIFS(Stock_Transactions!D:D, Stock_Transactions!B:B, B138, Stock_Transactions!D:D, "&lt;0") * -1</f>
        <v>0</v>
      </c>
      <c r="E138" s="80">
        <f t="shared" si="34"/>
        <v>10</v>
      </c>
      <c r="F138" s="48">
        <f t="shared" si="35"/>
        <v>10</v>
      </c>
      <c r="G138" s="48">
        <f>SUMIF(Pending_Stock!C:C, B138, Pending_Stock!F:F)</f>
        <v>0</v>
      </c>
      <c r="H138" s="49">
        <f>SUMIF(Pending_Stock!I:I, B138, Pending_Stock!L:L)</f>
        <v>0</v>
      </c>
      <c r="I138" s="50">
        <f>SUMIF(ShipToDubai!C:C, B138, ShipToDubai!F:F) - (SUMIFS(Stock_Transactions!D:D, Stock_Transactions!B:B, B138, Stock_Transactions!D:D, "&lt;0") * -1)</f>
        <v>0</v>
      </c>
      <c r="J138" s="38">
        <f>SUMIF(ShipToDubai!C:C, B138, ShipToDubai!G:G)</f>
        <v>0</v>
      </c>
    </row>
    <row r="139" spans="1:10" x14ac:dyDescent="0.4">
      <c r="A139" s="19">
        <f t="shared" si="11"/>
        <v>137</v>
      </c>
      <c r="B139" s="94" t="s">
        <v>1258</v>
      </c>
      <c r="C139" s="37">
        <f>SUMIFS(Stock_Transactions!D:D, Stock_Transactions!B:B, B139, Stock_Transactions!D:D, "&gt;0")</f>
        <v>15</v>
      </c>
      <c r="D139" s="37">
        <f>SUMIFS(Stock_Transactions!D:D, Stock_Transactions!B:B, B139, Stock_Transactions!D:D, "&lt;0") * -1</f>
        <v>0</v>
      </c>
      <c r="E139" s="80">
        <f t="shared" si="34"/>
        <v>15</v>
      </c>
      <c r="F139" s="48">
        <f t="shared" si="35"/>
        <v>15</v>
      </c>
      <c r="G139" s="48">
        <f>SUMIF(Pending_Stock!C:C, B139, Pending_Stock!F:F)</f>
        <v>0</v>
      </c>
      <c r="H139" s="49">
        <f>SUMIF(Pending_Stock!I:I, B139, Pending_Stock!L:L)</f>
        <v>0</v>
      </c>
      <c r="I139" s="50">
        <f>SUMIF(ShipToDubai!C:C, B139, ShipToDubai!F:F) - (SUMIFS(Stock_Transactions!D:D, Stock_Transactions!B:B, B139, Stock_Transactions!D:D, "&lt;0") * -1)</f>
        <v>0</v>
      </c>
      <c r="J139" s="38">
        <f>SUMIF(ShipToDubai!C:C, B139, ShipToDubai!G:G)</f>
        <v>0</v>
      </c>
    </row>
    <row r="140" spans="1:10" x14ac:dyDescent="0.4">
      <c r="A140" s="19">
        <f t="shared" si="11"/>
        <v>138</v>
      </c>
      <c r="B140" s="94" t="s">
        <v>1259</v>
      </c>
      <c r="C140" s="37">
        <f>SUMIFS(Stock_Transactions!D:D, Stock_Transactions!B:B, B140, Stock_Transactions!D:D, "&gt;0")</f>
        <v>10</v>
      </c>
      <c r="D140" s="37">
        <f>SUMIFS(Stock_Transactions!D:D, Stock_Transactions!B:B, B140, Stock_Transactions!D:D, "&lt;0") * -1</f>
        <v>0</v>
      </c>
      <c r="E140" s="80">
        <f t="shared" si="34"/>
        <v>10</v>
      </c>
      <c r="F140" s="48">
        <f t="shared" si="35"/>
        <v>10</v>
      </c>
      <c r="G140" s="48">
        <f>SUMIF(Pending_Stock!C:C, B140, Pending_Stock!F:F)</f>
        <v>0</v>
      </c>
      <c r="H140" s="49">
        <f>SUMIF(Pending_Stock!I:I, B140, Pending_Stock!L:L)</f>
        <v>0</v>
      </c>
      <c r="I140" s="50">
        <f>SUMIF(ShipToDubai!C:C, B140, ShipToDubai!F:F) - (SUMIFS(Stock_Transactions!D:D, Stock_Transactions!B:B, B140, Stock_Transactions!D:D, "&lt;0") * -1)</f>
        <v>0</v>
      </c>
      <c r="J140" s="38">
        <f>SUMIF(ShipToDubai!C:C, B140, ShipToDubai!G:G)</f>
        <v>0</v>
      </c>
    </row>
    <row r="1525" spans="4:4" x14ac:dyDescent="0.3">
      <c r="D1525" s="38">
        <v>-1</v>
      </c>
    </row>
    <row r="1526" spans="4:4" x14ac:dyDescent="0.3">
      <c r="D1526" s="38">
        <v>-4</v>
      </c>
    </row>
  </sheetData>
  <autoFilter ref="A2:J140" xr:uid="{00000000-0001-0000-0200-000000000000}">
    <sortState xmlns:xlrd2="http://schemas.microsoft.com/office/spreadsheetml/2017/richdata2" ref="A86:J86">
      <sortCondition ref="B2:B122"/>
    </sortState>
  </autoFilter>
  <mergeCells count="1">
    <mergeCell ref="F1:G1"/>
  </mergeCells>
  <phoneticPr fontId="3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18"/>
  <sheetViews>
    <sheetView topLeftCell="F1" zoomScale="82" zoomScaleNormal="82" workbookViewId="0">
      <pane ySplit="3" topLeftCell="A10" activePane="bottomLeft" state="frozen"/>
      <selection pane="bottomLeft" activeCell="I21" sqref="I21"/>
    </sheetView>
  </sheetViews>
  <sheetFormatPr defaultRowHeight="14.4" x14ac:dyDescent="0.3"/>
  <cols>
    <col min="2" max="2" width="20.88671875" style="1" customWidth="1"/>
    <col min="3" max="3" width="47.109375" style="1" customWidth="1"/>
    <col min="4" max="4" width="19.21875" style="1" customWidth="1"/>
    <col min="5" max="5" width="20.5546875" style="1" customWidth="1"/>
    <col min="6" max="6" width="20" style="1" customWidth="1"/>
    <col min="7" max="7" width="18.6640625" customWidth="1"/>
    <col min="8" max="8" width="22.88671875" style="1" customWidth="1"/>
    <col min="9" max="9" width="39.5546875" customWidth="1"/>
    <col min="10" max="10" width="15.44140625" customWidth="1"/>
    <col min="11" max="11" width="19.21875" style="1" customWidth="1"/>
    <col min="12" max="12" width="22.21875" customWidth="1"/>
    <col min="14" max="14" width="80.5546875" customWidth="1"/>
  </cols>
  <sheetData>
    <row r="2" spans="2:14" ht="21" x14ac:dyDescent="0.4">
      <c r="B2" s="499" t="s">
        <v>20</v>
      </c>
      <c r="C2" s="499"/>
      <c r="D2" s="499"/>
      <c r="E2" s="499"/>
      <c r="F2" s="499"/>
      <c r="H2" s="499" t="s">
        <v>21</v>
      </c>
      <c r="I2" s="499"/>
      <c r="J2" s="499"/>
      <c r="K2" s="499"/>
      <c r="L2" s="499"/>
    </row>
    <row r="3" spans="2:14" ht="21" x14ac:dyDescent="0.4">
      <c r="B3" s="6" t="s">
        <v>22</v>
      </c>
      <c r="C3" s="6" t="s">
        <v>2</v>
      </c>
      <c r="D3" s="6" t="s">
        <v>23</v>
      </c>
      <c r="E3" s="6" t="s">
        <v>24</v>
      </c>
      <c r="F3" s="6" t="s">
        <v>25</v>
      </c>
      <c r="H3" s="6" t="s">
        <v>22</v>
      </c>
      <c r="I3" s="6" t="s">
        <v>2</v>
      </c>
      <c r="J3" s="6" t="s">
        <v>23</v>
      </c>
      <c r="K3" s="6" t="s">
        <v>24</v>
      </c>
      <c r="L3" s="6" t="s">
        <v>25</v>
      </c>
    </row>
    <row r="4" spans="2:14" ht="21" x14ac:dyDescent="0.3">
      <c r="B4" s="20">
        <v>45617</v>
      </c>
      <c r="C4" s="36" t="s">
        <v>78</v>
      </c>
      <c r="D4" s="2">
        <v>1</v>
      </c>
      <c r="E4" s="2">
        <v>1</v>
      </c>
      <c r="F4" s="2">
        <f>D4-E4</f>
        <v>0</v>
      </c>
      <c r="H4" s="20">
        <v>45695</v>
      </c>
      <c r="I4" s="36" t="s">
        <v>80</v>
      </c>
      <c r="J4" s="2">
        <v>17</v>
      </c>
      <c r="K4" s="2">
        <v>17</v>
      </c>
      <c r="L4" s="2">
        <f>J4-K4</f>
        <v>0</v>
      </c>
    </row>
    <row r="5" spans="2:14" ht="21" x14ac:dyDescent="0.3">
      <c r="B5" s="20">
        <v>45612</v>
      </c>
      <c r="C5" s="36" t="s">
        <v>80</v>
      </c>
      <c r="D5" s="2">
        <v>3</v>
      </c>
      <c r="E5" s="2">
        <v>3</v>
      </c>
      <c r="F5" s="2">
        <f t="shared" ref="F5:F68" si="0">D5-E5</f>
        <v>0</v>
      </c>
      <c r="H5" s="2" t="s">
        <v>128</v>
      </c>
      <c r="I5" s="36" t="s">
        <v>78</v>
      </c>
      <c r="J5" s="2">
        <v>100</v>
      </c>
      <c r="K5" s="2">
        <v>100</v>
      </c>
      <c r="L5" s="2">
        <f t="shared" ref="L5:L41" si="1">J5-K5</f>
        <v>0</v>
      </c>
    </row>
    <row r="6" spans="2:14" ht="21" x14ac:dyDescent="0.3">
      <c r="B6" s="20">
        <v>45644</v>
      </c>
      <c r="C6" s="36" t="s">
        <v>80</v>
      </c>
      <c r="D6" s="2">
        <v>32</v>
      </c>
      <c r="E6" s="2">
        <v>32</v>
      </c>
      <c r="F6" s="2">
        <f t="shared" si="0"/>
        <v>0</v>
      </c>
      <c r="H6" s="2"/>
      <c r="I6" s="2"/>
      <c r="J6" s="2"/>
      <c r="K6" s="2"/>
      <c r="L6" s="2">
        <f t="shared" si="1"/>
        <v>0</v>
      </c>
      <c r="N6" s="27" t="s">
        <v>53</v>
      </c>
    </row>
    <row r="7" spans="2:14" ht="21" x14ac:dyDescent="0.4">
      <c r="B7" s="20">
        <v>45652</v>
      </c>
      <c r="C7" s="36" t="s">
        <v>80</v>
      </c>
      <c r="D7" s="2">
        <v>40</v>
      </c>
      <c r="E7" s="2">
        <v>40</v>
      </c>
      <c r="F7" s="2">
        <f t="shared" si="0"/>
        <v>0</v>
      </c>
      <c r="H7" s="271">
        <v>45831</v>
      </c>
      <c r="I7" s="93" t="s">
        <v>690</v>
      </c>
      <c r="J7" s="2">
        <v>4</v>
      </c>
      <c r="K7" s="2">
        <v>4</v>
      </c>
      <c r="L7" s="2">
        <f t="shared" si="1"/>
        <v>0</v>
      </c>
      <c r="N7" t="s">
        <v>52</v>
      </c>
    </row>
    <row r="8" spans="2:14" ht="21" x14ac:dyDescent="0.3">
      <c r="B8" s="20">
        <v>45652</v>
      </c>
      <c r="C8" s="36" t="s">
        <v>80</v>
      </c>
      <c r="D8" s="2">
        <v>75</v>
      </c>
      <c r="E8" s="2">
        <v>75</v>
      </c>
      <c r="F8" s="2">
        <f t="shared" si="0"/>
        <v>0</v>
      </c>
      <c r="H8" s="2"/>
      <c r="I8" s="2"/>
      <c r="J8" s="2"/>
      <c r="K8" s="2"/>
      <c r="L8" s="2">
        <f t="shared" si="1"/>
        <v>0</v>
      </c>
    </row>
    <row r="9" spans="2:14" ht="21" x14ac:dyDescent="0.4">
      <c r="B9" s="20">
        <v>45652</v>
      </c>
      <c r="C9" s="36" t="s">
        <v>81</v>
      </c>
      <c r="D9" s="2">
        <v>10</v>
      </c>
      <c r="E9" s="2">
        <v>8</v>
      </c>
      <c r="F9" s="2">
        <f t="shared" si="0"/>
        <v>2</v>
      </c>
      <c r="H9" s="271">
        <v>45870</v>
      </c>
      <c r="I9" s="94" t="s">
        <v>861</v>
      </c>
      <c r="J9" s="19">
        <v>10</v>
      </c>
      <c r="K9" s="2">
        <v>10</v>
      </c>
      <c r="L9" s="2">
        <f t="shared" si="1"/>
        <v>0</v>
      </c>
    </row>
    <row r="10" spans="2:14" ht="21" x14ac:dyDescent="0.4">
      <c r="B10" s="20">
        <v>45652</v>
      </c>
      <c r="C10" s="43" t="s">
        <v>86</v>
      </c>
      <c r="D10" s="2">
        <v>1</v>
      </c>
      <c r="E10" s="2">
        <v>1</v>
      </c>
      <c r="F10" s="2">
        <f t="shared" si="0"/>
        <v>0</v>
      </c>
      <c r="H10" s="271">
        <v>45870</v>
      </c>
      <c r="I10" s="94" t="s">
        <v>861</v>
      </c>
      <c r="J10" s="19">
        <v>5</v>
      </c>
      <c r="K10" s="2">
        <v>5</v>
      </c>
      <c r="L10" s="2">
        <f t="shared" si="1"/>
        <v>0</v>
      </c>
      <c r="N10" s="27" t="s">
        <v>54</v>
      </c>
    </row>
    <row r="11" spans="2:14" ht="21" x14ac:dyDescent="0.4">
      <c r="B11" s="20">
        <v>45652</v>
      </c>
      <c r="C11" s="43" t="s">
        <v>92</v>
      </c>
      <c r="D11" s="2">
        <v>11</v>
      </c>
      <c r="E11" s="2">
        <v>11</v>
      </c>
      <c r="F11" s="2">
        <f>D11-E11</f>
        <v>0</v>
      </c>
      <c r="H11" s="271">
        <v>45870</v>
      </c>
      <c r="I11" s="190" t="s">
        <v>923</v>
      </c>
      <c r="J11" s="19">
        <v>2</v>
      </c>
      <c r="K11" s="8">
        <v>2</v>
      </c>
      <c r="L11" s="8">
        <f t="shared" si="1"/>
        <v>0</v>
      </c>
      <c r="N11" s="26" t="s">
        <v>51</v>
      </c>
    </row>
    <row r="12" spans="2:14" ht="21" x14ac:dyDescent="0.4">
      <c r="B12" s="20"/>
      <c r="C12" s="43"/>
      <c r="D12" s="2"/>
      <c r="E12" s="2"/>
      <c r="F12" s="2">
        <f>D12-E12</f>
        <v>0</v>
      </c>
      <c r="H12" s="271">
        <v>45870</v>
      </c>
      <c r="I12" s="94" t="s">
        <v>861</v>
      </c>
      <c r="J12" s="19">
        <v>1</v>
      </c>
      <c r="K12" s="19">
        <v>1</v>
      </c>
      <c r="L12" s="19">
        <f t="shared" si="1"/>
        <v>0</v>
      </c>
    </row>
    <row r="13" spans="2:14" ht="21" x14ac:dyDescent="0.4">
      <c r="B13" s="20">
        <v>45709</v>
      </c>
      <c r="C13" s="43" t="s">
        <v>86</v>
      </c>
      <c r="D13" s="8">
        <v>1</v>
      </c>
      <c r="E13" s="8">
        <v>1</v>
      </c>
      <c r="F13" s="8">
        <f>D13-E13</f>
        <v>0</v>
      </c>
      <c r="H13" s="271">
        <v>45870</v>
      </c>
      <c r="I13" s="190" t="s">
        <v>690</v>
      </c>
      <c r="J13" s="383">
        <v>20</v>
      </c>
      <c r="K13" s="19"/>
      <c r="L13" s="19">
        <f t="shared" si="1"/>
        <v>20</v>
      </c>
    </row>
    <row r="14" spans="2:14" ht="21" x14ac:dyDescent="0.4">
      <c r="B14" s="20">
        <v>45709</v>
      </c>
      <c r="C14" s="43" t="s">
        <v>87</v>
      </c>
      <c r="D14" s="19">
        <v>1</v>
      </c>
      <c r="E14" s="19">
        <v>1</v>
      </c>
      <c r="F14" s="8">
        <f>D14-E14</f>
        <v>0</v>
      </c>
      <c r="H14" s="271">
        <v>45870</v>
      </c>
      <c r="I14" s="94" t="s">
        <v>861</v>
      </c>
      <c r="J14" s="19">
        <v>1</v>
      </c>
      <c r="K14" s="19">
        <v>1</v>
      </c>
      <c r="L14" s="19">
        <f t="shared" si="1"/>
        <v>0</v>
      </c>
    </row>
    <row r="15" spans="2:14" ht="21" x14ac:dyDescent="0.4">
      <c r="B15" s="20">
        <v>45709</v>
      </c>
      <c r="C15" s="43" t="s">
        <v>122</v>
      </c>
      <c r="D15" s="19">
        <v>10</v>
      </c>
      <c r="E15" s="19"/>
      <c r="F15" s="8">
        <f t="shared" si="0"/>
        <v>10</v>
      </c>
      <c r="H15" s="19"/>
      <c r="I15" s="18"/>
      <c r="J15" s="18"/>
      <c r="K15" s="19"/>
      <c r="L15" s="19">
        <f t="shared" si="1"/>
        <v>0</v>
      </c>
    </row>
    <row r="16" spans="2:14" ht="21" x14ac:dyDescent="0.4">
      <c r="B16" s="19"/>
      <c r="C16" s="19"/>
      <c r="D16" s="19"/>
      <c r="E16" s="19"/>
      <c r="F16" s="8">
        <f t="shared" si="0"/>
        <v>0</v>
      </c>
      <c r="H16" s="271">
        <v>45895</v>
      </c>
      <c r="I16" s="94" t="s">
        <v>690</v>
      </c>
      <c r="J16" s="18">
        <v>10</v>
      </c>
      <c r="K16" s="19">
        <v>4</v>
      </c>
      <c r="L16" s="19">
        <f t="shared" si="1"/>
        <v>6</v>
      </c>
    </row>
    <row r="17" spans="2:12" ht="21" x14ac:dyDescent="0.4">
      <c r="B17" s="82">
        <v>45730</v>
      </c>
      <c r="C17" s="93" t="s">
        <v>84</v>
      </c>
      <c r="D17" s="19">
        <v>5</v>
      </c>
      <c r="E17" s="19">
        <v>5</v>
      </c>
      <c r="F17" s="8">
        <f t="shared" si="0"/>
        <v>0</v>
      </c>
      <c r="H17" s="271">
        <v>45895</v>
      </c>
      <c r="I17" s="94" t="s">
        <v>690</v>
      </c>
      <c r="J17" s="18">
        <v>10</v>
      </c>
      <c r="K17" s="19">
        <v>6</v>
      </c>
      <c r="L17" s="19">
        <f t="shared" si="1"/>
        <v>4</v>
      </c>
    </row>
    <row r="18" spans="2:12" ht="21" x14ac:dyDescent="0.4">
      <c r="B18" s="82">
        <v>45730</v>
      </c>
      <c r="C18" s="94" t="s">
        <v>202</v>
      </c>
      <c r="D18" s="19">
        <v>8</v>
      </c>
      <c r="E18" s="19">
        <v>8</v>
      </c>
      <c r="F18" s="8">
        <f t="shared" si="0"/>
        <v>0</v>
      </c>
      <c r="H18" s="19"/>
      <c r="I18" s="18"/>
      <c r="J18" s="18"/>
      <c r="K18" s="19"/>
      <c r="L18" s="19">
        <f t="shared" si="1"/>
        <v>0</v>
      </c>
    </row>
    <row r="19" spans="2:12" ht="21" x14ac:dyDescent="0.4">
      <c r="B19" s="19"/>
      <c r="C19" s="19"/>
      <c r="D19" s="19"/>
      <c r="E19" s="19"/>
      <c r="F19" s="8">
        <f t="shared" si="0"/>
        <v>0</v>
      </c>
      <c r="H19" s="336">
        <v>45880</v>
      </c>
      <c r="I19" s="335" t="s">
        <v>123</v>
      </c>
      <c r="J19" s="18">
        <v>50</v>
      </c>
      <c r="K19" s="19">
        <v>50</v>
      </c>
      <c r="L19" s="19">
        <f t="shared" si="1"/>
        <v>0</v>
      </c>
    </row>
    <row r="20" spans="2:12" ht="21" x14ac:dyDescent="0.4">
      <c r="B20" s="82">
        <v>45733</v>
      </c>
      <c r="C20" s="94" t="s">
        <v>202</v>
      </c>
      <c r="D20" s="19">
        <v>3</v>
      </c>
      <c r="E20" s="19">
        <v>3</v>
      </c>
      <c r="F20" s="8">
        <f t="shared" si="0"/>
        <v>0</v>
      </c>
      <c r="H20" s="19"/>
      <c r="I20" s="18"/>
      <c r="J20" s="18"/>
      <c r="K20" s="19"/>
      <c r="L20" s="19">
        <f t="shared" si="1"/>
        <v>0</v>
      </c>
    </row>
    <row r="21" spans="2:12" ht="21" x14ac:dyDescent="0.4">
      <c r="B21" s="19"/>
      <c r="C21" s="19"/>
      <c r="D21" s="19"/>
      <c r="E21" s="19"/>
      <c r="F21" s="8">
        <f t="shared" si="0"/>
        <v>0</v>
      </c>
      <c r="H21" s="439">
        <v>45889</v>
      </c>
      <c r="I21" s="94" t="s">
        <v>690</v>
      </c>
      <c r="J21" s="18">
        <v>5</v>
      </c>
      <c r="K21" s="19"/>
      <c r="L21" s="19">
        <f t="shared" si="1"/>
        <v>5</v>
      </c>
    </row>
    <row r="22" spans="2:12" ht="21" x14ac:dyDescent="0.4">
      <c r="B22" s="82">
        <v>45739</v>
      </c>
      <c r="C22" s="94" t="s">
        <v>266</v>
      </c>
      <c r="D22" s="19">
        <v>1</v>
      </c>
      <c r="E22" s="19">
        <v>1</v>
      </c>
      <c r="F22" s="8">
        <f t="shared" si="0"/>
        <v>0</v>
      </c>
      <c r="H22" s="439">
        <v>45889</v>
      </c>
      <c r="I22" s="94" t="s">
        <v>690</v>
      </c>
      <c r="J22" s="18">
        <v>1</v>
      </c>
      <c r="K22" s="19">
        <v>1</v>
      </c>
      <c r="L22" s="19">
        <f t="shared" si="1"/>
        <v>0</v>
      </c>
    </row>
    <row r="23" spans="2:12" ht="21" x14ac:dyDescent="0.4">
      <c r="B23" s="82">
        <v>45739</v>
      </c>
      <c r="C23" s="94" t="s">
        <v>266</v>
      </c>
      <c r="D23" s="19">
        <v>2</v>
      </c>
      <c r="E23" s="19">
        <v>2</v>
      </c>
      <c r="F23" s="8">
        <f t="shared" si="0"/>
        <v>0</v>
      </c>
      <c r="H23" s="439">
        <v>45889</v>
      </c>
      <c r="I23" s="94" t="s">
        <v>690</v>
      </c>
      <c r="J23" s="18">
        <v>1</v>
      </c>
      <c r="K23" s="19">
        <v>1</v>
      </c>
      <c r="L23" s="19">
        <f t="shared" si="1"/>
        <v>0</v>
      </c>
    </row>
    <row r="24" spans="2:12" ht="21" x14ac:dyDescent="0.4">
      <c r="B24" s="82">
        <v>45740</v>
      </c>
      <c r="C24" s="94" t="s">
        <v>266</v>
      </c>
      <c r="D24" s="19">
        <v>2</v>
      </c>
      <c r="E24" s="19">
        <v>2</v>
      </c>
      <c r="F24" s="8">
        <f t="shared" si="0"/>
        <v>0</v>
      </c>
      <c r="H24" s="439">
        <v>45889</v>
      </c>
      <c r="I24" s="94" t="s">
        <v>690</v>
      </c>
      <c r="J24" s="18">
        <v>4</v>
      </c>
      <c r="K24" s="19"/>
      <c r="L24" s="19">
        <f t="shared" si="1"/>
        <v>4</v>
      </c>
    </row>
    <row r="25" spans="2:12" ht="21" x14ac:dyDescent="0.4">
      <c r="B25" s="82">
        <v>45740</v>
      </c>
      <c r="C25" s="94" t="s">
        <v>266</v>
      </c>
      <c r="D25" s="19">
        <v>2</v>
      </c>
      <c r="E25" s="19">
        <v>2</v>
      </c>
      <c r="F25" s="8">
        <f t="shared" si="0"/>
        <v>0</v>
      </c>
      <c r="H25" s="439">
        <v>45895</v>
      </c>
      <c r="I25" s="335" t="s">
        <v>123</v>
      </c>
      <c r="J25" s="18">
        <v>50</v>
      </c>
      <c r="K25" s="19"/>
      <c r="L25" s="19">
        <f t="shared" si="1"/>
        <v>50</v>
      </c>
    </row>
    <row r="26" spans="2:12" ht="21" x14ac:dyDescent="0.4">
      <c r="B26" s="19"/>
      <c r="C26" s="19"/>
      <c r="D26" s="19"/>
      <c r="E26" s="19"/>
      <c r="F26" s="8">
        <f t="shared" si="0"/>
        <v>0</v>
      </c>
      <c r="H26" s="439">
        <v>45895</v>
      </c>
      <c r="I26" s="335" t="s">
        <v>123</v>
      </c>
      <c r="J26" s="18">
        <v>50</v>
      </c>
      <c r="K26" s="19"/>
      <c r="L26" s="19">
        <f t="shared" si="1"/>
        <v>50</v>
      </c>
    </row>
    <row r="27" spans="2:12" ht="21" x14ac:dyDescent="0.4">
      <c r="B27" s="82">
        <v>45742</v>
      </c>
      <c r="C27" s="94" t="s">
        <v>266</v>
      </c>
      <c r="D27" s="19">
        <v>10</v>
      </c>
      <c r="E27" s="19">
        <v>10</v>
      </c>
      <c r="F27" s="8">
        <f t="shared" si="0"/>
        <v>0</v>
      </c>
      <c r="H27" s="19"/>
      <c r="I27" s="18"/>
      <c r="J27" s="18"/>
      <c r="K27" s="19"/>
      <c r="L27" s="19">
        <f t="shared" si="1"/>
        <v>0</v>
      </c>
    </row>
    <row r="28" spans="2:12" ht="21" x14ac:dyDescent="0.3">
      <c r="B28" s="82">
        <v>45742</v>
      </c>
      <c r="C28" s="93" t="s">
        <v>84</v>
      </c>
      <c r="D28" s="19">
        <v>2</v>
      </c>
      <c r="E28" s="19">
        <v>2</v>
      </c>
      <c r="F28" s="8">
        <f t="shared" si="0"/>
        <v>0</v>
      </c>
      <c r="H28" s="19"/>
      <c r="I28" s="18"/>
      <c r="J28" s="18"/>
      <c r="K28" s="19"/>
      <c r="L28" s="19">
        <f t="shared" si="1"/>
        <v>0</v>
      </c>
    </row>
    <row r="29" spans="2:12" x14ac:dyDescent="0.3">
      <c r="B29" s="19"/>
      <c r="C29" s="19"/>
      <c r="D29" s="19"/>
      <c r="E29" s="19"/>
      <c r="F29" s="8">
        <f t="shared" si="0"/>
        <v>0</v>
      </c>
      <c r="H29" s="19"/>
      <c r="I29" s="18"/>
      <c r="J29" s="18"/>
      <c r="K29" s="19"/>
      <c r="L29" s="19">
        <f t="shared" si="1"/>
        <v>0</v>
      </c>
    </row>
    <row r="30" spans="2:12" ht="21" x14ac:dyDescent="0.4">
      <c r="B30" s="82">
        <v>45743</v>
      </c>
      <c r="C30" s="94" t="s">
        <v>266</v>
      </c>
      <c r="D30" s="19">
        <v>10</v>
      </c>
      <c r="E30" s="19">
        <v>10</v>
      </c>
      <c r="F30" s="8">
        <f t="shared" si="0"/>
        <v>0</v>
      </c>
      <c r="H30" s="19"/>
      <c r="I30" s="18"/>
      <c r="J30" s="18"/>
      <c r="K30" s="19"/>
      <c r="L30" s="19">
        <f t="shared" si="1"/>
        <v>0</v>
      </c>
    </row>
    <row r="31" spans="2:12" ht="21" x14ac:dyDescent="0.4">
      <c r="B31" s="82">
        <v>45743</v>
      </c>
      <c r="C31" s="103" t="s">
        <v>302</v>
      </c>
      <c r="D31" s="19">
        <v>2</v>
      </c>
      <c r="E31" s="19">
        <v>2</v>
      </c>
      <c r="F31" s="8">
        <f t="shared" si="0"/>
        <v>0</v>
      </c>
      <c r="H31" s="19"/>
      <c r="I31" s="18"/>
      <c r="J31" s="18"/>
      <c r="K31" s="19"/>
      <c r="L31" s="19">
        <f t="shared" si="1"/>
        <v>0</v>
      </c>
    </row>
    <row r="32" spans="2:12" x14ac:dyDescent="0.3">
      <c r="B32" s="19"/>
      <c r="C32" s="19"/>
      <c r="D32" s="19"/>
      <c r="E32" s="19"/>
      <c r="F32" s="8">
        <f t="shared" si="0"/>
        <v>0</v>
      </c>
      <c r="H32" s="19"/>
      <c r="I32" s="18"/>
      <c r="J32" s="18"/>
      <c r="K32" s="19"/>
      <c r="L32" s="19">
        <f t="shared" si="1"/>
        <v>0</v>
      </c>
    </row>
    <row r="33" spans="2:12" ht="21" x14ac:dyDescent="0.4">
      <c r="B33" s="82">
        <v>45744</v>
      </c>
      <c r="C33" s="94" t="s">
        <v>266</v>
      </c>
      <c r="D33" s="19">
        <v>2</v>
      </c>
      <c r="E33" s="19">
        <v>2</v>
      </c>
      <c r="F33" s="8">
        <f t="shared" si="0"/>
        <v>0</v>
      </c>
      <c r="H33" s="19"/>
      <c r="I33" s="18"/>
      <c r="J33" s="18"/>
      <c r="K33" s="19"/>
      <c r="L33" s="19">
        <f t="shared" si="1"/>
        <v>0</v>
      </c>
    </row>
    <row r="34" spans="2:12" ht="21" x14ac:dyDescent="0.4">
      <c r="B34" s="82">
        <v>45744</v>
      </c>
      <c r="C34" s="103" t="s">
        <v>302</v>
      </c>
      <c r="D34" s="19">
        <v>1</v>
      </c>
      <c r="E34" s="19">
        <v>1</v>
      </c>
      <c r="F34" s="8">
        <f t="shared" si="0"/>
        <v>0</v>
      </c>
      <c r="H34" s="19"/>
      <c r="I34" s="18"/>
      <c r="J34" s="18"/>
      <c r="K34" s="19"/>
      <c r="L34" s="19">
        <f t="shared" si="1"/>
        <v>0</v>
      </c>
    </row>
    <row r="35" spans="2:12" ht="21" x14ac:dyDescent="0.4">
      <c r="B35" s="82">
        <v>45744</v>
      </c>
      <c r="C35" s="94" t="s">
        <v>123</v>
      </c>
      <c r="D35" s="19">
        <v>4</v>
      </c>
      <c r="E35" s="19">
        <v>4</v>
      </c>
      <c r="F35" s="8">
        <f t="shared" si="0"/>
        <v>0</v>
      </c>
      <c r="H35" s="19"/>
      <c r="I35" s="18"/>
      <c r="J35" s="18"/>
      <c r="K35" s="19"/>
      <c r="L35" s="19">
        <f t="shared" si="1"/>
        <v>0</v>
      </c>
    </row>
    <row r="36" spans="2:12" ht="21" x14ac:dyDescent="0.4">
      <c r="B36" s="82">
        <v>45744</v>
      </c>
      <c r="C36" s="94" t="s">
        <v>303</v>
      </c>
      <c r="D36" s="19">
        <v>3</v>
      </c>
      <c r="E36" s="19">
        <v>3</v>
      </c>
      <c r="F36" s="8">
        <f t="shared" si="0"/>
        <v>0</v>
      </c>
      <c r="H36" s="19"/>
      <c r="I36" s="18"/>
      <c r="J36" s="18"/>
      <c r="K36" s="19"/>
      <c r="L36" s="19">
        <f t="shared" si="1"/>
        <v>0</v>
      </c>
    </row>
    <row r="37" spans="2:12" x14ac:dyDescent="0.3">
      <c r="B37" s="19"/>
      <c r="C37" s="19"/>
      <c r="D37" s="19"/>
      <c r="E37" s="19"/>
      <c r="F37" s="8">
        <f t="shared" si="0"/>
        <v>0</v>
      </c>
      <c r="H37" s="19"/>
      <c r="I37" s="18"/>
      <c r="J37" s="18"/>
      <c r="K37" s="19"/>
      <c r="L37" s="19">
        <f t="shared" si="1"/>
        <v>0</v>
      </c>
    </row>
    <row r="38" spans="2:12" ht="21" x14ac:dyDescent="0.4">
      <c r="B38" s="82">
        <v>45745</v>
      </c>
      <c r="C38" s="94" t="s">
        <v>266</v>
      </c>
      <c r="D38" s="19">
        <v>2</v>
      </c>
      <c r="E38" s="19">
        <v>2</v>
      </c>
      <c r="F38" s="8">
        <f t="shared" si="0"/>
        <v>0</v>
      </c>
      <c r="H38" s="19"/>
      <c r="I38" s="18"/>
      <c r="J38" s="18"/>
      <c r="K38" s="19"/>
      <c r="L38" s="19">
        <f t="shared" si="1"/>
        <v>0</v>
      </c>
    </row>
    <row r="39" spans="2:12" ht="21" x14ac:dyDescent="0.4">
      <c r="B39" s="82">
        <v>45745</v>
      </c>
      <c r="C39" s="103" t="s">
        <v>302</v>
      </c>
      <c r="D39" s="19">
        <v>2</v>
      </c>
      <c r="E39" s="19">
        <v>2</v>
      </c>
      <c r="F39" s="8">
        <f t="shared" si="0"/>
        <v>0</v>
      </c>
      <c r="H39" s="19"/>
      <c r="I39" s="18"/>
      <c r="J39" s="18"/>
      <c r="K39" s="19"/>
      <c r="L39" s="19">
        <f t="shared" si="1"/>
        <v>0</v>
      </c>
    </row>
    <row r="40" spans="2:12" ht="21" x14ac:dyDescent="0.3">
      <c r="B40" s="153">
        <v>45745</v>
      </c>
      <c r="C40" s="154" t="s">
        <v>84</v>
      </c>
      <c r="D40" s="76">
        <v>1</v>
      </c>
      <c r="E40" s="76">
        <v>1</v>
      </c>
      <c r="F40" s="8">
        <f t="shared" si="0"/>
        <v>0</v>
      </c>
      <c r="H40" s="19"/>
      <c r="I40" s="18"/>
      <c r="J40" s="18"/>
      <c r="K40" s="19"/>
      <c r="L40" s="19">
        <f t="shared" si="1"/>
        <v>0</v>
      </c>
    </row>
    <row r="41" spans="2:12" ht="21" x14ac:dyDescent="0.4">
      <c r="B41" s="82">
        <v>45749</v>
      </c>
      <c r="C41" s="94" t="s">
        <v>334</v>
      </c>
      <c r="D41" s="19">
        <v>4</v>
      </c>
      <c r="E41" s="19">
        <v>4</v>
      </c>
      <c r="F41" s="19">
        <f t="shared" si="0"/>
        <v>0</v>
      </c>
      <c r="H41" s="19"/>
      <c r="I41" s="18"/>
      <c r="J41" s="18"/>
      <c r="K41" s="19"/>
      <c r="L41" s="19">
        <f t="shared" si="1"/>
        <v>0</v>
      </c>
    </row>
    <row r="42" spans="2:12" ht="21" x14ac:dyDescent="0.4">
      <c r="B42" s="82">
        <v>45749</v>
      </c>
      <c r="C42" s="94" t="s">
        <v>266</v>
      </c>
      <c r="D42" s="19">
        <v>9</v>
      </c>
      <c r="E42" s="19">
        <v>9</v>
      </c>
      <c r="F42" s="19">
        <f t="shared" si="0"/>
        <v>0</v>
      </c>
    </row>
    <row r="43" spans="2:12" ht="21" x14ac:dyDescent="0.3">
      <c r="B43" s="82">
        <v>45749</v>
      </c>
      <c r="C43" s="116" t="s">
        <v>84</v>
      </c>
      <c r="D43" s="19">
        <v>1</v>
      </c>
      <c r="E43" s="19">
        <v>1</v>
      </c>
      <c r="F43" s="19">
        <f t="shared" si="0"/>
        <v>0</v>
      </c>
    </row>
    <row r="44" spans="2:12" ht="21" x14ac:dyDescent="0.3">
      <c r="B44" s="82">
        <v>45749</v>
      </c>
      <c r="C44" s="85" t="s">
        <v>133</v>
      </c>
      <c r="D44" s="19">
        <v>1</v>
      </c>
      <c r="E44" s="19">
        <v>1</v>
      </c>
      <c r="F44" s="19">
        <f t="shared" si="0"/>
        <v>0</v>
      </c>
    </row>
    <row r="45" spans="2:12" x14ac:dyDescent="0.3">
      <c r="B45" s="19"/>
      <c r="C45" s="19"/>
      <c r="D45" s="19"/>
      <c r="E45" s="19"/>
      <c r="F45" s="19">
        <f t="shared" si="0"/>
        <v>0</v>
      </c>
    </row>
    <row r="46" spans="2:12" ht="21" x14ac:dyDescent="0.4">
      <c r="B46" s="82">
        <v>45747</v>
      </c>
      <c r="C46" s="94" t="s">
        <v>123</v>
      </c>
      <c r="D46" s="19">
        <v>10</v>
      </c>
      <c r="E46" s="19">
        <v>10</v>
      </c>
      <c r="F46" s="19">
        <f t="shared" si="0"/>
        <v>0</v>
      </c>
    </row>
    <row r="47" spans="2:12" ht="21" x14ac:dyDescent="0.4">
      <c r="B47" s="82">
        <v>45747</v>
      </c>
      <c r="C47" s="94" t="s">
        <v>303</v>
      </c>
      <c r="D47" s="53">
        <v>10</v>
      </c>
      <c r="E47" s="19">
        <v>10</v>
      </c>
      <c r="F47" s="19">
        <f t="shared" si="0"/>
        <v>0</v>
      </c>
      <c r="I47" s="53" t="s">
        <v>99</v>
      </c>
      <c r="J47" s="53" t="s">
        <v>98</v>
      </c>
    </row>
    <row r="48" spans="2:12" ht="21" x14ac:dyDescent="0.3">
      <c r="B48" s="19"/>
      <c r="C48" s="36"/>
      <c r="D48" s="19"/>
      <c r="E48" s="19"/>
      <c r="F48" s="19">
        <f t="shared" si="0"/>
        <v>0</v>
      </c>
      <c r="I48" s="54" t="s">
        <v>80</v>
      </c>
      <c r="J48" s="18">
        <f>SUMIF(I4:I30, I48, L4:L30)</f>
        <v>0</v>
      </c>
    </row>
    <row r="49" spans="2:10" ht="21" x14ac:dyDescent="0.3">
      <c r="B49" s="82">
        <v>45750</v>
      </c>
      <c r="C49" s="116" t="s">
        <v>84</v>
      </c>
      <c r="D49" s="19">
        <v>1</v>
      </c>
      <c r="E49" s="19">
        <v>1</v>
      </c>
      <c r="F49" s="19">
        <f t="shared" si="0"/>
        <v>0</v>
      </c>
      <c r="I49" s="36" t="s">
        <v>78</v>
      </c>
      <c r="J49" s="18">
        <f>SUMIF(I5:I31, I49, L5:L31)</f>
        <v>0</v>
      </c>
    </row>
    <row r="50" spans="2:10" ht="21" x14ac:dyDescent="0.3">
      <c r="B50" s="19"/>
      <c r="C50" s="36"/>
      <c r="D50" s="19"/>
      <c r="E50" s="19"/>
      <c r="F50" s="19">
        <f t="shared" si="0"/>
        <v>0</v>
      </c>
      <c r="I50" s="18"/>
      <c r="J50" s="18"/>
    </row>
    <row r="51" spans="2:10" ht="21" x14ac:dyDescent="0.4">
      <c r="B51" s="82">
        <v>45751</v>
      </c>
      <c r="C51" s="103" t="s">
        <v>302</v>
      </c>
      <c r="D51" s="19">
        <v>1</v>
      </c>
      <c r="E51" s="19">
        <v>1</v>
      </c>
      <c r="F51" s="19">
        <f t="shared" si="0"/>
        <v>0</v>
      </c>
      <c r="I51" s="18"/>
      <c r="J51" s="18"/>
    </row>
    <row r="52" spans="2:10" ht="21" x14ac:dyDescent="0.4">
      <c r="B52" s="82"/>
      <c r="C52" s="94"/>
      <c r="D52" s="19"/>
      <c r="E52" s="19"/>
      <c r="F52" s="19">
        <f t="shared" si="0"/>
        <v>0</v>
      </c>
      <c r="I52" s="18"/>
      <c r="J52" s="18"/>
    </row>
    <row r="53" spans="2:10" ht="21" x14ac:dyDescent="0.3">
      <c r="B53" s="82"/>
      <c r="C53" s="116"/>
      <c r="D53" s="19"/>
      <c r="E53" s="19"/>
      <c r="F53" s="19">
        <f t="shared" si="0"/>
        <v>0</v>
      </c>
      <c r="I53" s="18"/>
      <c r="J53" s="18"/>
    </row>
    <row r="54" spans="2:10" ht="21" x14ac:dyDescent="0.3">
      <c r="B54" s="82">
        <v>45757</v>
      </c>
      <c r="C54" s="116" t="s">
        <v>84</v>
      </c>
      <c r="D54" s="19">
        <v>8</v>
      </c>
      <c r="E54" s="19">
        <v>8</v>
      </c>
      <c r="F54" s="19">
        <f t="shared" si="0"/>
        <v>0</v>
      </c>
    </row>
    <row r="55" spans="2:10" ht="21" x14ac:dyDescent="0.3">
      <c r="B55" s="82">
        <v>45757</v>
      </c>
      <c r="C55" s="116" t="s">
        <v>84</v>
      </c>
      <c r="D55" s="19">
        <v>2</v>
      </c>
      <c r="E55" s="19">
        <v>2</v>
      </c>
      <c r="F55" s="19">
        <f t="shared" si="0"/>
        <v>0</v>
      </c>
    </row>
    <row r="56" spans="2:10" x14ac:dyDescent="0.3">
      <c r="B56" s="19"/>
      <c r="C56" s="19"/>
      <c r="D56" s="19"/>
      <c r="E56" s="19"/>
      <c r="F56" s="19">
        <f t="shared" si="0"/>
        <v>0</v>
      </c>
    </row>
    <row r="57" spans="2:10" ht="21" x14ac:dyDescent="0.4">
      <c r="B57" s="82">
        <v>45759</v>
      </c>
      <c r="C57" s="94" t="s">
        <v>266</v>
      </c>
      <c r="D57" s="19">
        <v>2</v>
      </c>
      <c r="E57" s="19">
        <v>2</v>
      </c>
      <c r="F57" s="19">
        <f t="shared" si="0"/>
        <v>0</v>
      </c>
    </row>
    <row r="58" spans="2:10" ht="21" x14ac:dyDescent="0.3">
      <c r="B58" s="82">
        <v>45759</v>
      </c>
      <c r="C58" s="116" t="s">
        <v>84</v>
      </c>
      <c r="D58" s="19">
        <v>1</v>
      </c>
      <c r="E58" s="19">
        <v>1</v>
      </c>
      <c r="F58" s="19">
        <f t="shared" si="0"/>
        <v>0</v>
      </c>
    </row>
    <row r="59" spans="2:10" ht="21" x14ac:dyDescent="0.4">
      <c r="B59" s="82">
        <v>45759</v>
      </c>
      <c r="C59" s="94" t="s">
        <v>398</v>
      </c>
      <c r="D59" s="19">
        <v>3</v>
      </c>
      <c r="E59" s="19">
        <v>3</v>
      </c>
      <c r="F59" s="19">
        <f t="shared" si="0"/>
        <v>0</v>
      </c>
    </row>
    <row r="60" spans="2:10" x14ac:dyDescent="0.3">
      <c r="B60" s="19"/>
      <c r="C60" s="19"/>
      <c r="D60" s="19"/>
      <c r="E60" s="19"/>
      <c r="F60" s="19">
        <f t="shared" si="0"/>
        <v>0</v>
      </c>
    </row>
    <row r="61" spans="2:10" ht="21" x14ac:dyDescent="0.4">
      <c r="B61" s="82">
        <v>45759</v>
      </c>
      <c r="C61" s="94" t="s">
        <v>266</v>
      </c>
      <c r="D61" s="19">
        <v>15</v>
      </c>
      <c r="E61" s="19">
        <v>15</v>
      </c>
      <c r="F61" s="19">
        <f t="shared" si="0"/>
        <v>0</v>
      </c>
    </row>
    <row r="62" spans="2:10" ht="21" x14ac:dyDescent="0.4">
      <c r="B62" s="82">
        <v>45759</v>
      </c>
      <c r="C62" s="94" t="s">
        <v>266</v>
      </c>
      <c r="D62" s="19">
        <v>10</v>
      </c>
      <c r="E62" s="19">
        <v>10</v>
      </c>
      <c r="F62" s="19">
        <f t="shared" si="0"/>
        <v>0</v>
      </c>
    </row>
    <row r="63" spans="2:10" ht="21" x14ac:dyDescent="0.4">
      <c r="B63" s="82">
        <v>45759</v>
      </c>
      <c r="C63" s="94" t="s">
        <v>266</v>
      </c>
      <c r="D63" s="19">
        <v>5</v>
      </c>
      <c r="E63" s="19">
        <v>5</v>
      </c>
      <c r="F63" s="19">
        <f t="shared" si="0"/>
        <v>0</v>
      </c>
    </row>
    <row r="64" spans="2:10" x14ac:dyDescent="0.3">
      <c r="B64" s="19"/>
      <c r="C64" s="19"/>
      <c r="D64" s="19"/>
      <c r="E64" s="19"/>
      <c r="F64" s="19">
        <f t="shared" si="0"/>
        <v>0</v>
      </c>
    </row>
    <row r="65" spans="2:7" ht="21" x14ac:dyDescent="0.4">
      <c r="B65" s="82">
        <v>45759</v>
      </c>
      <c r="C65" s="94" t="s">
        <v>380</v>
      </c>
      <c r="D65" s="19">
        <v>10</v>
      </c>
      <c r="E65" s="19">
        <v>10</v>
      </c>
      <c r="F65" s="19">
        <f t="shared" si="0"/>
        <v>0</v>
      </c>
    </row>
    <row r="66" spans="2:7" x14ac:dyDescent="0.3">
      <c r="B66" s="19"/>
      <c r="C66" s="19"/>
      <c r="D66" s="19"/>
      <c r="E66" s="19"/>
      <c r="F66" s="19">
        <f t="shared" si="0"/>
        <v>0</v>
      </c>
    </row>
    <row r="67" spans="2:7" ht="21" x14ac:dyDescent="0.3">
      <c r="B67" s="82">
        <v>45759</v>
      </c>
      <c r="C67" s="85" t="s">
        <v>482</v>
      </c>
      <c r="D67" s="19">
        <v>20</v>
      </c>
      <c r="E67" s="19"/>
      <c r="F67" s="19">
        <f t="shared" si="0"/>
        <v>20</v>
      </c>
      <c r="G67" t="s">
        <v>753</v>
      </c>
    </row>
    <row r="68" spans="2:7" x14ac:dyDescent="0.3">
      <c r="B68" s="19"/>
      <c r="C68" s="19"/>
      <c r="D68" s="19"/>
      <c r="E68" s="19"/>
      <c r="F68" s="19">
        <f t="shared" si="0"/>
        <v>0</v>
      </c>
    </row>
    <row r="69" spans="2:7" ht="21" x14ac:dyDescent="0.3">
      <c r="B69" s="82">
        <v>45760</v>
      </c>
      <c r="C69" s="116" t="s">
        <v>84</v>
      </c>
      <c r="D69" s="19">
        <v>18</v>
      </c>
      <c r="E69" s="19">
        <v>18</v>
      </c>
      <c r="F69" s="19">
        <f t="shared" ref="F69:F116" si="2">D69-E69</f>
        <v>0</v>
      </c>
    </row>
    <row r="70" spans="2:7" ht="21" x14ac:dyDescent="0.4">
      <c r="B70" s="82">
        <v>45760</v>
      </c>
      <c r="C70" s="94" t="s">
        <v>380</v>
      </c>
      <c r="D70" s="19">
        <v>5</v>
      </c>
      <c r="E70" s="19">
        <v>5</v>
      </c>
      <c r="F70" s="19">
        <f t="shared" si="2"/>
        <v>0</v>
      </c>
    </row>
    <row r="71" spans="2:7" ht="21" x14ac:dyDescent="0.3">
      <c r="B71" s="82">
        <v>45760</v>
      </c>
      <c r="C71" s="116" t="s">
        <v>84</v>
      </c>
      <c r="D71" s="19">
        <v>10</v>
      </c>
      <c r="E71" s="19">
        <v>10</v>
      </c>
      <c r="F71" s="19">
        <f t="shared" si="2"/>
        <v>0</v>
      </c>
    </row>
    <row r="72" spans="2:7" x14ac:dyDescent="0.3">
      <c r="B72" s="19"/>
      <c r="C72" s="19"/>
      <c r="D72" s="19"/>
      <c r="E72" s="19"/>
      <c r="F72" s="19">
        <f t="shared" si="2"/>
        <v>0</v>
      </c>
    </row>
    <row r="73" spans="2:7" ht="21" x14ac:dyDescent="0.3">
      <c r="B73" s="82">
        <v>45760</v>
      </c>
      <c r="C73" s="85" t="s">
        <v>482</v>
      </c>
      <c r="D73" s="19">
        <v>20</v>
      </c>
      <c r="E73" s="19">
        <v>20</v>
      </c>
      <c r="F73" s="19">
        <f t="shared" si="2"/>
        <v>0</v>
      </c>
    </row>
    <row r="74" spans="2:7" ht="21" x14ac:dyDescent="0.3">
      <c r="B74" s="82">
        <v>45760</v>
      </c>
      <c r="C74" s="116" t="s">
        <v>84</v>
      </c>
      <c r="D74" s="19">
        <v>3</v>
      </c>
      <c r="E74" s="19">
        <v>3</v>
      </c>
      <c r="F74" s="19">
        <f t="shared" si="2"/>
        <v>0</v>
      </c>
    </row>
    <row r="75" spans="2:7" x14ac:dyDescent="0.3">
      <c r="B75" s="19"/>
      <c r="C75" s="19"/>
      <c r="D75" s="19"/>
      <c r="E75" s="19"/>
      <c r="F75" s="19">
        <f t="shared" si="2"/>
        <v>0</v>
      </c>
    </row>
    <row r="76" spans="2:7" ht="21" x14ac:dyDescent="0.4">
      <c r="B76" s="82">
        <v>45762</v>
      </c>
      <c r="C76" s="94" t="s">
        <v>380</v>
      </c>
      <c r="D76" s="43">
        <v>2</v>
      </c>
      <c r="E76" s="19">
        <v>2</v>
      </c>
      <c r="F76" s="19">
        <f t="shared" si="2"/>
        <v>0</v>
      </c>
    </row>
    <row r="77" spans="2:7" ht="21" x14ac:dyDescent="0.4">
      <c r="B77" s="82">
        <v>45762</v>
      </c>
      <c r="C77" s="94" t="s">
        <v>380</v>
      </c>
      <c r="D77" s="43">
        <v>1</v>
      </c>
      <c r="E77" s="19">
        <v>1</v>
      </c>
      <c r="F77" s="19">
        <f t="shared" si="2"/>
        <v>0</v>
      </c>
    </row>
    <row r="78" spans="2:7" ht="21" x14ac:dyDescent="0.4">
      <c r="B78" s="82">
        <v>45762</v>
      </c>
      <c r="C78" s="94" t="s">
        <v>266</v>
      </c>
      <c r="D78" s="43">
        <v>2</v>
      </c>
      <c r="E78" s="19">
        <v>2</v>
      </c>
      <c r="F78" s="19">
        <f t="shared" si="2"/>
        <v>0</v>
      </c>
    </row>
    <row r="79" spans="2:7" x14ac:dyDescent="0.3">
      <c r="B79" s="19"/>
      <c r="C79" s="19"/>
      <c r="D79" s="19"/>
      <c r="E79" s="19"/>
      <c r="F79" s="19">
        <f t="shared" si="2"/>
        <v>0</v>
      </c>
    </row>
    <row r="80" spans="2:7" ht="21" x14ac:dyDescent="0.4">
      <c r="B80" s="82">
        <v>45763</v>
      </c>
      <c r="C80" s="103" t="s">
        <v>549</v>
      </c>
      <c r="D80" s="43">
        <v>2</v>
      </c>
      <c r="E80" s="19"/>
      <c r="F80" s="19">
        <f t="shared" si="2"/>
        <v>2</v>
      </c>
      <c r="G80" t="s">
        <v>753</v>
      </c>
    </row>
    <row r="81" spans="2:7" ht="21" x14ac:dyDescent="0.4">
      <c r="B81" s="82">
        <v>45763</v>
      </c>
      <c r="C81" s="85" t="s">
        <v>492</v>
      </c>
      <c r="D81" s="43">
        <v>4</v>
      </c>
      <c r="E81" s="19">
        <v>4</v>
      </c>
      <c r="F81" s="19">
        <f t="shared" si="2"/>
        <v>0</v>
      </c>
      <c r="G81" t="s">
        <v>753</v>
      </c>
    </row>
    <row r="82" spans="2:7" ht="21" x14ac:dyDescent="0.4">
      <c r="B82" s="82">
        <v>45763</v>
      </c>
      <c r="C82" s="103" t="s">
        <v>550</v>
      </c>
      <c r="D82" s="43">
        <v>2</v>
      </c>
      <c r="E82" s="19"/>
      <c r="F82" s="19">
        <f t="shared" si="2"/>
        <v>2</v>
      </c>
      <c r="G82" t="s">
        <v>753</v>
      </c>
    </row>
    <row r="83" spans="2:7" x14ac:dyDescent="0.3">
      <c r="B83" s="19"/>
      <c r="C83" s="19"/>
      <c r="D83" s="19"/>
      <c r="E83" s="19"/>
      <c r="F83" s="19">
        <f t="shared" si="2"/>
        <v>0</v>
      </c>
    </row>
    <row r="84" spans="2:7" ht="21" x14ac:dyDescent="0.4">
      <c r="B84" s="82">
        <v>45769</v>
      </c>
      <c r="C84" s="103" t="s">
        <v>390</v>
      </c>
      <c r="D84" s="19">
        <v>5</v>
      </c>
      <c r="E84" s="19">
        <v>5</v>
      </c>
      <c r="F84" s="19">
        <f t="shared" si="2"/>
        <v>0</v>
      </c>
    </row>
    <row r="85" spans="2:7" ht="21" x14ac:dyDescent="0.4">
      <c r="B85" s="82">
        <v>45769</v>
      </c>
      <c r="C85" s="103" t="s">
        <v>390</v>
      </c>
      <c r="D85" s="19">
        <v>1</v>
      </c>
      <c r="E85" s="19">
        <v>1</v>
      </c>
      <c r="F85" s="19">
        <f t="shared" si="2"/>
        <v>0</v>
      </c>
    </row>
    <row r="86" spans="2:7" ht="21" x14ac:dyDescent="0.4">
      <c r="B86" s="82">
        <v>45769</v>
      </c>
      <c r="C86" s="103" t="s">
        <v>266</v>
      </c>
      <c r="D86" s="19">
        <v>9</v>
      </c>
      <c r="E86" s="19">
        <v>9</v>
      </c>
      <c r="F86" s="19">
        <f t="shared" si="2"/>
        <v>0</v>
      </c>
    </row>
    <row r="87" spans="2:7" x14ac:dyDescent="0.3">
      <c r="B87" s="19"/>
      <c r="C87" s="19"/>
      <c r="D87" s="19"/>
      <c r="E87" s="19"/>
      <c r="F87" s="19">
        <f t="shared" si="2"/>
        <v>0</v>
      </c>
    </row>
    <row r="88" spans="2:7" ht="21" x14ac:dyDescent="0.3">
      <c r="B88" s="82">
        <v>45793</v>
      </c>
      <c r="C88" s="85" t="s">
        <v>512</v>
      </c>
      <c r="D88" s="19">
        <v>12</v>
      </c>
      <c r="E88" s="19">
        <v>12</v>
      </c>
      <c r="F88" s="19">
        <f t="shared" si="2"/>
        <v>0</v>
      </c>
    </row>
    <row r="89" spans="2:7" ht="21" x14ac:dyDescent="0.3">
      <c r="B89" s="82">
        <v>45793</v>
      </c>
      <c r="C89" s="85" t="s">
        <v>513</v>
      </c>
      <c r="D89" s="19">
        <v>10</v>
      </c>
      <c r="E89" s="19">
        <v>10</v>
      </c>
      <c r="F89" s="19">
        <f t="shared" si="2"/>
        <v>0</v>
      </c>
    </row>
    <row r="90" spans="2:7" x14ac:dyDescent="0.3">
      <c r="B90" s="19"/>
      <c r="C90" s="19"/>
      <c r="D90" s="19"/>
      <c r="E90" s="19"/>
      <c r="F90" s="19">
        <f t="shared" si="2"/>
        <v>0</v>
      </c>
    </row>
    <row r="91" spans="2:7" ht="21" x14ac:dyDescent="0.4">
      <c r="B91" s="82">
        <v>45794</v>
      </c>
      <c r="C91" s="103" t="s">
        <v>692</v>
      </c>
      <c r="D91" s="19">
        <v>2</v>
      </c>
      <c r="E91" s="19">
        <v>2</v>
      </c>
      <c r="F91" s="19">
        <f t="shared" si="2"/>
        <v>0</v>
      </c>
    </row>
    <row r="92" spans="2:7" x14ac:dyDescent="0.3">
      <c r="B92" s="19"/>
      <c r="C92" s="19"/>
      <c r="D92" s="19"/>
      <c r="E92" s="19"/>
      <c r="F92" s="19">
        <f t="shared" si="2"/>
        <v>0</v>
      </c>
    </row>
    <row r="93" spans="2:7" ht="21" x14ac:dyDescent="0.3">
      <c r="B93" s="82">
        <v>45794</v>
      </c>
      <c r="C93" s="93" t="s">
        <v>690</v>
      </c>
      <c r="D93" s="19">
        <v>4</v>
      </c>
      <c r="E93" s="19">
        <v>4</v>
      </c>
      <c r="F93" s="19">
        <f t="shared" si="2"/>
        <v>0</v>
      </c>
    </row>
    <row r="94" spans="2:7" ht="21" x14ac:dyDescent="0.3">
      <c r="B94" s="82">
        <v>45795</v>
      </c>
      <c r="C94" s="93" t="s">
        <v>681</v>
      </c>
      <c r="D94" s="19">
        <v>2</v>
      </c>
      <c r="E94" s="19">
        <v>2</v>
      </c>
      <c r="F94" s="19">
        <f t="shared" si="2"/>
        <v>0</v>
      </c>
    </row>
    <row r="95" spans="2:7" ht="21" x14ac:dyDescent="0.3">
      <c r="B95" s="82">
        <v>45795</v>
      </c>
      <c r="C95" s="93" t="s">
        <v>681</v>
      </c>
      <c r="D95" s="19">
        <v>30</v>
      </c>
      <c r="E95" s="19">
        <v>30</v>
      </c>
      <c r="F95" s="19">
        <f t="shared" si="2"/>
        <v>0</v>
      </c>
    </row>
    <row r="96" spans="2:7" x14ac:dyDescent="0.3">
      <c r="B96" s="19"/>
      <c r="C96" s="19"/>
      <c r="D96" s="19"/>
      <c r="E96" s="19"/>
      <c r="F96" s="19">
        <f t="shared" si="2"/>
        <v>0</v>
      </c>
    </row>
    <row r="97" spans="2:7" ht="21" x14ac:dyDescent="0.4">
      <c r="B97" s="271"/>
      <c r="C97" s="103"/>
      <c r="D97" s="19"/>
      <c r="E97" s="19"/>
      <c r="F97" s="19">
        <f t="shared" si="2"/>
        <v>0</v>
      </c>
    </row>
    <row r="98" spans="2:7" x14ac:dyDescent="0.3">
      <c r="B98" s="19"/>
      <c r="C98" s="19"/>
      <c r="D98" s="19"/>
      <c r="E98" s="19"/>
      <c r="F98" s="19">
        <f t="shared" si="2"/>
        <v>0</v>
      </c>
    </row>
    <row r="99" spans="2:7" ht="21" x14ac:dyDescent="0.3">
      <c r="B99" s="73">
        <v>45826</v>
      </c>
      <c r="C99" s="93" t="s">
        <v>84</v>
      </c>
      <c r="D99" s="19">
        <v>1</v>
      </c>
      <c r="E99" s="19">
        <v>1</v>
      </c>
      <c r="F99" s="19">
        <f t="shared" si="2"/>
        <v>0</v>
      </c>
    </row>
    <row r="100" spans="2:7" ht="21" x14ac:dyDescent="0.4">
      <c r="B100" s="73">
        <v>45826</v>
      </c>
      <c r="C100" s="94" t="s">
        <v>818</v>
      </c>
      <c r="D100" s="19">
        <v>1</v>
      </c>
      <c r="E100" s="19">
        <v>1</v>
      </c>
      <c r="F100" s="19">
        <f t="shared" si="2"/>
        <v>0</v>
      </c>
    </row>
    <row r="101" spans="2:7" ht="21" x14ac:dyDescent="0.4">
      <c r="B101" s="271">
        <v>45832</v>
      </c>
      <c r="C101" s="93" t="s">
        <v>84</v>
      </c>
      <c r="D101" s="19">
        <v>2</v>
      </c>
      <c r="E101" s="19">
        <v>2</v>
      </c>
      <c r="F101" s="19">
        <f t="shared" si="2"/>
        <v>0</v>
      </c>
    </row>
    <row r="102" spans="2:7" ht="21" x14ac:dyDescent="0.4">
      <c r="B102" s="271">
        <v>45832</v>
      </c>
      <c r="C102" s="94" t="s">
        <v>690</v>
      </c>
      <c r="D102" s="19">
        <v>4</v>
      </c>
      <c r="E102" s="19">
        <v>4</v>
      </c>
      <c r="F102" s="19">
        <f t="shared" si="2"/>
        <v>0</v>
      </c>
      <c r="G102" t="s">
        <v>883</v>
      </c>
    </row>
    <row r="103" spans="2:7" ht="21" x14ac:dyDescent="0.4">
      <c r="B103" s="82">
        <v>45840</v>
      </c>
      <c r="C103" s="94" t="s">
        <v>860</v>
      </c>
      <c r="D103" s="19">
        <v>1</v>
      </c>
      <c r="E103" s="19">
        <v>1</v>
      </c>
      <c r="F103" s="19">
        <f t="shared" si="2"/>
        <v>0</v>
      </c>
    </row>
    <row r="104" spans="2:7" ht="21" x14ac:dyDescent="0.4">
      <c r="B104" s="82">
        <v>45840</v>
      </c>
      <c r="C104" s="94" t="s">
        <v>690</v>
      </c>
      <c r="D104" s="19">
        <v>1</v>
      </c>
      <c r="E104" s="19">
        <v>1</v>
      </c>
      <c r="F104" s="19">
        <f t="shared" si="2"/>
        <v>0</v>
      </c>
    </row>
    <row r="105" spans="2:7" ht="21" x14ac:dyDescent="0.4">
      <c r="B105" s="82">
        <v>45841</v>
      </c>
      <c r="C105" s="94" t="s">
        <v>690</v>
      </c>
      <c r="D105" s="19">
        <v>4</v>
      </c>
      <c r="E105" s="19">
        <v>4</v>
      </c>
      <c r="F105" s="19">
        <f t="shared" si="2"/>
        <v>0</v>
      </c>
    </row>
    <row r="106" spans="2:7" ht="21" x14ac:dyDescent="0.4">
      <c r="B106" s="82">
        <v>45867</v>
      </c>
      <c r="C106" s="94" t="s">
        <v>830</v>
      </c>
      <c r="D106" s="19">
        <v>1</v>
      </c>
      <c r="E106" s="19">
        <v>1</v>
      </c>
      <c r="F106" s="19">
        <f t="shared" si="2"/>
        <v>0</v>
      </c>
    </row>
    <row r="107" spans="2:7" ht="21" x14ac:dyDescent="0.4">
      <c r="B107" s="82">
        <v>45867</v>
      </c>
      <c r="C107" s="94" t="s">
        <v>830</v>
      </c>
      <c r="D107" s="19">
        <v>1</v>
      </c>
      <c r="E107" s="19">
        <v>1</v>
      </c>
      <c r="F107" s="19">
        <f t="shared" si="2"/>
        <v>0</v>
      </c>
    </row>
    <row r="108" spans="2:7" ht="21" x14ac:dyDescent="0.4">
      <c r="B108" s="82"/>
      <c r="C108" s="94"/>
      <c r="D108" s="19"/>
      <c r="E108" s="19"/>
      <c r="F108" s="19">
        <f t="shared" si="2"/>
        <v>0</v>
      </c>
    </row>
    <row r="109" spans="2:7" ht="21" x14ac:dyDescent="0.4">
      <c r="B109" s="82">
        <v>45866</v>
      </c>
      <c r="C109" s="94" t="s">
        <v>830</v>
      </c>
      <c r="D109" s="19">
        <v>2</v>
      </c>
      <c r="E109" s="19">
        <v>2</v>
      </c>
      <c r="F109" s="19">
        <f t="shared" si="2"/>
        <v>0</v>
      </c>
    </row>
    <row r="110" spans="2:7" ht="21" x14ac:dyDescent="0.4">
      <c r="B110" s="278">
        <v>45871</v>
      </c>
      <c r="C110" s="139" t="s">
        <v>690</v>
      </c>
      <c r="D110" s="19">
        <v>2</v>
      </c>
      <c r="E110" s="19">
        <v>2</v>
      </c>
      <c r="F110" s="19">
        <f t="shared" si="2"/>
        <v>0</v>
      </c>
    </row>
    <row r="111" spans="2:7" ht="21" x14ac:dyDescent="0.4">
      <c r="B111" s="278">
        <v>45880</v>
      </c>
      <c r="C111" s="139" t="s">
        <v>76</v>
      </c>
      <c r="D111" s="19">
        <v>30</v>
      </c>
      <c r="E111" s="19">
        <v>30</v>
      </c>
      <c r="F111" s="19">
        <f t="shared" si="2"/>
        <v>0</v>
      </c>
    </row>
    <row r="112" spans="2:7" ht="21" x14ac:dyDescent="0.4">
      <c r="B112" s="271">
        <v>45883</v>
      </c>
      <c r="C112" s="139" t="s">
        <v>76</v>
      </c>
      <c r="D112" s="19">
        <v>24</v>
      </c>
      <c r="E112" s="19">
        <v>24</v>
      </c>
      <c r="F112" s="19">
        <f t="shared" si="2"/>
        <v>0</v>
      </c>
    </row>
    <row r="113" spans="2:6" ht="21" x14ac:dyDescent="0.4">
      <c r="B113" s="271">
        <v>45883</v>
      </c>
      <c r="C113" s="139" t="s">
        <v>76</v>
      </c>
      <c r="D113" s="19">
        <v>20</v>
      </c>
      <c r="E113" s="19">
        <v>19</v>
      </c>
      <c r="F113" s="19">
        <f t="shared" si="2"/>
        <v>1</v>
      </c>
    </row>
    <row r="114" spans="2:6" ht="21" x14ac:dyDescent="0.4">
      <c r="B114" s="351" t="s">
        <v>1160</v>
      </c>
      <c r="C114" s="349" t="s">
        <v>76</v>
      </c>
      <c r="D114" s="19">
        <v>5</v>
      </c>
      <c r="E114" s="19"/>
      <c r="F114" s="19">
        <f t="shared" si="2"/>
        <v>5</v>
      </c>
    </row>
    <row r="115" spans="2:6" ht="21" x14ac:dyDescent="0.4">
      <c r="B115" s="439">
        <v>45895</v>
      </c>
      <c r="C115" s="349" t="s">
        <v>76</v>
      </c>
      <c r="D115" s="19">
        <v>60</v>
      </c>
      <c r="E115" s="19">
        <v>60</v>
      </c>
      <c r="F115" s="19">
        <f t="shared" si="2"/>
        <v>0</v>
      </c>
    </row>
    <row r="116" spans="2:6" ht="21" x14ac:dyDescent="0.4">
      <c r="B116" s="278">
        <v>45895</v>
      </c>
      <c r="C116" s="139" t="s">
        <v>76</v>
      </c>
      <c r="D116" s="19">
        <v>56</v>
      </c>
      <c r="E116" s="19">
        <v>56</v>
      </c>
      <c r="F116" s="19">
        <f t="shared" si="2"/>
        <v>0</v>
      </c>
    </row>
    <row r="117" spans="2:6" ht="21" x14ac:dyDescent="0.4">
      <c r="B117" s="278">
        <v>45902</v>
      </c>
      <c r="C117" s="127" t="s">
        <v>810</v>
      </c>
      <c r="D117" s="19">
        <v>10</v>
      </c>
      <c r="E117" s="19">
        <v>10</v>
      </c>
      <c r="F117" s="19">
        <f t="shared" ref="F117:F118" si="3">D117-E117</f>
        <v>0</v>
      </c>
    </row>
    <row r="118" spans="2:6" ht="21" x14ac:dyDescent="0.4">
      <c r="B118" s="278">
        <v>45902</v>
      </c>
      <c r="C118" s="239" t="s">
        <v>903</v>
      </c>
      <c r="D118" s="19">
        <v>20</v>
      </c>
      <c r="E118" s="19"/>
      <c r="F118" s="19">
        <f t="shared" si="3"/>
        <v>20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543"/>
  <sheetViews>
    <sheetView topLeftCell="C223" zoomScale="69" zoomScaleNormal="69" workbookViewId="0">
      <selection activeCell="I112" sqref="I112:N113"/>
    </sheetView>
  </sheetViews>
  <sheetFormatPr defaultRowHeight="14.4" x14ac:dyDescent="0.3"/>
  <cols>
    <col min="2" max="2" width="14.88671875" customWidth="1"/>
    <col min="3" max="3" width="75.33203125" customWidth="1"/>
    <col min="4" max="4" width="8.88671875" style="125"/>
    <col min="5" max="5" width="18.6640625" customWidth="1"/>
    <col min="6" max="6" width="20.5546875" customWidth="1"/>
    <col min="7" max="7" width="22.88671875" style="63" customWidth="1"/>
    <col min="9" max="9" width="14.44140625" style="1" customWidth="1"/>
    <col min="10" max="10" width="57.44140625" customWidth="1"/>
    <col min="11" max="11" width="6.5546875" customWidth="1"/>
    <col min="12" max="12" width="17.109375" customWidth="1"/>
    <col min="13" max="13" width="18.44140625" customWidth="1"/>
    <col min="14" max="14" width="22.5546875" style="62" customWidth="1"/>
  </cols>
  <sheetData>
    <row r="2" spans="2:14" ht="23.4" x14ac:dyDescent="0.45">
      <c r="G2" s="500" t="s">
        <v>26</v>
      </c>
      <c r="H2" s="500"/>
      <c r="I2" s="500"/>
    </row>
    <row r="3" spans="2:14" x14ac:dyDescent="0.3">
      <c r="B3" s="501" t="s">
        <v>27</v>
      </c>
      <c r="C3" s="502"/>
      <c r="I3" s="501" t="s">
        <v>27</v>
      </c>
      <c r="J3" s="502"/>
    </row>
    <row r="4" spans="2:14" ht="21" x14ac:dyDescent="0.4">
      <c r="B4" s="499" t="s">
        <v>28</v>
      </c>
      <c r="C4" s="499"/>
      <c r="D4" s="499"/>
      <c r="E4" s="499"/>
      <c r="F4" s="499"/>
      <c r="G4" s="499"/>
      <c r="I4" s="499" t="s">
        <v>21</v>
      </c>
      <c r="J4" s="499"/>
      <c r="K4" s="499"/>
      <c r="L4" s="499"/>
      <c r="M4" s="499"/>
      <c r="N4" s="499"/>
    </row>
    <row r="5" spans="2:14" ht="18" x14ac:dyDescent="0.35">
      <c r="B5" s="46" t="s">
        <v>1</v>
      </c>
      <c r="C5" s="46" t="s">
        <v>2</v>
      </c>
      <c r="D5" s="118" t="s">
        <v>3</v>
      </c>
      <c r="E5" s="46" t="s">
        <v>4</v>
      </c>
      <c r="F5" s="46" t="s">
        <v>29</v>
      </c>
      <c r="G5" s="64" t="s">
        <v>26</v>
      </c>
      <c r="I5" s="47" t="s">
        <v>1</v>
      </c>
      <c r="J5" s="47" t="s">
        <v>2</v>
      </c>
      <c r="K5" s="47" t="s">
        <v>3</v>
      </c>
      <c r="L5" s="47" t="s">
        <v>107</v>
      </c>
      <c r="M5" s="47" t="s">
        <v>108</v>
      </c>
      <c r="N5" s="70" t="s">
        <v>26</v>
      </c>
    </row>
    <row r="6" spans="2:14" ht="24" customHeight="1" x14ac:dyDescent="0.3">
      <c r="B6" s="20">
        <v>45701</v>
      </c>
      <c r="C6" s="21" t="s">
        <v>42</v>
      </c>
      <c r="D6" s="119">
        <v>5</v>
      </c>
      <c r="E6" s="56">
        <v>188</v>
      </c>
      <c r="F6" s="7">
        <f>E6*D6</f>
        <v>940</v>
      </c>
      <c r="G6" s="65">
        <f>F6/11</f>
        <v>85.454545454545453</v>
      </c>
      <c r="I6" s="20">
        <v>45672</v>
      </c>
      <c r="J6" s="21" t="s">
        <v>34</v>
      </c>
      <c r="K6" s="55">
        <v>19</v>
      </c>
      <c r="L6" s="72">
        <v>580</v>
      </c>
      <c r="M6" s="2">
        <f>L6*K6</f>
        <v>11020</v>
      </c>
      <c r="N6" s="71">
        <f>M6*13.04/100</f>
        <v>1437.0079999999998</v>
      </c>
    </row>
    <row r="7" spans="2:14" ht="20.25" customHeight="1" x14ac:dyDescent="0.3">
      <c r="B7" s="20">
        <v>45701</v>
      </c>
      <c r="C7" s="21" t="s">
        <v>43</v>
      </c>
      <c r="D7" s="119">
        <v>125</v>
      </c>
      <c r="E7" s="56">
        <v>133.30000000000001</v>
      </c>
      <c r="F7" s="7">
        <f t="shared" ref="F7:F18" si="0">E7*D7</f>
        <v>16662.5</v>
      </c>
      <c r="G7" s="65">
        <f t="shared" ref="G7:G36" si="1">F7/11</f>
        <v>1514.7727272727273</v>
      </c>
      <c r="I7" s="2"/>
      <c r="J7" s="2"/>
      <c r="K7" s="2"/>
      <c r="L7" s="2"/>
      <c r="M7" s="2">
        <f t="shared" ref="M7:M34" si="2">L7*K7</f>
        <v>0</v>
      </c>
      <c r="N7" s="71">
        <f t="shared" ref="N7:N34" si="3">M7*13.04/100</f>
        <v>0</v>
      </c>
    </row>
    <row r="8" spans="2:14" x14ac:dyDescent="0.3">
      <c r="B8" s="2"/>
      <c r="C8" s="2"/>
      <c r="D8" s="120"/>
      <c r="E8" s="2"/>
      <c r="F8" s="7">
        <f t="shared" si="0"/>
        <v>0</v>
      </c>
      <c r="G8" s="65">
        <f t="shared" si="1"/>
        <v>0</v>
      </c>
      <c r="I8" s="20">
        <v>45695</v>
      </c>
      <c r="J8" s="21" t="s">
        <v>37</v>
      </c>
      <c r="K8" s="55">
        <v>500</v>
      </c>
      <c r="L8" s="72">
        <v>630</v>
      </c>
      <c r="M8" s="2">
        <f t="shared" si="2"/>
        <v>315000</v>
      </c>
      <c r="N8" s="71">
        <f t="shared" si="3"/>
        <v>41075.999999999993</v>
      </c>
    </row>
    <row r="9" spans="2:14" x14ac:dyDescent="0.3">
      <c r="B9" s="8"/>
      <c r="C9" s="8"/>
      <c r="D9" s="121"/>
      <c r="E9" s="8"/>
      <c r="F9" s="7">
        <f t="shared" si="0"/>
        <v>0</v>
      </c>
      <c r="G9" s="65">
        <f t="shared" si="1"/>
        <v>0</v>
      </c>
      <c r="I9" s="20">
        <v>45695</v>
      </c>
      <c r="J9" s="21" t="s">
        <v>38</v>
      </c>
      <c r="K9" s="55">
        <v>150</v>
      </c>
      <c r="L9" s="72">
        <v>148</v>
      </c>
      <c r="M9" s="2">
        <f t="shared" si="2"/>
        <v>22200</v>
      </c>
      <c r="N9" s="71">
        <f t="shared" si="3"/>
        <v>2894.88</v>
      </c>
    </row>
    <row r="10" spans="2:14" x14ac:dyDescent="0.3">
      <c r="B10" s="20">
        <v>45709</v>
      </c>
      <c r="C10" s="21" t="s">
        <v>100</v>
      </c>
      <c r="D10" s="119">
        <v>1</v>
      </c>
      <c r="E10" s="56">
        <v>1919</v>
      </c>
      <c r="F10" s="7">
        <f t="shared" si="0"/>
        <v>1919</v>
      </c>
      <c r="G10" s="65">
        <f t="shared" si="1"/>
        <v>174.45454545454547</v>
      </c>
      <c r="I10" s="20">
        <v>45695</v>
      </c>
      <c r="J10" s="21" t="s">
        <v>39</v>
      </c>
      <c r="K10" s="55">
        <v>50</v>
      </c>
      <c r="L10" s="72">
        <v>145</v>
      </c>
      <c r="M10" s="2">
        <f t="shared" si="2"/>
        <v>7250</v>
      </c>
      <c r="N10" s="71">
        <f t="shared" si="3"/>
        <v>945.4</v>
      </c>
    </row>
    <row r="11" spans="2:14" x14ac:dyDescent="0.3">
      <c r="B11" s="20">
        <v>45709</v>
      </c>
      <c r="C11" s="21" t="s">
        <v>101</v>
      </c>
      <c r="D11" s="119">
        <v>1</v>
      </c>
      <c r="E11" s="56">
        <v>1934</v>
      </c>
      <c r="F11" s="7">
        <f t="shared" si="0"/>
        <v>1934</v>
      </c>
      <c r="G11" s="65">
        <f t="shared" si="1"/>
        <v>175.81818181818181</v>
      </c>
      <c r="I11" s="20">
        <v>45695</v>
      </c>
      <c r="J11" s="21" t="s">
        <v>40</v>
      </c>
      <c r="K11" s="55">
        <v>250</v>
      </c>
      <c r="L11" s="72">
        <v>149</v>
      </c>
      <c r="M11" s="2">
        <f t="shared" si="2"/>
        <v>37250</v>
      </c>
      <c r="N11" s="71">
        <f t="shared" si="3"/>
        <v>4857.3999999999996</v>
      </c>
    </row>
    <row r="12" spans="2:14" x14ac:dyDescent="0.3">
      <c r="B12" s="20">
        <v>45709</v>
      </c>
      <c r="C12" s="21" t="s">
        <v>102</v>
      </c>
      <c r="D12" s="119">
        <v>7</v>
      </c>
      <c r="E12" s="56">
        <v>2349</v>
      </c>
      <c r="F12" s="7">
        <f t="shared" si="0"/>
        <v>16443</v>
      </c>
      <c r="G12" s="65">
        <f t="shared" si="1"/>
        <v>1494.8181818181818</v>
      </c>
      <c r="I12" s="19"/>
      <c r="J12" s="18"/>
      <c r="K12" s="18"/>
      <c r="L12" s="18"/>
      <c r="M12" s="2">
        <f t="shared" si="2"/>
        <v>0</v>
      </c>
      <c r="N12" s="71">
        <f t="shared" si="3"/>
        <v>0</v>
      </c>
    </row>
    <row r="13" spans="2:14" x14ac:dyDescent="0.3">
      <c r="B13" s="20">
        <v>45709</v>
      </c>
      <c r="C13" s="21" t="s">
        <v>103</v>
      </c>
      <c r="D13" s="119">
        <v>1</v>
      </c>
      <c r="E13" s="56">
        <v>2349</v>
      </c>
      <c r="F13" s="7">
        <f t="shared" si="0"/>
        <v>2349</v>
      </c>
      <c r="G13" s="65">
        <f t="shared" si="1"/>
        <v>213.54545454545453</v>
      </c>
      <c r="I13" s="20">
        <v>45705</v>
      </c>
      <c r="J13" s="21" t="s">
        <v>40</v>
      </c>
      <c r="K13" s="55">
        <v>250</v>
      </c>
      <c r="L13" s="72">
        <v>149</v>
      </c>
      <c r="M13" s="2">
        <f t="shared" si="2"/>
        <v>37250</v>
      </c>
      <c r="N13" s="71">
        <f t="shared" si="3"/>
        <v>4857.3999999999996</v>
      </c>
    </row>
    <row r="14" spans="2:14" ht="28.2" x14ac:dyDescent="0.3">
      <c r="B14" s="20">
        <v>45709</v>
      </c>
      <c r="C14" s="21" t="s">
        <v>104</v>
      </c>
      <c r="D14" s="119">
        <v>1</v>
      </c>
      <c r="E14" s="56">
        <v>2349</v>
      </c>
      <c r="F14" s="7">
        <f t="shared" si="0"/>
        <v>2349</v>
      </c>
      <c r="G14" s="65">
        <f t="shared" si="1"/>
        <v>213.54545454545453</v>
      </c>
      <c r="I14" s="19"/>
      <c r="J14" s="18"/>
      <c r="K14" s="18"/>
      <c r="L14" s="18"/>
      <c r="M14" s="2">
        <f t="shared" si="2"/>
        <v>0</v>
      </c>
      <c r="N14" s="71">
        <f t="shared" si="3"/>
        <v>0</v>
      </c>
    </row>
    <row r="15" spans="2:14" ht="31.2" x14ac:dyDescent="0.3">
      <c r="B15" s="20">
        <v>45709</v>
      </c>
      <c r="C15" s="57" t="s">
        <v>105</v>
      </c>
      <c r="D15" s="119">
        <v>10</v>
      </c>
      <c r="E15" s="56">
        <v>188</v>
      </c>
      <c r="F15" s="7">
        <f t="shared" si="0"/>
        <v>1880</v>
      </c>
      <c r="G15" s="65">
        <f t="shared" si="1"/>
        <v>170.90909090909091</v>
      </c>
      <c r="I15" s="20">
        <v>45706</v>
      </c>
      <c r="J15" s="21" t="s">
        <v>44</v>
      </c>
      <c r="K15" s="55">
        <v>200</v>
      </c>
      <c r="L15" s="72">
        <v>549</v>
      </c>
      <c r="M15" s="2">
        <f t="shared" si="2"/>
        <v>109800</v>
      </c>
      <c r="N15" s="71">
        <f t="shared" si="3"/>
        <v>14317.92</v>
      </c>
    </row>
    <row r="16" spans="2:14" x14ac:dyDescent="0.3">
      <c r="B16" s="20">
        <v>45709</v>
      </c>
      <c r="C16" s="21" t="s">
        <v>13</v>
      </c>
      <c r="D16" s="119">
        <v>1</v>
      </c>
      <c r="E16" s="56">
        <v>248</v>
      </c>
      <c r="F16" s="7">
        <f t="shared" si="0"/>
        <v>248</v>
      </c>
      <c r="G16" s="65">
        <f t="shared" si="1"/>
        <v>22.545454545454547</v>
      </c>
      <c r="H16" s="67"/>
      <c r="I16" s="20">
        <v>45706</v>
      </c>
      <c r="J16" s="21" t="s">
        <v>45</v>
      </c>
      <c r="K16" s="55">
        <v>6</v>
      </c>
      <c r="L16" s="72">
        <v>145</v>
      </c>
      <c r="M16" s="2">
        <f t="shared" si="2"/>
        <v>870</v>
      </c>
      <c r="N16" s="71">
        <f t="shared" si="3"/>
        <v>113.44799999999999</v>
      </c>
    </row>
    <row r="17" spans="2:14" x14ac:dyDescent="0.3">
      <c r="B17" s="20">
        <v>45709</v>
      </c>
      <c r="C17" s="21" t="s">
        <v>14</v>
      </c>
      <c r="D17" s="119">
        <v>1</v>
      </c>
      <c r="E17" s="56">
        <v>203</v>
      </c>
      <c r="F17" s="7">
        <f t="shared" si="0"/>
        <v>203</v>
      </c>
      <c r="G17" s="65">
        <f t="shared" si="1"/>
        <v>18.454545454545453</v>
      </c>
      <c r="I17" s="20">
        <v>45706</v>
      </c>
      <c r="J17" s="21" t="s">
        <v>46</v>
      </c>
      <c r="K17" s="55">
        <v>15</v>
      </c>
      <c r="L17" s="72">
        <v>695</v>
      </c>
      <c r="M17" s="2">
        <f t="shared" si="2"/>
        <v>10425</v>
      </c>
      <c r="N17" s="71">
        <f t="shared" si="3"/>
        <v>1359.42</v>
      </c>
    </row>
    <row r="18" spans="2:14" x14ac:dyDescent="0.3">
      <c r="B18" s="58">
        <v>45709</v>
      </c>
      <c r="C18" s="59" t="s">
        <v>15</v>
      </c>
      <c r="D18" s="122">
        <v>1</v>
      </c>
      <c r="E18" s="60">
        <v>143</v>
      </c>
      <c r="F18" s="61">
        <f t="shared" si="0"/>
        <v>143</v>
      </c>
      <c r="G18" s="66">
        <f t="shared" si="1"/>
        <v>13</v>
      </c>
      <c r="I18" s="19"/>
      <c r="J18" s="18"/>
      <c r="K18" s="18"/>
      <c r="L18" s="18"/>
      <c r="M18" s="2">
        <f t="shared" si="2"/>
        <v>0</v>
      </c>
      <c r="N18" s="71">
        <f t="shared" si="3"/>
        <v>0</v>
      </c>
    </row>
    <row r="19" spans="2:14" x14ac:dyDescent="0.3">
      <c r="B19" s="20">
        <v>45709</v>
      </c>
      <c r="C19" s="21" t="s">
        <v>16</v>
      </c>
      <c r="D19" s="119">
        <v>1</v>
      </c>
      <c r="E19" s="56">
        <v>250</v>
      </c>
      <c r="F19" s="19">
        <f t="shared" ref="F19" si="4">E19*D19</f>
        <v>250</v>
      </c>
      <c r="G19" s="67">
        <f t="shared" si="1"/>
        <v>22.727272727272727</v>
      </c>
      <c r="I19" s="82">
        <v>45727</v>
      </c>
      <c r="J19" s="81" t="s">
        <v>149</v>
      </c>
      <c r="K19" s="18">
        <v>153</v>
      </c>
      <c r="L19" s="18">
        <v>520</v>
      </c>
      <c r="M19" s="2">
        <f t="shared" si="2"/>
        <v>79560</v>
      </c>
      <c r="N19" s="71">
        <f t="shared" si="3"/>
        <v>10374.624</v>
      </c>
    </row>
    <row r="20" spans="2:14" x14ac:dyDescent="0.3">
      <c r="B20" s="18"/>
      <c r="C20" s="18"/>
      <c r="D20" s="124"/>
      <c r="E20" s="18"/>
      <c r="F20" s="19">
        <f t="shared" ref="F20:F35" si="5">E20*D20</f>
        <v>0</v>
      </c>
      <c r="G20" s="67">
        <f t="shared" si="1"/>
        <v>0</v>
      </c>
      <c r="I20" s="82">
        <v>45727</v>
      </c>
      <c r="J20" s="81" t="s">
        <v>150</v>
      </c>
      <c r="K20" s="18">
        <v>250</v>
      </c>
      <c r="L20" s="18">
        <v>149</v>
      </c>
      <c r="M20" s="2">
        <f t="shared" si="2"/>
        <v>37250</v>
      </c>
      <c r="N20" s="71">
        <f t="shared" si="3"/>
        <v>4857.3999999999996</v>
      </c>
    </row>
    <row r="21" spans="2:14" x14ac:dyDescent="0.3">
      <c r="B21" s="18"/>
      <c r="C21" s="18"/>
      <c r="D21" s="124"/>
      <c r="E21" s="18"/>
      <c r="F21" s="19">
        <f t="shared" si="5"/>
        <v>0</v>
      </c>
      <c r="G21" s="67">
        <f t="shared" si="1"/>
        <v>0</v>
      </c>
      <c r="I21" s="19"/>
      <c r="J21" s="18"/>
      <c r="K21" s="18"/>
      <c r="L21" s="18"/>
      <c r="M21" s="2">
        <f t="shared" si="2"/>
        <v>0</v>
      </c>
      <c r="N21" s="71">
        <f t="shared" si="3"/>
        <v>0</v>
      </c>
    </row>
    <row r="22" spans="2:14" x14ac:dyDescent="0.3">
      <c r="B22" s="18"/>
      <c r="C22" s="18"/>
      <c r="D22" s="124"/>
      <c r="E22" s="18"/>
      <c r="F22" s="19">
        <f t="shared" si="5"/>
        <v>0</v>
      </c>
      <c r="G22" s="67">
        <f t="shared" si="1"/>
        <v>0</v>
      </c>
      <c r="I22" s="82">
        <v>45750</v>
      </c>
      <c r="J22" s="19" t="s">
        <v>319</v>
      </c>
      <c r="K22" s="19">
        <v>10</v>
      </c>
      <c r="L22" s="19">
        <v>759</v>
      </c>
      <c r="M22" s="2">
        <f t="shared" si="2"/>
        <v>7590</v>
      </c>
      <c r="N22" s="71">
        <f t="shared" si="3"/>
        <v>989.73599999999988</v>
      </c>
    </row>
    <row r="23" spans="2:14" x14ac:dyDescent="0.3">
      <c r="B23" s="73">
        <v>45710</v>
      </c>
      <c r="C23" s="18" t="s">
        <v>111</v>
      </c>
      <c r="D23" s="124">
        <v>3</v>
      </c>
      <c r="E23" s="74">
        <v>2364</v>
      </c>
      <c r="F23" s="19">
        <f t="shared" si="5"/>
        <v>7092</v>
      </c>
      <c r="G23" s="67">
        <f t="shared" si="1"/>
        <v>644.72727272727275</v>
      </c>
      <c r="I23" s="19"/>
      <c r="J23" s="18"/>
      <c r="K23" s="18"/>
      <c r="L23" s="18"/>
      <c r="M23" s="2">
        <f t="shared" si="2"/>
        <v>0</v>
      </c>
      <c r="N23" s="71">
        <f t="shared" si="3"/>
        <v>0</v>
      </c>
    </row>
    <row r="24" spans="2:14" x14ac:dyDescent="0.3">
      <c r="B24" s="73">
        <v>45710</v>
      </c>
      <c r="C24" s="18" t="s">
        <v>112</v>
      </c>
      <c r="D24" s="124">
        <v>10</v>
      </c>
      <c r="E24" s="74">
        <v>2349</v>
      </c>
      <c r="F24" s="19">
        <f t="shared" si="5"/>
        <v>23490</v>
      </c>
      <c r="G24" s="67">
        <f t="shared" si="1"/>
        <v>2135.4545454545455</v>
      </c>
      <c r="I24" s="82">
        <v>45784</v>
      </c>
      <c r="J24" s="81" t="s">
        <v>648</v>
      </c>
      <c r="K24" s="19">
        <v>147</v>
      </c>
      <c r="L24" s="19">
        <v>520</v>
      </c>
      <c r="M24" s="2">
        <f t="shared" si="2"/>
        <v>76440</v>
      </c>
      <c r="N24" s="71">
        <f t="shared" si="3"/>
        <v>9967.7759999999998</v>
      </c>
    </row>
    <row r="25" spans="2:14" x14ac:dyDescent="0.3">
      <c r="B25" s="73">
        <v>45711</v>
      </c>
      <c r="C25" s="18" t="s">
        <v>110</v>
      </c>
      <c r="D25" s="124">
        <v>1</v>
      </c>
      <c r="E25" s="74">
        <v>2349</v>
      </c>
      <c r="F25" s="19">
        <f>E25*D25</f>
        <v>2349</v>
      </c>
      <c r="G25" s="67">
        <f t="shared" si="1"/>
        <v>213.54545454545453</v>
      </c>
      <c r="I25" s="82">
        <v>45784</v>
      </c>
      <c r="J25" s="81" t="s">
        <v>649</v>
      </c>
      <c r="K25" s="19">
        <v>500</v>
      </c>
      <c r="L25" s="19">
        <v>28.99</v>
      </c>
      <c r="M25" s="2">
        <f t="shared" si="2"/>
        <v>14495</v>
      </c>
      <c r="N25" s="71">
        <f t="shared" si="3"/>
        <v>1890.1479999999999</v>
      </c>
    </row>
    <row r="26" spans="2:14" x14ac:dyDescent="0.3">
      <c r="B26" s="73">
        <v>45711</v>
      </c>
      <c r="C26" s="18" t="s">
        <v>110</v>
      </c>
      <c r="D26" s="124">
        <v>1</v>
      </c>
      <c r="E26" s="78">
        <v>2349</v>
      </c>
      <c r="F26" s="19">
        <f>E26*D26</f>
        <v>2349</v>
      </c>
      <c r="I26" s="82">
        <v>45784</v>
      </c>
      <c r="J26" s="81" t="s">
        <v>650</v>
      </c>
      <c r="K26" s="19">
        <v>200</v>
      </c>
      <c r="L26" s="19">
        <v>328.99</v>
      </c>
      <c r="M26" s="2">
        <f t="shared" si="2"/>
        <v>65798</v>
      </c>
      <c r="N26" s="71">
        <f t="shared" si="3"/>
        <v>8580.0591999999997</v>
      </c>
    </row>
    <row r="27" spans="2:14" x14ac:dyDescent="0.3">
      <c r="B27" s="73">
        <v>45711</v>
      </c>
      <c r="C27" s="18" t="s">
        <v>120</v>
      </c>
      <c r="D27" s="124">
        <v>1</v>
      </c>
      <c r="E27" s="74">
        <v>1919</v>
      </c>
      <c r="F27" s="19">
        <f>E27*D27</f>
        <v>1919</v>
      </c>
      <c r="G27" s="67">
        <f t="shared" si="1"/>
        <v>174.45454545454547</v>
      </c>
      <c r="I27" s="82">
        <v>45784</v>
      </c>
      <c r="J27" s="81" t="s">
        <v>651</v>
      </c>
      <c r="K27" s="19">
        <v>10</v>
      </c>
      <c r="L27" s="19">
        <v>759</v>
      </c>
      <c r="M27" s="2">
        <f t="shared" si="2"/>
        <v>7590</v>
      </c>
      <c r="N27" s="71">
        <f t="shared" si="3"/>
        <v>989.73599999999988</v>
      </c>
    </row>
    <row r="28" spans="2:14" x14ac:dyDescent="0.3">
      <c r="B28" s="73"/>
      <c r="C28" s="18"/>
      <c r="D28" s="124"/>
      <c r="E28" s="74"/>
      <c r="F28" s="19">
        <f t="shared" si="5"/>
        <v>0</v>
      </c>
      <c r="G28" s="67">
        <f t="shared" si="1"/>
        <v>0</v>
      </c>
      <c r="I28" s="82">
        <v>45784</v>
      </c>
      <c r="J28" s="81" t="s">
        <v>651</v>
      </c>
      <c r="K28" s="19">
        <v>10</v>
      </c>
      <c r="L28" s="19">
        <v>759</v>
      </c>
      <c r="M28" s="2">
        <f t="shared" si="2"/>
        <v>7590</v>
      </c>
      <c r="N28" s="71">
        <f t="shared" si="3"/>
        <v>989.73599999999988</v>
      </c>
    </row>
    <row r="29" spans="2:14" x14ac:dyDescent="0.3">
      <c r="B29" s="73">
        <v>45714</v>
      </c>
      <c r="C29" s="18" t="s">
        <v>130</v>
      </c>
      <c r="D29" s="124">
        <v>4</v>
      </c>
      <c r="E29" s="19">
        <v>2349</v>
      </c>
      <c r="F29" s="19">
        <f t="shared" si="5"/>
        <v>9396</v>
      </c>
      <c r="G29" s="67">
        <f t="shared" si="1"/>
        <v>854.18181818181813</v>
      </c>
      <c r="I29" s="82">
        <v>45784</v>
      </c>
      <c r="J29" s="81" t="s">
        <v>651</v>
      </c>
      <c r="K29" s="19">
        <v>2</v>
      </c>
      <c r="L29" s="19">
        <v>759</v>
      </c>
      <c r="M29" s="2">
        <f t="shared" si="2"/>
        <v>1518</v>
      </c>
      <c r="N29" s="71">
        <f t="shared" si="3"/>
        <v>197.94719999999998</v>
      </c>
    </row>
    <row r="30" spans="2:14" x14ac:dyDescent="0.3">
      <c r="B30" s="73">
        <v>45714</v>
      </c>
      <c r="C30" s="18" t="s">
        <v>131</v>
      </c>
      <c r="D30" s="124">
        <v>3</v>
      </c>
      <c r="E30" s="19">
        <v>2349</v>
      </c>
      <c r="F30" s="19">
        <f t="shared" si="5"/>
        <v>7047</v>
      </c>
      <c r="G30" s="67">
        <f t="shared" si="1"/>
        <v>640.63636363636363</v>
      </c>
      <c r="I30" s="82">
        <v>45784</v>
      </c>
      <c r="J30" s="81" t="s">
        <v>651</v>
      </c>
      <c r="K30" s="19">
        <v>2</v>
      </c>
      <c r="L30" s="19">
        <v>759</v>
      </c>
      <c r="M30" s="2">
        <f t="shared" si="2"/>
        <v>1518</v>
      </c>
      <c r="N30" s="71">
        <f t="shared" si="3"/>
        <v>197.94719999999998</v>
      </c>
    </row>
    <row r="31" spans="2:14" x14ac:dyDescent="0.3">
      <c r="B31" s="73"/>
      <c r="C31" s="18"/>
      <c r="D31" s="124"/>
      <c r="E31" s="74"/>
      <c r="F31" s="19">
        <f t="shared" si="5"/>
        <v>0</v>
      </c>
      <c r="G31" s="67">
        <f t="shared" si="1"/>
        <v>0</v>
      </c>
      <c r="I31" s="82">
        <v>45784</v>
      </c>
      <c r="J31" s="81" t="s">
        <v>651</v>
      </c>
      <c r="K31" s="19">
        <v>10</v>
      </c>
      <c r="L31" s="19">
        <v>759</v>
      </c>
      <c r="M31" s="2">
        <f t="shared" si="2"/>
        <v>7590</v>
      </c>
      <c r="N31" s="71">
        <f t="shared" si="3"/>
        <v>989.73599999999988</v>
      </c>
    </row>
    <row r="32" spans="2:14" x14ac:dyDescent="0.3">
      <c r="B32" s="73">
        <v>45715</v>
      </c>
      <c r="C32" s="18" t="s">
        <v>130</v>
      </c>
      <c r="D32" s="124">
        <v>3</v>
      </c>
      <c r="E32" s="19">
        <v>2349</v>
      </c>
      <c r="F32" s="19">
        <f t="shared" si="5"/>
        <v>7047</v>
      </c>
      <c r="G32" s="67">
        <f t="shared" si="1"/>
        <v>640.63636363636363</v>
      </c>
      <c r="I32" s="82">
        <v>45784</v>
      </c>
      <c r="J32" s="81" t="s">
        <v>652</v>
      </c>
      <c r="K32" s="19">
        <v>250</v>
      </c>
      <c r="L32" s="19">
        <v>149</v>
      </c>
      <c r="M32" s="2">
        <f t="shared" si="2"/>
        <v>37250</v>
      </c>
      <c r="N32" s="71">
        <f t="shared" si="3"/>
        <v>4857.3999999999996</v>
      </c>
    </row>
    <row r="33" spans="2:14" x14ac:dyDescent="0.3">
      <c r="B33" s="73">
        <v>45715</v>
      </c>
      <c r="C33" s="18" t="s">
        <v>131</v>
      </c>
      <c r="D33" s="124">
        <v>10</v>
      </c>
      <c r="E33" s="19">
        <v>2349</v>
      </c>
      <c r="F33" s="19">
        <f t="shared" si="5"/>
        <v>23490</v>
      </c>
      <c r="G33" s="67">
        <f t="shared" si="1"/>
        <v>2135.4545454545455</v>
      </c>
      <c r="I33" s="82">
        <v>45784</v>
      </c>
      <c r="J33" s="81" t="s">
        <v>649</v>
      </c>
      <c r="K33" s="19">
        <v>200</v>
      </c>
      <c r="L33" s="19">
        <v>28.99</v>
      </c>
      <c r="M33" s="2">
        <f t="shared" si="2"/>
        <v>5798</v>
      </c>
      <c r="N33" s="71">
        <f t="shared" si="3"/>
        <v>756.05920000000003</v>
      </c>
    </row>
    <row r="34" spans="2:14" x14ac:dyDescent="0.3">
      <c r="B34" s="18"/>
      <c r="C34" s="18"/>
      <c r="D34" s="124"/>
      <c r="E34" s="74"/>
      <c r="F34" s="19">
        <f t="shared" si="5"/>
        <v>0</v>
      </c>
      <c r="G34" s="67">
        <f t="shared" si="1"/>
        <v>0</v>
      </c>
      <c r="I34" s="76"/>
      <c r="J34" s="77"/>
      <c r="K34" s="77"/>
      <c r="L34" s="77"/>
      <c r="M34" s="8">
        <f t="shared" si="2"/>
        <v>0</v>
      </c>
      <c r="N34" s="71">
        <f t="shared" si="3"/>
        <v>0</v>
      </c>
    </row>
    <row r="35" spans="2:14" x14ac:dyDescent="0.3">
      <c r="B35" s="18"/>
      <c r="C35" s="18"/>
      <c r="D35" s="124"/>
      <c r="E35" s="74"/>
      <c r="F35" s="19">
        <f t="shared" si="5"/>
        <v>0</v>
      </c>
      <c r="G35" s="67">
        <f t="shared" si="1"/>
        <v>0</v>
      </c>
      <c r="I35" s="19"/>
      <c r="J35" s="18"/>
      <c r="K35" s="18"/>
      <c r="L35" s="18"/>
      <c r="M35" s="19">
        <f t="shared" ref="M35:M57" si="6">L35*K35</f>
        <v>0</v>
      </c>
      <c r="N35" s="277">
        <f t="shared" ref="N35:N57" si="7">M35*13.04/100</f>
        <v>0</v>
      </c>
    </row>
    <row r="36" spans="2:14" x14ac:dyDescent="0.3">
      <c r="B36" s="112">
        <v>45718</v>
      </c>
      <c r="C36" s="113" t="s">
        <v>209</v>
      </c>
      <c r="D36" s="123">
        <v>1</v>
      </c>
      <c r="E36" s="114">
        <v>2349</v>
      </c>
      <c r="F36" s="114">
        <f>E36*D36</f>
        <v>2349</v>
      </c>
      <c r="G36" s="67">
        <f t="shared" si="1"/>
        <v>213.54545454545453</v>
      </c>
      <c r="I36" s="82">
        <v>45785</v>
      </c>
      <c r="J36" s="81" t="s">
        <v>657</v>
      </c>
      <c r="K36" s="19">
        <v>5</v>
      </c>
      <c r="L36" s="19">
        <v>755</v>
      </c>
      <c r="M36" s="19">
        <f t="shared" si="6"/>
        <v>3775</v>
      </c>
      <c r="N36" s="277">
        <f t="shared" si="7"/>
        <v>492.26</v>
      </c>
    </row>
    <row r="37" spans="2:14" x14ac:dyDescent="0.3">
      <c r="B37" s="112">
        <v>45718</v>
      </c>
      <c r="C37" s="113" t="s">
        <v>209</v>
      </c>
      <c r="D37" s="123">
        <v>1</v>
      </c>
      <c r="E37" s="114">
        <v>2364</v>
      </c>
      <c r="F37" s="114">
        <f>E37*D37</f>
        <v>2364</v>
      </c>
      <c r="G37" s="67">
        <f t="shared" ref="G37" si="8">F37/11</f>
        <v>214.90909090909091</v>
      </c>
      <c r="I37" s="82">
        <v>45785</v>
      </c>
      <c r="J37" s="81" t="s">
        <v>658</v>
      </c>
      <c r="K37" s="19">
        <v>5</v>
      </c>
      <c r="L37" s="19">
        <v>965</v>
      </c>
      <c r="M37" s="19">
        <f t="shared" si="6"/>
        <v>4825</v>
      </c>
      <c r="N37" s="277">
        <f t="shared" si="7"/>
        <v>629.17999999999995</v>
      </c>
    </row>
    <row r="38" spans="2:14" x14ac:dyDescent="0.3">
      <c r="B38" s="112">
        <v>45719</v>
      </c>
      <c r="C38" s="113" t="s">
        <v>209</v>
      </c>
      <c r="D38" s="123">
        <v>1</v>
      </c>
      <c r="E38" s="114">
        <v>2349</v>
      </c>
      <c r="F38" s="114">
        <f t="shared" ref="F38:F41" si="9">E38*D38</f>
        <v>2349</v>
      </c>
      <c r="G38" s="67">
        <f t="shared" ref="G38:G56" si="10">F38/11</f>
        <v>213.54545454545453</v>
      </c>
      <c r="I38" s="82">
        <v>45785</v>
      </c>
      <c r="J38" s="81" t="s">
        <v>659</v>
      </c>
      <c r="K38" s="19">
        <v>5</v>
      </c>
      <c r="L38" s="19">
        <v>1205</v>
      </c>
      <c r="M38" s="19">
        <f t="shared" si="6"/>
        <v>6025</v>
      </c>
      <c r="N38" s="277">
        <f>M38*13.04/100</f>
        <v>785.66</v>
      </c>
    </row>
    <row r="39" spans="2:14" x14ac:dyDescent="0.3">
      <c r="B39" s="112">
        <v>45719</v>
      </c>
      <c r="C39" s="113" t="s">
        <v>209</v>
      </c>
      <c r="D39" s="123">
        <v>1</v>
      </c>
      <c r="E39" s="114">
        <v>2364</v>
      </c>
      <c r="F39" s="114">
        <f t="shared" si="9"/>
        <v>2364</v>
      </c>
      <c r="G39" s="67">
        <f t="shared" si="10"/>
        <v>214.90909090909091</v>
      </c>
      <c r="I39" s="19"/>
      <c r="J39" s="18"/>
      <c r="K39" s="18"/>
      <c r="L39" s="18"/>
      <c r="M39" s="19">
        <f t="shared" si="6"/>
        <v>0</v>
      </c>
      <c r="N39" s="277">
        <f t="shared" si="7"/>
        <v>0</v>
      </c>
    </row>
    <row r="40" spans="2:14" x14ac:dyDescent="0.3">
      <c r="B40" s="112">
        <v>45720</v>
      </c>
      <c r="C40" s="113" t="s">
        <v>209</v>
      </c>
      <c r="D40" s="123">
        <v>2</v>
      </c>
      <c r="E40" s="114">
        <v>2349</v>
      </c>
      <c r="F40" s="114">
        <f t="shared" si="9"/>
        <v>4698</v>
      </c>
      <c r="G40" s="67">
        <f t="shared" si="10"/>
        <v>427.09090909090907</v>
      </c>
      <c r="I40" s="19"/>
      <c r="J40" s="18"/>
      <c r="K40" s="18"/>
      <c r="L40" s="18"/>
      <c r="M40" s="19">
        <f t="shared" si="6"/>
        <v>0</v>
      </c>
      <c r="N40" s="277">
        <f t="shared" si="7"/>
        <v>0</v>
      </c>
    </row>
    <row r="41" spans="2:14" x14ac:dyDescent="0.3">
      <c r="B41" s="112">
        <v>45720</v>
      </c>
      <c r="C41" s="113" t="s">
        <v>209</v>
      </c>
      <c r="D41" s="123">
        <v>1</v>
      </c>
      <c r="E41" s="114">
        <v>2364</v>
      </c>
      <c r="F41" s="114">
        <f t="shared" si="9"/>
        <v>2364</v>
      </c>
      <c r="G41" s="67">
        <f t="shared" si="10"/>
        <v>214.90909090909091</v>
      </c>
      <c r="I41" s="82">
        <v>45805</v>
      </c>
      <c r="J41" s="81" t="s">
        <v>741</v>
      </c>
      <c r="K41" s="19">
        <v>200</v>
      </c>
      <c r="L41" s="19">
        <v>492</v>
      </c>
      <c r="M41" s="19">
        <f t="shared" si="6"/>
        <v>98400</v>
      </c>
      <c r="N41" s="277">
        <f t="shared" si="7"/>
        <v>12831.36</v>
      </c>
    </row>
    <row r="42" spans="2:14" x14ac:dyDescent="0.3">
      <c r="B42" s="112">
        <v>45720</v>
      </c>
      <c r="C42" s="113" t="s">
        <v>210</v>
      </c>
      <c r="D42" s="123">
        <v>5</v>
      </c>
      <c r="E42" s="114">
        <v>2349</v>
      </c>
      <c r="F42" s="19">
        <f t="shared" ref="F42:F56" si="11">E42*D42</f>
        <v>11745</v>
      </c>
      <c r="G42" s="67">
        <f t="shared" si="10"/>
        <v>1067.7272727272727</v>
      </c>
      <c r="I42" s="82">
        <v>45805</v>
      </c>
      <c r="J42" s="81" t="s">
        <v>742</v>
      </c>
      <c r="K42" s="19">
        <v>100</v>
      </c>
      <c r="L42" s="19">
        <v>329</v>
      </c>
      <c r="M42" s="19">
        <f t="shared" si="6"/>
        <v>32900</v>
      </c>
      <c r="N42" s="277">
        <f t="shared" si="7"/>
        <v>4290.16</v>
      </c>
    </row>
    <row r="43" spans="2:14" ht="18" x14ac:dyDescent="0.35">
      <c r="B43" s="112">
        <v>45721</v>
      </c>
      <c r="C43" s="115" t="s">
        <v>182</v>
      </c>
      <c r="D43" s="123">
        <v>1</v>
      </c>
      <c r="E43" s="114">
        <v>2349</v>
      </c>
      <c r="F43" s="19">
        <f t="shared" si="11"/>
        <v>2349</v>
      </c>
      <c r="G43" s="67">
        <f t="shared" si="10"/>
        <v>213.54545454545453</v>
      </c>
      <c r="I43" s="82">
        <v>45805</v>
      </c>
      <c r="J43" s="81" t="s">
        <v>743</v>
      </c>
      <c r="K43" s="19">
        <v>20</v>
      </c>
      <c r="L43" s="19">
        <v>745</v>
      </c>
      <c r="M43" s="19">
        <f t="shared" si="6"/>
        <v>14900</v>
      </c>
      <c r="N43" s="277">
        <f t="shared" si="7"/>
        <v>1942.96</v>
      </c>
    </row>
    <row r="44" spans="2:14" x14ac:dyDescent="0.3">
      <c r="B44" s="112">
        <v>45721</v>
      </c>
      <c r="C44" s="113" t="s">
        <v>209</v>
      </c>
      <c r="D44" s="123">
        <v>3</v>
      </c>
      <c r="E44" s="114">
        <v>2349</v>
      </c>
      <c r="F44" s="19">
        <f t="shared" si="11"/>
        <v>7047</v>
      </c>
      <c r="G44" s="67">
        <f t="shared" si="10"/>
        <v>640.63636363636363</v>
      </c>
      <c r="I44" s="19"/>
      <c r="J44" s="18"/>
      <c r="K44" s="18"/>
      <c r="L44" s="18"/>
      <c r="M44" s="19">
        <f t="shared" si="6"/>
        <v>0</v>
      </c>
      <c r="N44" s="277">
        <f t="shared" si="7"/>
        <v>0</v>
      </c>
    </row>
    <row r="45" spans="2:14" x14ac:dyDescent="0.3">
      <c r="B45" s="112">
        <v>45722</v>
      </c>
      <c r="C45" s="113" t="s">
        <v>209</v>
      </c>
      <c r="D45" s="123">
        <v>3</v>
      </c>
      <c r="E45" s="114">
        <v>2364</v>
      </c>
      <c r="F45" s="19">
        <f t="shared" si="11"/>
        <v>7092</v>
      </c>
      <c r="G45" s="67">
        <f t="shared" si="10"/>
        <v>644.72727272727275</v>
      </c>
      <c r="I45" s="82">
        <v>45813</v>
      </c>
      <c r="J45" s="81" t="s">
        <v>741</v>
      </c>
      <c r="K45" s="19">
        <v>300</v>
      </c>
      <c r="L45" s="19">
        <v>492</v>
      </c>
      <c r="M45" s="19">
        <f t="shared" si="6"/>
        <v>147600</v>
      </c>
      <c r="N45" s="277">
        <f t="shared" si="7"/>
        <v>19247.039999999997</v>
      </c>
    </row>
    <row r="46" spans="2:14" x14ac:dyDescent="0.3">
      <c r="B46" s="112">
        <v>45722</v>
      </c>
      <c r="C46" s="113" t="s">
        <v>210</v>
      </c>
      <c r="D46" s="123">
        <v>1</v>
      </c>
      <c r="E46" s="114">
        <v>2349</v>
      </c>
      <c r="F46" s="19">
        <f t="shared" si="11"/>
        <v>2349</v>
      </c>
      <c r="G46" s="67">
        <f t="shared" si="10"/>
        <v>213.54545454545453</v>
      </c>
      <c r="I46" s="82">
        <v>45813</v>
      </c>
      <c r="J46" s="81" t="s">
        <v>748</v>
      </c>
      <c r="K46" s="19">
        <v>250</v>
      </c>
      <c r="L46" s="19">
        <v>149</v>
      </c>
      <c r="M46" s="19">
        <f t="shared" si="6"/>
        <v>37250</v>
      </c>
      <c r="N46" s="277">
        <f t="shared" si="7"/>
        <v>4857.3999999999996</v>
      </c>
    </row>
    <row r="47" spans="2:14" x14ac:dyDescent="0.3">
      <c r="B47" s="112">
        <v>45723</v>
      </c>
      <c r="C47" s="113" t="s">
        <v>209</v>
      </c>
      <c r="D47" s="123">
        <v>2</v>
      </c>
      <c r="E47" s="114">
        <v>2364</v>
      </c>
      <c r="F47" s="19">
        <f t="shared" si="11"/>
        <v>4728</v>
      </c>
      <c r="G47" s="67">
        <f t="shared" si="10"/>
        <v>429.81818181818181</v>
      </c>
      <c r="I47" s="19"/>
      <c r="J47" s="18"/>
      <c r="K47" s="18"/>
      <c r="L47" s="18"/>
      <c r="M47" s="19">
        <f t="shared" si="6"/>
        <v>0</v>
      </c>
      <c r="N47" s="277">
        <f t="shared" si="7"/>
        <v>0</v>
      </c>
    </row>
    <row r="48" spans="2:14" ht="18" x14ac:dyDescent="0.35">
      <c r="B48" s="112">
        <v>45724</v>
      </c>
      <c r="C48" s="115" t="s">
        <v>183</v>
      </c>
      <c r="D48" s="123">
        <v>1</v>
      </c>
      <c r="E48" s="114">
        <v>2349</v>
      </c>
      <c r="F48" s="19">
        <f t="shared" si="11"/>
        <v>2349</v>
      </c>
      <c r="G48" s="67">
        <f t="shared" si="10"/>
        <v>213.54545454545453</v>
      </c>
      <c r="I48" s="82">
        <v>45831</v>
      </c>
      <c r="J48" s="81" t="s">
        <v>799</v>
      </c>
      <c r="K48" s="19">
        <v>4</v>
      </c>
      <c r="L48" s="19">
        <v>775</v>
      </c>
      <c r="M48" s="19">
        <f t="shared" si="6"/>
        <v>3100</v>
      </c>
      <c r="N48" s="277">
        <f t="shared" si="7"/>
        <v>404.24</v>
      </c>
    </row>
    <row r="49" spans="2:14" x14ac:dyDescent="0.3">
      <c r="B49" s="112">
        <v>45724</v>
      </c>
      <c r="C49" s="113" t="s">
        <v>210</v>
      </c>
      <c r="D49" s="123">
        <v>5</v>
      </c>
      <c r="E49" s="114">
        <v>2349</v>
      </c>
      <c r="F49" s="19">
        <f t="shared" si="11"/>
        <v>11745</v>
      </c>
      <c r="G49" s="67">
        <f t="shared" si="10"/>
        <v>1067.7272727272727</v>
      </c>
      <c r="I49" s="19"/>
      <c r="J49" s="18"/>
      <c r="K49" s="18"/>
      <c r="L49" s="18"/>
      <c r="M49" s="19">
        <f t="shared" si="6"/>
        <v>0</v>
      </c>
      <c r="N49" s="277">
        <f t="shared" si="7"/>
        <v>0</v>
      </c>
    </row>
    <row r="50" spans="2:14" x14ac:dyDescent="0.3">
      <c r="B50" s="112">
        <v>45727</v>
      </c>
      <c r="C50" s="113" t="s">
        <v>209</v>
      </c>
      <c r="D50" s="123">
        <v>2</v>
      </c>
      <c r="E50" s="114">
        <v>2349</v>
      </c>
      <c r="F50" s="19">
        <f t="shared" si="11"/>
        <v>4698</v>
      </c>
      <c r="G50" s="67">
        <f t="shared" si="10"/>
        <v>427.09090909090907</v>
      </c>
      <c r="I50" s="82">
        <v>45831</v>
      </c>
      <c r="J50" s="81" t="s">
        <v>799</v>
      </c>
      <c r="K50" s="19">
        <v>4</v>
      </c>
      <c r="L50" s="19">
        <v>775</v>
      </c>
      <c r="M50" s="19">
        <f t="shared" si="6"/>
        <v>3100</v>
      </c>
      <c r="N50" s="277">
        <f t="shared" si="7"/>
        <v>404.24</v>
      </c>
    </row>
    <row r="51" spans="2:14" x14ac:dyDescent="0.3">
      <c r="B51" s="112">
        <v>45727</v>
      </c>
      <c r="C51" s="113" t="s">
        <v>210</v>
      </c>
      <c r="D51" s="123">
        <v>2</v>
      </c>
      <c r="E51" s="114">
        <v>2349</v>
      </c>
      <c r="F51" s="19">
        <f t="shared" si="11"/>
        <v>4698</v>
      </c>
      <c r="G51" s="67">
        <f t="shared" si="10"/>
        <v>427.09090909090907</v>
      </c>
      <c r="I51" s="19"/>
      <c r="J51" s="18"/>
      <c r="K51" s="18"/>
      <c r="L51" s="18"/>
      <c r="M51" s="19">
        <f t="shared" si="6"/>
        <v>0</v>
      </c>
      <c r="N51" s="277">
        <f t="shared" si="7"/>
        <v>0</v>
      </c>
    </row>
    <row r="52" spans="2:14" x14ac:dyDescent="0.3">
      <c r="B52" s="112">
        <v>45728</v>
      </c>
      <c r="C52" s="113" t="s">
        <v>209</v>
      </c>
      <c r="D52" s="123">
        <v>2</v>
      </c>
      <c r="E52" s="114">
        <v>2349</v>
      </c>
      <c r="F52" s="19">
        <f t="shared" si="11"/>
        <v>4698</v>
      </c>
      <c r="G52" s="67">
        <f t="shared" si="10"/>
        <v>427.09090909090907</v>
      </c>
      <c r="I52" s="82">
        <v>45839</v>
      </c>
      <c r="J52" s="18" t="s">
        <v>833</v>
      </c>
      <c r="K52" s="19">
        <v>5</v>
      </c>
      <c r="L52" s="19">
        <v>1380</v>
      </c>
      <c r="M52" s="19">
        <f t="shared" si="6"/>
        <v>6900</v>
      </c>
      <c r="N52" s="277">
        <f t="shared" si="7"/>
        <v>899.76</v>
      </c>
    </row>
    <row r="53" spans="2:14" x14ac:dyDescent="0.3">
      <c r="B53" s="112">
        <v>45729</v>
      </c>
      <c r="C53" s="113" t="s">
        <v>184</v>
      </c>
      <c r="D53" s="123">
        <v>9</v>
      </c>
      <c r="E53" s="114">
        <v>1549</v>
      </c>
      <c r="F53" s="19">
        <f t="shared" si="11"/>
        <v>13941</v>
      </c>
      <c r="G53" s="67">
        <f t="shared" si="10"/>
        <v>1267.3636363636363</v>
      </c>
      <c r="I53" s="82">
        <v>45839</v>
      </c>
      <c r="J53" s="18" t="s">
        <v>834</v>
      </c>
      <c r="K53" s="19">
        <v>1</v>
      </c>
      <c r="L53" s="19">
        <v>1295</v>
      </c>
      <c r="M53" s="19">
        <f t="shared" si="6"/>
        <v>1295</v>
      </c>
      <c r="N53" s="277">
        <f t="shared" si="7"/>
        <v>168.86799999999999</v>
      </c>
    </row>
    <row r="54" spans="2:14" ht="18" x14ac:dyDescent="0.35">
      <c r="B54" s="112">
        <v>45729</v>
      </c>
      <c r="C54" s="115" t="s">
        <v>185</v>
      </c>
      <c r="D54" s="123">
        <v>2</v>
      </c>
      <c r="E54" s="114">
        <v>1549</v>
      </c>
      <c r="F54" s="19">
        <f t="shared" si="11"/>
        <v>3098</v>
      </c>
      <c r="G54" s="67">
        <f t="shared" si="10"/>
        <v>281.63636363636363</v>
      </c>
      <c r="I54" s="82">
        <v>45839</v>
      </c>
      <c r="J54" s="18" t="s">
        <v>835</v>
      </c>
      <c r="K54" s="19">
        <v>1</v>
      </c>
      <c r="L54" s="19">
        <v>1375</v>
      </c>
      <c r="M54" s="19">
        <f t="shared" si="6"/>
        <v>1375</v>
      </c>
      <c r="N54" s="277"/>
    </row>
    <row r="55" spans="2:14" x14ac:dyDescent="0.3">
      <c r="B55" s="18"/>
      <c r="C55" s="18"/>
      <c r="D55" s="124"/>
      <c r="E55" s="18"/>
      <c r="F55" s="19">
        <f t="shared" si="11"/>
        <v>0</v>
      </c>
      <c r="G55" s="67">
        <f t="shared" si="10"/>
        <v>0</v>
      </c>
      <c r="I55" s="82">
        <v>45839</v>
      </c>
      <c r="J55" s="18" t="s">
        <v>836</v>
      </c>
      <c r="K55" s="19">
        <v>1</v>
      </c>
      <c r="L55" s="19">
        <v>852</v>
      </c>
      <c r="M55" s="19">
        <f t="shared" si="6"/>
        <v>852</v>
      </c>
      <c r="N55" s="277">
        <f t="shared" si="7"/>
        <v>111.10079999999999</v>
      </c>
    </row>
    <row r="56" spans="2:14" x14ac:dyDescent="0.3">
      <c r="B56" s="73">
        <v>45730</v>
      </c>
      <c r="C56" s="81" t="s">
        <v>192</v>
      </c>
      <c r="D56" s="124">
        <v>5</v>
      </c>
      <c r="E56" s="19">
        <v>679</v>
      </c>
      <c r="F56" s="19">
        <f t="shared" si="11"/>
        <v>3395</v>
      </c>
      <c r="G56" s="67">
        <f t="shared" si="10"/>
        <v>308.63636363636363</v>
      </c>
      <c r="I56" s="82">
        <v>45839</v>
      </c>
      <c r="J56" s="18" t="s">
        <v>837</v>
      </c>
      <c r="K56" s="19">
        <v>4</v>
      </c>
      <c r="L56" s="19">
        <v>679</v>
      </c>
      <c r="M56" s="19">
        <f t="shared" si="6"/>
        <v>2716</v>
      </c>
      <c r="N56" s="277">
        <f t="shared" si="7"/>
        <v>354.16640000000001</v>
      </c>
    </row>
    <row r="57" spans="2:14" x14ac:dyDescent="0.3">
      <c r="B57" s="73">
        <v>45730</v>
      </c>
      <c r="C57" s="81" t="s">
        <v>206</v>
      </c>
      <c r="D57" s="124">
        <v>8</v>
      </c>
      <c r="E57" s="19">
        <v>229</v>
      </c>
      <c r="F57" s="19">
        <f t="shared" ref="F57:F76" si="12">E57*D57</f>
        <v>1832</v>
      </c>
      <c r="G57" s="67">
        <f t="shared" ref="G57:G76" si="13">F57/11</f>
        <v>166.54545454545453</v>
      </c>
      <c r="I57" s="19"/>
      <c r="J57" s="19"/>
      <c r="K57" s="19"/>
      <c r="L57" s="19"/>
      <c r="M57" s="19">
        <f t="shared" si="6"/>
        <v>0</v>
      </c>
      <c r="N57" s="277">
        <f t="shared" si="7"/>
        <v>0</v>
      </c>
    </row>
    <row r="58" spans="2:14" x14ac:dyDescent="0.3">
      <c r="B58" s="73">
        <v>45730</v>
      </c>
      <c r="C58" s="81" t="s">
        <v>193</v>
      </c>
      <c r="D58" s="124">
        <v>2</v>
      </c>
      <c r="E58" s="19">
        <v>679</v>
      </c>
      <c r="F58" s="19">
        <f t="shared" si="12"/>
        <v>1358</v>
      </c>
      <c r="G58" s="67">
        <f t="shared" si="13"/>
        <v>123.45454545454545</v>
      </c>
      <c r="I58" s="82">
        <v>45840</v>
      </c>
      <c r="J58" s="18" t="s">
        <v>838</v>
      </c>
      <c r="K58" s="19">
        <v>2</v>
      </c>
      <c r="L58" s="19">
        <v>1229</v>
      </c>
      <c r="M58" s="19">
        <f t="shared" ref="M58:M67" si="14">L58*K58</f>
        <v>2458</v>
      </c>
      <c r="N58" s="277">
        <f t="shared" ref="N58:N67" si="15">M58*13.04/100</f>
        <v>320.52319999999997</v>
      </c>
    </row>
    <row r="59" spans="2:14" x14ac:dyDescent="0.3">
      <c r="B59" s="73">
        <v>45730</v>
      </c>
      <c r="C59" s="81" t="s">
        <v>207</v>
      </c>
      <c r="D59" s="124">
        <v>6</v>
      </c>
      <c r="E59" s="19">
        <v>235</v>
      </c>
      <c r="F59" s="19">
        <f t="shared" si="12"/>
        <v>1410</v>
      </c>
      <c r="G59" s="67">
        <f t="shared" si="13"/>
        <v>128.18181818181819</v>
      </c>
      <c r="I59" s="82">
        <v>45840</v>
      </c>
      <c r="J59" s="18" t="s">
        <v>839</v>
      </c>
      <c r="K59" s="19">
        <v>1</v>
      </c>
      <c r="L59" s="19">
        <v>852</v>
      </c>
      <c r="M59" s="19">
        <f t="shared" si="14"/>
        <v>852</v>
      </c>
      <c r="N59" s="277">
        <f t="shared" si="15"/>
        <v>111.10079999999999</v>
      </c>
    </row>
    <row r="60" spans="2:14" x14ac:dyDescent="0.3">
      <c r="B60" s="73">
        <v>45731</v>
      </c>
      <c r="C60" s="81" t="s">
        <v>189</v>
      </c>
      <c r="D60" s="124">
        <v>3</v>
      </c>
      <c r="E60" s="19">
        <v>679</v>
      </c>
      <c r="F60" s="19">
        <f t="shared" si="12"/>
        <v>2037</v>
      </c>
      <c r="G60" s="67">
        <f t="shared" si="13"/>
        <v>185.18181818181819</v>
      </c>
      <c r="I60" s="82">
        <v>45840</v>
      </c>
      <c r="J60" s="18" t="s">
        <v>840</v>
      </c>
      <c r="K60" s="19">
        <v>3</v>
      </c>
      <c r="L60" s="19">
        <v>765.71</v>
      </c>
      <c r="M60" s="19">
        <f t="shared" si="14"/>
        <v>2297.13</v>
      </c>
      <c r="N60" s="277">
        <f t="shared" si="15"/>
        <v>299.54575199999999</v>
      </c>
    </row>
    <row r="61" spans="2:14" x14ac:dyDescent="0.3">
      <c r="B61" s="73">
        <v>45731</v>
      </c>
      <c r="C61" s="81" t="s">
        <v>190</v>
      </c>
      <c r="D61" s="124">
        <v>2</v>
      </c>
      <c r="E61" s="19">
        <v>679</v>
      </c>
      <c r="F61" s="19">
        <f t="shared" si="12"/>
        <v>1358</v>
      </c>
      <c r="G61" s="67">
        <f t="shared" si="13"/>
        <v>123.45454545454545</v>
      </c>
      <c r="I61" s="82">
        <v>45840</v>
      </c>
      <c r="J61" s="18" t="s">
        <v>841</v>
      </c>
      <c r="K61" s="19">
        <v>1</v>
      </c>
      <c r="L61" s="19">
        <v>1345</v>
      </c>
      <c r="M61" s="19">
        <f t="shared" si="14"/>
        <v>1345</v>
      </c>
      <c r="N61" s="277">
        <f t="shared" si="15"/>
        <v>175.38800000000001</v>
      </c>
    </row>
    <row r="62" spans="2:14" x14ac:dyDescent="0.3">
      <c r="B62" s="18"/>
      <c r="C62" s="81"/>
      <c r="D62" s="124"/>
      <c r="E62" s="18"/>
      <c r="F62" s="19">
        <f t="shared" si="12"/>
        <v>0</v>
      </c>
      <c r="G62" s="67">
        <f t="shared" si="13"/>
        <v>0</v>
      </c>
      <c r="I62" s="82">
        <v>45840</v>
      </c>
      <c r="J62" s="18" t="s">
        <v>840</v>
      </c>
      <c r="K62" s="19">
        <v>3</v>
      </c>
      <c r="L62" s="19">
        <v>738</v>
      </c>
      <c r="M62" s="19">
        <f t="shared" si="14"/>
        <v>2214</v>
      </c>
      <c r="N62" s="277">
        <f t="shared" si="15"/>
        <v>288.7056</v>
      </c>
    </row>
    <row r="63" spans="2:14" x14ac:dyDescent="0.3">
      <c r="B63" s="82">
        <v>45733</v>
      </c>
      <c r="C63" s="81" t="s">
        <v>194</v>
      </c>
      <c r="D63" s="124">
        <v>5</v>
      </c>
      <c r="E63" s="19">
        <v>679</v>
      </c>
      <c r="F63" s="19">
        <f t="shared" si="12"/>
        <v>3395</v>
      </c>
      <c r="G63" s="67">
        <f t="shared" si="13"/>
        <v>308.63636363636363</v>
      </c>
      <c r="I63" s="82">
        <v>45840</v>
      </c>
      <c r="J63" s="18" t="s">
        <v>842</v>
      </c>
      <c r="K63" s="19">
        <v>1</v>
      </c>
      <c r="L63" s="19">
        <v>852</v>
      </c>
      <c r="M63" s="19">
        <f t="shared" si="14"/>
        <v>852</v>
      </c>
      <c r="N63" s="277">
        <f t="shared" si="15"/>
        <v>111.10079999999999</v>
      </c>
    </row>
    <row r="64" spans="2:14" x14ac:dyDescent="0.3">
      <c r="B64" s="82">
        <v>45733</v>
      </c>
      <c r="C64" s="81" t="s">
        <v>195</v>
      </c>
      <c r="D64" s="124">
        <v>3</v>
      </c>
      <c r="E64" s="19">
        <v>235</v>
      </c>
      <c r="F64" s="19">
        <f t="shared" si="12"/>
        <v>705</v>
      </c>
      <c r="G64" s="67">
        <f t="shared" si="13"/>
        <v>64.090909090909093</v>
      </c>
      <c r="I64" s="82">
        <v>45840</v>
      </c>
      <c r="J64" s="18" t="s">
        <v>843</v>
      </c>
      <c r="K64" s="19">
        <v>1</v>
      </c>
      <c r="L64" s="19">
        <v>775</v>
      </c>
      <c r="M64" s="19">
        <f t="shared" si="14"/>
        <v>775</v>
      </c>
      <c r="N64" s="277">
        <f t="shared" si="15"/>
        <v>101.06</v>
      </c>
    </row>
    <row r="65" spans="2:14" x14ac:dyDescent="0.3">
      <c r="B65" s="82">
        <v>45733</v>
      </c>
      <c r="C65" s="81" t="s">
        <v>196</v>
      </c>
      <c r="D65" s="124">
        <v>1</v>
      </c>
      <c r="E65" s="19">
        <v>190</v>
      </c>
      <c r="F65" s="19">
        <f t="shared" si="12"/>
        <v>190</v>
      </c>
      <c r="G65" s="67">
        <f t="shared" si="13"/>
        <v>17.272727272727273</v>
      </c>
      <c r="I65" s="82">
        <v>45840</v>
      </c>
      <c r="J65" s="18" t="s">
        <v>844</v>
      </c>
      <c r="K65" s="19">
        <v>1</v>
      </c>
      <c r="L65" s="19">
        <v>1295</v>
      </c>
      <c r="M65" s="19">
        <f t="shared" si="14"/>
        <v>1295</v>
      </c>
      <c r="N65" s="277">
        <f t="shared" si="15"/>
        <v>168.86799999999999</v>
      </c>
    </row>
    <row r="66" spans="2:14" x14ac:dyDescent="0.3">
      <c r="B66" s="82">
        <v>45733</v>
      </c>
      <c r="C66" s="81" t="s">
        <v>197</v>
      </c>
      <c r="D66" s="124">
        <v>3</v>
      </c>
      <c r="E66" s="19">
        <v>679</v>
      </c>
      <c r="F66" s="19">
        <f t="shared" si="12"/>
        <v>2037</v>
      </c>
      <c r="G66" s="67">
        <f t="shared" si="13"/>
        <v>185.18181818181819</v>
      </c>
      <c r="I66" s="82">
        <v>45840</v>
      </c>
      <c r="J66" s="18" t="s">
        <v>845</v>
      </c>
      <c r="K66" s="19">
        <v>1</v>
      </c>
      <c r="L66" s="19">
        <v>1375</v>
      </c>
      <c r="M66" s="19">
        <f t="shared" si="14"/>
        <v>1375</v>
      </c>
      <c r="N66" s="277">
        <f t="shared" si="15"/>
        <v>179.3</v>
      </c>
    </row>
    <row r="67" spans="2:14" x14ac:dyDescent="0.3">
      <c r="B67" s="82">
        <v>45733</v>
      </c>
      <c r="C67" s="81" t="s">
        <v>198</v>
      </c>
      <c r="D67" s="124">
        <v>2</v>
      </c>
      <c r="E67" s="19">
        <v>229</v>
      </c>
      <c r="F67" s="19">
        <f t="shared" si="12"/>
        <v>458</v>
      </c>
      <c r="G67" s="67">
        <f t="shared" si="13"/>
        <v>41.636363636363633</v>
      </c>
      <c r="I67" s="82">
        <v>45840</v>
      </c>
      <c r="J67" s="18" t="s">
        <v>846</v>
      </c>
      <c r="K67" s="19">
        <v>1</v>
      </c>
      <c r="L67" s="19">
        <v>852</v>
      </c>
      <c r="M67" s="19">
        <f t="shared" si="14"/>
        <v>852</v>
      </c>
      <c r="N67" s="277">
        <f t="shared" si="15"/>
        <v>111.10079999999999</v>
      </c>
    </row>
    <row r="68" spans="2:14" x14ac:dyDescent="0.3">
      <c r="B68" s="82">
        <v>45733</v>
      </c>
      <c r="C68" s="81" t="s">
        <v>199</v>
      </c>
      <c r="D68" s="124">
        <v>17</v>
      </c>
      <c r="E68" s="19">
        <v>575</v>
      </c>
      <c r="F68" s="19">
        <f t="shared" si="12"/>
        <v>9775</v>
      </c>
      <c r="G68" s="67">
        <f t="shared" si="13"/>
        <v>888.63636363636363</v>
      </c>
      <c r="I68" s="384">
        <v>45840</v>
      </c>
      <c r="J68" s="102" t="s">
        <v>847</v>
      </c>
      <c r="K68" s="101">
        <v>1</v>
      </c>
      <c r="L68" s="101">
        <v>1228</v>
      </c>
      <c r="M68" s="19">
        <f t="shared" ref="M68:M82" si="16">L68*K68</f>
        <v>1228</v>
      </c>
      <c r="N68" s="277">
        <f t="shared" ref="N68:N82" si="17">M68*13.04/100</f>
        <v>160.13119999999998</v>
      </c>
    </row>
    <row r="69" spans="2:14" x14ac:dyDescent="0.3">
      <c r="B69" s="18"/>
      <c r="C69" s="81"/>
      <c r="D69" s="124"/>
      <c r="E69" s="18"/>
      <c r="F69" s="19">
        <f t="shared" si="12"/>
        <v>0</v>
      </c>
      <c r="G69" s="67">
        <f t="shared" si="13"/>
        <v>0</v>
      </c>
      <c r="I69" s="384">
        <v>45840</v>
      </c>
      <c r="J69" s="102" t="s">
        <v>848</v>
      </c>
      <c r="K69" s="101">
        <v>1</v>
      </c>
      <c r="L69" s="101">
        <v>750</v>
      </c>
      <c r="M69" s="19">
        <f t="shared" si="16"/>
        <v>750</v>
      </c>
      <c r="N69" s="277">
        <f t="shared" si="17"/>
        <v>97.8</v>
      </c>
    </row>
    <row r="70" spans="2:14" x14ac:dyDescent="0.3">
      <c r="B70" s="82">
        <v>45734</v>
      </c>
      <c r="C70" s="81" t="s">
        <v>208</v>
      </c>
      <c r="D70" s="124">
        <v>3</v>
      </c>
      <c r="E70" s="19">
        <v>679</v>
      </c>
      <c r="F70" s="19">
        <f t="shared" si="12"/>
        <v>2037</v>
      </c>
      <c r="G70" s="67">
        <f t="shared" si="13"/>
        <v>185.18181818181819</v>
      </c>
      <c r="I70" s="19"/>
      <c r="J70" s="19"/>
      <c r="K70" s="19"/>
      <c r="L70" s="19"/>
      <c r="M70" s="19">
        <f t="shared" si="16"/>
        <v>0</v>
      </c>
      <c r="N70" s="277">
        <f t="shared" si="17"/>
        <v>0</v>
      </c>
    </row>
    <row r="71" spans="2:14" x14ac:dyDescent="0.3">
      <c r="B71" s="18"/>
      <c r="C71" s="81"/>
      <c r="D71" s="124"/>
      <c r="E71" s="18"/>
      <c r="F71" s="19">
        <f t="shared" si="12"/>
        <v>0</v>
      </c>
      <c r="G71" s="67">
        <f t="shared" si="13"/>
        <v>0</v>
      </c>
      <c r="I71" s="82">
        <v>45841</v>
      </c>
      <c r="J71" s="18" t="s">
        <v>849</v>
      </c>
      <c r="K71" s="19">
        <v>4</v>
      </c>
      <c r="L71" s="19">
        <v>1197</v>
      </c>
      <c r="M71" s="19">
        <f t="shared" si="16"/>
        <v>4788</v>
      </c>
      <c r="N71" s="277">
        <f t="shared" si="17"/>
        <v>624.35519999999997</v>
      </c>
    </row>
    <row r="72" spans="2:14" x14ac:dyDescent="0.3">
      <c r="B72" s="82">
        <v>45735</v>
      </c>
      <c r="C72" s="81" t="s">
        <v>216</v>
      </c>
      <c r="D72" s="124">
        <v>2</v>
      </c>
      <c r="E72" s="19">
        <v>679</v>
      </c>
      <c r="F72" s="19">
        <f t="shared" si="12"/>
        <v>1358</v>
      </c>
      <c r="G72" s="67">
        <f t="shared" si="13"/>
        <v>123.45454545454545</v>
      </c>
      <c r="I72" s="82">
        <v>45841</v>
      </c>
      <c r="J72" s="18" t="s">
        <v>850</v>
      </c>
      <c r="K72" s="19">
        <v>1</v>
      </c>
      <c r="L72" s="19">
        <v>852</v>
      </c>
      <c r="M72" s="19">
        <f t="shared" si="16"/>
        <v>852</v>
      </c>
      <c r="N72" s="277">
        <f t="shared" si="17"/>
        <v>111.10079999999999</v>
      </c>
    </row>
    <row r="73" spans="2:14" x14ac:dyDescent="0.3">
      <c r="B73" s="82">
        <v>45735</v>
      </c>
      <c r="C73" s="81" t="s">
        <v>217</v>
      </c>
      <c r="D73" s="124">
        <v>3</v>
      </c>
      <c r="E73" s="19">
        <v>679</v>
      </c>
      <c r="F73" s="19">
        <f t="shared" si="12"/>
        <v>2037</v>
      </c>
      <c r="G73" s="67">
        <f t="shared" si="13"/>
        <v>185.18181818181819</v>
      </c>
      <c r="I73" s="82">
        <v>45841</v>
      </c>
      <c r="J73" s="18" t="s">
        <v>851</v>
      </c>
      <c r="K73" s="19">
        <v>1</v>
      </c>
      <c r="L73" s="19">
        <v>338</v>
      </c>
      <c r="M73" s="19">
        <f t="shared" si="16"/>
        <v>338</v>
      </c>
      <c r="N73" s="277">
        <f t="shared" si="17"/>
        <v>44.075199999999995</v>
      </c>
    </row>
    <row r="74" spans="2:14" x14ac:dyDescent="0.3">
      <c r="B74" s="82">
        <v>45735</v>
      </c>
      <c r="C74" s="81" t="s">
        <v>218</v>
      </c>
      <c r="D74" s="124">
        <v>3</v>
      </c>
      <c r="E74" s="19">
        <v>229</v>
      </c>
      <c r="F74" s="19">
        <f t="shared" si="12"/>
        <v>687</v>
      </c>
      <c r="G74" s="67">
        <f t="shared" si="13"/>
        <v>62.454545454545453</v>
      </c>
      <c r="I74" s="82">
        <v>45840</v>
      </c>
      <c r="J74" s="18" t="s">
        <v>852</v>
      </c>
      <c r="K74" s="19">
        <v>1</v>
      </c>
      <c r="L74" s="19">
        <v>1375</v>
      </c>
      <c r="M74" s="19">
        <f t="shared" si="16"/>
        <v>1375</v>
      </c>
      <c r="N74" s="277">
        <f t="shared" si="17"/>
        <v>179.3</v>
      </c>
    </row>
    <row r="75" spans="2:14" x14ac:dyDescent="0.3">
      <c r="B75" s="82">
        <v>45735</v>
      </c>
      <c r="C75" s="81" t="s">
        <v>219</v>
      </c>
      <c r="D75" s="124">
        <v>3</v>
      </c>
      <c r="E75" s="19">
        <v>679</v>
      </c>
      <c r="F75" s="19">
        <f t="shared" si="12"/>
        <v>2037</v>
      </c>
      <c r="G75" s="67">
        <f t="shared" si="13"/>
        <v>185.18181818181819</v>
      </c>
      <c r="I75" s="82">
        <v>45840</v>
      </c>
      <c r="J75" s="18" t="s">
        <v>853</v>
      </c>
      <c r="K75" s="19">
        <v>1</v>
      </c>
      <c r="L75" s="19">
        <v>775</v>
      </c>
      <c r="M75" s="19">
        <f t="shared" si="16"/>
        <v>775</v>
      </c>
      <c r="N75" s="277">
        <f t="shared" si="17"/>
        <v>101.06</v>
      </c>
    </row>
    <row r="76" spans="2:14" x14ac:dyDescent="0.3">
      <c r="B76" s="82">
        <v>45735</v>
      </c>
      <c r="C76" s="81" t="s">
        <v>220</v>
      </c>
      <c r="D76" s="124">
        <v>2</v>
      </c>
      <c r="E76" s="19">
        <v>679</v>
      </c>
      <c r="F76" s="19">
        <f t="shared" si="12"/>
        <v>1358</v>
      </c>
      <c r="G76" s="67">
        <f t="shared" si="13"/>
        <v>123.45454545454545</v>
      </c>
      <c r="I76" s="384">
        <v>45841</v>
      </c>
      <c r="J76" s="102" t="s">
        <v>854</v>
      </c>
      <c r="K76" s="101">
        <v>4</v>
      </c>
      <c r="L76" s="101">
        <v>766</v>
      </c>
      <c r="M76" s="19">
        <f t="shared" si="16"/>
        <v>3064</v>
      </c>
      <c r="N76" s="277">
        <f t="shared" si="17"/>
        <v>399.54559999999998</v>
      </c>
    </row>
    <row r="77" spans="2:14" x14ac:dyDescent="0.3">
      <c r="B77" s="18"/>
      <c r="C77" s="18"/>
      <c r="D77" s="124"/>
      <c r="E77" s="18"/>
      <c r="F77" s="19">
        <f t="shared" ref="F77:F91" si="18">E77*D77</f>
        <v>0</v>
      </c>
      <c r="G77" s="67">
        <f t="shared" ref="G77:G91" si="19">F77/11</f>
        <v>0</v>
      </c>
      <c r="J77" s="1"/>
      <c r="K77" s="1"/>
      <c r="L77" s="1"/>
      <c r="M77" s="19">
        <f t="shared" si="16"/>
        <v>0</v>
      </c>
      <c r="N77" s="277">
        <f t="shared" si="17"/>
        <v>0</v>
      </c>
    </row>
    <row r="78" spans="2:14" x14ac:dyDescent="0.3">
      <c r="B78" s="82">
        <v>45736</v>
      </c>
      <c r="C78" s="19" t="s">
        <v>221</v>
      </c>
      <c r="D78" s="19">
        <v>1</v>
      </c>
      <c r="E78" s="19">
        <v>679</v>
      </c>
      <c r="F78" s="19">
        <f t="shared" si="18"/>
        <v>679</v>
      </c>
      <c r="G78" s="67">
        <f t="shared" si="19"/>
        <v>61.727272727272727</v>
      </c>
      <c r="I78" s="385"/>
      <c r="J78" s="314"/>
      <c r="K78" s="315"/>
      <c r="L78" s="315"/>
      <c r="M78" s="19">
        <f t="shared" si="16"/>
        <v>0</v>
      </c>
      <c r="N78" s="277">
        <f t="shared" si="17"/>
        <v>0</v>
      </c>
    </row>
    <row r="79" spans="2:14" x14ac:dyDescent="0.3">
      <c r="B79" s="82">
        <v>45736</v>
      </c>
      <c r="C79" s="19" t="s">
        <v>222</v>
      </c>
      <c r="D79" s="19">
        <v>1</v>
      </c>
      <c r="E79" s="19">
        <v>163</v>
      </c>
      <c r="F79" s="19">
        <f t="shared" si="18"/>
        <v>163</v>
      </c>
      <c r="G79" s="67">
        <f t="shared" si="19"/>
        <v>14.818181818181818</v>
      </c>
      <c r="I79" s="82">
        <v>45844</v>
      </c>
      <c r="J79" s="18" t="s">
        <v>855</v>
      </c>
      <c r="K79" s="19">
        <v>150</v>
      </c>
      <c r="L79" s="19">
        <v>494</v>
      </c>
      <c r="M79" s="19">
        <f t="shared" si="16"/>
        <v>74100</v>
      </c>
      <c r="N79" s="277">
        <f t="shared" si="17"/>
        <v>9662.64</v>
      </c>
    </row>
    <row r="80" spans="2:14" x14ac:dyDescent="0.3">
      <c r="B80" s="97"/>
      <c r="C80" s="126"/>
      <c r="D80" s="126"/>
      <c r="E80" s="126"/>
      <c r="F80" s="19">
        <f t="shared" si="18"/>
        <v>0</v>
      </c>
      <c r="G80" s="67">
        <f t="shared" si="19"/>
        <v>0</v>
      </c>
      <c r="I80" s="385"/>
      <c r="J80" s="314"/>
      <c r="K80" s="315"/>
      <c r="L80" s="315"/>
      <c r="M80" s="19">
        <f t="shared" si="16"/>
        <v>0</v>
      </c>
      <c r="N80" s="277">
        <f t="shared" si="17"/>
        <v>0</v>
      </c>
    </row>
    <row r="81" spans="2:14" x14ac:dyDescent="0.3">
      <c r="B81" s="82">
        <v>45739</v>
      </c>
      <c r="C81" s="81" t="s">
        <v>259</v>
      </c>
      <c r="D81" s="19">
        <v>1</v>
      </c>
      <c r="E81" s="19">
        <v>2149</v>
      </c>
      <c r="F81" s="19">
        <f t="shared" si="18"/>
        <v>2149</v>
      </c>
      <c r="G81" s="67">
        <f t="shared" si="19"/>
        <v>195.36363636363637</v>
      </c>
      <c r="I81" s="82">
        <v>45846</v>
      </c>
      <c r="J81" s="18" t="s">
        <v>857</v>
      </c>
      <c r="K81" s="19">
        <v>100</v>
      </c>
      <c r="L81" s="19">
        <v>494</v>
      </c>
      <c r="M81" s="19">
        <f t="shared" si="16"/>
        <v>49400</v>
      </c>
      <c r="N81" s="277">
        <f t="shared" si="17"/>
        <v>6441.76</v>
      </c>
    </row>
    <row r="82" spans="2:14" x14ac:dyDescent="0.3">
      <c r="B82" s="97">
        <v>45739</v>
      </c>
      <c r="C82" s="138" t="s">
        <v>262</v>
      </c>
      <c r="D82" s="126">
        <v>1</v>
      </c>
      <c r="E82" s="126">
        <v>2042</v>
      </c>
      <c r="F82" s="19">
        <f t="shared" si="18"/>
        <v>2042</v>
      </c>
      <c r="G82" s="67">
        <f t="shared" si="19"/>
        <v>185.63636363636363</v>
      </c>
      <c r="I82" s="82">
        <v>45848</v>
      </c>
      <c r="J82" s="18" t="s">
        <v>858</v>
      </c>
      <c r="K82" s="19">
        <v>100</v>
      </c>
      <c r="L82" s="19">
        <v>229</v>
      </c>
      <c r="M82" s="19">
        <f t="shared" si="16"/>
        <v>22900</v>
      </c>
      <c r="N82" s="277">
        <f t="shared" si="17"/>
        <v>2986.16</v>
      </c>
    </row>
    <row r="83" spans="2:14" x14ac:dyDescent="0.3">
      <c r="B83" s="97">
        <v>45739</v>
      </c>
      <c r="C83" s="138" t="s">
        <v>260</v>
      </c>
      <c r="D83" s="126">
        <v>2</v>
      </c>
      <c r="E83" s="126">
        <v>2090</v>
      </c>
      <c r="F83" s="19">
        <f t="shared" si="18"/>
        <v>4180</v>
      </c>
      <c r="G83" s="67">
        <f t="shared" si="19"/>
        <v>380</v>
      </c>
      <c r="I83" s="19"/>
      <c r="J83" s="18"/>
      <c r="K83" s="18"/>
      <c r="L83" s="18"/>
      <c r="M83" s="19">
        <f t="shared" ref="M83:M90" si="20">L83*K83</f>
        <v>0</v>
      </c>
      <c r="N83" s="277">
        <f t="shared" ref="N83:N90" si="21">M83*13.04/100</f>
        <v>0</v>
      </c>
    </row>
    <row r="84" spans="2:14" x14ac:dyDescent="0.3">
      <c r="B84" s="82">
        <v>45739</v>
      </c>
      <c r="C84" s="81" t="s">
        <v>261</v>
      </c>
      <c r="D84" s="19">
        <v>1</v>
      </c>
      <c r="E84" s="19">
        <v>275</v>
      </c>
      <c r="F84" s="19">
        <f t="shared" si="18"/>
        <v>275</v>
      </c>
      <c r="G84" s="67">
        <f t="shared" si="19"/>
        <v>25</v>
      </c>
      <c r="I84" s="82">
        <v>45854</v>
      </c>
      <c r="J84" s="81" t="s">
        <v>885</v>
      </c>
      <c r="K84" s="19">
        <v>200</v>
      </c>
      <c r="L84" s="19">
        <v>728</v>
      </c>
      <c r="M84" s="19">
        <f t="shared" si="20"/>
        <v>145600</v>
      </c>
      <c r="N84" s="277">
        <f t="shared" si="21"/>
        <v>18986.239999999998</v>
      </c>
    </row>
    <row r="85" spans="2:14" x14ac:dyDescent="0.3">
      <c r="B85" s="19"/>
      <c r="C85" s="19"/>
      <c r="D85" s="19"/>
      <c r="E85" s="19"/>
      <c r="F85" s="19">
        <f t="shared" si="18"/>
        <v>0</v>
      </c>
      <c r="G85" s="67">
        <f t="shared" si="19"/>
        <v>0</v>
      </c>
      <c r="I85" s="82">
        <v>45854</v>
      </c>
      <c r="J85" s="81" t="s">
        <v>886</v>
      </c>
      <c r="K85" s="19">
        <v>80</v>
      </c>
      <c r="L85" s="19">
        <v>85</v>
      </c>
      <c r="M85" s="19">
        <f t="shared" si="20"/>
        <v>6800</v>
      </c>
      <c r="N85" s="277">
        <f t="shared" si="21"/>
        <v>886.72</v>
      </c>
    </row>
    <row r="86" spans="2:14" x14ac:dyDescent="0.3">
      <c r="B86" s="97">
        <v>45740</v>
      </c>
      <c r="C86" s="138" t="s">
        <v>263</v>
      </c>
      <c r="D86" s="126">
        <v>2</v>
      </c>
      <c r="E86" s="126">
        <v>2090</v>
      </c>
      <c r="F86" s="19">
        <f t="shared" si="18"/>
        <v>4180</v>
      </c>
      <c r="G86" s="67">
        <f t="shared" si="19"/>
        <v>380</v>
      </c>
      <c r="I86" s="19"/>
      <c r="J86" s="18"/>
      <c r="K86" s="18"/>
      <c r="L86" s="18"/>
      <c r="M86" s="19">
        <f t="shared" si="20"/>
        <v>0</v>
      </c>
      <c r="N86" s="277">
        <f t="shared" si="21"/>
        <v>0</v>
      </c>
    </row>
    <row r="87" spans="2:14" x14ac:dyDescent="0.3">
      <c r="B87" s="97">
        <v>45740</v>
      </c>
      <c r="C87" s="138" t="s">
        <v>264</v>
      </c>
      <c r="D87" s="126">
        <v>2</v>
      </c>
      <c r="E87" s="126">
        <v>2090</v>
      </c>
      <c r="F87" s="19">
        <f t="shared" si="18"/>
        <v>4180</v>
      </c>
      <c r="G87" s="67">
        <f t="shared" si="19"/>
        <v>380</v>
      </c>
      <c r="I87" s="97">
        <v>45861</v>
      </c>
      <c r="J87" s="109" t="s">
        <v>919</v>
      </c>
      <c r="K87" s="126">
        <v>10</v>
      </c>
      <c r="L87" s="109">
        <v>1448.98</v>
      </c>
      <c r="M87" s="19">
        <f t="shared" si="20"/>
        <v>14489.8</v>
      </c>
      <c r="N87" s="277">
        <f t="shared" si="21"/>
        <v>1889.4699199999998</v>
      </c>
    </row>
    <row r="88" spans="2:14" x14ac:dyDescent="0.3">
      <c r="B88" s="82">
        <v>45740</v>
      </c>
      <c r="C88" s="81" t="s">
        <v>265</v>
      </c>
      <c r="D88" s="19">
        <v>2</v>
      </c>
      <c r="E88" s="19">
        <v>695</v>
      </c>
      <c r="F88" s="19">
        <f t="shared" si="18"/>
        <v>1390</v>
      </c>
      <c r="G88" s="67">
        <f t="shared" si="19"/>
        <v>126.36363636363636</v>
      </c>
      <c r="I88" s="97">
        <v>45862</v>
      </c>
      <c r="J88" s="109" t="s">
        <v>920</v>
      </c>
      <c r="K88" s="126">
        <v>5</v>
      </c>
      <c r="L88" s="109">
        <v>1448.98</v>
      </c>
      <c r="M88" s="19">
        <f t="shared" si="20"/>
        <v>7244.9</v>
      </c>
      <c r="N88" s="277">
        <f t="shared" si="21"/>
        <v>944.73495999999989</v>
      </c>
    </row>
    <row r="89" spans="2:14" x14ac:dyDescent="0.3">
      <c r="B89" s="18"/>
      <c r="C89" s="18"/>
      <c r="D89" s="124"/>
      <c r="E89" s="18"/>
      <c r="F89" s="19">
        <f t="shared" si="18"/>
        <v>0</v>
      </c>
      <c r="G89" s="67">
        <f t="shared" si="19"/>
        <v>0</v>
      </c>
      <c r="I89" s="97">
        <v>45863</v>
      </c>
      <c r="J89" s="109" t="s">
        <v>916</v>
      </c>
      <c r="K89" s="126">
        <v>2</v>
      </c>
      <c r="L89" s="109">
        <v>852</v>
      </c>
      <c r="M89" s="19">
        <f t="shared" si="20"/>
        <v>1704</v>
      </c>
      <c r="N89" s="277">
        <f t="shared" si="21"/>
        <v>222.20159999999998</v>
      </c>
    </row>
    <row r="90" spans="2:14" x14ac:dyDescent="0.3">
      <c r="B90" s="97">
        <v>45742</v>
      </c>
      <c r="C90" s="138" t="s">
        <v>260</v>
      </c>
      <c r="D90" s="126">
        <v>2</v>
      </c>
      <c r="E90" s="126">
        <v>2090</v>
      </c>
      <c r="F90" s="19">
        <f t="shared" si="18"/>
        <v>4180</v>
      </c>
      <c r="G90" s="67">
        <f t="shared" si="19"/>
        <v>380</v>
      </c>
      <c r="I90" s="97">
        <v>45862</v>
      </c>
      <c r="J90" s="109" t="s">
        <v>917</v>
      </c>
      <c r="K90" s="126">
        <v>1</v>
      </c>
      <c r="L90" s="109">
        <v>1359</v>
      </c>
      <c r="M90" s="19">
        <f t="shared" si="20"/>
        <v>1359</v>
      </c>
      <c r="N90" s="277">
        <f t="shared" si="21"/>
        <v>177.21360000000001</v>
      </c>
    </row>
    <row r="91" spans="2:14" x14ac:dyDescent="0.3">
      <c r="B91" s="82">
        <v>45742</v>
      </c>
      <c r="C91" s="81" t="s">
        <v>268</v>
      </c>
      <c r="D91" s="19">
        <v>1</v>
      </c>
      <c r="E91" s="19">
        <v>2090</v>
      </c>
      <c r="F91" s="19">
        <f t="shared" si="18"/>
        <v>2090</v>
      </c>
      <c r="G91" s="67">
        <f t="shared" si="19"/>
        <v>190</v>
      </c>
      <c r="I91" s="97">
        <v>45865</v>
      </c>
      <c r="J91" s="109" t="s">
        <v>918</v>
      </c>
      <c r="K91" s="343">
        <v>20</v>
      </c>
      <c r="L91" s="342">
        <v>720</v>
      </c>
      <c r="M91" s="19">
        <f t="shared" ref="M91:M118" si="22">L91*K91</f>
        <v>14400</v>
      </c>
      <c r="N91" s="277">
        <f t="shared" ref="N91:N118" si="23">M91*13.04/100</f>
        <v>1877.76</v>
      </c>
    </row>
    <row r="92" spans="2:14" x14ac:dyDescent="0.3">
      <c r="B92" s="82">
        <v>45742</v>
      </c>
      <c r="C92" s="81" t="s">
        <v>269</v>
      </c>
      <c r="D92" s="19">
        <v>1</v>
      </c>
      <c r="E92" s="19">
        <v>2090</v>
      </c>
      <c r="F92" s="19">
        <f t="shared" ref="F92:F108" si="24">E92*D92</f>
        <v>2090</v>
      </c>
      <c r="G92" s="67">
        <f t="shared" ref="G92:G108" si="25">F92/11</f>
        <v>190</v>
      </c>
      <c r="I92" s="126" t="s">
        <v>921</v>
      </c>
      <c r="J92" s="138" t="s">
        <v>922</v>
      </c>
      <c r="K92" s="126">
        <v>1</v>
      </c>
      <c r="L92" s="126">
        <v>1359</v>
      </c>
      <c r="M92" s="19">
        <f t="shared" si="22"/>
        <v>1359</v>
      </c>
      <c r="N92" s="277">
        <f t="shared" si="23"/>
        <v>177.21360000000001</v>
      </c>
    </row>
    <row r="93" spans="2:14" x14ac:dyDescent="0.3">
      <c r="B93" s="82">
        <v>45742</v>
      </c>
      <c r="C93" s="81" t="s">
        <v>270</v>
      </c>
      <c r="D93" s="19">
        <v>2</v>
      </c>
      <c r="E93" s="19">
        <v>2090</v>
      </c>
      <c r="F93" s="19">
        <f t="shared" si="24"/>
        <v>4180</v>
      </c>
      <c r="G93" s="67">
        <f t="shared" si="25"/>
        <v>380</v>
      </c>
      <c r="I93" s="19"/>
      <c r="J93" s="18"/>
      <c r="K93" s="18"/>
      <c r="L93" s="18"/>
      <c r="M93" s="19">
        <f t="shared" si="22"/>
        <v>0</v>
      </c>
      <c r="N93" s="277">
        <f t="shared" si="23"/>
        <v>0</v>
      </c>
    </row>
    <row r="94" spans="2:14" x14ac:dyDescent="0.3">
      <c r="B94" s="82">
        <v>45742</v>
      </c>
      <c r="C94" s="81" t="s">
        <v>271</v>
      </c>
      <c r="D94" s="19">
        <v>2</v>
      </c>
      <c r="E94" s="19">
        <v>2090</v>
      </c>
      <c r="F94" s="19">
        <f t="shared" si="24"/>
        <v>4180</v>
      </c>
      <c r="G94" s="67">
        <f t="shared" si="25"/>
        <v>380</v>
      </c>
      <c r="I94" s="82">
        <v>45831</v>
      </c>
      <c r="J94" s="81" t="s">
        <v>926</v>
      </c>
      <c r="K94" s="19">
        <v>3</v>
      </c>
      <c r="L94" s="19">
        <v>550</v>
      </c>
      <c r="M94" s="19">
        <f t="shared" si="22"/>
        <v>1650</v>
      </c>
      <c r="N94" s="277">
        <f t="shared" si="23"/>
        <v>215.16</v>
      </c>
    </row>
    <row r="95" spans="2:14" x14ac:dyDescent="0.3">
      <c r="B95" s="82">
        <v>45742</v>
      </c>
      <c r="C95" s="81" t="s">
        <v>263</v>
      </c>
      <c r="D95" s="19">
        <v>2</v>
      </c>
      <c r="E95" s="19">
        <v>2090</v>
      </c>
      <c r="F95" s="19">
        <f t="shared" si="24"/>
        <v>4180</v>
      </c>
      <c r="G95" s="67">
        <f t="shared" si="25"/>
        <v>380</v>
      </c>
      <c r="I95" s="97">
        <v>45864</v>
      </c>
      <c r="J95" s="109" t="s">
        <v>1035</v>
      </c>
      <c r="K95" s="126">
        <v>10</v>
      </c>
      <c r="L95" s="126">
        <v>738</v>
      </c>
      <c r="M95" s="19">
        <f t="shared" si="22"/>
        <v>7380</v>
      </c>
      <c r="N95" s="277">
        <f t="shared" si="23"/>
        <v>962.35199999999998</v>
      </c>
    </row>
    <row r="96" spans="2:14" x14ac:dyDescent="0.3">
      <c r="B96" s="97">
        <v>45742</v>
      </c>
      <c r="C96" s="138" t="s">
        <v>272</v>
      </c>
      <c r="D96" s="126">
        <v>2</v>
      </c>
      <c r="E96" s="126">
        <v>669</v>
      </c>
      <c r="F96" s="19">
        <f t="shared" si="24"/>
        <v>1338</v>
      </c>
      <c r="G96" s="67">
        <f t="shared" si="25"/>
        <v>121.63636363636364</v>
      </c>
      <c r="I96" s="97">
        <v>45864</v>
      </c>
      <c r="J96" s="109" t="s">
        <v>1036</v>
      </c>
      <c r="K96" s="126">
        <v>10</v>
      </c>
      <c r="L96" s="126">
        <v>738</v>
      </c>
      <c r="M96" s="19">
        <f t="shared" si="22"/>
        <v>7380</v>
      </c>
      <c r="N96" s="277">
        <f t="shared" si="23"/>
        <v>962.35199999999998</v>
      </c>
    </row>
    <row r="97" spans="2:14" x14ac:dyDescent="0.3">
      <c r="B97" s="18"/>
      <c r="C97" s="18"/>
      <c r="D97" s="124"/>
      <c r="E97" s="18"/>
      <c r="F97" s="19">
        <f t="shared" si="24"/>
        <v>0</v>
      </c>
      <c r="G97" s="67">
        <f t="shared" si="25"/>
        <v>0</v>
      </c>
      <c r="I97" s="76"/>
      <c r="J97" s="77"/>
      <c r="K97" s="77"/>
      <c r="L97" s="77"/>
      <c r="M97" s="76">
        <f t="shared" si="22"/>
        <v>0</v>
      </c>
      <c r="N97" s="391">
        <f t="shared" si="23"/>
        <v>0</v>
      </c>
    </row>
    <row r="98" spans="2:14" x14ac:dyDescent="0.3">
      <c r="B98" s="82">
        <v>45742</v>
      </c>
      <c r="C98" s="18" t="s">
        <v>278</v>
      </c>
      <c r="D98" s="19">
        <v>1</v>
      </c>
      <c r="E98" s="19">
        <v>699</v>
      </c>
      <c r="F98" s="19">
        <f t="shared" si="24"/>
        <v>699</v>
      </c>
      <c r="G98" s="67">
        <f t="shared" si="25"/>
        <v>63.545454545454547</v>
      </c>
      <c r="I98" s="214">
        <v>45873</v>
      </c>
      <c r="J98" s="109" t="s">
        <v>1060</v>
      </c>
      <c r="K98" s="109">
        <v>50</v>
      </c>
      <c r="L98" s="189">
        <v>329</v>
      </c>
      <c r="M98" s="19">
        <f t="shared" si="22"/>
        <v>16450</v>
      </c>
      <c r="N98" s="394">
        <f t="shared" si="23"/>
        <v>2145.08</v>
      </c>
    </row>
    <row r="99" spans="2:14" x14ac:dyDescent="0.3">
      <c r="B99" s="82">
        <v>45742</v>
      </c>
      <c r="C99" s="18" t="s">
        <v>280</v>
      </c>
      <c r="D99" s="19">
        <v>1</v>
      </c>
      <c r="E99" s="19">
        <v>2149</v>
      </c>
      <c r="F99" s="19">
        <f t="shared" si="24"/>
        <v>2149</v>
      </c>
      <c r="G99" s="67">
        <f t="shared" si="25"/>
        <v>195.36363636363637</v>
      </c>
      <c r="I99" s="73">
        <v>45874</v>
      </c>
      <c r="J99" s="18" t="s">
        <v>1048</v>
      </c>
      <c r="K99" s="18">
        <v>1</v>
      </c>
      <c r="L99" s="215">
        <v>1449</v>
      </c>
      <c r="M99" s="19">
        <f t="shared" si="22"/>
        <v>1449</v>
      </c>
      <c r="N99" s="394">
        <f t="shared" si="23"/>
        <v>188.9496</v>
      </c>
    </row>
    <row r="100" spans="2:14" x14ac:dyDescent="0.3">
      <c r="B100" s="82">
        <v>45742</v>
      </c>
      <c r="C100" s="18" t="s">
        <v>279</v>
      </c>
      <c r="D100" s="19">
        <v>5</v>
      </c>
      <c r="E100" s="19">
        <v>2199</v>
      </c>
      <c r="F100" s="19">
        <f t="shared" si="24"/>
        <v>10995</v>
      </c>
      <c r="G100" s="67">
        <f t="shared" si="25"/>
        <v>999.5454545454545</v>
      </c>
      <c r="I100" s="73">
        <v>45874</v>
      </c>
      <c r="J100" s="18" t="s">
        <v>1049</v>
      </c>
      <c r="K100" s="18">
        <v>1</v>
      </c>
      <c r="L100" s="215">
        <v>1449</v>
      </c>
      <c r="M100" s="19">
        <f t="shared" si="22"/>
        <v>1449</v>
      </c>
      <c r="N100" s="394">
        <f t="shared" si="23"/>
        <v>188.9496</v>
      </c>
    </row>
    <row r="101" spans="2:14" x14ac:dyDescent="0.3">
      <c r="B101" s="82">
        <v>45742</v>
      </c>
      <c r="C101" s="18" t="s">
        <v>281</v>
      </c>
      <c r="D101" s="19">
        <v>2</v>
      </c>
      <c r="E101" s="19">
        <v>1880.99</v>
      </c>
      <c r="F101" s="19">
        <f t="shared" si="24"/>
        <v>3761.98</v>
      </c>
      <c r="G101" s="67">
        <f t="shared" si="25"/>
        <v>341.99818181818182</v>
      </c>
      <c r="I101" s="73">
        <v>45874</v>
      </c>
      <c r="J101" s="18" t="s">
        <v>1050</v>
      </c>
      <c r="K101" s="18">
        <v>2</v>
      </c>
      <c r="L101" s="215">
        <v>1449</v>
      </c>
      <c r="M101" s="19">
        <f t="shared" si="22"/>
        <v>2898</v>
      </c>
      <c r="N101" s="394">
        <f t="shared" si="23"/>
        <v>377.89920000000001</v>
      </c>
    </row>
    <row r="102" spans="2:14" x14ac:dyDescent="0.3">
      <c r="B102" s="18"/>
      <c r="C102" s="18"/>
      <c r="D102" s="124"/>
      <c r="E102" s="18"/>
      <c r="F102" s="19">
        <f t="shared" si="24"/>
        <v>0</v>
      </c>
      <c r="G102" s="67">
        <f t="shared" si="25"/>
        <v>0</v>
      </c>
      <c r="I102" s="73">
        <v>45876</v>
      </c>
      <c r="J102" s="18" t="s">
        <v>1051</v>
      </c>
      <c r="K102" s="18">
        <v>4</v>
      </c>
      <c r="L102" s="18">
        <v>299</v>
      </c>
      <c r="M102" s="19">
        <f t="shared" si="22"/>
        <v>1196</v>
      </c>
      <c r="N102" s="394">
        <f t="shared" si="23"/>
        <v>155.95839999999998</v>
      </c>
    </row>
    <row r="103" spans="2:14" x14ac:dyDescent="0.3">
      <c r="B103" s="97">
        <v>45743</v>
      </c>
      <c r="C103" s="109" t="s">
        <v>282</v>
      </c>
      <c r="D103" s="126">
        <v>2</v>
      </c>
      <c r="E103" s="126">
        <v>2089.4899999999998</v>
      </c>
      <c r="F103" s="19">
        <f t="shared" si="24"/>
        <v>4178.9799999999996</v>
      </c>
      <c r="G103" s="67">
        <f t="shared" si="25"/>
        <v>379.9072727272727</v>
      </c>
      <c r="I103" s="73">
        <v>45876</v>
      </c>
      <c r="J103" s="18" t="s">
        <v>1052</v>
      </c>
      <c r="K103" s="18">
        <v>2</v>
      </c>
      <c r="L103" s="18">
        <v>299</v>
      </c>
      <c r="M103" s="19">
        <f t="shared" si="22"/>
        <v>598</v>
      </c>
      <c r="N103" s="394">
        <f t="shared" si="23"/>
        <v>77.979199999999992</v>
      </c>
    </row>
    <row r="104" spans="2:14" x14ac:dyDescent="0.3">
      <c r="B104" s="97">
        <v>45743</v>
      </c>
      <c r="C104" s="109" t="s">
        <v>283</v>
      </c>
      <c r="D104" s="126">
        <v>2</v>
      </c>
      <c r="E104" s="126">
        <v>2089.4899999999998</v>
      </c>
      <c r="F104" s="19">
        <f t="shared" si="24"/>
        <v>4178.9799999999996</v>
      </c>
      <c r="G104" s="67">
        <f t="shared" si="25"/>
        <v>379.9072727272727</v>
      </c>
      <c r="I104" s="73">
        <v>45876</v>
      </c>
      <c r="J104" s="18" t="s">
        <v>1053</v>
      </c>
      <c r="K104" s="18">
        <v>2</v>
      </c>
      <c r="L104" s="18">
        <v>299</v>
      </c>
      <c r="M104" s="19">
        <f t="shared" si="22"/>
        <v>598</v>
      </c>
      <c r="N104" s="394">
        <f t="shared" si="23"/>
        <v>77.979199999999992</v>
      </c>
    </row>
    <row r="105" spans="2:14" x14ac:dyDescent="0.3">
      <c r="B105" s="97">
        <v>45743</v>
      </c>
      <c r="C105" s="109" t="s">
        <v>284</v>
      </c>
      <c r="D105" s="126">
        <v>2</v>
      </c>
      <c r="E105" s="126">
        <v>2089.4899999999998</v>
      </c>
      <c r="F105" s="19">
        <f t="shared" si="24"/>
        <v>4178.9799999999996</v>
      </c>
      <c r="G105" s="67">
        <f t="shared" si="25"/>
        <v>379.9072727272727</v>
      </c>
      <c r="I105" s="73">
        <v>45876</v>
      </c>
      <c r="J105" s="18" t="s">
        <v>1054</v>
      </c>
      <c r="K105" s="18">
        <v>7</v>
      </c>
      <c r="L105" s="18">
        <v>299</v>
      </c>
      <c r="M105" s="19">
        <f t="shared" si="22"/>
        <v>2093</v>
      </c>
      <c r="N105" s="394">
        <f t="shared" si="23"/>
        <v>272.92719999999997</v>
      </c>
    </row>
    <row r="106" spans="2:14" x14ac:dyDescent="0.3">
      <c r="B106" s="97">
        <v>45743</v>
      </c>
      <c r="C106" s="109" t="s">
        <v>285</v>
      </c>
      <c r="D106" s="126">
        <v>2</v>
      </c>
      <c r="E106" s="126">
        <v>2089.4899999999998</v>
      </c>
      <c r="F106" s="19">
        <f t="shared" si="24"/>
        <v>4178.9799999999996</v>
      </c>
      <c r="G106" s="67">
        <f t="shared" si="25"/>
        <v>379.9072727272727</v>
      </c>
      <c r="I106" s="73">
        <v>45876</v>
      </c>
      <c r="J106" s="18" t="s">
        <v>1055</v>
      </c>
      <c r="K106" s="18">
        <v>8</v>
      </c>
      <c r="L106" s="18">
        <v>299</v>
      </c>
      <c r="M106" s="19">
        <f t="shared" si="22"/>
        <v>2392</v>
      </c>
      <c r="N106" s="394">
        <f t="shared" si="23"/>
        <v>311.91679999999997</v>
      </c>
    </row>
    <row r="107" spans="2:14" x14ac:dyDescent="0.3">
      <c r="B107" s="97">
        <v>45743</v>
      </c>
      <c r="C107" s="109" t="s">
        <v>286</v>
      </c>
      <c r="D107" s="126">
        <v>2</v>
      </c>
      <c r="E107" s="126">
        <v>2089.4899999999998</v>
      </c>
      <c r="F107" s="19">
        <f t="shared" si="24"/>
        <v>4178.9799999999996</v>
      </c>
      <c r="G107" s="67">
        <f t="shared" si="25"/>
        <v>379.9072727272727</v>
      </c>
      <c r="I107" s="73">
        <v>45876</v>
      </c>
      <c r="J107" s="18" t="s">
        <v>1056</v>
      </c>
      <c r="K107" s="18">
        <v>20</v>
      </c>
      <c r="L107" s="18">
        <v>299</v>
      </c>
      <c r="M107" s="19">
        <f t="shared" si="22"/>
        <v>5980</v>
      </c>
      <c r="N107" s="394">
        <f t="shared" si="23"/>
        <v>779.79199999999992</v>
      </c>
    </row>
    <row r="108" spans="2:14" x14ac:dyDescent="0.3">
      <c r="B108" s="19"/>
      <c r="C108" s="19"/>
      <c r="D108" s="19"/>
      <c r="E108" s="19"/>
      <c r="F108" s="19">
        <f t="shared" si="24"/>
        <v>0</v>
      </c>
      <c r="G108" s="67">
        <f t="shared" si="25"/>
        <v>0</v>
      </c>
      <c r="I108" s="73">
        <v>45876</v>
      </c>
      <c r="J108" s="18" t="s">
        <v>1057</v>
      </c>
      <c r="K108" s="18">
        <v>26</v>
      </c>
      <c r="L108" s="18">
        <v>299</v>
      </c>
      <c r="M108" s="19">
        <f t="shared" si="22"/>
        <v>7774</v>
      </c>
      <c r="N108" s="394">
        <f t="shared" si="23"/>
        <v>1013.7295999999999</v>
      </c>
    </row>
    <row r="109" spans="2:14" x14ac:dyDescent="0.3">
      <c r="B109" s="97">
        <v>45743</v>
      </c>
      <c r="C109" s="109" t="s">
        <v>287</v>
      </c>
      <c r="D109" s="126">
        <v>2</v>
      </c>
      <c r="E109" s="126">
        <v>2204</v>
      </c>
      <c r="F109" s="19">
        <f t="shared" ref="F109:F128" si="26">E109*D109</f>
        <v>4408</v>
      </c>
      <c r="G109" s="67">
        <f t="shared" ref="G109:G128" si="27">F109/11</f>
        <v>400.72727272727275</v>
      </c>
      <c r="I109" s="73">
        <v>45876</v>
      </c>
      <c r="J109" s="18" t="s">
        <v>1058</v>
      </c>
      <c r="K109" s="18">
        <v>40</v>
      </c>
      <c r="L109" s="18">
        <v>299</v>
      </c>
      <c r="M109" s="19">
        <f t="shared" si="22"/>
        <v>11960</v>
      </c>
      <c r="N109" s="394">
        <f t="shared" si="23"/>
        <v>1559.5839999999998</v>
      </c>
    </row>
    <row r="110" spans="2:14" x14ac:dyDescent="0.3">
      <c r="B110" s="18"/>
      <c r="C110" s="18"/>
      <c r="D110" s="124"/>
      <c r="E110" s="18"/>
      <c r="F110" s="19">
        <f t="shared" si="26"/>
        <v>0</v>
      </c>
      <c r="G110" s="67">
        <f t="shared" si="27"/>
        <v>0</v>
      </c>
      <c r="I110" s="73">
        <v>45877</v>
      </c>
      <c r="J110" s="18" t="s">
        <v>1059</v>
      </c>
      <c r="K110" s="18">
        <v>2</v>
      </c>
      <c r="L110" s="18">
        <v>299</v>
      </c>
      <c r="M110" s="392">
        <f t="shared" si="22"/>
        <v>598</v>
      </c>
      <c r="N110" s="393">
        <f t="shared" si="23"/>
        <v>77.979199999999992</v>
      </c>
    </row>
    <row r="111" spans="2:14" x14ac:dyDescent="0.3">
      <c r="B111" s="18"/>
      <c r="C111" s="18"/>
      <c r="D111" s="124"/>
      <c r="E111" s="18"/>
      <c r="F111" s="19">
        <f t="shared" si="26"/>
        <v>0</v>
      </c>
      <c r="G111" s="67">
        <f t="shared" si="27"/>
        <v>0</v>
      </c>
      <c r="I111" s="73">
        <v>45877</v>
      </c>
      <c r="J111" s="18" t="s">
        <v>1047</v>
      </c>
      <c r="K111" s="18">
        <v>1</v>
      </c>
      <c r="L111" s="18">
        <v>1600</v>
      </c>
      <c r="M111" s="19">
        <f t="shared" si="22"/>
        <v>1600</v>
      </c>
      <c r="N111" s="277">
        <f t="shared" si="23"/>
        <v>208.64</v>
      </c>
    </row>
    <row r="112" spans="2:14" x14ac:dyDescent="0.3">
      <c r="B112" s="97">
        <v>45744</v>
      </c>
      <c r="C112" s="109" t="s">
        <v>288</v>
      </c>
      <c r="D112" s="126">
        <v>2</v>
      </c>
      <c r="E112" s="126">
        <v>2089.4899999999998</v>
      </c>
      <c r="F112" s="19">
        <f t="shared" si="26"/>
        <v>4178.9799999999996</v>
      </c>
      <c r="G112" s="67">
        <f t="shared" si="27"/>
        <v>379.9072727272727</v>
      </c>
      <c r="I112" s="73">
        <v>45909</v>
      </c>
      <c r="J112" s="18" t="s">
        <v>1245</v>
      </c>
      <c r="K112" s="19">
        <v>50</v>
      </c>
      <c r="L112" s="19">
        <v>329</v>
      </c>
      <c r="M112" s="19">
        <f t="shared" si="22"/>
        <v>16450</v>
      </c>
      <c r="N112" s="277">
        <f t="shared" si="23"/>
        <v>2145.08</v>
      </c>
    </row>
    <row r="113" spans="2:14" x14ac:dyDescent="0.3">
      <c r="B113" s="97">
        <v>45744</v>
      </c>
      <c r="C113" s="109" t="s">
        <v>289</v>
      </c>
      <c r="D113" s="126">
        <v>1</v>
      </c>
      <c r="E113" s="126">
        <v>2204</v>
      </c>
      <c r="F113" s="19">
        <f t="shared" si="26"/>
        <v>2204</v>
      </c>
      <c r="G113" s="67">
        <f t="shared" si="27"/>
        <v>200.36363636363637</v>
      </c>
      <c r="I113" s="73">
        <v>45909</v>
      </c>
      <c r="J113" s="18" t="s">
        <v>1245</v>
      </c>
      <c r="K113" s="19">
        <v>50</v>
      </c>
      <c r="L113" s="19">
        <v>329</v>
      </c>
      <c r="M113" s="19">
        <f t="shared" ref="M113" si="28">L113*K113</f>
        <v>16450</v>
      </c>
      <c r="N113" s="277">
        <f t="shared" ref="N113" si="29">M113*13.04/100</f>
        <v>2145.08</v>
      </c>
    </row>
    <row r="114" spans="2:14" x14ac:dyDescent="0.3">
      <c r="B114" s="19"/>
      <c r="C114" s="19"/>
      <c r="D114" s="19"/>
      <c r="E114" s="19"/>
      <c r="F114" s="19">
        <f t="shared" si="26"/>
        <v>0</v>
      </c>
      <c r="G114" s="67">
        <f t="shared" si="27"/>
        <v>0</v>
      </c>
      <c r="I114" s="19"/>
      <c r="J114" s="18"/>
      <c r="K114" s="18"/>
      <c r="L114" s="18"/>
      <c r="M114" s="19">
        <f t="shared" si="22"/>
        <v>0</v>
      </c>
      <c r="N114" s="277">
        <f t="shared" si="23"/>
        <v>0</v>
      </c>
    </row>
    <row r="115" spans="2:14" x14ac:dyDescent="0.3">
      <c r="B115" s="82">
        <v>45744</v>
      </c>
      <c r="C115" s="18" t="s">
        <v>290</v>
      </c>
      <c r="D115" s="19">
        <v>2</v>
      </c>
      <c r="E115" s="145">
        <v>220</v>
      </c>
      <c r="F115" s="19">
        <f t="shared" si="26"/>
        <v>440</v>
      </c>
      <c r="G115" s="67">
        <f t="shared" si="27"/>
        <v>40</v>
      </c>
      <c r="I115" s="19"/>
      <c r="J115" s="18"/>
      <c r="K115" s="18"/>
      <c r="L115" s="18"/>
      <c r="M115" s="19">
        <f t="shared" si="22"/>
        <v>0</v>
      </c>
      <c r="N115" s="277">
        <f t="shared" si="23"/>
        <v>0</v>
      </c>
    </row>
    <row r="116" spans="2:14" x14ac:dyDescent="0.3">
      <c r="B116" s="82">
        <v>45744</v>
      </c>
      <c r="C116" s="18" t="s">
        <v>291</v>
      </c>
      <c r="D116" s="19">
        <v>2</v>
      </c>
      <c r="E116" s="145">
        <v>89</v>
      </c>
      <c r="F116" s="19">
        <f t="shared" si="26"/>
        <v>178</v>
      </c>
      <c r="G116" s="67">
        <f t="shared" si="27"/>
        <v>16.181818181818183</v>
      </c>
      <c r="I116" s="19"/>
      <c r="J116" s="18"/>
      <c r="K116" s="18"/>
      <c r="L116" s="18"/>
      <c r="M116" s="19">
        <f t="shared" si="22"/>
        <v>0</v>
      </c>
      <c r="N116" s="277">
        <f t="shared" si="23"/>
        <v>0</v>
      </c>
    </row>
    <row r="117" spans="2:14" x14ac:dyDescent="0.3">
      <c r="B117" s="82">
        <v>45744</v>
      </c>
      <c r="C117" s="18" t="s">
        <v>292</v>
      </c>
      <c r="D117" s="19">
        <v>2</v>
      </c>
      <c r="E117" s="145">
        <v>89</v>
      </c>
      <c r="F117" s="19">
        <f t="shared" si="26"/>
        <v>178</v>
      </c>
      <c r="G117" s="67">
        <f t="shared" si="27"/>
        <v>16.181818181818183</v>
      </c>
      <c r="I117" s="19"/>
      <c r="J117" s="18"/>
      <c r="K117" s="18"/>
      <c r="L117" s="18"/>
      <c r="M117" s="19">
        <f t="shared" si="22"/>
        <v>0</v>
      </c>
      <c r="N117" s="277">
        <f t="shared" si="23"/>
        <v>0</v>
      </c>
    </row>
    <row r="118" spans="2:14" x14ac:dyDescent="0.3">
      <c r="B118" s="82">
        <v>45744</v>
      </c>
      <c r="C118" s="18" t="s">
        <v>293</v>
      </c>
      <c r="D118" s="19">
        <v>2</v>
      </c>
      <c r="E118" s="145">
        <v>89</v>
      </c>
      <c r="F118" s="19">
        <f t="shared" si="26"/>
        <v>178</v>
      </c>
      <c r="G118" s="67">
        <f t="shared" si="27"/>
        <v>16.181818181818183</v>
      </c>
      <c r="I118" s="19"/>
      <c r="J118" s="18"/>
      <c r="K118" s="18"/>
      <c r="L118" s="18"/>
      <c r="M118" s="19">
        <f t="shared" si="22"/>
        <v>0</v>
      </c>
      <c r="N118" s="277">
        <f t="shared" si="23"/>
        <v>0</v>
      </c>
    </row>
    <row r="119" spans="2:14" ht="21" x14ac:dyDescent="0.4">
      <c r="B119" s="82">
        <v>45744</v>
      </c>
      <c r="C119" s="18" t="s">
        <v>294</v>
      </c>
      <c r="D119" s="19">
        <v>2</v>
      </c>
      <c r="E119" s="145">
        <v>55</v>
      </c>
      <c r="F119" s="19">
        <f t="shared" si="26"/>
        <v>110</v>
      </c>
      <c r="G119" s="67">
        <f t="shared" si="27"/>
        <v>10</v>
      </c>
      <c r="M119" s="68" t="s">
        <v>109</v>
      </c>
      <c r="N119" s="84">
        <f>SUM(N6:N118)</f>
        <v>226619.13863199981</v>
      </c>
    </row>
    <row r="120" spans="2:14" x14ac:dyDescent="0.3">
      <c r="B120" s="19"/>
      <c r="C120" s="19"/>
      <c r="D120" s="19"/>
      <c r="E120" s="19"/>
      <c r="F120" s="19">
        <f t="shared" si="26"/>
        <v>0</v>
      </c>
      <c r="G120" s="67">
        <f t="shared" si="27"/>
        <v>0</v>
      </c>
    </row>
    <row r="121" spans="2:14" x14ac:dyDescent="0.3">
      <c r="B121" s="97">
        <v>45744</v>
      </c>
      <c r="C121" s="109" t="s">
        <v>295</v>
      </c>
      <c r="D121" s="126">
        <v>2</v>
      </c>
      <c r="E121" s="146">
        <v>220</v>
      </c>
      <c r="F121" s="19">
        <f t="shared" si="26"/>
        <v>440</v>
      </c>
      <c r="G121" s="67">
        <f t="shared" si="27"/>
        <v>40</v>
      </c>
    </row>
    <row r="122" spans="2:14" x14ac:dyDescent="0.3">
      <c r="B122" s="97">
        <v>45744</v>
      </c>
      <c r="C122" s="109" t="s">
        <v>295</v>
      </c>
      <c r="D122" s="126">
        <v>2</v>
      </c>
      <c r="E122" s="146">
        <v>220</v>
      </c>
      <c r="F122" s="19">
        <f t="shared" si="26"/>
        <v>440</v>
      </c>
      <c r="G122" s="67">
        <f t="shared" si="27"/>
        <v>40</v>
      </c>
    </row>
    <row r="123" spans="2:14" x14ac:dyDescent="0.3">
      <c r="B123" s="97">
        <v>45744</v>
      </c>
      <c r="C123" s="109" t="s">
        <v>296</v>
      </c>
      <c r="D123" s="126">
        <v>2</v>
      </c>
      <c r="E123" s="146">
        <v>89</v>
      </c>
      <c r="F123" s="19">
        <f t="shared" si="26"/>
        <v>178</v>
      </c>
      <c r="G123" s="67">
        <f t="shared" si="27"/>
        <v>16.181818181818183</v>
      </c>
    </row>
    <row r="124" spans="2:14" x14ac:dyDescent="0.3">
      <c r="B124" s="97">
        <v>45744</v>
      </c>
      <c r="C124" s="109" t="s">
        <v>297</v>
      </c>
      <c r="D124" s="126">
        <v>1</v>
      </c>
      <c r="E124" s="146">
        <v>89</v>
      </c>
      <c r="F124" s="19">
        <f t="shared" si="26"/>
        <v>89</v>
      </c>
      <c r="G124" s="67">
        <f t="shared" si="27"/>
        <v>8.0909090909090917</v>
      </c>
    </row>
    <row r="125" spans="2:14" x14ac:dyDescent="0.3">
      <c r="B125" s="18"/>
      <c r="C125" s="18"/>
      <c r="D125" s="124"/>
      <c r="E125" s="18"/>
      <c r="F125" s="19">
        <f t="shared" si="26"/>
        <v>0</v>
      </c>
      <c r="G125" s="67">
        <f t="shared" si="27"/>
        <v>0</v>
      </c>
    </row>
    <row r="126" spans="2:14" x14ac:dyDescent="0.3">
      <c r="B126" s="97">
        <v>45745</v>
      </c>
      <c r="C126" s="109" t="s">
        <v>310</v>
      </c>
      <c r="D126" s="126">
        <v>2</v>
      </c>
      <c r="E126" s="126">
        <v>2089.4899999999998</v>
      </c>
      <c r="F126" s="19">
        <f t="shared" si="26"/>
        <v>4178.9799999999996</v>
      </c>
      <c r="G126" s="67">
        <f t="shared" si="27"/>
        <v>379.9072727272727</v>
      </c>
    </row>
    <row r="127" spans="2:14" x14ac:dyDescent="0.3">
      <c r="B127" s="97">
        <v>45745</v>
      </c>
      <c r="C127" s="138" t="s">
        <v>313</v>
      </c>
      <c r="D127" s="126">
        <v>2</v>
      </c>
      <c r="E127" s="126">
        <v>2204</v>
      </c>
      <c r="F127" s="19">
        <f t="shared" si="26"/>
        <v>4408</v>
      </c>
      <c r="G127" s="67">
        <f t="shared" si="27"/>
        <v>400.72727272727275</v>
      </c>
    </row>
    <row r="128" spans="2:14" ht="21" x14ac:dyDescent="0.4">
      <c r="B128" s="97">
        <v>45745</v>
      </c>
      <c r="C128" s="138" t="s">
        <v>312</v>
      </c>
      <c r="D128" s="126">
        <v>1</v>
      </c>
      <c r="E128" s="126">
        <v>669</v>
      </c>
      <c r="F128" s="19">
        <f t="shared" si="26"/>
        <v>669</v>
      </c>
      <c r="G128" s="67">
        <f t="shared" si="27"/>
        <v>60.81818181818182</v>
      </c>
      <c r="I128" s="499" t="s">
        <v>21</v>
      </c>
      <c r="J128" s="499"/>
      <c r="K128" s="499"/>
      <c r="L128" s="499"/>
      <c r="M128" s="499"/>
      <c r="N128" s="499"/>
    </row>
    <row r="129" spans="2:14" ht="18" x14ac:dyDescent="0.35">
      <c r="B129" s="18"/>
      <c r="C129" s="18"/>
      <c r="D129" s="124"/>
      <c r="E129" s="18"/>
      <c r="F129" s="19">
        <f t="shared" ref="F129:F185" si="30">E129*D129</f>
        <v>0</v>
      </c>
      <c r="G129" s="67">
        <f t="shared" ref="G129:G185" si="31">F129/11</f>
        <v>0</v>
      </c>
      <c r="I129" s="47" t="s">
        <v>1</v>
      </c>
      <c r="J129" s="47" t="s">
        <v>2</v>
      </c>
      <c r="K129" s="47" t="s">
        <v>3</v>
      </c>
      <c r="L129" s="47" t="s">
        <v>107</v>
      </c>
      <c r="M129" s="47" t="s">
        <v>108</v>
      </c>
      <c r="N129" s="70" t="s">
        <v>26</v>
      </c>
    </row>
    <row r="130" spans="2:14" x14ac:dyDescent="0.3">
      <c r="B130" s="18"/>
      <c r="C130" s="18"/>
      <c r="D130" s="124"/>
      <c r="E130" s="18"/>
      <c r="F130" s="19">
        <f t="shared" si="30"/>
        <v>0</v>
      </c>
      <c r="G130" s="67">
        <f t="shared" si="31"/>
        <v>0</v>
      </c>
      <c r="I130" s="82">
        <v>45750</v>
      </c>
      <c r="J130" s="19" t="s">
        <v>319</v>
      </c>
      <c r="K130" s="19">
        <v>10</v>
      </c>
      <c r="L130" s="19">
        <v>579</v>
      </c>
      <c r="M130" s="2">
        <f t="shared" ref="M130:M161" si="32">L130*K130</f>
        <v>5790</v>
      </c>
      <c r="N130" s="71">
        <f t="shared" ref="N130:N155" si="33">M130*13.04/100</f>
        <v>755.01599999999996</v>
      </c>
    </row>
    <row r="131" spans="2:14" x14ac:dyDescent="0.3">
      <c r="B131" s="82">
        <v>45747</v>
      </c>
      <c r="C131" s="81" t="s">
        <v>338</v>
      </c>
      <c r="D131" s="19">
        <v>2</v>
      </c>
      <c r="E131" s="19">
        <v>2460.9899999999998</v>
      </c>
      <c r="F131" s="19">
        <f t="shared" si="30"/>
        <v>4921.9799999999996</v>
      </c>
      <c r="G131" s="67">
        <f t="shared" si="31"/>
        <v>447.45272727272726</v>
      </c>
      <c r="I131" s="19"/>
      <c r="J131" s="18"/>
      <c r="K131" s="18"/>
      <c r="L131" s="18"/>
      <c r="M131" s="2">
        <f t="shared" si="32"/>
        <v>0</v>
      </c>
      <c r="N131" s="71">
        <f t="shared" si="33"/>
        <v>0</v>
      </c>
    </row>
    <row r="132" spans="2:14" x14ac:dyDescent="0.3">
      <c r="B132" s="82">
        <v>45747</v>
      </c>
      <c r="C132" s="81" t="s">
        <v>339</v>
      </c>
      <c r="D132" s="19">
        <v>2</v>
      </c>
      <c r="E132" s="19">
        <v>2089.9899999999998</v>
      </c>
      <c r="F132" s="19">
        <f t="shared" si="30"/>
        <v>4179.9799999999996</v>
      </c>
      <c r="G132" s="67">
        <f t="shared" si="31"/>
        <v>379.99818181818176</v>
      </c>
      <c r="I132" s="82">
        <v>45784</v>
      </c>
      <c r="J132" s="81" t="s">
        <v>648</v>
      </c>
      <c r="K132" s="19">
        <v>147</v>
      </c>
      <c r="L132" s="19">
        <v>520</v>
      </c>
      <c r="M132" s="2">
        <f t="shared" si="32"/>
        <v>76440</v>
      </c>
      <c r="N132" s="71">
        <f t="shared" si="33"/>
        <v>9967.7759999999998</v>
      </c>
    </row>
    <row r="133" spans="2:14" x14ac:dyDescent="0.3">
      <c r="B133" s="82">
        <v>45747</v>
      </c>
      <c r="C133" s="81" t="s">
        <v>340</v>
      </c>
      <c r="D133" s="19">
        <v>2</v>
      </c>
      <c r="E133" s="19">
        <v>2460.9899999999998</v>
      </c>
      <c r="F133" s="19">
        <f t="shared" si="30"/>
        <v>4921.9799999999996</v>
      </c>
      <c r="G133" s="67">
        <f t="shared" si="31"/>
        <v>447.45272727272726</v>
      </c>
      <c r="I133" s="82">
        <v>45784</v>
      </c>
      <c r="J133" s="81" t="s">
        <v>649</v>
      </c>
      <c r="K133" s="19">
        <v>500</v>
      </c>
      <c r="L133" s="19">
        <v>28.99</v>
      </c>
      <c r="M133" s="2">
        <f t="shared" si="32"/>
        <v>14495</v>
      </c>
      <c r="N133" s="71">
        <f t="shared" si="33"/>
        <v>1890.1479999999999</v>
      </c>
    </row>
    <row r="134" spans="2:14" x14ac:dyDescent="0.3">
      <c r="B134" s="97">
        <v>45747</v>
      </c>
      <c r="C134" s="138" t="s">
        <v>341</v>
      </c>
      <c r="D134" s="126">
        <v>10</v>
      </c>
      <c r="E134" s="126">
        <v>213</v>
      </c>
      <c r="F134" s="19">
        <f t="shared" si="30"/>
        <v>2130</v>
      </c>
      <c r="G134" s="67">
        <f t="shared" si="31"/>
        <v>193.63636363636363</v>
      </c>
      <c r="I134" s="82">
        <v>45784</v>
      </c>
      <c r="J134" s="81" t="s">
        <v>650</v>
      </c>
      <c r="K134" s="19">
        <v>200</v>
      </c>
      <c r="L134" s="19">
        <v>328.99</v>
      </c>
      <c r="M134" s="2">
        <f t="shared" si="32"/>
        <v>65798</v>
      </c>
      <c r="N134" s="71">
        <f t="shared" si="33"/>
        <v>8580.0591999999997</v>
      </c>
    </row>
    <row r="135" spans="2:14" x14ac:dyDescent="0.3">
      <c r="B135" s="97">
        <v>45747</v>
      </c>
      <c r="C135" s="138" t="s">
        <v>342</v>
      </c>
      <c r="D135" s="126">
        <v>10</v>
      </c>
      <c r="E135" s="126">
        <v>87</v>
      </c>
      <c r="F135" s="19">
        <f t="shared" si="30"/>
        <v>870</v>
      </c>
      <c r="G135" s="67">
        <f t="shared" si="31"/>
        <v>79.090909090909093</v>
      </c>
      <c r="I135" s="82">
        <v>45784</v>
      </c>
      <c r="J135" s="81" t="s">
        <v>651</v>
      </c>
      <c r="K135" s="19">
        <v>10</v>
      </c>
      <c r="L135" s="19">
        <v>759</v>
      </c>
      <c r="M135" s="2">
        <f t="shared" si="32"/>
        <v>7590</v>
      </c>
      <c r="N135" s="71">
        <f t="shared" si="33"/>
        <v>989.73599999999988</v>
      </c>
    </row>
    <row r="136" spans="2:14" x14ac:dyDescent="0.3">
      <c r="B136" s="18"/>
      <c r="C136" s="18"/>
      <c r="D136" s="124"/>
      <c r="E136" s="18"/>
      <c r="F136" s="19">
        <f t="shared" si="30"/>
        <v>0</v>
      </c>
      <c r="G136" s="67">
        <f t="shared" si="31"/>
        <v>0</v>
      </c>
      <c r="I136" s="82">
        <v>45784</v>
      </c>
      <c r="J136" s="81" t="s">
        <v>651</v>
      </c>
      <c r="K136" s="19">
        <v>10</v>
      </c>
      <c r="L136" s="19">
        <v>759</v>
      </c>
      <c r="M136" s="2">
        <f t="shared" si="32"/>
        <v>7590</v>
      </c>
      <c r="N136" s="71">
        <f t="shared" si="33"/>
        <v>989.73599999999988</v>
      </c>
    </row>
    <row r="137" spans="2:14" x14ac:dyDescent="0.3">
      <c r="B137" s="18"/>
      <c r="C137" s="18"/>
      <c r="D137" s="124"/>
      <c r="E137" s="18"/>
      <c r="F137" s="19">
        <f t="shared" si="30"/>
        <v>0</v>
      </c>
      <c r="G137" s="67">
        <f t="shared" si="31"/>
        <v>0</v>
      </c>
      <c r="I137" s="82">
        <v>45784</v>
      </c>
      <c r="J137" s="81" t="s">
        <v>651</v>
      </c>
      <c r="K137" s="19">
        <v>2</v>
      </c>
      <c r="L137" s="19">
        <v>759</v>
      </c>
      <c r="M137" s="2">
        <f t="shared" si="32"/>
        <v>1518</v>
      </c>
      <c r="N137" s="71">
        <f t="shared" si="33"/>
        <v>197.94719999999998</v>
      </c>
    </row>
    <row r="138" spans="2:14" x14ac:dyDescent="0.3">
      <c r="B138" s="18"/>
      <c r="C138" s="18"/>
      <c r="D138" s="124"/>
      <c r="E138" s="18"/>
      <c r="F138" s="19">
        <f t="shared" si="30"/>
        <v>0</v>
      </c>
      <c r="G138" s="67">
        <f t="shared" si="31"/>
        <v>0</v>
      </c>
      <c r="I138" s="82">
        <v>45784</v>
      </c>
      <c r="J138" s="81" t="s">
        <v>651</v>
      </c>
      <c r="K138" s="19">
        <v>2</v>
      </c>
      <c r="L138" s="19">
        <v>759</v>
      </c>
      <c r="M138" s="2">
        <f t="shared" si="32"/>
        <v>1518</v>
      </c>
      <c r="N138" s="71">
        <f t="shared" si="33"/>
        <v>197.94719999999998</v>
      </c>
    </row>
    <row r="139" spans="2:14" x14ac:dyDescent="0.3">
      <c r="B139" s="18"/>
      <c r="C139" s="18"/>
      <c r="D139" s="124"/>
      <c r="E139" s="18"/>
      <c r="F139" s="19">
        <f t="shared" si="30"/>
        <v>0</v>
      </c>
      <c r="G139" s="67">
        <f t="shared" si="31"/>
        <v>0</v>
      </c>
      <c r="I139" s="82">
        <v>45784</v>
      </c>
      <c r="J139" s="81" t="s">
        <v>651</v>
      </c>
      <c r="K139" s="19">
        <v>10</v>
      </c>
      <c r="L139" s="19">
        <v>759</v>
      </c>
      <c r="M139" s="2">
        <f t="shared" si="32"/>
        <v>7590</v>
      </c>
      <c r="N139" s="71">
        <f t="shared" si="33"/>
        <v>989.73599999999988</v>
      </c>
    </row>
    <row r="140" spans="2:14" x14ac:dyDescent="0.3">
      <c r="B140" s="18"/>
      <c r="C140" s="18"/>
      <c r="D140" s="124"/>
      <c r="E140" s="18"/>
      <c r="F140" s="19">
        <f t="shared" si="30"/>
        <v>0</v>
      </c>
      <c r="G140" s="67">
        <f t="shared" si="31"/>
        <v>0</v>
      </c>
      <c r="I140" s="82">
        <v>45784</v>
      </c>
      <c r="J140" s="81" t="s">
        <v>652</v>
      </c>
      <c r="K140" s="19">
        <v>250</v>
      </c>
      <c r="L140" s="19">
        <v>149</v>
      </c>
      <c r="M140" s="2">
        <f t="shared" si="32"/>
        <v>37250</v>
      </c>
      <c r="N140" s="71">
        <f t="shared" si="33"/>
        <v>4857.3999999999996</v>
      </c>
    </row>
    <row r="141" spans="2:14" x14ac:dyDescent="0.3">
      <c r="B141" s="18"/>
      <c r="C141" s="18"/>
      <c r="D141" s="124"/>
      <c r="E141" s="18"/>
      <c r="F141" s="19">
        <f t="shared" si="30"/>
        <v>0</v>
      </c>
      <c r="G141" s="67">
        <f t="shared" si="31"/>
        <v>0</v>
      </c>
      <c r="I141" s="82">
        <v>45784</v>
      </c>
      <c r="J141" s="81" t="s">
        <v>649</v>
      </c>
      <c r="K141" s="19">
        <v>200</v>
      </c>
      <c r="L141" s="19">
        <v>28.99</v>
      </c>
      <c r="M141" s="2">
        <f t="shared" si="32"/>
        <v>5798</v>
      </c>
      <c r="N141" s="71">
        <f t="shared" si="33"/>
        <v>756.05920000000003</v>
      </c>
    </row>
    <row r="142" spans="2:14" x14ac:dyDescent="0.3">
      <c r="B142" s="18"/>
      <c r="C142" s="18"/>
      <c r="D142" s="124"/>
      <c r="E142" s="18"/>
      <c r="F142" s="19">
        <f t="shared" si="30"/>
        <v>0</v>
      </c>
      <c r="G142" s="67">
        <f t="shared" si="31"/>
        <v>0</v>
      </c>
      <c r="I142" s="76"/>
      <c r="J142" s="77"/>
      <c r="K142" s="77"/>
      <c r="L142" s="77"/>
      <c r="M142" s="8">
        <f t="shared" si="32"/>
        <v>0</v>
      </c>
      <c r="N142" s="71">
        <f t="shared" si="33"/>
        <v>0</v>
      </c>
    </row>
    <row r="143" spans="2:14" x14ac:dyDescent="0.3">
      <c r="B143" s="18"/>
      <c r="C143" s="18"/>
      <c r="D143" s="124"/>
      <c r="E143" s="18"/>
      <c r="F143" s="19">
        <f t="shared" si="30"/>
        <v>0</v>
      </c>
      <c r="G143" s="67">
        <f t="shared" si="31"/>
        <v>0</v>
      </c>
      <c r="I143" s="19"/>
      <c r="J143" s="18"/>
      <c r="K143" s="18"/>
      <c r="L143" s="18"/>
      <c r="M143" s="19">
        <f t="shared" si="32"/>
        <v>0</v>
      </c>
      <c r="N143" s="277">
        <f t="shared" si="33"/>
        <v>0</v>
      </c>
    </row>
    <row r="144" spans="2:14" x14ac:dyDescent="0.3">
      <c r="B144" s="18"/>
      <c r="C144" s="18"/>
      <c r="D144" s="124"/>
      <c r="E144" s="18"/>
      <c r="F144" s="19">
        <f t="shared" si="30"/>
        <v>0</v>
      </c>
      <c r="G144" s="67">
        <f t="shared" si="31"/>
        <v>0</v>
      </c>
      <c r="I144" s="82">
        <v>45785</v>
      </c>
      <c r="J144" s="81" t="s">
        <v>657</v>
      </c>
      <c r="K144" s="19">
        <v>5</v>
      </c>
      <c r="L144" s="19">
        <v>755</v>
      </c>
      <c r="M144" s="19">
        <f t="shared" si="32"/>
        <v>3775</v>
      </c>
      <c r="N144" s="277">
        <f t="shared" si="33"/>
        <v>492.26</v>
      </c>
    </row>
    <row r="145" spans="2:14" x14ac:dyDescent="0.3">
      <c r="B145" s="18"/>
      <c r="C145" s="18"/>
      <c r="D145" s="124"/>
      <c r="E145" s="18"/>
      <c r="F145" s="19">
        <f t="shared" si="30"/>
        <v>0</v>
      </c>
      <c r="G145" s="67">
        <f t="shared" si="31"/>
        <v>0</v>
      </c>
      <c r="I145" s="82">
        <v>45785</v>
      </c>
      <c r="J145" s="81" t="s">
        <v>658</v>
      </c>
      <c r="K145" s="19">
        <v>5</v>
      </c>
      <c r="L145" s="19">
        <v>965</v>
      </c>
      <c r="M145" s="19">
        <f t="shared" si="32"/>
        <v>4825</v>
      </c>
      <c r="N145" s="277">
        <f t="shared" si="33"/>
        <v>629.17999999999995</v>
      </c>
    </row>
    <row r="146" spans="2:14" x14ac:dyDescent="0.3">
      <c r="B146" s="18"/>
      <c r="C146" s="18"/>
      <c r="D146" s="124"/>
      <c r="E146" s="18"/>
      <c r="F146" s="19">
        <f t="shared" si="30"/>
        <v>0</v>
      </c>
      <c r="G146" s="67">
        <f t="shared" si="31"/>
        <v>0</v>
      </c>
      <c r="I146" s="82">
        <v>45785</v>
      </c>
      <c r="J146" s="81" t="s">
        <v>659</v>
      </c>
      <c r="K146" s="19">
        <v>5</v>
      </c>
      <c r="L146" s="19">
        <v>1205</v>
      </c>
      <c r="M146" s="19">
        <f t="shared" si="32"/>
        <v>6025</v>
      </c>
      <c r="N146" s="277">
        <f t="shared" si="33"/>
        <v>785.66</v>
      </c>
    </row>
    <row r="147" spans="2:14" x14ac:dyDescent="0.3">
      <c r="B147" s="18"/>
      <c r="C147" s="18"/>
      <c r="D147" s="124"/>
      <c r="E147" s="18"/>
      <c r="F147" s="19">
        <f t="shared" si="30"/>
        <v>0</v>
      </c>
      <c r="G147" s="67">
        <f t="shared" si="31"/>
        <v>0</v>
      </c>
      <c r="I147" s="19"/>
      <c r="J147" s="18"/>
      <c r="K147" s="18"/>
      <c r="L147" s="18"/>
      <c r="M147" s="19">
        <f t="shared" si="32"/>
        <v>0</v>
      </c>
      <c r="N147" s="277">
        <f t="shared" si="33"/>
        <v>0</v>
      </c>
    </row>
    <row r="148" spans="2:14" x14ac:dyDescent="0.3">
      <c r="B148" s="18"/>
      <c r="C148" s="18"/>
      <c r="D148" s="124"/>
      <c r="E148" s="18"/>
      <c r="F148" s="19">
        <f t="shared" si="30"/>
        <v>0</v>
      </c>
      <c r="G148" s="67">
        <f t="shared" si="31"/>
        <v>0</v>
      </c>
      <c r="I148" s="19"/>
      <c r="J148" s="18"/>
      <c r="K148" s="18"/>
      <c r="L148" s="18"/>
      <c r="M148" s="19">
        <f t="shared" si="32"/>
        <v>0</v>
      </c>
      <c r="N148" s="277">
        <f t="shared" si="33"/>
        <v>0</v>
      </c>
    </row>
    <row r="149" spans="2:14" x14ac:dyDescent="0.3">
      <c r="B149" s="149">
        <v>45748</v>
      </c>
      <c r="C149" s="150" t="s">
        <v>322</v>
      </c>
      <c r="D149" s="151">
        <v>2</v>
      </c>
      <c r="E149" s="151">
        <v>2089.4899999999998</v>
      </c>
      <c r="F149" s="19">
        <f t="shared" si="30"/>
        <v>4178.9799999999996</v>
      </c>
      <c r="G149" s="67">
        <f t="shared" si="31"/>
        <v>379.9072727272727</v>
      </c>
      <c r="I149" s="82">
        <v>45805</v>
      </c>
      <c r="J149" s="81" t="s">
        <v>741</v>
      </c>
      <c r="K149" s="19">
        <v>200</v>
      </c>
      <c r="L149" s="19">
        <v>492</v>
      </c>
      <c r="M149" s="19">
        <f t="shared" si="32"/>
        <v>98400</v>
      </c>
      <c r="N149" s="277">
        <f t="shared" si="33"/>
        <v>12831.36</v>
      </c>
    </row>
    <row r="150" spans="2:14" x14ac:dyDescent="0.3">
      <c r="B150" s="97">
        <v>45748</v>
      </c>
      <c r="C150" s="138" t="s">
        <v>323</v>
      </c>
      <c r="D150" s="126">
        <v>2</v>
      </c>
      <c r="E150" s="126">
        <v>2460.4899999999998</v>
      </c>
      <c r="F150" s="19">
        <f t="shared" si="30"/>
        <v>4920.9799999999996</v>
      </c>
      <c r="G150" s="67">
        <f t="shared" si="31"/>
        <v>447.36181818181814</v>
      </c>
      <c r="I150" s="82">
        <v>45805</v>
      </c>
      <c r="J150" s="81" t="s">
        <v>742</v>
      </c>
      <c r="K150" s="19">
        <v>100</v>
      </c>
      <c r="L150" s="19">
        <v>329</v>
      </c>
      <c r="M150" s="19">
        <f t="shared" si="32"/>
        <v>32900</v>
      </c>
      <c r="N150" s="277">
        <f t="shared" si="33"/>
        <v>4290.16</v>
      </c>
    </row>
    <row r="151" spans="2:14" x14ac:dyDescent="0.3">
      <c r="B151" s="19"/>
      <c r="C151" s="81"/>
      <c r="D151" s="19"/>
      <c r="E151" s="19"/>
      <c r="F151" s="19">
        <f t="shared" si="30"/>
        <v>0</v>
      </c>
      <c r="G151" s="67">
        <f t="shared" si="31"/>
        <v>0</v>
      </c>
      <c r="I151" s="82">
        <v>45805</v>
      </c>
      <c r="J151" s="81" t="s">
        <v>743</v>
      </c>
      <c r="K151" s="19">
        <v>20</v>
      </c>
      <c r="L151" s="19">
        <v>745</v>
      </c>
      <c r="M151" s="19">
        <f t="shared" si="32"/>
        <v>14900</v>
      </c>
      <c r="N151" s="277">
        <f t="shared" si="33"/>
        <v>1942.96</v>
      </c>
    </row>
    <row r="152" spans="2:14" x14ac:dyDescent="0.3">
      <c r="B152" s="97">
        <v>45749</v>
      </c>
      <c r="C152" s="138" t="s">
        <v>326</v>
      </c>
      <c r="D152" s="126">
        <v>2</v>
      </c>
      <c r="E152" s="126">
        <v>2517.4899999999998</v>
      </c>
      <c r="F152" s="19">
        <f t="shared" si="30"/>
        <v>5034.9799999999996</v>
      </c>
      <c r="G152" s="67">
        <f t="shared" si="31"/>
        <v>457.72545454545451</v>
      </c>
      <c r="I152" s="19"/>
      <c r="J152" s="18"/>
      <c r="K152" s="18"/>
      <c r="L152" s="18"/>
      <c r="M152" s="19">
        <f t="shared" si="32"/>
        <v>0</v>
      </c>
      <c r="N152" s="277">
        <f t="shared" si="33"/>
        <v>0</v>
      </c>
    </row>
    <row r="153" spans="2:14" x14ac:dyDescent="0.3">
      <c r="B153" s="97">
        <v>45749</v>
      </c>
      <c r="C153" s="138" t="s">
        <v>324</v>
      </c>
      <c r="D153" s="126">
        <v>2</v>
      </c>
      <c r="E153" s="126">
        <v>2089.4899999999998</v>
      </c>
      <c r="F153" s="19">
        <f t="shared" si="30"/>
        <v>4178.9799999999996</v>
      </c>
      <c r="G153" s="67">
        <f t="shared" si="31"/>
        <v>379.9072727272727</v>
      </c>
      <c r="I153" s="82">
        <v>45813</v>
      </c>
      <c r="J153" s="81" t="s">
        <v>759</v>
      </c>
      <c r="K153" s="19">
        <v>300</v>
      </c>
      <c r="L153" s="19">
        <v>492</v>
      </c>
      <c r="M153" s="19">
        <f t="shared" si="32"/>
        <v>147600</v>
      </c>
      <c r="N153" s="277">
        <f t="shared" si="33"/>
        <v>19247.039999999997</v>
      </c>
    </row>
    <row r="154" spans="2:14" x14ac:dyDescent="0.3">
      <c r="B154" s="97">
        <v>45749</v>
      </c>
      <c r="C154" s="138" t="s">
        <v>325</v>
      </c>
      <c r="D154" s="126">
        <v>2</v>
      </c>
      <c r="E154" s="126">
        <v>2089.4899999999998</v>
      </c>
      <c r="F154" s="19">
        <f t="shared" si="30"/>
        <v>4178.9799999999996</v>
      </c>
      <c r="G154" s="67">
        <f t="shared" si="31"/>
        <v>379.9072727272727</v>
      </c>
      <c r="I154" s="82">
        <v>45813</v>
      </c>
      <c r="J154" s="81" t="s">
        <v>748</v>
      </c>
      <c r="K154" s="19">
        <v>250</v>
      </c>
      <c r="L154" s="19">
        <v>149</v>
      </c>
      <c r="M154" s="19">
        <f t="shared" si="32"/>
        <v>37250</v>
      </c>
      <c r="N154" s="277">
        <f t="shared" si="33"/>
        <v>4857.3999999999996</v>
      </c>
    </row>
    <row r="155" spans="2:14" x14ac:dyDescent="0.3">
      <c r="B155" s="97">
        <v>45749</v>
      </c>
      <c r="C155" s="138" t="s">
        <v>335</v>
      </c>
      <c r="D155" s="126">
        <v>1</v>
      </c>
      <c r="E155" s="126">
        <v>2089.9899999999998</v>
      </c>
      <c r="F155" s="19">
        <f t="shared" si="30"/>
        <v>2089.9899999999998</v>
      </c>
      <c r="G155" s="67">
        <f t="shared" si="31"/>
        <v>189.99909090909088</v>
      </c>
      <c r="I155" s="254"/>
      <c r="J155" s="255"/>
      <c r="K155" s="256"/>
      <c r="L155" s="256"/>
      <c r="M155" s="19">
        <f t="shared" si="32"/>
        <v>0</v>
      </c>
      <c r="N155" s="391">
        <f t="shared" si="33"/>
        <v>0</v>
      </c>
    </row>
    <row r="156" spans="2:14" x14ac:dyDescent="0.3">
      <c r="B156" s="97">
        <v>45749</v>
      </c>
      <c r="C156" s="138" t="s">
        <v>336</v>
      </c>
      <c r="D156" s="126">
        <v>1</v>
      </c>
      <c r="E156" s="126">
        <v>2089.9899999999998</v>
      </c>
      <c r="F156" s="19">
        <f t="shared" si="30"/>
        <v>2089.9899999999998</v>
      </c>
      <c r="G156" s="67">
        <f t="shared" si="31"/>
        <v>189.99909090909088</v>
      </c>
      <c r="I156" s="82">
        <v>45889</v>
      </c>
      <c r="J156" s="18" t="s">
        <v>1184</v>
      </c>
      <c r="K156" s="19">
        <v>5</v>
      </c>
      <c r="L156" s="19">
        <v>779.9</v>
      </c>
      <c r="M156" s="19">
        <f t="shared" si="32"/>
        <v>3899.5</v>
      </c>
      <c r="N156" s="391">
        <f t="shared" ref="N156:N162" si="34">M156*13.04/100</f>
        <v>508.49479999999994</v>
      </c>
    </row>
    <row r="157" spans="2:14" x14ac:dyDescent="0.3">
      <c r="B157" s="19"/>
      <c r="C157" s="19"/>
      <c r="D157" s="19"/>
      <c r="E157" s="19"/>
      <c r="F157" s="19">
        <f t="shared" si="30"/>
        <v>0</v>
      </c>
      <c r="G157" s="67">
        <f t="shared" si="31"/>
        <v>0</v>
      </c>
      <c r="I157" s="82">
        <v>45889</v>
      </c>
      <c r="J157" s="18" t="s">
        <v>1185</v>
      </c>
      <c r="K157" s="19">
        <v>1</v>
      </c>
      <c r="L157" s="19">
        <v>779.9</v>
      </c>
      <c r="M157" s="19">
        <f t="shared" si="32"/>
        <v>779.9</v>
      </c>
      <c r="N157" s="391">
        <f t="shared" si="34"/>
        <v>101.69895999999999</v>
      </c>
    </row>
    <row r="158" spans="2:14" x14ac:dyDescent="0.3">
      <c r="B158" s="149">
        <v>45749</v>
      </c>
      <c r="C158" s="151" t="s">
        <v>327</v>
      </c>
      <c r="D158" s="151">
        <v>8</v>
      </c>
      <c r="E158" s="151">
        <v>229</v>
      </c>
      <c r="F158" s="19">
        <f t="shared" si="30"/>
        <v>1832</v>
      </c>
      <c r="G158" s="67">
        <f t="shared" si="31"/>
        <v>166.54545454545453</v>
      </c>
      <c r="I158" s="82">
        <v>45889</v>
      </c>
      <c r="J158" s="18" t="s">
        <v>1186</v>
      </c>
      <c r="K158" s="19">
        <v>1</v>
      </c>
      <c r="L158" s="19">
        <v>775</v>
      </c>
      <c r="M158" s="19">
        <f t="shared" si="32"/>
        <v>775</v>
      </c>
      <c r="N158" s="391">
        <f t="shared" si="34"/>
        <v>101.06</v>
      </c>
    </row>
    <row r="159" spans="2:14" x14ac:dyDescent="0.3">
      <c r="B159" s="97">
        <v>45749</v>
      </c>
      <c r="C159" s="126" t="s">
        <v>328</v>
      </c>
      <c r="D159" s="126">
        <v>1</v>
      </c>
      <c r="E159" s="126">
        <v>699</v>
      </c>
      <c r="F159" s="19">
        <f t="shared" si="30"/>
        <v>699</v>
      </c>
      <c r="G159" s="67">
        <f t="shared" si="31"/>
        <v>63.545454545454547</v>
      </c>
      <c r="I159" s="82">
        <v>45889</v>
      </c>
      <c r="J159" s="18" t="s">
        <v>1187</v>
      </c>
      <c r="K159" s="19">
        <v>4</v>
      </c>
      <c r="L159" s="19">
        <v>750</v>
      </c>
      <c r="M159" s="19">
        <f t="shared" si="32"/>
        <v>3000</v>
      </c>
      <c r="N159" s="391">
        <f t="shared" si="34"/>
        <v>391.2</v>
      </c>
    </row>
    <row r="160" spans="2:14" x14ac:dyDescent="0.3">
      <c r="B160" s="97">
        <v>45749</v>
      </c>
      <c r="C160" s="126" t="s">
        <v>329</v>
      </c>
      <c r="D160" s="126">
        <v>1</v>
      </c>
      <c r="E160" s="126">
        <v>799</v>
      </c>
      <c r="F160" s="19">
        <f t="shared" si="30"/>
        <v>799</v>
      </c>
      <c r="G160" s="67">
        <f t="shared" si="31"/>
        <v>72.63636363636364</v>
      </c>
      <c r="I160" s="82">
        <v>45895</v>
      </c>
      <c r="J160" s="18" t="s">
        <v>1188</v>
      </c>
      <c r="K160" s="19">
        <v>50</v>
      </c>
      <c r="L160" s="19">
        <v>329</v>
      </c>
      <c r="M160" s="19">
        <f t="shared" si="32"/>
        <v>16450</v>
      </c>
      <c r="N160" s="391">
        <f t="shared" si="34"/>
        <v>2145.08</v>
      </c>
    </row>
    <row r="161" spans="2:14" x14ac:dyDescent="0.3">
      <c r="B161" s="19"/>
      <c r="C161" s="19"/>
      <c r="D161" s="19"/>
      <c r="E161" s="19"/>
      <c r="F161" s="19">
        <f t="shared" si="30"/>
        <v>0</v>
      </c>
      <c r="G161" s="67">
        <f t="shared" si="31"/>
        <v>0</v>
      </c>
      <c r="I161" s="82">
        <v>45895</v>
      </c>
      <c r="J161" s="18" t="s">
        <v>1189</v>
      </c>
      <c r="K161" s="383">
        <v>50</v>
      </c>
      <c r="L161" s="383">
        <v>329</v>
      </c>
      <c r="M161" s="19">
        <f t="shared" si="32"/>
        <v>16450</v>
      </c>
      <c r="N161" s="391">
        <f t="shared" si="34"/>
        <v>2145.08</v>
      </c>
    </row>
    <row r="162" spans="2:14" x14ac:dyDescent="0.3">
      <c r="B162" s="149">
        <v>45749</v>
      </c>
      <c r="C162" s="150" t="s">
        <v>330</v>
      </c>
      <c r="D162" s="151">
        <v>1</v>
      </c>
      <c r="E162" s="151">
        <v>2149</v>
      </c>
      <c r="F162" s="19">
        <f t="shared" si="30"/>
        <v>2149</v>
      </c>
      <c r="G162" s="67">
        <f t="shared" si="31"/>
        <v>195.36363636363637</v>
      </c>
      <c r="I162" s="19"/>
      <c r="J162" s="18"/>
      <c r="K162" s="18"/>
      <c r="L162" s="18"/>
      <c r="M162" s="76"/>
      <c r="N162" s="391">
        <f t="shared" si="34"/>
        <v>0</v>
      </c>
    </row>
    <row r="163" spans="2:14" x14ac:dyDescent="0.3">
      <c r="B163" s="82"/>
      <c r="C163" s="81"/>
      <c r="D163" s="19"/>
      <c r="E163" s="19"/>
      <c r="F163" s="19">
        <f t="shared" si="30"/>
        <v>0</v>
      </c>
      <c r="G163" s="67">
        <f t="shared" si="31"/>
        <v>0</v>
      </c>
      <c r="I163" s="19"/>
      <c r="J163" s="18"/>
      <c r="K163" s="18"/>
      <c r="L163" s="18"/>
      <c r="M163" s="18"/>
      <c r="N163" s="443"/>
    </row>
    <row r="164" spans="2:14" x14ac:dyDescent="0.3">
      <c r="B164" s="82"/>
      <c r="C164" s="81"/>
      <c r="D164" s="19"/>
      <c r="E164" s="19"/>
      <c r="F164" s="19">
        <f t="shared" si="30"/>
        <v>0</v>
      </c>
      <c r="G164" s="67">
        <f t="shared" si="31"/>
        <v>0</v>
      </c>
      <c r="I164" s="19"/>
      <c r="J164" s="18"/>
      <c r="K164" s="18"/>
      <c r="L164" s="18"/>
      <c r="M164" s="18"/>
      <c r="N164" s="443"/>
    </row>
    <row r="165" spans="2:14" x14ac:dyDescent="0.3">
      <c r="B165" s="97">
        <v>45749</v>
      </c>
      <c r="C165" s="138" t="s">
        <v>331</v>
      </c>
      <c r="D165" s="126">
        <v>1</v>
      </c>
      <c r="E165" s="126">
        <v>2089.9899999999998</v>
      </c>
      <c r="F165" s="19">
        <f t="shared" si="30"/>
        <v>2089.9899999999998</v>
      </c>
      <c r="G165" s="67">
        <f t="shared" si="31"/>
        <v>189.99909090909088</v>
      </c>
      <c r="I165" s="19"/>
      <c r="J165" s="18"/>
      <c r="K165" s="18"/>
      <c r="L165" s="18"/>
      <c r="M165" s="18"/>
      <c r="N165" s="443"/>
    </row>
    <row r="166" spans="2:14" x14ac:dyDescent="0.3">
      <c r="B166" s="97">
        <v>45749</v>
      </c>
      <c r="C166" s="138" t="s">
        <v>332</v>
      </c>
      <c r="D166" s="126">
        <v>1</v>
      </c>
      <c r="E166" s="126">
        <v>2089.9899999999998</v>
      </c>
      <c r="F166" s="19">
        <f t="shared" si="30"/>
        <v>2089.9899999999998</v>
      </c>
      <c r="G166" s="67">
        <f t="shared" si="31"/>
        <v>189.99909090909088</v>
      </c>
      <c r="I166" s="19"/>
      <c r="J166" s="18"/>
      <c r="K166" s="18"/>
      <c r="L166" s="18"/>
      <c r="M166" s="18"/>
      <c r="N166" s="443"/>
    </row>
    <row r="167" spans="2:14" x14ac:dyDescent="0.3">
      <c r="B167" s="19"/>
      <c r="C167" s="19"/>
      <c r="D167" s="19"/>
      <c r="E167" s="19"/>
      <c r="F167" s="19">
        <f t="shared" si="30"/>
        <v>0</v>
      </c>
      <c r="G167" s="67">
        <f t="shared" si="31"/>
        <v>0</v>
      </c>
      <c r="I167" s="19"/>
      <c r="J167" s="18"/>
      <c r="K167" s="18"/>
      <c r="L167" s="18"/>
      <c r="M167" s="18"/>
      <c r="N167" s="443"/>
    </row>
    <row r="168" spans="2:14" x14ac:dyDescent="0.3">
      <c r="B168" s="149">
        <v>45749</v>
      </c>
      <c r="C168" s="151" t="s">
        <v>333</v>
      </c>
      <c r="D168" s="151">
        <v>1</v>
      </c>
      <c r="E168" s="151">
        <v>39</v>
      </c>
      <c r="F168" s="19">
        <f t="shared" si="30"/>
        <v>39</v>
      </c>
      <c r="G168" s="67">
        <f t="shared" si="31"/>
        <v>3.5454545454545454</v>
      </c>
      <c r="I168" s="19"/>
      <c r="J168" s="18"/>
      <c r="K168" s="18"/>
      <c r="L168" s="18"/>
      <c r="M168" s="18"/>
      <c r="N168" s="443"/>
    </row>
    <row r="169" spans="2:14" x14ac:dyDescent="0.3">
      <c r="B169" s="18"/>
      <c r="C169" s="18"/>
      <c r="D169" s="124"/>
      <c r="E169" s="18"/>
      <c r="F169" s="19">
        <f t="shared" si="30"/>
        <v>0</v>
      </c>
      <c r="G169" s="67">
        <f t="shared" si="31"/>
        <v>0</v>
      </c>
      <c r="I169" s="19"/>
      <c r="J169" s="18"/>
      <c r="K169" s="18"/>
      <c r="L169" s="18"/>
      <c r="M169" s="18"/>
      <c r="N169" s="443"/>
    </row>
    <row r="170" spans="2:14" x14ac:dyDescent="0.3">
      <c r="B170" s="18"/>
      <c r="C170" s="18"/>
      <c r="D170" s="124"/>
      <c r="E170" s="18"/>
      <c r="F170" s="19">
        <f t="shared" si="30"/>
        <v>0</v>
      </c>
      <c r="G170" s="67">
        <f t="shared" si="31"/>
        <v>0</v>
      </c>
      <c r="I170" s="19"/>
      <c r="J170" s="18"/>
      <c r="K170" s="18"/>
      <c r="L170" s="18"/>
      <c r="M170" s="18"/>
      <c r="N170" s="443"/>
    </row>
    <row r="171" spans="2:14" x14ac:dyDescent="0.3">
      <c r="B171" s="82">
        <v>45750</v>
      </c>
      <c r="C171" s="19" t="s">
        <v>343</v>
      </c>
      <c r="D171" s="19">
        <v>1</v>
      </c>
      <c r="E171" s="19">
        <v>799</v>
      </c>
      <c r="F171" s="19">
        <f t="shared" si="30"/>
        <v>799</v>
      </c>
      <c r="G171" s="67">
        <f t="shared" si="31"/>
        <v>72.63636363636364</v>
      </c>
      <c r="I171" s="19"/>
      <c r="J171" s="18"/>
      <c r="K171" s="18"/>
      <c r="L171" s="18"/>
      <c r="M171" s="18"/>
      <c r="N171" s="443"/>
    </row>
    <row r="172" spans="2:14" x14ac:dyDescent="0.3">
      <c r="B172" s="97">
        <v>45750</v>
      </c>
      <c r="C172" s="126" t="s">
        <v>344</v>
      </c>
      <c r="D172" s="126">
        <v>1</v>
      </c>
      <c r="E172" s="126">
        <v>669</v>
      </c>
      <c r="F172" s="19">
        <f t="shared" si="30"/>
        <v>669</v>
      </c>
      <c r="G172" s="67">
        <f t="shared" si="31"/>
        <v>60.81818181818182</v>
      </c>
      <c r="I172" s="19"/>
      <c r="J172" s="18"/>
      <c r="K172" s="18"/>
      <c r="L172" s="18"/>
      <c r="M172" s="18"/>
      <c r="N172" s="443"/>
    </row>
    <row r="173" spans="2:14" x14ac:dyDescent="0.3">
      <c r="B173" s="18"/>
      <c r="C173" s="18"/>
      <c r="D173" s="124"/>
      <c r="E173" s="18"/>
      <c r="F173" s="19">
        <f t="shared" si="30"/>
        <v>0</v>
      </c>
      <c r="G173" s="67">
        <f t="shared" si="31"/>
        <v>0</v>
      </c>
      <c r="I173" s="19"/>
      <c r="J173" s="18"/>
      <c r="K173" s="18"/>
      <c r="L173" s="18"/>
      <c r="M173" s="18"/>
      <c r="N173" s="443"/>
    </row>
    <row r="174" spans="2:14" x14ac:dyDescent="0.3">
      <c r="B174" s="82">
        <v>45751</v>
      </c>
      <c r="C174" s="81" t="s">
        <v>345</v>
      </c>
      <c r="D174" s="19">
        <v>6</v>
      </c>
      <c r="E174" s="19">
        <v>87</v>
      </c>
      <c r="F174" s="19">
        <f t="shared" si="30"/>
        <v>522</v>
      </c>
      <c r="G174" s="67">
        <f t="shared" si="31"/>
        <v>47.454545454545453</v>
      </c>
      <c r="I174" s="440"/>
      <c r="J174" s="441"/>
      <c r="K174" s="442"/>
      <c r="L174" s="442"/>
      <c r="M174" s="392"/>
      <c r="N174" s="393">
        <f t="shared" ref="N174:N175" si="35">M174*13.04/100</f>
        <v>0</v>
      </c>
    </row>
    <row r="175" spans="2:14" x14ac:dyDescent="0.3">
      <c r="B175" s="97">
        <v>45751</v>
      </c>
      <c r="C175" s="138" t="s">
        <v>346</v>
      </c>
      <c r="D175" s="126">
        <v>1</v>
      </c>
      <c r="E175" s="126">
        <v>2204</v>
      </c>
      <c r="F175" s="19">
        <f t="shared" si="30"/>
        <v>2204</v>
      </c>
      <c r="G175" s="67">
        <f t="shared" si="31"/>
        <v>200.36363636363637</v>
      </c>
      <c r="M175" s="19">
        <f t="shared" ref="M175" si="36">L175*K175</f>
        <v>0</v>
      </c>
      <c r="N175" s="277">
        <f t="shared" si="35"/>
        <v>0</v>
      </c>
    </row>
    <row r="176" spans="2:14" x14ac:dyDescent="0.3">
      <c r="B176" s="82">
        <v>45751</v>
      </c>
      <c r="C176" s="81" t="s">
        <v>347</v>
      </c>
      <c r="D176" s="19">
        <v>1</v>
      </c>
      <c r="E176" s="19">
        <v>2089.9899999999998</v>
      </c>
      <c r="F176" s="19">
        <f t="shared" si="30"/>
        <v>2089.9899999999998</v>
      </c>
      <c r="G176" s="67">
        <f t="shared" si="31"/>
        <v>189.99909090909088</v>
      </c>
    </row>
    <row r="177" spans="2:14" x14ac:dyDescent="0.3">
      <c r="B177" s="97"/>
      <c r="C177" s="138"/>
      <c r="D177" s="126"/>
      <c r="E177" s="126"/>
      <c r="F177" s="19">
        <f t="shared" si="30"/>
        <v>0</v>
      </c>
      <c r="G177" s="67">
        <f t="shared" si="31"/>
        <v>0</v>
      </c>
    </row>
    <row r="178" spans="2:14" x14ac:dyDescent="0.3">
      <c r="B178" s="18"/>
      <c r="C178" s="18"/>
      <c r="D178" s="124"/>
      <c r="E178" s="18"/>
      <c r="F178" s="19">
        <f t="shared" si="30"/>
        <v>0</v>
      </c>
      <c r="G178" s="67">
        <f t="shared" si="31"/>
        <v>0</v>
      </c>
      <c r="N178" s="386">
        <f>SUM(N130:N177)</f>
        <v>80640.194559999989</v>
      </c>
    </row>
    <row r="179" spans="2:14" x14ac:dyDescent="0.3">
      <c r="B179" s="82">
        <v>45752</v>
      </c>
      <c r="C179" s="18" t="s">
        <v>375</v>
      </c>
      <c r="D179" s="19">
        <v>1</v>
      </c>
      <c r="E179" s="19">
        <v>2089.9899999999998</v>
      </c>
      <c r="F179" s="19">
        <f t="shared" si="30"/>
        <v>2089.9899999999998</v>
      </c>
      <c r="G179" s="67">
        <f t="shared" si="31"/>
        <v>189.99909090909088</v>
      </c>
    </row>
    <row r="180" spans="2:14" x14ac:dyDescent="0.3">
      <c r="B180" s="82">
        <v>45752</v>
      </c>
      <c r="C180" s="18" t="s">
        <v>376</v>
      </c>
      <c r="D180" s="19">
        <v>1</v>
      </c>
      <c r="E180" s="19">
        <v>149</v>
      </c>
      <c r="F180" s="19">
        <f t="shared" si="30"/>
        <v>149</v>
      </c>
      <c r="G180" s="67">
        <f t="shared" si="31"/>
        <v>13.545454545454545</v>
      </c>
    </row>
    <row r="181" spans="2:14" x14ac:dyDescent="0.3">
      <c r="B181" s="82">
        <v>45752</v>
      </c>
      <c r="C181" s="18" t="s">
        <v>377</v>
      </c>
      <c r="D181" s="19">
        <v>1</v>
      </c>
      <c r="E181" s="19">
        <v>2549</v>
      </c>
      <c r="F181" s="19">
        <f t="shared" si="30"/>
        <v>2549</v>
      </c>
      <c r="G181" s="67">
        <f t="shared" si="31"/>
        <v>231.72727272727272</v>
      </c>
    </row>
    <row r="182" spans="2:14" x14ac:dyDescent="0.3">
      <c r="B182" s="18"/>
      <c r="C182" s="18"/>
      <c r="D182" s="124"/>
      <c r="E182" s="18"/>
      <c r="F182" s="19">
        <f t="shared" si="30"/>
        <v>0</v>
      </c>
      <c r="G182" s="67">
        <f t="shared" si="31"/>
        <v>0</v>
      </c>
    </row>
    <row r="183" spans="2:14" x14ac:dyDescent="0.3">
      <c r="B183" s="73">
        <v>45752</v>
      </c>
      <c r="C183" s="19" t="s">
        <v>421</v>
      </c>
      <c r="D183" s="19">
        <v>6</v>
      </c>
      <c r="E183" s="19">
        <v>2089.9899999999998</v>
      </c>
      <c r="F183" s="19">
        <f t="shared" si="30"/>
        <v>12539.939999999999</v>
      </c>
      <c r="G183" s="67">
        <f t="shared" si="31"/>
        <v>1139.9945454545452</v>
      </c>
    </row>
    <row r="184" spans="2:14" x14ac:dyDescent="0.3">
      <c r="B184" s="18"/>
      <c r="C184" s="18"/>
      <c r="D184" s="124"/>
      <c r="E184" s="18"/>
      <c r="F184" s="19">
        <f t="shared" si="30"/>
        <v>0</v>
      </c>
      <c r="G184" s="67">
        <f t="shared" si="31"/>
        <v>0</v>
      </c>
    </row>
    <row r="185" spans="2:14" x14ac:dyDescent="0.3">
      <c r="B185" s="73">
        <v>45756</v>
      </c>
      <c r="C185" s="19" t="s">
        <v>405</v>
      </c>
      <c r="D185" s="19">
        <v>10</v>
      </c>
      <c r="E185" s="19">
        <v>724</v>
      </c>
      <c r="F185" s="19">
        <f t="shared" si="30"/>
        <v>7240</v>
      </c>
      <c r="G185" s="67">
        <f t="shared" si="31"/>
        <v>658.18181818181813</v>
      </c>
    </row>
    <row r="186" spans="2:14" x14ac:dyDescent="0.3">
      <c r="B186" s="73">
        <v>45756</v>
      </c>
      <c r="C186" s="19" t="s">
        <v>406</v>
      </c>
      <c r="D186" s="19">
        <v>2</v>
      </c>
      <c r="E186" s="19">
        <v>1749.99</v>
      </c>
      <c r="F186" s="19">
        <f t="shared" ref="F186:F205" si="37">E186*D186</f>
        <v>3499.98</v>
      </c>
      <c r="G186" s="67">
        <f t="shared" ref="G186:G205" si="38">F186/11</f>
        <v>318.18</v>
      </c>
    </row>
    <row r="187" spans="2:14" x14ac:dyDescent="0.3">
      <c r="B187" s="73">
        <v>45756</v>
      </c>
      <c r="C187" s="19" t="s">
        <v>407</v>
      </c>
      <c r="D187" s="19">
        <v>2</v>
      </c>
      <c r="E187" s="19">
        <v>1749.99</v>
      </c>
      <c r="F187" s="19">
        <f t="shared" si="37"/>
        <v>3499.98</v>
      </c>
      <c r="G187" s="67">
        <f t="shared" si="38"/>
        <v>318.18</v>
      </c>
    </row>
    <row r="188" spans="2:14" x14ac:dyDescent="0.3">
      <c r="B188" s="73">
        <v>45756</v>
      </c>
      <c r="C188" s="19" t="s">
        <v>406</v>
      </c>
      <c r="D188" s="19">
        <v>3</v>
      </c>
      <c r="E188" s="19">
        <v>1749.99</v>
      </c>
      <c r="F188" s="19">
        <f t="shared" si="37"/>
        <v>5249.97</v>
      </c>
      <c r="G188" s="67">
        <f t="shared" si="38"/>
        <v>477.27000000000004</v>
      </c>
    </row>
    <row r="189" spans="2:14" x14ac:dyDescent="0.3">
      <c r="B189" s="73">
        <v>45756</v>
      </c>
      <c r="C189" s="19" t="s">
        <v>408</v>
      </c>
      <c r="D189" s="19">
        <v>6</v>
      </c>
      <c r="E189" s="19">
        <v>1749.99</v>
      </c>
      <c r="F189" s="19">
        <f t="shared" si="37"/>
        <v>10499.94</v>
      </c>
      <c r="G189" s="67">
        <f t="shared" si="38"/>
        <v>954.54000000000008</v>
      </c>
    </row>
    <row r="190" spans="2:14" x14ac:dyDescent="0.3">
      <c r="B190" s="19"/>
      <c r="C190" s="1"/>
      <c r="D190" s="19"/>
      <c r="E190" s="19"/>
      <c r="F190" s="19">
        <f t="shared" si="37"/>
        <v>0</v>
      </c>
      <c r="G190" s="67">
        <f t="shared" si="38"/>
        <v>0</v>
      </c>
    </row>
    <row r="191" spans="2:14" x14ac:dyDescent="0.3">
      <c r="B191" s="73">
        <v>45756</v>
      </c>
      <c r="C191" s="19" t="s">
        <v>409</v>
      </c>
      <c r="D191" s="19">
        <v>5</v>
      </c>
      <c r="E191" s="19">
        <v>2199</v>
      </c>
      <c r="F191" s="19">
        <f t="shared" si="37"/>
        <v>10995</v>
      </c>
      <c r="G191" s="67">
        <f t="shared" si="38"/>
        <v>999.5454545454545</v>
      </c>
    </row>
    <row r="192" spans="2:14" x14ac:dyDescent="0.3">
      <c r="B192" s="73"/>
      <c r="C192" s="19"/>
      <c r="D192" s="19"/>
      <c r="E192" s="19"/>
      <c r="F192" s="19">
        <f t="shared" si="37"/>
        <v>0</v>
      </c>
      <c r="G192" s="67">
        <f t="shared" si="38"/>
        <v>0</v>
      </c>
    </row>
    <row r="193" spans="2:7" x14ac:dyDescent="0.3">
      <c r="B193" s="18"/>
      <c r="C193" s="18"/>
      <c r="D193" s="124"/>
      <c r="E193" s="18"/>
      <c r="F193" s="19">
        <f t="shared" si="37"/>
        <v>0</v>
      </c>
      <c r="G193" s="67">
        <f t="shared" si="38"/>
        <v>0</v>
      </c>
    </row>
    <row r="194" spans="2:7" x14ac:dyDescent="0.3">
      <c r="B194" s="73">
        <v>45757</v>
      </c>
      <c r="C194" s="18" t="s">
        <v>410</v>
      </c>
      <c r="D194" s="18">
        <v>1</v>
      </c>
      <c r="E194" s="215">
        <v>449</v>
      </c>
      <c r="F194" s="19">
        <f t="shared" si="37"/>
        <v>449</v>
      </c>
      <c r="G194" s="67">
        <f t="shared" si="38"/>
        <v>40.81818181818182</v>
      </c>
    </row>
    <row r="195" spans="2:7" x14ac:dyDescent="0.3">
      <c r="B195" s="214">
        <v>45757</v>
      </c>
      <c r="C195" s="109" t="s">
        <v>411</v>
      </c>
      <c r="D195" s="109">
        <v>2</v>
      </c>
      <c r="E195" s="189">
        <v>689</v>
      </c>
      <c r="F195" s="19">
        <f t="shared" si="37"/>
        <v>1378</v>
      </c>
      <c r="G195" s="67">
        <f t="shared" si="38"/>
        <v>125.27272727272727</v>
      </c>
    </row>
    <row r="196" spans="2:7" x14ac:dyDescent="0.3">
      <c r="B196" s="214">
        <v>45757</v>
      </c>
      <c r="C196" s="109" t="s">
        <v>412</v>
      </c>
      <c r="D196" s="109">
        <v>8</v>
      </c>
      <c r="E196" s="189">
        <v>724</v>
      </c>
      <c r="F196" s="19">
        <f t="shared" si="37"/>
        <v>5792</v>
      </c>
      <c r="G196" s="67">
        <f t="shared" si="38"/>
        <v>526.5454545454545</v>
      </c>
    </row>
    <row r="197" spans="2:7" x14ac:dyDescent="0.3">
      <c r="B197" s="73">
        <v>45757</v>
      </c>
      <c r="C197" s="18" t="s">
        <v>413</v>
      </c>
      <c r="D197" s="18">
        <v>5</v>
      </c>
      <c r="E197" s="215">
        <v>724</v>
      </c>
      <c r="F197" s="19">
        <f t="shared" si="37"/>
        <v>3620</v>
      </c>
      <c r="G197" s="67">
        <f t="shared" si="38"/>
        <v>329.09090909090907</v>
      </c>
    </row>
    <row r="198" spans="2:7" x14ac:dyDescent="0.3">
      <c r="B198" s="18"/>
      <c r="C198" s="18"/>
      <c r="D198" s="124"/>
      <c r="E198" s="18"/>
      <c r="F198" s="19">
        <f t="shared" si="37"/>
        <v>0</v>
      </c>
      <c r="G198" s="67">
        <f t="shared" si="38"/>
        <v>0</v>
      </c>
    </row>
    <row r="199" spans="2:7" x14ac:dyDescent="0.3">
      <c r="B199" s="73">
        <v>45758</v>
      </c>
      <c r="C199" s="18" t="s">
        <v>413</v>
      </c>
      <c r="D199" s="18">
        <v>11</v>
      </c>
      <c r="E199" s="215">
        <v>724</v>
      </c>
      <c r="F199" s="19">
        <f t="shared" si="37"/>
        <v>7964</v>
      </c>
      <c r="G199" s="67">
        <f t="shared" si="38"/>
        <v>724</v>
      </c>
    </row>
    <row r="200" spans="2:7" x14ac:dyDescent="0.3">
      <c r="B200" s="73">
        <v>45758</v>
      </c>
      <c r="C200" s="18" t="s">
        <v>414</v>
      </c>
      <c r="D200" s="18">
        <v>3</v>
      </c>
      <c r="E200" s="215">
        <v>2549.9899999999998</v>
      </c>
      <c r="F200" s="19">
        <f t="shared" si="37"/>
        <v>7649.9699999999993</v>
      </c>
      <c r="G200" s="67">
        <f t="shared" si="38"/>
        <v>695.45181818181811</v>
      </c>
    </row>
    <row r="201" spans="2:7" x14ac:dyDescent="0.3">
      <c r="B201" s="73">
        <v>45758</v>
      </c>
      <c r="C201" s="18" t="s">
        <v>415</v>
      </c>
      <c r="D201" s="18">
        <v>1</v>
      </c>
      <c r="E201" s="215">
        <v>2549.9899999999998</v>
      </c>
      <c r="F201" s="19">
        <f t="shared" si="37"/>
        <v>2549.9899999999998</v>
      </c>
      <c r="G201" s="67">
        <f t="shared" si="38"/>
        <v>231.81727272727269</v>
      </c>
    </row>
    <row r="202" spans="2:7" x14ac:dyDescent="0.3">
      <c r="B202" s="18"/>
      <c r="C202" s="18"/>
      <c r="D202" s="124"/>
      <c r="E202" s="18"/>
      <c r="F202" s="19">
        <f t="shared" si="37"/>
        <v>0</v>
      </c>
      <c r="G202" s="67">
        <f t="shared" si="38"/>
        <v>0</v>
      </c>
    </row>
    <row r="203" spans="2:7" x14ac:dyDescent="0.3">
      <c r="B203" s="18"/>
      <c r="C203" s="18"/>
      <c r="D203" s="124"/>
      <c r="E203" s="18"/>
      <c r="F203" s="19">
        <f t="shared" si="37"/>
        <v>0</v>
      </c>
      <c r="G203" s="67">
        <f t="shared" si="38"/>
        <v>0</v>
      </c>
    </row>
    <row r="204" spans="2:7" x14ac:dyDescent="0.3">
      <c r="B204" s="214">
        <v>45759</v>
      </c>
      <c r="C204" s="109" t="s">
        <v>458</v>
      </c>
      <c r="D204" s="126">
        <v>1</v>
      </c>
      <c r="E204" s="189">
        <v>2299</v>
      </c>
      <c r="F204" s="19">
        <f t="shared" si="37"/>
        <v>2299</v>
      </c>
      <c r="G204" s="67">
        <f t="shared" si="38"/>
        <v>209</v>
      </c>
    </row>
    <row r="205" spans="2:7" x14ac:dyDescent="0.3">
      <c r="B205" s="214">
        <v>45759</v>
      </c>
      <c r="C205" s="109" t="s">
        <v>469</v>
      </c>
      <c r="D205" s="126">
        <v>1</v>
      </c>
      <c r="E205" s="189">
        <v>2299</v>
      </c>
      <c r="F205" s="19">
        <f t="shared" si="37"/>
        <v>2299</v>
      </c>
      <c r="G205" s="67">
        <f t="shared" si="38"/>
        <v>209</v>
      </c>
    </row>
    <row r="206" spans="2:7" x14ac:dyDescent="0.3">
      <c r="B206" s="214">
        <v>45759</v>
      </c>
      <c r="C206" s="109" t="s">
        <v>471</v>
      </c>
      <c r="D206" s="126">
        <v>1</v>
      </c>
      <c r="E206" s="189">
        <v>724</v>
      </c>
      <c r="F206" s="19">
        <f t="shared" ref="F206:F259" si="39">E206*D206</f>
        <v>724</v>
      </c>
      <c r="G206" s="67">
        <f t="shared" ref="G206:G259" si="40">F206/11</f>
        <v>65.818181818181813</v>
      </c>
    </row>
    <row r="207" spans="2:7" x14ac:dyDescent="0.3">
      <c r="B207" s="214">
        <v>45759</v>
      </c>
      <c r="C207" s="109" t="s">
        <v>472</v>
      </c>
      <c r="D207" s="126">
        <v>3</v>
      </c>
      <c r="E207" s="189">
        <v>328</v>
      </c>
      <c r="F207" s="19">
        <f t="shared" si="39"/>
        <v>984</v>
      </c>
      <c r="G207" s="67">
        <f t="shared" si="40"/>
        <v>89.454545454545453</v>
      </c>
    </row>
    <row r="208" spans="2:7" x14ac:dyDescent="0.3">
      <c r="B208" s="19"/>
      <c r="C208" s="19"/>
      <c r="D208" s="19"/>
      <c r="E208" s="19"/>
      <c r="F208" s="19">
        <f t="shared" si="39"/>
        <v>0</v>
      </c>
      <c r="G208" s="67">
        <f t="shared" si="40"/>
        <v>0</v>
      </c>
    </row>
    <row r="209" spans="2:7" x14ac:dyDescent="0.3">
      <c r="B209" s="214">
        <v>45759</v>
      </c>
      <c r="C209" s="109" t="s">
        <v>469</v>
      </c>
      <c r="D209" s="126">
        <v>15</v>
      </c>
      <c r="E209" s="189">
        <v>2299</v>
      </c>
      <c r="F209" s="19">
        <f t="shared" si="39"/>
        <v>34485</v>
      </c>
      <c r="G209" s="67">
        <f t="shared" si="40"/>
        <v>3135</v>
      </c>
    </row>
    <row r="210" spans="2:7" x14ac:dyDescent="0.3">
      <c r="B210" s="214">
        <v>45759</v>
      </c>
      <c r="C210" s="109" t="s">
        <v>458</v>
      </c>
      <c r="D210" s="126">
        <v>10</v>
      </c>
      <c r="E210" s="189">
        <v>2299</v>
      </c>
      <c r="F210" s="19">
        <f t="shared" si="39"/>
        <v>22990</v>
      </c>
      <c r="G210" s="67">
        <f t="shared" si="40"/>
        <v>2090</v>
      </c>
    </row>
    <row r="211" spans="2:7" x14ac:dyDescent="0.3">
      <c r="B211" s="214">
        <v>45759</v>
      </c>
      <c r="C211" s="109" t="s">
        <v>475</v>
      </c>
      <c r="D211" s="126">
        <v>5</v>
      </c>
      <c r="E211" s="189">
        <v>2299</v>
      </c>
      <c r="F211" s="19">
        <f t="shared" si="39"/>
        <v>11495</v>
      </c>
      <c r="G211" s="67">
        <f t="shared" si="40"/>
        <v>1045</v>
      </c>
    </row>
    <row r="212" spans="2:7" x14ac:dyDescent="0.3">
      <c r="B212" s="19"/>
      <c r="C212" s="19"/>
      <c r="D212" s="19"/>
      <c r="E212" s="19"/>
      <c r="F212" s="19">
        <f t="shared" si="39"/>
        <v>0</v>
      </c>
      <c r="G212" s="67">
        <f t="shared" si="40"/>
        <v>0</v>
      </c>
    </row>
    <row r="213" spans="2:7" x14ac:dyDescent="0.3">
      <c r="B213" s="214">
        <v>45759</v>
      </c>
      <c r="C213" s="109" t="s">
        <v>477</v>
      </c>
      <c r="D213" s="126">
        <v>5</v>
      </c>
      <c r="E213" s="189">
        <v>2699</v>
      </c>
      <c r="F213" s="19">
        <f t="shared" si="39"/>
        <v>13495</v>
      </c>
      <c r="G213" s="67">
        <f t="shared" si="40"/>
        <v>1226.8181818181818</v>
      </c>
    </row>
    <row r="214" spans="2:7" x14ac:dyDescent="0.3">
      <c r="B214" s="214">
        <v>45759</v>
      </c>
      <c r="C214" s="109" t="s">
        <v>478</v>
      </c>
      <c r="D214" s="126">
        <v>5</v>
      </c>
      <c r="E214" s="189">
        <v>2699</v>
      </c>
      <c r="F214" s="19">
        <f t="shared" si="39"/>
        <v>13495</v>
      </c>
      <c r="G214" s="67">
        <f t="shared" si="40"/>
        <v>1226.8181818181818</v>
      </c>
    </row>
    <row r="215" spans="2:7" x14ac:dyDescent="0.3">
      <c r="B215" s="19"/>
      <c r="C215" s="19"/>
      <c r="D215" s="19"/>
      <c r="E215" s="19"/>
      <c r="F215" s="19">
        <f t="shared" si="39"/>
        <v>0</v>
      </c>
      <c r="G215" s="67">
        <f t="shared" si="40"/>
        <v>0</v>
      </c>
    </row>
    <row r="216" spans="2:7" x14ac:dyDescent="0.3">
      <c r="B216" s="82">
        <v>45759</v>
      </c>
      <c r="C216" s="18" t="s">
        <v>458</v>
      </c>
      <c r="D216" s="19">
        <v>2</v>
      </c>
      <c r="E216" s="215">
        <v>2299</v>
      </c>
      <c r="F216" s="19">
        <f t="shared" si="39"/>
        <v>4598</v>
      </c>
      <c r="G216" s="67">
        <f t="shared" si="40"/>
        <v>418</v>
      </c>
    </row>
    <row r="217" spans="2:7" x14ac:dyDescent="0.3">
      <c r="B217" s="82">
        <v>45759</v>
      </c>
      <c r="C217" s="18" t="s">
        <v>469</v>
      </c>
      <c r="D217" s="19">
        <v>2</v>
      </c>
      <c r="E217" s="215">
        <v>2299</v>
      </c>
      <c r="F217" s="19">
        <f t="shared" si="39"/>
        <v>4598</v>
      </c>
      <c r="G217" s="67">
        <f t="shared" si="40"/>
        <v>418</v>
      </c>
    </row>
    <row r="218" spans="2:7" x14ac:dyDescent="0.3">
      <c r="B218" s="82">
        <v>45759</v>
      </c>
      <c r="C218" s="18" t="s">
        <v>477</v>
      </c>
      <c r="D218" s="19">
        <v>1</v>
      </c>
      <c r="E218" s="215">
        <v>2699</v>
      </c>
      <c r="F218" s="19">
        <f t="shared" si="39"/>
        <v>2699</v>
      </c>
      <c r="G218" s="67">
        <f t="shared" si="40"/>
        <v>245.36363636363637</v>
      </c>
    </row>
    <row r="219" spans="2:7" x14ac:dyDescent="0.3">
      <c r="B219" s="82">
        <v>45759</v>
      </c>
      <c r="C219" s="18" t="s">
        <v>478</v>
      </c>
      <c r="D219" s="19">
        <v>2</v>
      </c>
      <c r="E219" s="215">
        <v>2699</v>
      </c>
      <c r="F219" s="19">
        <f t="shared" si="39"/>
        <v>5398</v>
      </c>
      <c r="G219" s="67">
        <f t="shared" si="40"/>
        <v>490.72727272727275</v>
      </c>
    </row>
    <row r="220" spans="2:7" x14ac:dyDescent="0.3">
      <c r="B220" s="19"/>
      <c r="C220" s="19"/>
      <c r="D220" s="19"/>
      <c r="E220" s="19"/>
      <c r="F220" s="19">
        <f t="shared" si="39"/>
        <v>0</v>
      </c>
      <c r="G220" s="67">
        <f t="shared" si="40"/>
        <v>0</v>
      </c>
    </row>
    <row r="221" spans="2:7" x14ac:dyDescent="0.3">
      <c r="B221" s="82">
        <v>45759</v>
      </c>
      <c r="C221" s="18" t="s">
        <v>481</v>
      </c>
      <c r="D221" s="19">
        <v>5</v>
      </c>
      <c r="E221" s="215">
        <v>143</v>
      </c>
      <c r="F221" s="19">
        <f t="shared" si="39"/>
        <v>715</v>
      </c>
      <c r="G221" s="67">
        <f t="shared" si="40"/>
        <v>65</v>
      </c>
    </row>
    <row r="222" spans="2:7" x14ac:dyDescent="0.3">
      <c r="B222" s="82">
        <v>45759</v>
      </c>
      <c r="C222" s="18" t="s">
        <v>482</v>
      </c>
      <c r="D222" s="19">
        <v>6</v>
      </c>
      <c r="E222" s="215">
        <v>30</v>
      </c>
      <c r="F222" s="19">
        <f t="shared" si="39"/>
        <v>180</v>
      </c>
      <c r="G222" s="67">
        <f t="shared" si="40"/>
        <v>16.363636363636363</v>
      </c>
    </row>
    <row r="223" spans="2:7" x14ac:dyDescent="0.3">
      <c r="B223" s="19"/>
      <c r="C223" s="19"/>
      <c r="D223" s="19"/>
      <c r="E223" s="19"/>
      <c r="F223" s="19">
        <f t="shared" si="39"/>
        <v>0</v>
      </c>
      <c r="G223" s="67">
        <f t="shared" si="40"/>
        <v>0</v>
      </c>
    </row>
    <row r="224" spans="2:7" x14ac:dyDescent="0.3">
      <c r="B224" s="97">
        <v>45759</v>
      </c>
      <c r="C224" s="109" t="s">
        <v>482</v>
      </c>
      <c r="D224" s="126">
        <v>20</v>
      </c>
      <c r="E224" s="189">
        <v>30</v>
      </c>
      <c r="F224" s="19">
        <f t="shared" si="39"/>
        <v>600</v>
      </c>
      <c r="G224" s="67">
        <f t="shared" si="40"/>
        <v>54.545454545454547</v>
      </c>
    </row>
    <row r="225" spans="2:7" x14ac:dyDescent="0.3">
      <c r="B225" s="19"/>
      <c r="C225" s="19"/>
      <c r="D225" s="19"/>
      <c r="E225" s="19"/>
      <c r="F225" s="19">
        <f t="shared" si="39"/>
        <v>0</v>
      </c>
      <c r="G225" s="67">
        <f t="shared" si="40"/>
        <v>0</v>
      </c>
    </row>
    <row r="226" spans="2:7" x14ac:dyDescent="0.3">
      <c r="B226" s="82">
        <v>45759</v>
      </c>
      <c r="C226" s="18" t="s">
        <v>482</v>
      </c>
      <c r="D226" s="19">
        <v>6</v>
      </c>
      <c r="E226" s="215">
        <v>30</v>
      </c>
      <c r="F226" s="19">
        <f t="shared" si="39"/>
        <v>180</v>
      </c>
      <c r="G226" s="67">
        <f t="shared" si="40"/>
        <v>16.363636363636363</v>
      </c>
    </row>
    <row r="227" spans="2:7" x14ac:dyDescent="0.3">
      <c r="B227" s="82">
        <v>45759</v>
      </c>
      <c r="C227" s="18" t="s">
        <v>471</v>
      </c>
      <c r="D227" s="19">
        <v>5</v>
      </c>
      <c r="E227" s="215">
        <v>715</v>
      </c>
      <c r="F227" s="19">
        <f t="shared" si="39"/>
        <v>3575</v>
      </c>
      <c r="G227" s="67">
        <f t="shared" si="40"/>
        <v>325</v>
      </c>
    </row>
    <row r="228" spans="2:7" x14ac:dyDescent="0.3">
      <c r="B228" s="19"/>
      <c r="C228" s="19"/>
      <c r="D228" s="19"/>
      <c r="E228" s="19"/>
      <c r="F228" s="19">
        <f t="shared" si="39"/>
        <v>0</v>
      </c>
      <c r="G228" s="67">
        <f t="shared" si="40"/>
        <v>0</v>
      </c>
    </row>
    <row r="229" spans="2:7" x14ac:dyDescent="0.3">
      <c r="B229" s="82">
        <v>45759</v>
      </c>
      <c r="C229" s="18" t="s">
        <v>458</v>
      </c>
      <c r="D229" s="19">
        <v>1</v>
      </c>
      <c r="E229" s="215">
        <v>2299</v>
      </c>
      <c r="F229" s="19">
        <f t="shared" si="39"/>
        <v>2299</v>
      </c>
      <c r="G229" s="67">
        <f t="shared" si="40"/>
        <v>209</v>
      </c>
    </row>
    <row r="230" spans="2:7" x14ac:dyDescent="0.3">
      <c r="B230" s="82">
        <v>45759</v>
      </c>
      <c r="C230" s="18" t="s">
        <v>477</v>
      </c>
      <c r="D230" s="19">
        <v>1</v>
      </c>
      <c r="E230" s="215">
        <v>2699</v>
      </c>
      <c r="F230" s="19">
        <f t="shared" si="39"/>
        <v>2699</v>
      </c>
      <c r="G230" s="67">
        <f t="shared" si="40"/>
        <v>245.36363636363637</v>
      </c>
    </row>
    <row r="231" spans="2:7" x14ac:dyDescent="0.3">
      <c r="B231" s="18"/>
      <c r="C231" s="18"/>
      <c r="D231" s="124"/>
      <c r="E231" s="18"/>
      <c r="F231" s="19">
        <f t="shared" si="39"/>
        <v>0</v>
      </c>
      <c r="G231" s="67">
        <f t="shared" si="40"/>
        <v>0</v>
      </c>
    </row>
    <row r="232" spans="2:7" x14ac:dyDescent="0.3">
      <c r="B232" s="97">
        <v>45760</v>
      </c>
      <c r="C232" s="109" t="s">
        <v>471</v>
      </c>
      <c r="D232" s="126">
        <v>17</v>
      </c>
      <c r="E232" s="189">
        <v>699.99</v>
      </c>
      <c r="F232" s="19">
        <f t="shared" si="39"/>
        <v>11899.83</v>
      </c>
      <c r="G232" s="67">
        <f t="shared" si="40"/>
        <v>1081.8027272727272</v>
      </c>
    </row>
    <row r="233" spans="2:7" x14ac:dyDescent="0.3">
      <c r="B233" s="97">
        <v>45760</v>
      </c>
      <c r="C233" s="109" t="s">
        <v>471</v>
      </c>
      <c r="D233" s="126">
        <v>1</v>
      </c>
      <c r="E233" s="189">
        <v>699.99</v>
      </c>
      <c r="F233" s="19">
        <f t="shared" si="39"/>
        <v>699.99</v>
      </c>
      <c r="G233" s="67">
        <f t="shared" si="40"/>
        <v>63.635454545454543</v>
      </c>
    </row>
    <row r="234" spans="2:7" x14ac:dyDescent="0.3">
      <c r="B234" s="19"/>
      <c r="C234" s="19"/>
      <c r="D234" s="19"/>
      <c r="E234" s="19"/>
      <c r="F234" s="19">
        <f t="shared" si="39"/>
        <v>0</v>
      </c>
      <c r="G234" s="67">
        <f t="shared" si="40"/>
        <v>0</v>
      </c>
    </row>
    <row r="235" spans="2:7" x14ac:dyDescent="0.3">
      <c r="B235" s="97">
        <v>45760</v>
      </c>
      <c r="C235" s="109" t="s">
        <v>477</v>
      </c>
      <c r="D235" s="126">
        <v>3</v>
      </c>
      <c r="E235" s="189">
        <v>2549.9899999999998</v>
      </c>
      <c r="F235" s="19">
        <f t="shared" si="39"/>
        <v>7649.9699999999993</v>
      </c>
      <c r="G235" s="67">
        <f t="shared" si="40"/>
        <v>695.45181818181811</v>
      </c>
    </row>
    <row r="236" spans="2:7" x14ac:dyDescent="0.3">
      <c r="B236" s="97">
        <v>45760</v>
      </c>
      <c r="C236" s="109" t="s">
        <v>486</v>
      </c>
      <c r="D236" s="126">
        <v>2</v>
      </c>
      <c r="E236" s="189">
        <v>2549.9899999999998</v>
      </c>
      <c r="F236" s="19">
        <f t="shared" si="39"/>
        <v>5099.9799999999996</v>
      </c>
      <c r="G236" s="67">
        <f t="shared" si="40"/>
        <v>463.63454545454539</v>
      </c>
    </row>
    <row r="237" spans="2:7" x14ac:dyDescent="0.3">
      <c r="B237" s="19"/>
      <c r="C237" s="19"/>
      <c r="D237" s="19"/>
      <c r="E237" s="19"/>
      <c r="F237" s="19">
        <f t="shared" si="39"/>
        <v>0</v>
      </c>
      <c r="G237" s="67">
        <f t="shared" si="40"/>
        <v>0</v>
      </c>
    </row>
    <row r="238" spans="2:7" x14ac:dyDescent="0.3">
      <c r="B238" s="97">
        <v>45760</v>
      </c>
      <c r="C238" s="109" t="s">
        <v>487</v>
      </c>
      <c r="D238" s="126">
        <v>10</v>
      </c>
      <c r="E238" s="189">
        <v>724</v>
      </c>
      <c r="F238" s="19">
        <f t="shared" si="39"/>
        <v>7240</v>
      </c>
      <c r="G238" s="67">
        <f t="shared" si="40"/>
        <v>658.18181818181813</v>
      </c>
    </row>
    <row r="239" spans="2:7" x14ac:dyDescent="0.3">
      <c r="B239" s="19"/>
      <c r="C239" s="19"/>
      <c r="D239" s="19"/>
      <c r="E239" s="19"/>
      <c r="F239" s="19">
        <f t="shared" si="39"/>
        <v>0</v>
      </c>
      <c r="G239" s="67">
        <f t="shared" si="40"/>
        <v>0</v>
      </c>
    </row>
    <row r="240" spans="2:7" x14ac:dyDescent="0.3">
      <c r="B240" s="82">
        <v>45760</v>
      </c>
      <c r="C240" s="18" t="s">
        <v>489</v>
      </c>
      <c r="D240" s="19">
        <v>1</v>
      </c>
      <c r="E240" s="215">
        <v>713</v>
      </c>
      <c r="F240" s="19">
        <f t="shared" si="39"/>
        <v>713</v>
      </c>
      <c r="G240" s="67">
        <f t="shared" si="40"/>
        <v>64.818181818181813</v>
      </c>
    </row>
    <row r="241" spans="2:7" x14ac:dyDescent="0.3">
      <c r="B241" s="19"/>
      <c r="C241" s="19"/>
      <c r="D241" s="19"/>
      <c r="E241" s="19"/>
      <c r="F241" s="19">
        <f t="shared" si="39"/>
        <v>0</v>
      </c>
      <c r="G241" s="67">
        <f t="shared" si="40"/>
        <v>0</v>
      </c>
    </row>
    <row r="242" spans="2:7" x14ac:dyDescent="0.3">
      <c r="B242" s="82">
        <v>45760</v>
      </c>
      <c r="C242" s="18" t="s">
        <v>493</v>
      </c>
      <c r="D242" s="19">
        <v>3</v>
      </c>
      <c r="E242" s="215">
        <v>213</v>
      </c>
      <c r="F242" s="19">
        <f t="shared" si="39"/>
        <v>639</v>
      </c>
      <c r="G242" s="67">
        <f t="shared" si="40"/>
        <v>58.090909090909093</v>
      </c>
    </row>
    <row r="243" spans="2:7" x14ac:dyDescent="0.3">
      <c r="B243" s="82">
        <v>45760</v>
      </c>
      <c r="C243" s="18" t="s">
        <v>495</v>
      </c>
      <c r="D243" s="19">
        <v>2</v>
      </c>
      <c r="E243" s="215">
        <v>87</v>
      </c>
      <c r="F243" s="19">
        <f t="shared" si="39"/>
        <v>174</v>
      </c>
      <c r="G243" s="67">
        <f t="shared" si="40"/>
        <v>15.818181818181818</v>
      </c>
    </row>
    <row r="244" spans="2:7" x14ac:dyDescent="0.3">
      <c r="B244" s="82">
        <v>45760</v>
      </c>
      <c r="C244" s="18" t="s">
        <v>496</v>
      </c>
      <c r="D244" s="19">
        <v>8</v>
      </c>
      <c r="E244" s="215">
        <v>19</v>
      </c>
      <c r="F244" s="19">
        <f t="shared" si="39"/>
        <v>152</v>
      </c>
      <c r="G244" s="67">
        <f t="shared" si="40"/>
        <v>13.818181818181818</v>
      </c>
    </row>
    <row r="245" spans="2:7" x14ac:dyDescent="0.3">
      <c r="B245" s="19"/>
      <c r="C245" s="19"/>
      <c r="D245" s="19"/>
      <c r="E245" s="19"/>
      <c r="F245" s="19">
        <f t="shared" si="39"/>
        <v>0</v>
      </c>
      <c r="G245" s="67">
        <f t="shared" si="40"/>
        <v>0</v>
      </c>
    </row>
    <row r="246" spans="2:7" x14ac:dyDescent="0.3">
      <c r="B246" s="97">
        <v>45760</v>
      </c>
      <c r="C246" s="109" t="s">
        <v>482</v>
      </c>
      <c r="D246" s="126">
        <v>20</v>
      </c>
      <c r="E246" s="189">
        <v>30</v>
      </c>
      <c r="F246" s="19">
        <f t="shared" si="39"/>
        <v>600</v>
      </c>
      <c r="G246" s="67">
        <f t="shared" si="40"/>
        <v>54.545454545454547</v>
      </c>
    </row>
    <row r="247" spans="2:7" x14ac:dyDescent="0.3">
      <c r="B247" s="19"/>
      <c r="C247" s="19"/>
      <c r="D247" s="19"/>
      <c r="E247" s="19"/>
      <c r="F247" s="19">
        <f t="shared" si="39"/>
        <v>0</v>
      </c>
      <c r="G247" s="67">
        <f t="shared" si="40"/>
        <v>0</v>
      </c>
    </row>
    <row r="248" spans="2:7" x14ac:dyDescent="0.3">
      <c r="B248" s="97">
        <v>45760</v>
      </c>
      <c r="C248" s="109" t="s">
        <v>471</v>
      </c>
      <c r="D248" s="126">
        <v>3</v>
      </c>
      <c r="E248" s="189">
        <v>724</v>
      </c>
      <c r="F248" s="19">
        <f t="shared" si="39"/>
        <v>2172</v>
      </c>
      <c r="G248" s="67">
        <f t="shared" si="40"/>
        <v>197.45454545454547</v>
      </c>
    </row>
    <row r="249" spans="2:7" x14ac:dyDescent="0.3">
      <c r="B249" s="19"/>
      <c r="C249" s="19"/>
      <c r="D249" s="19"/>
      <c r="E249" s="19"/>
      <c r="F249" s="19">
        <f t="shared" si="39"/>
        <v>0</v>
      </c>
      <c r="G249" s="67">
        <f t="shared" si="40"/>
        <v>0</v>
      </c>
    </row>
    <row r="250" spans="2:7" x14ac:dyDescent="0.3">
      <c r="B250" s="82">
        <v>45760</v>
      </c>
      <c r="C250" s="18" t="s">
        <v>500</v>
      </c>
      <c r="D250" s="19">
        <v>1</v>
      </c>
      <c r="E250" s="215">
        <v>2077</v>
      </c>
      <c r="F250" s="19">
        <f t="shared" si="39"/>
        <v>2077</v>
      </c>
      <c r="G250" s="67">
        <f t="shared" si="40"/>
        <v>188.81818181818181</v>
      </c>
    </row>
    <row r="251" spans="2:7" x14ac:dyDescent="0.3">
      <c r="B251" s="82">
        <v>45760</v>
      </c>
      <c r="C251" s="18" t="s">
        <v>477</v>
      </c>
      <c r="D251" s="19">
        <v>1</v>
      </c>
      <c r="E251" s="215">
        <v>2699</v>
      </c>
      <c r="F251" s="19">
        <f t="shared" si="39"/>
        <v>2699</v>
      </c>
      <c r="G251" s="67">
        <f t="shared" si="40"/>
        <v>245.36363636363637</v>
      </c>
    </row>
    <row r="252" spans="2:7" x14ac:dyDescent="0.3">
      <c r="B252" s="19"/>
      <c r="C252" s="19"/>
      <c r="D252" s="19"/>
      <c r="E252" s="19"/>
      <c r="F252" s="19">
        <f t="shared" si="39"/>
        <v>0</v>
      </c>
      <c r="G252" s="67">
        <f t="shared" si="40"/>
        <v>0</v>
      </c>
    </row>
    <row r="253" spans="2:7" x14ac:dyDescent="0.3">
      <c r="B253" s="82">
        <v>45760</v>
      </c>
      <c r="C253" s="18" t="s">
        <v>472</v>
      </c>
      <c r="D253" s="19">
        <v>2</v>
      </c>
      <c r="E253" s="215">
        <v>299</v>
      </c>
      <c r="F253" s="19">
        <f t="shared" si="39"/>
        <v>598</v>
      </c>
      <c r="G253" s="67">
        <f t="shared" si="40"/>
        <v>54.363636363636367</v>
      </c>
    </row>
    <row r="254" spans="2:7" x14ac:dyDescent="0.3">
      <c r="B254" s="19"/>
      <c r="C254" s="19"/>
      <c r="D254" s="19"/>
      <c r="E254" s="19"/>
      <c r="F254" s="19">
        <f t="shared" si="39"/>
        <v>0</v>
      </c>
      <c r="G254" s="67">
        <f t="shared" si="40"/>
        <v>0</v>
      </c>
    </row>
    <row r="255" spans="2:7" x14ac:dyDescent="0.3">
      <c r="B255" s="82">
        <v>45760</v>
      </c>
      <c r="C255" s="18" t="s">
        <v>496</v>
      </c>
      <c r="D255" s="19">
        <v>12</v>
      </c>
      <c r="E255" s="215">
        <v>19</v>
      </c>
      <c r="F255" s="19">
        <f t="shared" si="39"/>
        <v>228</v>
      </c>
      <c r="G255" s="67">
        <f t="shared" si="40"/>
        <v>20.727272727272727</v>
      </c>
    </row>
    <row r="256" spans="2:7" x14ac:dyDescent="0.3">
      <c r="B256" s="82">
        <v>45760</v>
      </c>
      <c r="C256" s="18" t="s">
        <v>493</v>
      </c>
      <c r="D256" s="19">
        <v>1</v>
      </c>
      <c r="E256" s="215">
        <v>213</v>
      </c>
      <c r="F256" s="19">
        <f t="shared" si="39"/>
        <v>213</v>
      </c>
      <c r="G256" s="67">
        <f t="shared" si="40"/>
        <v>19.363636363636363</v>
      </c>
    </row>
    <row r="257" spans="2:7" x14ac:dyDescent="0.3">
      <c r="B257" s="82">
        <v>45760</v>
      </c>
      <c r="C257" s="18" t="s">
        <v>495</v>
      </c>
      <c r="D257" s="19">
        <v>3</v>
      </c>
      <c r="E257" s="215">
        <v>87</v>
      </c>
      <c r="F257" s="19">
        <f t="shared" si="39"/>
        <v>261</v>
      </c>
      <c r="G257" s="67">
        <f t="shared" si="40"/>
        <v>23.727272727272727</v>
      </c>
    </row>
    <row r="258" spans="2:7" x14ac:dyDescent="0.3">
      <c r="B258" s="19"/>
      <c r="C258" s="19"/>
      <c r="D258" s="19"/>
      <c r="E258" s="19"/>
      <c r="F258" s="19">
        <f t="shared" si="39"/>
        <v>0</v>
      </c>
      <c r="G258" s="67">
        <f t="shared" si="40"/>
        <v>0</v>
      </c>
    </row>
    <row r="259" spans="2:7" x14ac:dyDescent="0.3">
      <c r="B259" s="82">
        <v>45760</v>
      </c>
      <c r="C259" s="18" t="s">
        <v>509</v>
      </c>
      <c r="D259" s="19">
        <v>6</v>
      </c>
      <c r="E259" s="215">
        <v>204</v>
      </c>
      <c r="F259" s="19">
        <f t="shared" si="39"/>
        <v>1224</v>
      </c>
      <c r="G259" s="67">
        <f t="shared" si="40"/>
        <v>111.27272727272727</v>
      </c>
    </row>
    <row r="260" spans="2:7" x14ac:dyDescent="0.3">
      <c r="B260" s="82">
        <v>45760</v>
      </c>
      <c r="C260" s="18" t="s">
        <v>510</v>
      </c>
      <c r="D260" s="19">
        <v>3</v>
      </c>
      <c r="E260" s="215">
        <v>200</v>
      </c>
      <c r="F260" s="19">
        <f t="shared" ref="F260:F279" si="41">E260*D260</f>
        <v>600</v>
      </c>
      <c r="G260" s="67">
        <f t="shared" ref="G260:G279" si="42">F260/11</f>
        <v>54.545454545454547</v>
      </c>
    </row>
    <row r="261" spans="2:7" x14ac:dyDescent="0.3">
      <c r="B261" s="82">
        <v>45760</v>
      </c>
      <c r="C261" s="18" t="s">
        <v>496</v>
      </c>
      <c r="D261" s="19">
        <v>11</v>
      </c>
      <c r="E261" s="215">
        <v>21</v>
      </c>
      <c r="F261" s="19">
        <f t="shared" si="41"/>
        <v>231</v>
      </c>
      <c r="G261" s="67">
        <f t="shared" si="42"/>
        <v>21</v>
      </c>
    </row>
    <row r="262" spans="2:7" x14ac:dyDescent="0.3">
      <c r="B262" s="19"/>
      <c r="C262" s="19"/>
      <c r="D262" s="19"/>
      <c r="E262" s="19"/>
      <c r="F262" s="19">
        <f t="shared" si="41"/>
        <v>0</v>
      </c>
      <c r="G262" s="67">
        <f t="shared" si="42"/>
        <v>0</v>
      </c>
    </row>
    <row r="263" spans="2:7" x14ac:dyDescent="0.3">
      <c r="B263" s="82">
        <v>45760</v>
      </c>
      <c r="C263" s="18" t="s">
        <v>507</v>
      </c>
      <c r="D263" s="19">
        <v>5</v>
      </c>
      <c r="E263" s="215">
        <v>2605</v>
      </c>
      <c r="F263" s="19">
        <f t="shared" si="41"/>
        <v>13025</v>
      </c>
      <c r="G263" s="67">
        <f t="shared" si="42"/>
        <v>1184.090909090909</v>
      </c>
    </row>
    <row r="264" spans="2:7" x14ac:dyDescent="0.3">
      <c r="B264" s="82">
        <v>45760</v>
      </c>
      <c r="C264" s="18" t="s">
        <v>508</v>
      </c>
      <c r="D264" s="19">
        <v>1</v>
      </c>
      <c r="E264" s="215">
        <v>3535</v>
      </c>
      <c r="F264" s="19">
        <f t="shared" si="41"/>
        <v>3535</v>
      </c>
      <c r="G264" s="67">
        <f t="shared" si="42"/>
        <v>321.36363636363637</v>
      </c>
    </row>
    <row r="265" spans="2:7" x14ac:dyDescent="0.3">
      <c r="B265" s="18"/>
      <c r="C265" s="18"/>
      <c r="D265" s="124"/>
      <c r="E265" s="18"/>
      <c r="F265" s="19">
        <f t="shared" si="41"/>
        <v>0</v>
      </c>
      <c r="G265" s="67">
        <f t="shared" si="42"/>
        <v>0</v>
      </c>
    </row>
    <row r="266" spans="2:7" x14ac:dyDescent="0.3">
      <c r="B266" s="82">
        <v>45761</v>
      </c>
      <c r="C266" s="18" t="s">
        <v>532</v>
      </c>
      <c r="D266" s="19">
        <v>6</v>
      </c>
      <c r="E266" s="145">
        <v>724</v>
      </c>
      <c r="F266" s="19">
        <f t="shared" si="41"/>
        <v>4344</v>
      </c>
      <c r="G266" s="67">
        <f t="shared" si="42"/>
        <v>394.90909090909093</v>
      </c>
    </row>
    <row r="267" spans="2:7" x14ac:dyDescent="0.3">
      <c r="B267" s="97">
        <v>45762</v>
      </c>
      <c r="C267" s="109" t="s">
        <v>533</v>
      </c>
      <c r="D267" s="126">
        <v>2</v>
      </c>
      <c r="E267" s="146">
        <v>2549</v>
      </c>
      <c r="F267" s="19">
        <f t="shared" si="41"/>
        <v>5098</v>
      </c>
      <c r="G267" s="67">
        <f t="shared" si="42"/>
        <v>463.45454545454544</v>
      </c>
    </row>
    <row r="268" spans="2:7" x14ac:dyDescent="0.3">
      <c r="B268" s="97">
        <v>45762</v>
      </c>
      <c r="C268" s="109" t="s">
        <v>534</v>
      </c>
      <c r="D268" s="126">
        <v>1</v>
      </c>
      <c r="E268" s="146">
        <v>2549</v>
      </c>
      <c r="F268" s="19">
        <f t="shared" si="41"/>
        <v>2549</v>
      </c>
      <c r="G268" s="67">
        <f t="shared" si="42"/>
        <v>231.72727272727272</v>
      </c>
    </row>
    <row r="269" spans="2:7" x14ac:dyDescent="0.3">
      <c r="B269" s="97">
        <v>45762</v>
      </c>
      <c r="C269" s="109" t="s">
        <v>535</v>
      </c>
      <c r="D269" s="126">
        <v>2</v>
      </c>
      <c r="E269" s="146">
        <v>2199</v>
      </c>
      <c r="F269" s="19">
        <f t="shared" si="41"/>
        <v>4398</v>
      </c>
      <c r="G269" s="67">
        <f t="shared" si="42"/>
        <v>399.81818181818181</v>
      </c>
    </row>
    <row r="270" spans="2:7" x14ac:dyDescent="0.3">
      <c r="B270" s="19"/>
      <c r="C270" s="19"/>
      <c r="D270" s="19"/>
      <c r="E270" s="19"/>
      <c r="F270" s="19">
        <f t="shared" si="41"/>
        <v>0</v>
      </c>
      <c r="G270" s="67">
        <f t="shared" si="42"/>
        <v>0</v>
      </c>
    </row>
    <row r="271" spans="2:7" x14ac:dyDescent="0.3">
      <c r="B271" s="82">
        <v>45763</v>
      </c>
      <c r="C271" s="233" t="s">
        <v>536</v>
      </c>
      <c r="D271" s="19">
        <v>2</v>
      </c>
      <c r="E271" s="234">
        <v>539</v>
      </c>
      <c r="F271" s="19">
        <f t="shared" si="41"/>
        <v>1078</v>
      </c>
      <c r="G271" s="67">
        <f t="shared" si="42"/>
        <v>98</v>
      </c>
    </row>
    <row r="272" spans="2:7" x14ac:dyDescent="0.3">
      <c r="B272" s="19"/>
      <c r="C272" s="19"/>
      <c r="D272" s="19"/>
      <c r="E272" s="19"/>
      <c r="F272" s="19">
        <f t="shared" si="41"/>
        <v>0</v>
      </c>
      <c r="G272" s="67">
        <f t="shared" si="42"/>
        <v>0</v>
      </c>
    </row>
    <row r="273" spans="2:7" x14ac:dyDescent="0.3">
      <c r="B273" s="82">
        <v>45763</v>
      </c>
      <c r="C273" s="18" t="s">
        <v>290</v>
      </c>
      <c r="D273" s="19">
        <v>2</v>
      </c>
      <c r="E273" s="145">
        <v>213</v>
      </c>
      <c r="F273" s="19">
        <f t="shared" si="41"/>
        <v>426</v>
      </c>
      <c r="G273" s="67">
        <f t="shared" si="42"/>
        <v>38.727272727272727</v>
      </c>
    </row>
    <row r="274" spans="2:7" x14ac:dyDescent="0.3">
      <c r="B274" s="82">
        <v>45763</v>
      </c>
      <c r="C274" s="18" t="s">
        <v>537</v>
      </c>
      <c r="D274" s="19">
        <v>6</v>
      </c>
      <c r="E274" s="145">
        <v>19</v>
      </c>
      <c r="F274" s="19">
        <f t="shared" si="41"/>
        <v>114</v>
      </c>
      <c r="G274" s="67">
        <f t="shared" si="42"/>
        <v>10.363636363636363</v>
      </c>
    </row>
    <row r="275" spans="2:7" x14ac:dyDescent="0.3">
      <c r="B275" s="19"/>
      <c r="C275" s="19"/>
      <c r="D275" s="19"/>
      <c r="E275" s="19"/>
      <c r="F275" s="19">
        <f t="shared" si="41"/>
        <v>0</v>
      </c>
      <c r="G275" s="67">
        <f t="shared" si="42"/>
        <v>0</v>
      </c>
    </row>
    <row r="276" spans="2:7" x14ac:dyDescent="0.3">
      <c r="B276" s="97">
        <v>45763</v>
      </c>
      <c r="C276" s="109" t="s">
        <v>538</v>
      </c>
      <c r="D276" s="126">
        <v>2</v>
      </c>
      <c r="E276" s="146">
        <v>646</v>
      </c>
      <c r="F276" s="19">
        <f t="shared" si="41"/>
        <v>1292</v>
      </c>
      <c r="G276" s="67">
        <f t="shared" si="42"/>
        <v>117.45454545454545</v>
      </c>
    </row>
    <row r="277" spans="2:7" x14ac:dyDescent="0.3">
      <c r="B277" s="97">
        <v>45763</v>
      </c>
      <c r="C277" s="109" t="s">
        <v>539</v>
      </c>
      <c r="D277" s="126">
        <v>4</v>
      </c>
      <c r="E277" s="146">
        <v>713</v>
      </c>
      <c r="F277" s="19">
        <f t="shared" si="41"/>
        <v>2852</v>
      </c>
      <c r="G277" s="67">
        <f t="shared" si="42"/>
        <v>259.27272727272725</v>
      </c>
    </row>
    <row r="278" spans="2:7" x14ac:dyDescent="0.3">
      <c r="B278" s="97">
        <v>45763</v>
      </c>
      <c r="C278" s="109" t="s">
        <v>540</v>
      </c>
      <c r="D278" s="126">
        <v>2</v>
      </c>
      <c r="E278" s="146">
        <v>184</v>
      </c>
      <c r="F278" s="19">
        <f t="shared" si="41"/>
        <v>368</v>
      </c>
      <c r="G278" s="67">
        <f t="shared" si="42"/>
        <v>33.454545454545453</v>
      </c>
    </row>
    <row r="279" spans="2:7" x14ac:dyDescent="0.3">
      <c r="B279" s="19"/>
      <c r="C279" s="19"/>
      <c r="D279" s="19"/>
      <c r="E279" s="19"/>
      <c r="F279" s="19">
        <f t="shared" si="41"/>
        <v>0</v>
      </c>
      <c r="G279" s="67">
        <f t="shared" si="42"/>
        <v>0</v>
      </c>
    </row>
    <row r="280" spans="2:7" x14ac:dyDescent="0.3">
      <c r="B280" s="82">
        <v>45764</v>
      </c>
      <c r="C280" s="18" t="s">
        <v>541</v>
      </c>
      <c r="D280" s="19">
        <v>1</v>
      </c>
      <c r="E280" s="145">
        <v>489</v>
      </c>
      <c r="F280" s="19">
        <f t="shared" ref="F280:F300" si="43">E280*D280</f>
        <v>489</v>
      </c>
      <c r="G280" s="67">
        <f t="shared" ref="G280:G300" si="44">F280/11</f>
        <v>44.454545454545453</v>
      </c>
    </row>
    <row r="281" spans="2:7" x14ac:dyDescent="0.3">
      <c r="B281" s="82">
        <v>45764</v>
      </c>
      <c r="C281" s="18" t="s">
        <v>542</v>
      </c>
      <c r="D281" s="19">
        <v>1</v>
      </c>
      <c r="E281" s="145">
        <v>489</v>
      </c>
      <c r="F281" s="19">
        <f t="shared" si="43"/>
        <v>489</v>
      </c>
      <c r="G281" s="67">
        <f t="shared" si="44"/>
        <v>44.454545454545453</v>
      </c>
    </row>
    <row r="282" spans="2:7" x14ac:dyDescent="0.3">
      <c r="B282" s="82">
        <v>45764</v>
      </c>
      <c r="C282" s="18" t="s">
        <v>543</v>
      </c>
      <c r="D282" s="19">
        <v>1</v>
      </c>
      <c r="E282" s="145">
        <v>539</v>
      </c>
      <c r="F282" s="19">
        <f t="shared" si="43"/>
        <v>539</v>
      </c>
      <c r="G282" s="67">
        <f t="shared" si="44"/>
        <v>49</v>
      </c>
    </row>
    <row r="283" spans="2:7" x14ac:dyDescent="0.3">
      <c r="B283" s="82">
        <v>45764</v>
      </c>
      <c r="C283" s="18" t="s">
        <v>544</v>
      </c>
      <c r="D283" s="19">
        <v>1</v>
      </c>
      <c r="E283" s="145">
        <v>539</v>
      </c>
      <c r="F283" s="19">
        <f t="shared" si="43"/>
        <v>539</v>
      </c>
      <c r="G283" s="67">
        <f t="shared" si="44"/>
        <v>49</v>
      </c>
    </row>
    <row r="284" spans="2:7" x14ac:dyDescent="0.3">
      <c r="B284" s="82">
        <v>45764</v>
      </c>
      <c r="C284" s="235" t="s">
        <v>545</v>
      </c>
      <c r="D284" s="19">
        <v>1</v>
      </c>
      <c r="E284" s="145">
        <v>539</v>
      </c>
      <c r="F284" s="19">
        <f t="shared" si="43"/>
        <v>539</v>
      </c>
      <c r="G284" s="67">
        <f t="shared" si="44"/>
        <v>49</v>
      </c>
    </row>
    <row r="285" spans="2:7" x14ac:dyDescent="0.3">
      <c r="B285" s="82">
        <v>45764</v>
      </c>
      <c r="C285" s="235" t="s">
        <v>546</v>
      </c>
      <c r="D285" s="19">
        <v>1</v>
      </c>
      <c r="E285" s="145">
        <v>489</v>
      </c>
      <c r="F285" s="19">
        <f t="shared" si="43"/>
        <v>489</v>
      </c>
      <c r="G285" s="67">
        <f t="shared" si="44"/>
        <v>44.454545454545453</v>
      </c>
    </row>
    <row r="286" spans="2:7" x14ac:dyDescent="0.3">
      <c r="B286" s="82">
        <v>45764</v>
      </c>
      <c r="C286" s="235" t="s">
        <v>547</v>
      </c>
      <c r="D286" s="19">
        <v>5</v>
      </c>
      <c r="E286" s="145">
        <v>539</v>
      </c>
      <c r="F286" s="19">
        <f t="shared" si="43"/>
        <v>2695</v>
      </c>
      <c r="G286" s="67">
        <f t="shared" si="44"/>
        <v>245</v>
      </c>
    </row>
    <row r="287" spans="2:7" x14ac:dyDescent="0.3">
      <c r="B287" s="82">
        <v>45764</v>
      </c>
      <c r="C287" s="18" t="s">
        <v>548</v>
      </c>
      <c r="D287" s="19">
        <v>4</v>
      </c>
      <c r="E287" s="145">
        <v>539</v>
      </c>
      <c r="F287" s="19">
        <f t="shared" si="43"/>
        <v>2156</v>
      </c>
      <c r="G287" s="67">
        <f t="shared" si="44"/>
        <v>196</v>
      </c>
    </row>
    <row r="288" spans="2:7" x14ac:dyDescent="0.3">
      <c r="B288" s="18"/>
      <c r="C288" s="18"/>
      <c r="D288" s="124"/>
      <c r="E288" s="18"/>
      <c r="F288" s="19">
        <f t="shared" si="43"/>
        <v>0</v>
      </c>
      <c r="G288" s="67">
        <f t="shared" si="44"/>
        <v>0</v>
      </c>
    </row>
    <row r="289" spans="2:7" x14ac:dyDescent="0.3">
      <c r="B289" s="82">
        <v>45767</v>
      </c>
      <c r="C289" s="235" t="s">
        <v>557</v>
      </c>
      <c r="D289" s="19">
        <v>9</v>
      </c>
      <c r="E289" s="215">
        <v>539</v>
      </c>
      <c r="F289" s="19">
        <f t="shared" si="43"/>
        <v>4851</v>
      </c>
      <c r="G289" s="67">
        <f t="shared" si="44"/>
        <v>441</v>
      </c>
    </row>
    <row r="290" spans="2:7" x14ac:dyDescent="0.3">
      <c r="B290" s="97">
        <v>45767</v>
      </c>
      <c r="C290" s="109" t="s">
        <v>558</v>
      </c>
      <c r="D290" s="126">
        <v>5</v>
      </c>
      <c r="E290" s="189">
        <v>489</v>
      </c>
      <c r="F290" s="19">
        <f t="shared" si="43"/>
        <v>2445</v>
      </c>
      <c r="G290" s="67">
        <f t="shared" si="44"/>
        <v>222.27272727272728</v>
      </c>
    </row>
    <row r="291" spans="2:7" x14ac:dyDescent="0.3">
      <c r="B291" s="19"/>
      <c r="C291" s="19"/>
      <c r="D291" s="19"/>
      <c r="E291" s="19"/>
      <c r="F291" s="19">
        <f t="shared" si="43"/>
        <v>0</v>
      </c>
      <c r="G291" s="67">
        <f t="shared" si="44"/>
        <v>0</v>
      </c>
    </row>
    <row r="292" spans="2:7" x14ac:dyDescent="0.3">
      <c r="B292" s="82">
        <v>45768</v>
      </c>
      <c r="C292" s="18" t="s">
        <v>559</v>
      </c>
      <c r="D292" s="19">
        <v>1</v>
      </c>
      <c r="E292" s="18">
        <v>184</v>
      </c>
      <c r="F292" s="19">
        <f t="shared" si="43"/>
        <v>184</v>
      </c>
      <c r="G292" s="67">
        <f t="shared" si="44"/>
        <v>16.727272727272727</v>
      </c>
    </row>
    <row r="293" spans="2:7" x14ac:dyDescent="0.3">
      <c r="B293" s="82">
        <v>45768</v>
      </c>
      <c r="C293" s="18" t="s">
        <v>560</v>
      </c>
      <c r="D293" s="19">
        <v>6</v>
      </c>
      <c r="E293" s="18">
        <v>2590</v>
      </c>
      <c r="F293" s="19">
        <f t="shared" si="43"/>
        <v>15540</v>
      </c>
      <c r="G293" s="67">
        <f t="shared" si="44"/>
        <v>1412.7272727272727</v>
      </c>
    </row>
    <row r="294" spans="2:7" x14ac:dyDescent="0.3">
      <c r="B294" s="19"/>
      <c r="C294" s="19"/>
      <c r="D294" s="19"/>
      <c r="E294" s="19"/>
      <c r="F294" s="19">
        <f t="shared" si="43"/>
        <v>0</v>
      </c>
      <c r="G294" s="67">
        <f t="shared" si="44"/>
        <v>0</v>
      </c>
    </row>
    <row r="295" spans="2:7" x14ac:dyDescent="0.3">
      <c r="B295" s="82">
        <v>45768</v>
      </c>
      <c r="C295" s="18" t="s">
        <v>561</v>
      </c>
      <c r="D295" s="19">
        <v>5</v>
      </c>
      <c r="E295" s="18">
        <v>21</v>
      </c>
      <c r="F295" s="19">
        <f t="shared" si="43"/>
        <v>105</v>
      </c>
      <c r="G295" s="67">
        <f t="shared" si="44"/>
        <v>9.545454545454545</v>
      </c>
    </row>
    <row r="296" spans="2:7" x14ac:dyDescent="0.3">
      <c r="B296" s="19"/>
      <c r="C296" s="19"/>
      <c r="D296" s="19"/>
      <c r="E296" s="19"/>
      <c r="F296" s="19">
        <f t="shared" si="43"/>
        <v>0</v>
      </c>
      <c r="G296" s="67">
        <f t="shared" si="44"/>
        <v>0</v>
      </c>
    </row>
    <row r="297" spans="2:7" x14ac:dyDescent="0.3">
      <c r="B297" s="82">
        <v>45768</v>
      </c>
      <c r="C297" s="235" t="s">
        <v>562</v>
      </c>
      <c r="D297" s="19">
        <v>6</v>
      </c>
      <c r="E297" s="18">
        <v>539</v>
      </c>
      <c r="F297" s="19">
        <f t="shared" si="43"/>
        <v>3234</v>
      </c>
      <c r="G297" s="67">
        <f t="shared" si="44"/>
        <v>294</v>
      </c>
    </row>
    <row r="298" spans="2:7" x14ac:dyDescent="0.3">
      <c r="B298" s="97">
        <v>45768</v>
      </c>
      <c r="C298" s="109" t="s">
        <v>563</v>
      </c>
      <c r="D298" s="126">
        <v>1</v>
      </c>
      <c r="E298" s="189">
        <v>489</v>
      </c>
      <c r="F298" s="19">
        <f t="shared" si="43"/>
        <v>489</v>
      </c>
      <c r="G298" s="67">
        <f t="shared" si="44"/>
        <v>44.454545454545453</v>
      </c>
    </row>
    <row r="299" spans="2:7" x14ac:dyDescent="0.3">
      <c r="B299" s="82">
        <v>45768</v>
      </c>
      <c r="C299" s="235" t="s">
        <v>564</v>
      </c>
      <c r="D299" s="19">
        <v>4</v>
      </c>
      <c r="E299" s="18">
        <v>539</v>
      </c>
      <c r="F299" s="19">
        <f t="shared" si="43"/>
        <v>2156</v>
      </c>
      <c r="G299" s="67">
        <f t="shared" si="44"/>
        <v>196</v>
      </c>
    </row>
    <row r="300" spans="2:7" x14ac:dyDescent="0.3">
      <c r="B300" s="82">
        <v>45768</v>
      </c>
      <c r="C300" s="235" t="s">
        <v>565</v>
      </c>
      <c r="D300" s="19">
        <v>4</v>
      </c>
      <c r="E300" s="18">
        <v>539</v>
      </c>
      <c r="F300" s="19">
        <f t="shared" si="43"/>
        <v>2156</v>
      </c>
      <c r="G300" s="67">
        <f t="shared" si="44"/>
        <v>196</v>
      </c>
    </row>
    <row r="301" spans="2:7" x14ac:dyDescent="0.3">
      <c r="B301" s="19"/>
      <c r="C301" s="1"/>
      <c r="D301" s="19"/>
      <c r="E301" s="19"/>
      <c r="F301" s="19">
        <f t="shared" ref="F301:F324" si="45">E301*D301</f>
        <v>0</v>
      </c>
      <c r="G301" s="67">
        <f t="shared" ref="G301:G324" si="46">F301/11</f>
        <v>0</v>
      </c>
    </row>
    <row r="302" spans="2:7" x14ac:dyDescent="0.3">
      <c r="B302" s="97">
        <v>45768</v>
      </c>
      <c r="C302" s="109" t="s">
        <v>566</v>
      </c>
      <c r="D302" s="126">
        <v>3</v>
      </c>
      <c r="E302" s="189">
        <v>2199</v>
      </c>
      <c r="F302" s="19">
        <f t="shared" si="45"/>
        <v>6597</v>
      </c>
      <c r="G302" s="67">
        <f t="shared" si="46"/>
        <v>599.72727272727275</v>
      </c>
    </row>
    <row r="303" spans="2:7" x14ac:dyDescent="0.3">
      <c r="B303" s="254">
        <v>45768</v>
      </c>
      <c r="C303" s="255" t="s">
        <v>567</v>
      </c>
      <c r="D303" s="256">
        <v>6</v>
      </c>
      <c r="E303" s="257">
        <v>2199</v>
      </c>
      <c r="F303" s="19">
        <f t="shared" si="45"/>
        <v>13194</v>
      </c>
      <c r="G303" s="67">
        <f t="shared" si="46"/>
        <v>1199.4545454545455</v>
      </c>
    </row>
    <row r="304" spans="2:7" x14ac:dyDescent="0.3">
      <c r="B304" s="18"/>
      <c r="C304" s="18"/>
      <c r="D304" s="124"/>
      <c r="E304" s="18"/>
      <c r="F304" s="19">
        <f t="shared" si="45"/>
        <v>0</v>
      </c>
      <c r="G304" s="67">
        <f t="shared" si="46"/>
        <v>0</v>
      </c>
    </row>
    <row r="305" spans="2:7" x14ac:dyDescent="0.3">
      <c r="B305" s="18"/>
      <c r="C305" s="18"/>
      <c r="D305" s="124"/>
      <c r="E305" s="18"/>
      <c r="F305" s="19">
        <f t="shared" si="45"/>
        <v>0</v>
      </c>
      <c r="G305" s="67">
        <f t="shared" si="46"/>
        <v>0</v>
      </c>
    </row>
    <row r="306" spans="2:7" x14ac:dyDescent="0.3">
      <c r="B306" s="82">
        <v>45769</v>
      </c>
      <c r="C306" s="81" t="s">
        <v>568</v>
      </c>
      <c r="D306" s="19">
        <v>2</v>
      </c>
      <c r="E306" s="19">
        <v>254.6</v>
      </c>
      <c r="F306" s="19">
        <f t="shared" si="45"/>
        <v>509.2</v>
      </c>
      <c r="G306" s="67">
        <f t="shared" si="46"/>
        <v>46.290909090909089</v>
      </c>
    </row>
    <row r="307" spans="2:7" x14ac:dyDescent="0.3">
      <c r="B307" s="82">
        <v>45769</v>
      </c>
      <c r="C307" s="81" t="s">
        <v>569</v>
      </c>
      <c r="D307" s="19">
        <v>17</v>
      </c>
      <c r="E307" s="19">
        <v>98</v>
      </c>
      <c r="F307" s="19">
        <f t="shared" si="45"/>
        <v>1666</v>
      </c>
      <c r="G307" s="67">
        <f t="shared" si="46"/>
        <v>151.45454545454547</v>
      </c>
    </row>
    <row r="308" spans="2:7" x14ac:dyDescent="0.3">
      <c r="B308" s="82">
        <v>45769</v>
      </c>
      <c r="C308" s="81" t="s">
        <v>570</v>
      </c>
      <c r="D308" s="19">
        <v>1</v>
      </c>
      <c r="E308" s="19">
        <v>2588</v>
      </c>
      <c r="F308" s="19">
        <f t="shared" si="45"/>
        <v>2588</v>
      </c>
      <c r="G308" s="67">
        <f t="shared" si="46"/>
        <v>235.27272727272728</v>
      </c>
    </row>
    <row r="309" spans="2:7" x14ac:dyDescent="0.3">
      <c r="B309" s="82">
        <v>45769</v>
      </c>
      <c r="C309" s="81" t="s">
        <v>571</v>
      </c>
      <c r="D309" s="19">
        <v>1</v>
      </c>
      <c r="E309" s="19">
        <v>3518</v>
      </c>
      <c r="F309" s="19">
        <f t="shared" si="45"/>
        <v>3518</v>
      </c>
      <c r="G309" s="67">
        <f t="shared" si="46"/>
        <v>319.81818181818181</v>
      </c>
    </row>
    <row r="310" spans="2:7" x14ac:dyDescent="0.3">
      <c r="B310" s="19"/>
      <c r="C310" s="81"/>
      <c r="D310" s="19"/>
      <c r="E310" s="19"/>
      <c r="F310" s="19">
        <f t="shared" si="45"/>
        <v>0</v>
      </c>
      <c r="G310" s="67">
        <f t="shared" si="46"/>
        <v>0</v>
      </c>
    </row>
    <row r="311" spans="2:7" x14ac:dyDescent="0.3">
      <c r="B311" s="82"/>
      <c r="C311" s="81"/>
      <c r="D311" s="19"/>
      <c r="E311" s="19"/>
      <c r="F311" s="19">
        <f t="shared" si="45"/>
        <v>0</v>
      </c>
      <c r="G311" s="67">
        <f t="shared" si="46"/>
        <v>0</v>
      </c>
    </row>
    <row r="312" spans="2:7" x14ac:dyDescent="0.3">
      <c r="B312" s="82">
        <v>45769</v>
      </c>
      <c r="C312" s="81"/>
      <c r="D312" s="19"/>
      <c r="E312" s="19"/>
      <c r="F312" s="19">
        <f t="shared" si="45"/>
        <v>0</v>
      </c>
      <c r="G312" s="67">
        <f t="shared" si="46"/>
        <v>0</v>
      </c>
    </row>
    <row r="313" spans="2:7" x14ac:dyDescent="0.3">
      <c r="B313" s="82">
        <v>45769</v>
      </c>
      <c r="C313" s="81" t="s">
        <v>572</v>
      </c>
      <c r="D313" s="19">
        <v>1</v>
      </c>
      <c r="E313" s="19">
        <v>2549</v>
      </c>
      <c r="F313" s="19">
        <f t="shared" si="45"/>
        <v>2549</v>
      </c>
      <c r="G313" s="67">
        <f t="shared" si="46"/>
        <v>231.72727272727272</v>
      </c>
    </row>
    <row r="314" spans="2:7" x14ac:dyDescent="0.3">
      <c r="B314" s="82">
        <v>45769</v>
      </c>
      <c r="C314" s="81" t="s">
        <v>573</v>
      </c>
      <c r="D314" s="19">
        <v>3</v>
      </c>
      <c r="E314" s="19">
        <v>2197</v>
      </c>
      <c r="F314" s="19">
        <f t="shared" si="45"/>
        <v>6591</v>
      </c>
      <c r="G314" s="67">
        <f t="shared" si="46"/>
        <v>599.18181818181813</v>
      </c>
    </row>
    <row r="315" spans="2:7" x14ac:dyDescent="0.3">
      <c r="B315" s="19"/>
      <c r="C315" s="19"/>
      <c r="D315" s="19"/>
      <c r="E315" s="19"/>
      <c r="F315" s="19">
        <f t="shared" si="45"/>
        <v>0</v>
      </c>
      <c r="G315" s="67">
        <f t="shared" si="46"/>
        <v>0</v>
      </c>
    </row>
    <row r="316" spans="2:7" x14ac:dyDescent="0.3">
      <c r="B316" s="82">
        <v>45769</v>
      </c>
      <c r="C316" s="81" t="s">
        <v>574</v>
      </c>
      <c r="D316" s="19">
        <v>3</v>
      </c>
      <c r="E316" s="19">
        <v>254.6</v>
      </c>
      <c r="F316" s="19">
        <f t="shared" si="45"/>
        <v>763.8</v>
      </c>
      <c r="G316" s="67">
        <f t="shared" si="46"/>
        <v>69.436363636363637</v>
      </c>
    </row>
    <row r="317" spans="2:7" x14ac:dyDescent="0.3">
      <c r="B317" s="19"/>
      <c r="C317" s="19"/>
      <c r="D317" s="19"/>
      <c r="E317" s="19"/>
      <c r="F317" s="19">
        <f t="shared" si="45"/>
        <v>0</v>
      </c>
      <c r="G317" s="67">
        <f t="shared" si="46"/>
        <v>0</v>
      </c>
    </row>
    <row r="318" spans="2:7" x14ac:dyDescent="0.3">
      <c r="B318" s="82">
        <v>45769</v>
      </c>
      <c r="C318" s="81" t="s">
        <v>575</v>
      </c>
      <c r="D318" s="19">
        <v>1</v>
      </c>
      <c r="E318" s="19">
        <v>98</v>
      </c>
      <c r="F318" s="19">
        <f t="shared" si="45"/>
        <v>98</v>
      </c>
      <c r="G318" s="67">
        <f t="shared" si="46"/>
        <v>8.9090909090909083</v>
      </c>
    </row>
    <row r="319" spans="2:7" x14ac:dyDescent="0.3">
      <c r="B319" s="18"/>
      <c r="C319" s="18"/>
      <c r="D319" s="124"/>
      <c r="E319" s="18"/>
      <c r="F319" s="19">
        <f t="shared" si="45"/>
        <v>0</v>
      </c>
      <c r="G319" s="67">
        <f t="shared" si="46"/>
        <v>0</v>
      </c>
    </row>
    <row r="320" spans="2:7" x14ac:dyDescent="0.3">
      <c r="B320" s="18"/>
      <c r="C320" s="18"/>
      <c r="D320" s="124"/>
      <c r="E320" s="18"/>
      <c r="F320" s="19">
        <f t="shared" si="45"/>
        <v>0</v>
      </c>
      <c r="G320" s="67">
        <f t="shared" si="46"/>
        <v>0</v>
      </c>
    </row>
    <row r="321" spans="2:7" x14ac:dyDescent="0.3">
      <c r="B321" s="18"/>
      <c r="C321" s="18"/>
      <c r="D321" s="124"/>
      <c r="E321" s="18"/>
      <c r="F321" s="19">
        <f t="shared" si="45"/>
        <v>0</v>
      </c>
      <c r="G321" s="67">
        <f t="shared" si="46"/>
        <v>0</v>
      </c>
    </row>
    <row r="322" spans="2:7" x14ac:dyDescent="0.3">
      <c r="B322" s="73">
        <v>45771</v>
      </c>
      <c r="C322" s="18" t="s">
        <v>579</v>
      </c>
      <c r="D322" s="19">
        <v>4</v>
      </c>
      <c r="E322" s="215">
        <v>2330</v>
      </c>
      <c r="F322" s="19">
        <f t="shared" si="45"/>
        <v>9320</v>
      </c>
      <c r="G322" s="67">
        <f t="shared" si="46"/>
        <v>847.27272727272725</v>
      </c>
    </row>
    <row r="323" spans="2:7" x14ac:dyDescent="0.3">
      <c r="B323" s="73">
        <v>45771</v>
      </c>
      <c r="C323" s="18" t="s">
        <v>580</v>
      </c>
      <c r="D323" s="19">
        <v>4</v>
      </c>
      <c r="E323" s="215">
        <v>3250</v>
      </c>
      <c r="F323" s="19">
        <f t="shared" si="45"/>
        <v>13000</v>
      </c>
      <c r="G323" s="67">
        <f t="shared" si="46"/>
        <v>1181.8181818181818</v>
      </c>
    </row>
    <row r="324" spans="2:7" x14ac:dyDescent="0.3">
      <c r="B324" s="73">
        <v>45771</v>
      </c>
      <c r="C324" s="18" t="s">
        <v>581</v>
      </c>
      <c r="D324" s="19">
        <v>3</v>
      </c>
      <c r="E324" s="215">
        <v>521</v>
      </c>
      <c r="F324" s="19">
        <f t="shared" si="45"/>
        <v>1563</v>
      </c>
      <c r="G324" s="67">
        <f t="shared" si="46"/>
        <v>142.09090909090909</v>
      </c>
    </row>
    <row r="325" spans="2:7" x14ac:dyDescent="0.3">
      <c r="B325" s="73">
        <v>45771</v>
      </c>
      <c r="C325" s="18" t="s">
        <v>582</v>
      </c>
      <c r="D325" s="19">
        <v>12</v>
      </c>
      <c r="E325" s="215">
        <v>14.5</v>
      </c>
      <c r="F325" s="19">
        <f t="shared" ref="F325:F388" si="47">E325*D325</f>
        <v>174</v>
      </c>
      <c r="G325" s="67">
        <f t="shared" ref="G325:G388" si="48">F325/11</f>
        <v>15.818181818181818</v>
      </c>
    </row>
    <row r="326" spans="2:7" x14ac:dyDescent="0.3">
      <c r="B326" s="73">
        <v>45771</v>
      </c>
      <c r="C326" s="18" t="s">
        <v>583</v>
      </c>
      <c r="D326" s="19">
        <v>15</v>
      </c>
      <c r="E326" s="215">
        <v>26.5</v>
      </c>
      <c r="F326" s="19">
        <f t="shared" si="47"/>
        <v>397.5</v>
      </c>
      <c r="G326" s="67">
        <f t="shared" si="48"/>
        <v>36.136363636363633</v>
      </c>
    </row>
    <row r="327" spans="2:7" x14ac:dyDescent="0.3">
      <c r="B327" s="73">
        <v>45771</v>
      </c>
      <c r="C327" s="18" t="s">
        <v>584</v>
      </c>
      <c r="D327" s="19">
        <v>23</v>
      </c>
      <c r="E327" s="215">
        <v>12</v>
      </c>
      <c r="F327" s="19">
        <f t="shared" si="47"/>
        <v>276</v>
      </c>
      <c r="G327" s="67">
        <f t="shared" si="48"/>
        <v>25.09090909090909</v>
      </c>
    </row>
    <row r="328" spans="2:7" x14ac:dyDescent="0.3">
      <c r="B328" s="73">
        <v>45771</v>
      </c>
      <c r="C328" s="18" t="s">
        <v>585</v>
      </c>
      <c r="D328" s="19">
        <v>3</v>
      </c>
      <c r="E328" s="215">
        <v>18</v>
      </c>
      <c r="F328" s="19">
        <f t="shared" si="47"/>
        <v>54</v>
      </c>
      <c r="G328" s="67">
        <f t="shared" si="48"/>
        <v>4.9090909090909092</v>
      </c>
    </row>
    <row r="329" spans="2:7" x14ac:dyDescent="0.3">
      <c r="B329" s="73">
        <v>45771</v>
      </c>
      <c r="C329" s="18" t="s">
        <v>586</v>
      </c>
      <c r="D329" s="19">
        <v>3</v>
      </c>
      <c r="E329" s="215">
        <v>18</v>
      </c>
      <c r="F329" s="19">
        <f t="shared" si="47"/>
        <v>54</v>
      </c>
      <c r="G329" s="67">
        <f t="shared" si="48"/>
        <v>4.9090909090909092</v>
      </c>
    </row>
    <row r="330" spans="2:7" x14ac:dyDescent="0.3">
      <c r="B330" s="73">
        <v>45771</v>
      </c>
      <c r="C330" s="18" t="s">
        <v>587</v>
      </c>
      <c r="D330" s="19">
        <v>2</v>
      </c>
      <c r="E330" s="215">
        <v>18</v>
      </c>
      <c r="F330" s="19">
        <f t="shared" si="47"/>
        <v>36</v>
      </c>
      <c r="G330" s="67">
        <f t="shared" si="48"/>
        <v>3.2727272727272729</v>
      </c>
    </row>
    <row r="331" spans="2:7" x14ac:dyDescent="0.3">
      <c r="B331" s="73">
        <v>45771</v>
      </c>
      <c r="C331" s="18" t="s">
        <v>588</v>
      </c>
      <c r="D331" s="19">
        <v>2</v>
      </c>
      <c r="E331" s="215">
        <v>18</v>
      </c>
      <c r="F331" s="19">
        <f t="shared" si="47"/>
        <v>36</v>
      </c>
      <c r="G331" s="67">
        <f t="shared" si="48"/>
        <v>3.2727272727272729</v>
      </c>
    </row>
    <row r="332" spans="2:7" x14ac:dyDescent="0.3">
      <c r="B332" s="73">
        <v>45771</v>
      </c>
      <c r="C332" s="18" t="s">
        <v>589</v>
      </c>
      <c r="D332" s="19">
        <v>2</v>
      </c>
      <c r="E332" s="215">
        <v>18</v>
      </c>
      <c r="F332" s="19">
        <f t="shared" si="47"/>
        <v>36</v>
      </c>
      <c r="G332" s="67">
        <f t="shared" si="48"/>
        <v>3.2727272727272729</v>
      </c>
    </row>
    <row r="333" spans="2:7" x14ac:dyDescent="0.3">
      <c r="B333" s="73">
        <v>45771</v>
      </c>
      <c r="C333" s="18" t="s">
        <v>590</v>
      </c>
      <c r="D333" s="19">
        <v>1</v>
      </c>
      <c r="E333" s="215">
        <v>136</v>
      </c>
      <c r="F333" s="19">
        <f t="shared" si="47"/>
        <v>136</v>
      </c>
      <c r="G333" s="67">
        <f t="shared" si="48"/>
        <v>12.363636363636363</v>
      </c>
    </row>
    <row r="334" spans="2:7" x14ac:dyDescent="0.3">
      <c r="B334" s="73">
        <v>45771</v>
      </c>
      <c r="C334" s="18" t="s">
        <v>591</v>
      </c>
      <c r="D334" s="19">
        <v>2</v>
      </c>
      <c r="E334" s="215">
        <v>191</v>
      </c>
      <c r="F334" s="19">
        <f t="shared" si="47"/>
        <v>382</v>
      </c>
      <c r="G334" s="67">
        <f t="shared" si="48"/>
        <v>34.727272727272727</v>
      </c>
    </row>
    <row r="335" spans="2:7" x14ac:dyDescent="0.3">
      <c r="B335" s="73">
        <v>45771</v>
      </c>
      <c r="C335" s="18" t="s">
        <v>592</v>
      </c>
      <c r="D335" s="19">
        <v>4</v>
      </c>
      <c r="E335" s="215">
        <v>184</v>
      </c>
      <c r="F335" s="19">
        <f t="shared" si="47"/>
        <v>736</v>
      </c>
      <c r="G335" s="67">
        <f t="shared" si="48"/>
        <v>66.909090909090907</v>
      </c>
    </row>
    <row r="336" spans="2:7" x14ac:dyDescent="0.3">
      <c r="B336" s="73">
        <v>45771</v>
      </c>
      <c r="C336" s="18" t="s">
        <v>593</v>
      </c>
      <c r="D336" s="19">
        <v>4</v>
      </c>
      <c r="E336" s="215">
        <v>238</v>
      </c>
      <c r="F336" s="19">
        <f t="shared" si="47"/>
        <v>952</v>
      </c>
      <c r="G336" s="67">
        <f t="shared" si="48"/>
        <v>86.545454545454547</v>
      </c>
    </row>
    <row r="337" spans="2:7" x14ac:dyDescent="0.3">
      <c r="B337" s="73">
        <v>45771</v>
      </c>
      <c r="C337" s="18" t="s">
        <v>594</v>
      </c>
      <c r="D337" s="19">
        <v>3</v>
      </c>
      <c r="E337" s="215">
        <v>510</v>
      </c>
      <c r="F337" s="19">
        <f t="shared" si="47"/>
        <v>1530</v>
      </c>
      <c r="G337" s="67">
        <f t="shared" si="48"/>
        <v>139.09090909090909</v>
      </c>
    </row>
    <row r="338" spans="2:7" x14ac:dyDescent="0.3">
      <c r="B338" s="73">
        <v>45771</v>
      </c>
      <c r="C338" s="18" t="s">
        <v>595</v>
      </c>
      <c r="D338" s="19">
        <v>2</v>
      </c>
      <c r="E338" s="215">
        <v>3300</v>
      </c>
      <c r="F338" s="19">
        <f t="shared" si="47"/>
        <v>6600</v>
      </c>
      <c r="G338" s="67">
        <f t="shared" si="48"/>
        <v>600</v>
      </c>
    </row>
    <row r="339" spans="2:7" x14ac:dyDescent="0.3">
      <c r="B339" s="73">
        <v>45771</v>
      </c>
      <c r="C339" s="18" t="s">
        <v>596</v>
      </c>
      <c r="D339" s="19">
        <v>2</v>
      </c>
      <c r="E339" s="215">
        <v>2149</v>
      </c>
      <c r="F339" s="19">
        <f t="shared" si="47"/>
        <v>4298</v>
      </c>
      <c r="G339" s="67">
        <f t="shared" si="48"/>
        <v>390.72727272727275</v>
      </c>
    </row>
    <row r="340" spans="2:7" x14ac:dyDescent="0.3">
      <c r="B340" s="18"/>
      <c r="C340" s="18"/>
      <c r="D340" s="124"/>
      <c r="E340" s="18"/>
      <c r="F340" s="19">
        <f t="shared" si="47"/>
        <v>0</v>
      </c>
      <c r="G340" s="67">
        <f t="shared" si="48"/>
        <v>0</v>
      </c>
    </row>
    <row r="341" spans="2:7" x14ac:dyDescent="0.3">
      <c r="B341" s="18"/>
      <c r="C341" s="18"/>
      <c r="D341" s="124"/>
      <c r="E341" s="18"/>
      <c r="F341" s="19">
        <f t="shared" si="47"/>
        <v>0</v>
      </c>
      <c r="G341" s="67">
        <f t="shared" si="48"/>
        <v>0</v>
      </c>
    </row>
    <row r="342" spans="2:7" x14ac:dyDescent="0.3">
      <c r="B342" s="18"/>
      <c r="C342" s="18"/>
      <c r="D342" s="124"/>
      <c r="E342" s="18"/>
      <c r="F342" s="19">
        <f t="shared" si="47"/>
        <v>0</v>
      </c>
      <c r="G342" s="67">
        <f t="shared" si="48"/>
        <v>0</v>
      </c>
    </row>
    <row r="343" spans="2:7" x14ac:dyDescent="0.3">
      <c r="B343" s="73">
        <v>45773</v>
      </c>
      <c r="C343" s="18" t="s">
        <v>599</v>
      </c>
      <c r="D343" s="19">
        <v>3</v>
      </c>
      <c r="E343" s="215">
        <v>520</v>
      </c>
      <c r="F343" s="19">
        <f t="shared" si="47"/>
        <v>1560</v>
      </c>
      <c r="G343" s="67">
        <f t="shared" si="48"/>
        <v>141.81818181818181</v>
      </c>
    </row>
    <row r="344" spans="2:7" x14ac:dyDescent="0.3">
      <c r="B344" s="73">
        <v>45774</v>
      </c>
      <c r="C344" s="18" t="s">
        <v>600</v>
      </c>
      <c r="D344" s="19">
        <v>2</v>
      </c>
      <c r="E344" s="215">
        <v>3220</v>
      </c>
      <c r="F344" s="19">
        <f t="shared" si="47"/>
        <v>6440</v>
      </c>
      <c r="G344" s="67">
        <f t="shared" si="48"/>
        <v>585.4545454545455</v>
      </c>
    </row>
    <row r="345" spans="2:7" x14ac:dyDescent="0.3">
      <c r="B345" s="73">
        <v>45774</v>
      </c>
      <c r="C345" s="18" t="s">
        <v>601</v>
      </c>
      <c r="D345" s="19">
        <v>1</v>
      </c>
      <c r="E345" s="215">
        <v>2315</v>
      </c>
      <c r="F345" s="19">
        <f t="shared" si="47"/>
        <v>2315</v>
      </c>
      <c r="G345" s="67">
        <f t="shared" si="48"/>
        <v>210.45454545454547</v>
      </c>
    </row>
    <row r="346" spans="2:7" x14ac:dyDescent="0.3">
      <c r="B346" s="73">
        <v>45774</v>
      </c>
      <c r="C346" s="18" t="s">
        <v>602</v>
      </c>
      <c r="D346" s="19">
        <v>2</v>
      </c>
      <c r="E346" s="215">
        <v>3300</v>
      </c>
      <c r="F346" s="19">
        <f t="shared" si="47"/>
        <v>6600</v>
      </c>
      <c r="G346" s="67">
        <f t="shared" si="48"/>
        <v>600</v>
      </c>
    </row>
    <row r="347" spans="2:7" x14ac:dyDescent="0.3">
      <c r="B347" s="73">
        <v>45774</v>
      </c>
      <c r="C347" s="18" t="s">
        <v>603</v>
      </c>
      <c r="D347" s="19">
        <v>2</v>
      </c>
      <c r="E347" s="215">
        <v>2380</v>
      </c>
      <c r="F347" s="19">
        <f t="shared" si="47"/>
        <v>4760</v>
      </c>
      <c r="G347" s="67">
        <f t="shared" si="48"/>
        <v>432.72727272727275</v>
      </c>
    </row>
    <row r="348" spans="2:7" x14ac:dyDescent="0.3">
      <c r="B348" s="73">
        <v>45774</v>
      </c>
      <c r="C348" s="18" t="s">
        <v>604</v>
      </c>
      <c r="D348" s="19">
        <v>1</v>
      </c>
      <c r="E348" s="215">
        <v>520</v>
      </c>
      <c r="F348" s="19">
        <f t="shared" si="47"/>
        <v>520</v>
      </c>
      <c r="G348" s="67">
        <f t="shared" si="48"/>
        <v>47.272727272727273</v>
      </c>
    </row>
    <row r="349" spans="2:7" x14ac:dyDescent="0.3">
      <c r="B349" s="18"/>
      <c r="C349" s="18"/>
      <c r="D349" s="124"/>
      <c r="E349" s="18"/>
      <c r="F349" s="19">
        <f t="shared" si="47"/>
        <v>0</v>
      </c>
      <c r="G349" s="67">
        <f t="shared" si="48"/>
        <v>0</v>
      </c>
    </row>
    <row r="350" spans="2:7" x14ac:dyDescent="0.3">
      <c r="B350" s="73">
        <v>45776</v>
      </c>
      <c r="C350" s="81" t="s">
        <v>622</v>
      </c>
      <c r="D350" s="19">
        <v>4</v>
      </c>
      <c r="E350" s="19">
        <v>2159</v>
      </c>
      <c r="F350" s="19">
        <f t="shared" si="47"/>
        <v>8636</v>
      </c>
      <c r="G350" s="67">
        <f t="shared" si="48"/>
        <v>785.09090909090912</v>
      </c>
    </row>
    <row r="351" spans="2:7" x14ac:dyDescent="0.3">
      <c r="B351" s="19"/>
      <c r="C351" s="81" t="s">
        <v>623</v>
      </c>
      <c r="D351" s="19"/>
      <c r="E351" s="19"/>
      <c r="F351" s="19">
        <f t="shared" si="47"/>
        <v>0</v>
      </c>
      <c r="G351" s="67">
        <f t="shared" si="48"/>
        <v>0</v>
      </c>
    </row>
    <row r="352" spans="2:7" x14ac:dyDescent="0.3">
      <c r="B352" s="19"/>
      <c r="C352" s="81" t="s">
        <v>624</v>
      </c>
      <c r="D352" s="19"/>
      <c r="E352" s="19"/>
      <c r="F352" s="19">
        <f t="shared" si="47"/>
        <v>0</v>
      </c>
      <c r="G352" s="67">
        <f t="shared" si="48"/>
        <v>0</v>
      </c>
    </row>
    <row r="353" spans="2:7" x14ac:dyDescent="0.3">
      <c r="B353" s="18"/>
      <c r="C353" s="18"/>
      <c r="D353" s="124"/>
      <c r="E353" s="18"/>
      <c r="F353" s="19">
        <f t="shared" si="47"/>
        <v>0</v>
      </c>
      <c r="G353" s="67">
        <f t="shared" si="48"/>
        <v>0</v>
      </c>
    </row>
    <row r="354" spans="2:7" x14ac:dyDescent="0.3">
      <c r="B354" s="73">
        <v>45775</v>
      </c>
      <c r="C354" s="19" t="s">
        <v>626</v>
      </c>
      <c r="D354" s="19">
        <v>2</v>
      </c>
      <c r="E354" s="19">
        <v>539</v>
      </c>
      <c r="F354" s="19">
        <f t="shared" si="47"/>
        <v>1078</v>
      </c>
      <c r="G354" s="67">
        <f t="shared" si="48"/>
        <v>98</v>
      </c>
    </row>
    <row r="355" spans="2:7" x14ac:dyDescent="0.3">
      <c r="B355" s="18"/>
      <c r="C355" s="18"/>
      <c r="D355" s="124"/>
      <c r="E355" s="18"/>
      <c r="F355" s="19">
        <f t="shared" si="47"/>
        <v>0</v>
      </c>
      <c r="G355" s="67">
        <f t="shared" si="48"/>
        <v>0</v>
      </c>
    </row>
    <row r="356" spans="2:7" x14ac:dyDescent="0.3">
      <c r="B356" s="82">
        <v>45778</v>
      </c>
      <c r="C356" s="81" t="s">
        <v>634</v>
      </c>
      <c r="D356" s="19">
        <v>2</v>
      </c>
      <c r="E356" s="19">
        <v>489</v>
      </c>
      <c r="F356" s="19">
        <f t="shared" si="47"/>
        <v>978</v>
      </c>
      <c r="G356" s="67">
        <f t="shared" si="48"/>
        <v>88.909090909090907</v>
      </c>
    </row>
    <row r="357" spans="2:7" x14ac:dyDescent="0.3">
      <c r="B357" s="82">
        <v>45778</v>
      </c>
      <c r="C357" s="81" t="s">
        <v>635</v>
      </c>
      <c r="D357" s="19">
        <v>2</v>
      </c>
      <c r="E357" s="19">
        <v>539</v>
      </c>
      <c r="F357" s="19">
        <f t="shared" si="47"/>
        <v>1078</v>
      </c>
      <c r="G357" s="67">
        <f t="shared" si="48"/>
        <v>98</v>
      </c>
    </row>
    <row r="358" spans="2:7" x14ac:dyDescent="0.3">
      <c r="B358" s="82">
        <v>45778</v>
      </c>
      <c r="C358" s="81" t="s">
        <v>636</v>
      </c>
      <c r="D358" s="19">
        <v>2</v>
      </c>
      <c r="E358" s="19">
        <v>489</v>
      </c>
      <c r="F358" s="19">
        <f t="shared" si="47"/>
        <v>978</v>
      </c>
      <c r="G358" s="67">
        <f t="shared" si="48"/>
        <v>88.909090909090907</v>
      </c>
    </row>
    <row r="359" spans="2:7" x14ac:dyDescent="0.3">
      <c r="B359" s="82">
        <v>45778</v>
      </c>
      <c r="C359" s="81" t="s">
        <v>637</v>
      </c>
      <c r="D359" s="19">
        <v>3</v>
      </c>
      <c r="E359" s="19">
        <v>449</v>
      </c>
      <c r="F359" s="19">
        <f t="shared" si="47"/>
        <v>1347</v>
      </c>
      <c r="G359" s="67">
        <f t="shared" si="48"/>
        <v>122.45454545454545</v>
      </c>
    </row>
    <row r="360" spans="2:7" x14ac:dyDescent="0.3">
      <c r="B360" s="18"/>
      <c r="C360" s="18"/>
      <c r="D360" s="124"/>
      <c r="E360" s="18"/>
      <c r="F360" s="19">
        <f t="shared" si="47"/>
        <v>0</v>
      </c>
      <c r="G360" s="67">
        <f t="shared" si="48"/>
        <v>0</v>
      </c>
    </row>
    <row r="361" spans="2:7" x14ac:dyDescent="0.3">
      <c r="B361" s="82">
        <v>45780</v>
      </c>
      <c r="C361" s="235" t="s">
        <v>665</v>
      </c>
      <c r="D361" s="19">
        <v>3</v>
      </c>
      <c r="E361" s="145">
        <v>539</v>
      </c>
      <c r="F361" s="19">
        <f t="shared" si="47"/>
        <v>1617</v>
      </c>
      <c r="G361" s="67">
        <f t="shared" si="48"/>
        <v>147</v>
      </c>
    </row>
    <row r="362" spans="2:7" x14ac:dyDescent="0.3">
      <c r="B362" s="82">
        <v>45780</v>
      </c>
      <c r="C362" s="235" t="s">
        <v>666</v>
      </c>
      <c r="D362" s="19">
        <v>2</v>
      </c>
      <c r="E362" s="145">
        <v>520</v>
      </c>
      <c r="F362" s="19">
        <f t="shared" si="47"/>
        <v>1040</v>
      </c>
      <c r="G362" s="67">
        <f t="shared" si="48"/>
        <v>94.545454545454547</v>
      </c>
    </row>
    <row r="363" spans="2:7" x14ac:dyDescent="0.3">
      <c r="B363" s="19"/>
      <c r="C363" s="18"/>
      <c r="D363" s="19"/>
      <c r="E363" s="145"/>
      <c r="F363" s="19">
        <f t="shared" si="47"/>
        <v>0</v>
      </c>
      <c r="G363" s="67">
        <f t="shared" si="48"/>
        <v>0</v>
      </c>
    </row>
    <row r="364" spans="2:7" x14ac:dyDescent="0.3">
      <c r="B364" s="82">
        <v>45785</v>
      </c>
      <c r="C364" s="18" t="s">
        <v>667</v>
      </c>
      <c r="D364" s="19">
        <v>22</v>
      </c>
      <c r="E364" s="145">
        <v>539</v>
      </c>
      <c r="F364" s="19">
        <f t="shared" si="47"/>
        <v>11858</v>
      </c>
      <c r="G364" s="67">
        <f t="shared" si="48"/>
        <v>1078</v>
      </c>
    </row>
    <row r="365" spans="2:7" x14ac:dyDescent="0.3">
      <c r="B365" s="19"/>
      <c r="C365" s="19"/>
      <c r="D365" s="19"/>
      <c r="E365" s="19"/>
      <c r="F365" s="19">
        <f t="shared" si="47"/>
        <v>0</v>
      </c>
      <c r="G365" s="67">
        <f t="shared" si="48"/>
        <v>0</v>
      </c>
    </row>
    <row r="366" spans="2:7" x14ac:dyDescent="0.3">
      <c r="B366" s="82">
        <v>45790</v>
      </c>
      <c r="C366" s="235" t="s">
        <v>668</v>
      </c>
      <c r="D366" s="19">
        <v>4</v>
      </c>
      <c r="E366" s="145">
        <v>539</v>
      </c>
      <c r="F366" s="19">
        <f t="shared" si="47"/>
        <v>2156</v>
      </c>
      <c r="G366" s="67">
        <f t="shared" si="48"/>
        <v>196</v>
      </c>
    </row>
    <row r="367" spans="2:7" x14ac:dyDescent="0.3">
      <c r="B367" s="19"/>
      <c r="C367" s="19"/>
      <c r="D367" s="19"/>
      <c r="E367" s="19"/>
      <c r="F367" s="19">
        <f t="shared" si="47"/>
        <v>0</v>
      </c>
      <c r="G367" s="67">
        <f t="shared" si="48"/>
        <v>0</v>
      </c>
    </row>
    <row r="368" spans="2:7" x14ac:dyDescent="0.3">
      <c r="B368" s="82">
        <v>45793</v>
      </c>
      <c r="C368" s="18" t="s">
        <v>669</v>
      </c>
      <c r="D368" s="19">
        <v>2</v>
      </c>
      <c r="E368" s="145">
        <v>699</v>
      </c>
      <c r="F368" s="19">
        <f t="shared" si="47"/>
        <v>1398</v>
      </c>
      <c r="G368" s="67">
        <f t="shared" si="48"/>
        <v>127.09090909090909</v>
      </c>
    </row>
    <row r="369" spans="2:7" x14ac:dyDescent="0.3">
      <c r="B369" s="19"/>
      <c r="C369" s="19"/>
      <c r="D369" s="19"/>
      <c r="E369" s="19"/>
      <c r="F369" s="19">
        <f t="shared" si="47"/>
        <v>0</v>
      </c>
      <c r="G369" s="67">
        <f t="shared" si="48"/>
        <v>0</v>
      </c>
    </row>
    <row r="370" spans="2:7" x14ac:dyDescent="0.3">
      <c r="B370" s="82">
        <v>45793</v>
      </c>
      <c r="C370" s="18" t="s">
        <v>670</v>
      </c>
      <c r="D370" s="19">
        <v>4</v>
      </c>
      <c r="E370" s="145">
        <v>679</v>
      </c>
      <c r="F370" s="19">
        <f t="shared" si="47"/>
        <v>2716</v>
      </c>
      <c r="G370" s="67">
        <f t="shared" si="48"/>
        <v>246.90909090909091</v>
      </c>
    </row>
    <row r="371" spans="2:7" x14ac:dyDescent="0.3">
      <c r="B371" s="82">
        <v>45793</v>
      </c>
      <c r="C371" s="18" t="s">
        <v>671</v>
      </c>
      <c r="D371" s="19">
        <v>1</v>
      </c>
      <c r="E371" s="145">
        <v>3748</v>
      </c>
      <c r="F371" s="19">
        <f t="shared" si="47"/>
        <v>3748</v>
      </c>
      <c r="G371" s="67">
        <f t="shared" si="48"/>
        <v>340.72727272727275</v>
      </c>
    </row>
    <row r="372" spans="2:7" x14ac:dyDescent="0.3">
      <c r="B372" s="97">
        <v>45793</v>
      </c>
      <c r="C372" s="109" t="s">
        <v>672</v>
      </c>
      <c r="D372" s="126">
        <v>12</v>
      </c>
      <c r="E372" s="146">
        <v>3478</v>
      </c>
      <c r="F372" s="19">
        <f t="shared" si="47"/>
        <v>41736</v>
      </c>
      <c r="G372" s="67">
        <f t="shared" si="48"/>
        <v>3794.181818181818</v>
      </c>
    </row>
    <row r="373" spans="2:7" x14ac:dyDescent="0.3">
      <c r="B373" s="97">
        <v>45793</v>
      </c>
      <c r="C373" s="109" t="s">
        <v>673</v>
      </c>
      <c r="D373" s="126">
        <v>10</v>
      </c>
      <c r="E373" s="146">
        <v>2558</v>
      </c>
      <c r="F373" s="19">
        <f t="shared" si="47"/>
        <v>25580</v>
      </c>
      <c r="G373" s="67">
        <f t="shared" si="48"/>
        <v>2325.4545454545455</v>
      </c>
    </row>
    <row r="374" spans="2:7" x14ac:dyDescent="0.3">
      <c r="B374" s="82">
        <v>45793</v>
      </c>
      <c r="C374" s="18" t="s">
        <v>674</v>
      </c>
      <c r="D374" s="19">
        <v>3</v>
      </c>
      <c r="E374" s="145">
        <v>98</v>
      </c>
      <c r="F374" s="19">
        <f t="shared" si="47"/>
        <v>294</v>
      </c>
      <c r="G374" s="67">
        <f t="shared" si="48"/>
        <v>26.727272727272727</v>
      </c>
    </row>
    <row r="375" spans="2:7" x14ac:dyDescent="0.3">
      <c r="B375" s="19"/>
      <c r="C375" s="19"/>
      <c r="D375" s="19"/>
      <c r="E375" s="19"/>
      <c r="F375" s="19">
        <f t="shared" si="47"/>
        <v>0</v>
      </c>
      <c r="G375" s="67">
        <f t="shared" si="48"/>
        <v>0</v>
      </c>
    </row>
    <row r="376" spans="2:7" x14ac:dyDescent="0.3">
      <c r="B376" s="82">
        <v>45794</v>
      </c>
      <c r="C376" s="18" t="s">
        <v>676</v>
      </c>
      <c r="D376" s="19">
        <v>3</v>
      </c>
      <c r="E376" s="145">
        <v>355</v>
      </c>
      <c r="F376" s="19">
        <f t="shared" si="47"/>
        <v>1065</v>
      </c>
      <c r="G376" s="67">
        <f t="shared" si="48"/>
        <v>96.818181818181813</v>
      </c>
    </row>
    <row r="377" spans="2:7" x14ac:dyDescent="0.3">
      <c r="B377" s="82">
        <v>45794</v>
      </c>
      <c r="C377" s="18" t="s">
        <v>677</v>
      </c>
      <c r="D377" s="19">
        <v>3</v>
      </c>
      <c r="E377" s="145">
        <v>351</v>
      </c>
      <c r="F377" s="19">
        <f t="shared" si="47"/>
        <v>1053</v>
      </c>
      <c r="G377" s="67">
        <f t="shared" si="48"/>
        <v>95.727272727272734</v>
      </c>
    </row>
    <row r="378" spans="2:7" x14ac:dyDescent="0.3">
      <c r="B378" s="82">
        <v>45794</v>
      </c>
      <c r="C378" s="18" t="s">
        <v>679</v>
      </c>
      <c r="D378" s="19">
        <v>3</v>
      </c>
      <c r="E378" s="145">
        <v>539</v>
      </c>
      <c r="F378" s="19">
        <f t="shared" si="47"/>
        <v>1617</v>
      </c>
      <c r="G378" s="67">
        <f t="shared" si="48"/>
        <v>147</v>
      </c>
    </row>
    <row r="379" spans="2:7" x14ac:dyDescent="0.3">
      <c r="B379" s="97">
        <v>45794</v>
      </c>
      <c r="C379" s="109" t="s">
        <v>680</v>
      </c>
      <c r="D379" s="126">
        <v>2</v>
      </c>
      <c r="E379" s="146">
        <v>117</v>
      </c>
      <c r="F379" s="19">
        <f t="shared" si="47"/>
        <v>234</v>
      </c>
      <c r="G379" s="67">
        <f t="shared" si="48"/>
        <v>21.272727272727273</v>
      </c>
    </row>
    <row r="380" spans="2:7" x14ac:dyDescent="0.3">
      <c r="B380" s="82">
        <v>45794</v>
      </c>
      <c r="C380" s="18" t="s">
        <v>678</v>
      </c>
      <c r="D380" s="19">
        <v>1</v>
      </c>
      <c r="E380" s="145">
        <v>377</v>
      </c>
      <c r="F380" s="19">
        <f t="shared" si="47"/>
        <v>377</v>
      </c>
      <c r="G380" s="67">
        <f t="shared" si="48"/>
        <v>34.272727272727273</v>
      </c>
    </row>
    <row r="381" spans="2:7" x14ac:dyDescent="0.3">
      <c r="B381" s="19"/>
      <c r="C381" s="81"/>
      <c r="D381" s="19"/>
      <c r="E381" s="19"/>
      <c r="F381" s="19">
        <f t="shared" si="47"/>
        <v>0</v>
      </c>
      <c r="G381" s="67">
        <f t="shared" si="48"/>
        <v>0</v>
      </c>
    </row>
    <row r="382" spans="2:7" x14ac:dyDescent="0.3">
      <c r="B382" s="97">
        <v>45794</v>
      </c>
      <c r="C382" s="138" t="s">
        <v>682</v>
      </c>
      <c r="D382" s="126">
        <v>4</v>
      </c>
      <c r="E382" s="126">
        <v>615</v>
      </c>
      <c r="F382" s="19">
        <f t="shared" si="47"/>
        <v>2460</v>
      </c>
      <c r="G382" s="67">
        <f t="shared" si="48"/>
        <v>223.63636363636363</v>
      </c>
    </row>
    <row r="383" spans="2:7" x14ac:dyDescent="0.3">
      <c r="B383" s="82">
        <v>45794</v>
      </c>
      <c r="C383" s="81" t="s">
        <v>683</v>
      </c>
      <c r="D383" s="19">
        <v>2</v>
      </c>
      <c r="E383" s="19">
        <v>351</v>
      </c>
      <c r="F383" s="19">
        <f t="shared" si="47"/>
        <v>702</v>
      </c>
      <c r="G383" s="67">
        <f t="shared" si="48"/>
        <v>63.81818181818182</v>
      </c>
    </row>
    <row r="384" spans="2:7" x14ac:dyDescent="0.3">
      <c r="B384" s="97">
        <v>45795</v>
      </c>
      <c r="C384" s="138" t="s">
        <v>684</v>
      </c>
      <c r="D384" s="126">
        <v>2</v>
      </c>
      <c r="E384" s="126">
        <v>351</v>
      </c>
      <c r="F384" s="19">
        <f t="shared" si="47"/>
        <v>702</v>
      </c>
      <c r="G384" s="67">
        <f t="shared" si="48"/>
        <v>63.81818181818182</v>
      </c>
    </row>
    <row r="385" spans="2:7" x14ac:dyDescent="0.3">
      <c r="B385" s="82">
        <v>45795</v>
      </c>
      <c r="C385" s="81" t="s">
        <v>685</v>
      </c>
      <c r="D385" s="19">
        <v>50</v>
      </c>
      <c r="E385" s="19">
        <v>359</v>
      </c>
      <c r="F385" s="19">
        <f t="shared" si="47"/>
        <v>17950</v>
      </c>
      <c r="G385" s="67">
        <f t="shared" si="48"/>
        <v>1631.8181818181818</v>
      </c>
    </row>
    <row r="386" spans="2:7" x14ac:dyDescent="0.3">
      <c r="B386" s="82">
        <v>45795</v>
      </c>
      <c r="C386" s="81" t="s">
        <v>686</v>
      </c>
      <c r="D386" s="19">
        <v>5</v>
      </c>
      <c r="E386" s="19">
        <v>1050</v>
      </c>
      <c r="F386" s="19">
        <f t="shared" si="47"/>
        <v>5250</v>
      </c>
      <c r="G386" s="67">
        <f t="shared" si="48"/>
        <v>477.27272727272725</v>
      </c>
    </row>
    <row r="387" spans="2:7" x14ac:dyDescent="0.3">
      <c r="B387" s="82">
        <v>45795</v>
      </c>
      <c r="C387" s="81" t="s">
        <v>687</v>
      </c>
      <c r="D387" s="19">
        <v>5</v>
      </c>
      <c r="E387" s="19">
        <v>1030</v>
      </c>
      <c r="F387" s="19">
        <f t="shared" si="47"/>
        <v>5150</v>
      </c>
      <c r="G387" s="67">
        <f t="shared" si="48"/>
        <v>468.18181818181819</v>
      </c>
    </row>
    <row r="388" spans="2:7" x14ac:dyDescent="0.3">
      <c r="B388" s="97">
        <v>45795</v>
      </c>
      <c r="C388" s="138" t="s">
        <v>688</v>
      </c>
      <c r="D388" s="126">
        <v>30</v>
      </c>
      <c r="E388" s="126">
        <v>340</v>
      </c>
      <c r="F388" s="19">
        <f t="shared" si="47"/>
        <v>10200</v>
      </c>
      <c r="G388" s="67">
        <f t="shared" si="48"/>
        <v>927.27272727272725</v>
      </c>
    </row>
    <row r="389" spans="2:7" x14ac:dyDescent="0.3">
      <c r="B389" s="18"/>
      <c r="C389" s="18"/>
      <c r="D389" s="124"/>
      <c r="E389" s="18"/>
      <c r="F389" s="19">
        <f t="shared" ref="F389:F391" si="49">E389*D389</f>
        <v>0</v>
      </c>
      <c r="G389" s="67">
        <f t="shared" ref="G389:G391" si="50">F389/11</f>
        <v>0</v>
      </c>
    </row>
    <row r="390" spans="2:7" x14ac:dyDescent="0.3">
      <c r="B390" s="82">
        <v>45810</v>
      </c>
      <c r="C390" t="s">
        <v>879</v>
      </c>
      <c r="D390" s="19"/>
      <c r="E390" s="19"/>
      <c r="F390" s="19">
        <f t="shared" si="49"/>
        <v>0</v>
      </c>
      <c r="G390" s="67">
        <f t="shared" si="50"/>
        <v>0</v>
      </c>
    </row>
    <row r="391" spans="2:7" x14ac:dyDescent="0.3">
      <c r="B391" s="18"/>
      <c r="C391" s="18"/>
      <c r="D391" s="124"/>
      <c r="E391" s="18"/>
      <c r="F391" s="19">
        <f t="shared" si="49"/>
        <v>0</v>
      </c>
      <c r="G391" s="67">
        <f t="shared" si="50"/>
        <v>0</v>
      </c>
    </row>
    <row r="392" spans="2:7" x14ac:dyDescent="0.3">
      <c r="B392" s="73">
        <v>45830</v>
      </c>
      <c r="C392" s="235" t="s">
        <v>800</v>
      </c>
      <c r="D392" s="19">
        <v>3</v>
      </c>
      <c r="E392" s="145">
        <v>1129</v>
      </c>
      <c r="F392" s="19">
        <f t="shared" ref="F392:F403" si="51">E392*D392</f>
        <v>3387</v>
      </c>
      <c r="G392" s="67">
        <f t="shared" ref="G392:G403" si="52">F392/11</f>
        <v>307.90909090909093</v>
      </c>
    </row>
    <row r="393" spans="2:7" x14ac:dyDescent="0.3">
      <c r="B393" s="73">
        <v>45830</v>
      </c>
      <c r="C393" s="235" t="s">
        <v>800</v>
      </c>
      <c r="D393" s="19">
        <v>3</v>
      </c>
      <c r="E393" s="145">
        <v>1033</v>
      </c>
      <c r="F393" s="19">
        <f t="shared" si="51"/>
        <v>3099</v>
      </c>
      <c r="G393" s="67">
        <f t="shared" si="52"/>
        <v>281.72727272727275</v>
      </c>
    </row>
    <row r="394" spans="2:7" x14ac:dyDescent="0.3">
      <c r="B394" s="73">
        <v>45830</v>
      </c>
      <c r="C394" s="235" t="s">
        <v>801</v>
      </c>
      <c r="D394" s="19">
        <v>3</v>
      </c>
      <c r="E394" s="145">
        <v>751</v>
      </c>
      <c r="F394" s="19">
        <f t="shared" si="51"/>
        <v>2253</v>
      </c>
      <c r="G394" s="67">
        <f t="shared" si="52"/>
        <v>204.81818181818181</v>
      </c>
    </row>
    <row r="395" spans="2:7" x14ac:dyDescent="0.3">
      <c r="B395" s="73">
        <v>45830</v>
      </c>
      <c r="C395" s="18" t="s">
        <v>802</v>
      </c>
      <c r="D395" s="311">
        <v>5</v>
      </c>
      <c r="E395" s="145">
        <v>679</v>
      </c>
      <c r="F395" s="19">
        <f t="shared" si="51"/>
        <v>3395</v>
      </c>
      <c r="G395" s="67">
        <f t="shared" si="52"/>
        <v>308.63636363636363</v>
      </c>
    </row>
    <row r="396" spans="2:7" x14ac:dyDescent="0.3">
      <c r="B396" s="73">
        <v>45830</v>
      </c>
      <c r="C396" s="18" t="s">
        <v>803</v>
      </c>
      <c r="D396" s="19">
        <v>3</v>
      </c>
      <c r="E396" s="145">
        <v>348</v>
      </c>
      <c r="F396" s="19">
        <f t="shared" si="51"/>
        <v>1044</v>
      </c>
      <c r="G396" s="67">
        <f t="shared" si="52"/>
        <v>94.909090909090907</v>
      </c>
    </row>
    <row r="397" spans="2:7" x14ac:dyDescent="0.3">
      <c r="B397" s="73">
        <v>45830</v>
      </c>
      <c r="C397" s="18" t="s">
        <v>804</v>
      </c>
      <c r="D397" s="311">
        <v>3</v>
      </c>
      <c r="E397" s="145">
        <v>2834</v>
      </c>
      <c r="F397" s="19">
        <f t="shared" si="51"/>
        <v>8502</v>
      </c>
      <c r="G397" s="67">
        <f t="shared" si="52"/>
        <v>772.90909090909088</v>
      </c>
    </row>
    <row r="398" spans="2:7" x14ac:dyDescent="0.3">
      <c r="B398" s="73">
        <v>45830</v>
      </c>
      <c r="C398" s="18" t="s">
        <v>805</v>
      </c>
      <c r="D398" s="19">
        <v>2</v>
      </c>
      <c r="E398" s="145">
        <v>3694</v>
      </c>
      <c r="F398" s="19">
        <f t="shared" si="51"/>
        <v>7388</v>
      </c>
      <c r="G398" s="67">
        <f t="shared" si="52"/>
        <v>671.63636363636363</v>
      </c>
    </row>
    <row r="399" spans="2:7" x14ac:dyDescent="0.3">
      <c r="B399" s="73">
        <v>45830</v>
      </c>
      <c r="C399" s="18" t="s">
        <v>806</v>
      </c>
      <c r="D399" s="19">
        <v>6</v>
      </c>
      <c r="E399" s="145">
        <v>2558</v>
      </c>
      <c r="F399" s="19">
        <f t="shared" si="51"/>
        <v>15348</v>
      </c>
      <c r="G399" s="67">
        <f t="shared" si="52"/>
        <v>1395.2727272727273</v>
      </c>
    </row>
    <row r="400" spans="2:7" x14ac:dyDescent="0.3">
      <c r="B400" s="73">
        <v>45830</v>
      </c>
      <c r="C400" s="18" t="s">
        <v>807</v>
      </c>
      <c r="D400" s="19">
        <v>6</v>
      </c>
      <c r="E400" s="145">
        <v>3478</v>
      </c>
      <c r="F400" s="19">
        <f t="shared" si="51"/>
        <v>20868</v>
      </c>
      <c r="G400" s="67">
        <f t="shared" si="52"/>
        <v>1897.090909090909</v>
      </c>
    </row>
    <row r="401" spans="2:7" x14ac:dyDescent="0.3">
      <c r="B401" s="73">
        <v>45830</v>
      </c>
      <c r="C401" s="18" t="s">
        <v>808</v>
      </c>
      <c r="D401" s="19">
        <v>6</v>
      </c>
      <c r="E401" s="145">
        <v>3750</v>
      </c>
      <c r="F401" s="19">
        <f t="shared" si="51"/>
        <v>22500</v>
      </c>
      <c r="G401" s="67">
        <f t="shared" si="52"/>
        <v>2045.4545454545455</v>
      </c>
    </row>
    <row r="402" spans="2:7" x14ac:dyDescent="0.3">
      <c r="B402" s="73">
        <v>45830</v>
      </c>
      <c r="C402" s="18" t="s">
        <v>809</v>
      </c>
      <c r="D402" s="19">
        <v>8</v>
      </c>
      <c r="E402" s="145">
        <v>2885</v>
      </c>
      <c r="F402" s="19">
        <f t="shared" si="51"/>
        <v>23080</v>
      </c>
      <c r="G402" s="67">
        <f t="shared" si="52"/>
        <v>2098.181818181818</v>
      </c>
    </row>
    <row r="403" spans="2:7" x14ac:dyDescent="0.3">
      <c r="B403" s="18"/>
      <c r="C403" s="18"/>
      <c r="D403" s="124"/>
      <c r="E403" s="18"/>
      <c r="F403" s="19">
        <f t="shared" si="51"/>
        <v>0</v>
      </c>
      <c r="G403" s="67">
        <f t="shared" si="52"/>
        <v>0</v>
      </c>
    </row>
    <row r="404" spans="2:7" x14ac:dyDescent="0.3">
      <c r="B404" s="73">
        <v>45826</v>
      </c>
      <c r="C404" s="18" t="s">
        <v>811</v>
      </c>
      <c r="D404" s="19">
        <v>32</v>
      </c>
      <c r="E404" s="145">
        <v>629</v>
      </c>
      <c r="F404" s="19">
        <f t="shared" ref="F404:F423" si="53">E404*D404</f>
        <v>20128</v>
      </c>
      <c r="G404" s="67">
        <f t="shared" ref="G404:G423" si="54">F404/11</f>
        <v>1829.8181818181818</v>
      </c>
    </row>
    <row r="405" spans="2:7" x14ac:dyDescent="0.3">
      <c r="B405" s="73">
        <v>45826</v>
      </c>
      <c r="C405" s="18" t="s">
        <v>812</v>
      </c>
      <c r="D405" s="19">
        <v>1</v>
      </c>
      <c r="E405" s="145">
        <v>75</v>
      </c>
      <c r="F405" s="19">
        <f t="shared" si="53"/>
        <v>75</v>
      </c>
      <c r="G405" s="67">
        <f t="shared" si="54"/>
        <v>6.8181818181818183</v>
      </c>
    </row>
    <row r="406" spans="2:7" x14ac:dyDescent="0.3">
      <c r="B406" s="214">
        <v>45826</v>
      </c>
      <c r="C406" s="109" t="s">
        <v>813</v>
      </c>
      <c r="D406" s="126">
        <v>1</v>
      </c>
      <c r="E406" s="146">
        <v>615</v>
      </c>
      <c r="F406" s="19">
        <f t="shared" si="53"/>
        <v>615</v>
      </c>
      <c r="G406" s="67">
        <f t="shared" si="54"/>
        <v>55.909090909090907</v>
      </c>
    </row>
    <row r="407" spans="2:7" x14ac:dyDescent="0.3">
      <c r="B407" s="73">
        <v>45826</v>
      </c>
      <c r="C407" s="18" t="s">
        <v>814</v>
      </c>
      <c r="D407" s="19">
        <v>2</v>
      </c>
      <c r="E407" s="145">
        <v>629</v>
      </c>
      <c r="F407" s="19">
        <f t="shared" si="53"/>
        <v>1258</v>
      </c>
      <c r="G407" s="67">
        <f t="shared" si="54"/>
        <v>114.36363636363636</v>
      </c>
    </row>
    <row r="408" spans="2:7" x14ac:dyDescent="0.3">
      <c r="B408" s="73">
        <v>45826</v>
      </c>
      <c r="C408" s="18" t="s">
        <v>815</v>
      </c>
      <c r="D408" s="19">
        <v>1</v>
      </c>
      <c r="E408" s="145">
        <v>615</v>
      </c>
      <c r="F408" s="19">
        <f t="shared" si="53"/>
        <v>615</v>
      </c>
      <c r="G408" s="67">
        <f t="shared" si="54"/>
        <v>55.909090909090907</v>
      </c>
    </row>
    <row r="409" spans="2:7" x14ac:dyDescent="0.3">
      <c r="B409" s="73">
        <v>45826</v>
      </c>
      <c r="C409" s="18" t="s">
        <v>816</v>
      </c>
      <c r="D409" s="19">
        <v>4</v>
      </c>
      <c r="E409" s="145">
        <v>648</v>
      </c>
      <c r="F409" s="19">
        <f t="shared" si="53"/>
        <v>2592</v>
      </c>
      <c r="G409" s="67">
        <f t="shared" si="54"/>
        <v>235.63636363636363</v>
      </c>
    </row>
    <row r="410" spans="2:7" x14ac:dyDescent="0.3">
      <c r="B410" s="214">
        <v>45826</v>
      </c>
      <c r="C410" s="109" t="s">
        <v>817</v>
      </c>
      <c r="D410" s="126">
        <v>1</v>
      </c>
      <c r="E410" s="146">
        <v>2799</v>
      </c>
      <c r="F410" s="19">
        <f t="shared" si="53"/>
        <v>2799</v>
      </c>
      <c r="G410" s="67">
        <f t="shared" si="54"/>
        <v>254.45454545454547</v>
      </c>
    </row>
    <row r="411" spans="2:7" x14ac:dyDescent="0.3">
      <c r="B411" s="18"/>
      <c r="C411" s="18"/>
      <c r="D411" s="124"/>
      <c r="E411" s="18"/>
      <c r="F411" s="19">
        <f t="shared" si="53"/>
        <v>0</v>
      </c>
      <c r="G411" s="67">
        <f t="shared" si="54"/>
        <v>0</v>
      </c>
    </row>
    <row r="412" spans="2:7" x14ac:dyDescent="0.3">
      <c r="B412" s="73">
        <v>45832</v>
      </c>
      <c r="C412" s="18" t="s">
        <v>815</v>
      </c>
      <c r="D412" s="19">
        <v>2</v>
      </c>
      <c r="E412" s="145">
        <v>615</v>
      </c>
      <c r="F412" s="19">
        <f t="shared" si="53"/>
        <v>1230</v>
      </c>
      <c r="G412" s="67">
        <f t="shared" si="54"/>
        <v>111.81818181818181</v>
      </c>
    </row>
    <row r="413" spans="2:7" x14ac:dyDescent="0.3">
      <c r="B413" s="73">
        <v>45832</v>
      </c>
      <c r="C413" s="18" t="s">
        <v>820</v>
      </c>
      <c r="D413" s="19">
        <v>2</v>
      </c>
      <c r="E413" s="145">
        <v>615</v>
      </c>
      <c r="F413" s="19">
        <f t="shared" si="53"/>
        <v>1230</v>
      </c>
      <c r="G413" s="67">
        <f t="shared" si="54"/>
        <v>111.81818181818181</v>
      </c>
    </row>
    <row r="414" spans="2:7" x14ac:dyDescent="0.3">
      <c r="B414" s="214">
        <v>45832</v>
      </c>
      <c r="C414" s="109" t="s">
        <v>821</v>
      </c>
      <c r="D414" s="126">
        <v>2</v>
      </c>
      <c r="E414" s="146">
        <v>629</v>
      </c>
      <c r="F414" s="19">
        <f t="shared" si="53"/>
        <v>1258</v>
      </c>
      <c r="G414" s="67">
        <f t="shared" si="54"/>
        <v>114.36363636363636</v>
      </c>
    </row>
    <row r="415" spans="2:7" x14ac:dyDescent="0.3">
      <c r="B415" s="73"/>
      <c r="C415" s="18"/>
      <c r="D415" s="19"/>
      <c r="E415" s="145"/>
      <c r="F415" s="19">
        <f t="shared" si="53"/>
        <v>0</v>
      </c>
      <c r="G415" s="67">
        <f t="shared" si="54"/>
        <v>0</v>
      </c>
    </row>
    <row r="416" spans="2:7" x14ac:dyDescent="0.3">
      <c r="B416" s="73">
        <v>45833</v>
      </c>
      <c r="C416" s="18" t="s">
        <v>819</v>
      </c>
      <c r="D416" s="19">
        <v>40</v>
      </c>
      <c r="E416" s="145">
        <v>340</v>
      </c>
      <c r="F416" s="19">
        <f t="shared" si="53"/>
        <v>13600</v>
      </c>
      <c r="G416" s="67">
        <f t="shared" si="54"/>
        <v>1236.3636363636363</v>
      </c>
    </row>
    <row r="417" spans="2:7" x14ac:dyDescent="0.3">
      <c r="B417" s="18"/>
      <c r="C417" s="18"/>
      <c r="D417" s="124"/>
      <c r="E417" s="18"/>
      <c r="F417" s="19">
        <f t="shared" si="53"/>
        <v>0</v>
      </c>
      <c r="G417" s="67">
        <f t="shared" si="54"/>
        <v>0</v>
      </c>
    </row>
    <row r="418" spans="2:7" x14ac:dyDescent="0.3">
      <c r="B418" s="73">
        <v>45837</v>
      </c>
      <c r="C418" s="18" t="s">
        <v>832</v>
      </c>
      <c r="D418" s="19">
        <v>2</v>
      </c>
      <c r="E418" s="19">
        <v>707</v>
      </c>
      <c r="F418" s="19">
        <f t="shared" si="53"/>
        <v>1414</v>
      </c>
      <c r="G418" s="67">
        <f t="shared" si="54"/>
        <v>128.54545454545453</v>
      </c>
    </row>
    <row r="419" spans="2:7" x14ac:dyDescent="0.3">
      <c r="B419" s="18"/>
      <c r="C419" s="18"/>
      <c r="D419" s="124"/>
      <c r="E419" s="18"/>
      <c r="F419" s="19">
        <f t="shared" si="53"/>
        <v>0</v>
      </c>
      <c r="G419" s="67">
        <f t="shared" si="54"/>
        <v>0</v>
      </c>
    </row>
    <row r="420" spans="2:7" x14ac:dyDescent="0.3">
      <c r="B420" s="82">
        <v>45832</v>
      </c>
      <c r="C420" s="81" t="s">
        <v>881</v>
      </c>
      <c r="D420" s="19">
        <v>4</v>
      </c>
      <c r="E420" s="19">
        <v>648</v>
      </c>
      <c r="F420" s="19">
        <f t="shared" si="53"/>
        <v>2592</v>
      </c>
      <c r="G420" s="67">
        <f t="shared" si="54"/>
        <v>235.63636363636363</v>
      </c>
    </row>
    <row r="421" spans="2:7" x14ac:dyDescent="0.3">
      <c r="B421" s="19"/>
      <c r="C421" s="81"/>
      <c r="D421" s="19"/>
      <c r="E421" s="19"/>
      <c r="F421" s="19">
        <f t="shared" si="53"/>
        <v>0</v>
      </c>
      <c r="G421" s="67">
        <f t="shared" si="54"/>
        <v>0</v>
      </c>
    </row>
    <row r="422" spans="2:7" x14ac:dyDescent="0.3">
      <c r="B422" s="73">
        <v>45860</v>
      </c>
      <c r="C422" s="81" t="s">
        <v>809</v>
      </c>
      <c r="D422" s="19">
        <v>3</v>
      </c>
      <c r="E422" s="145">
        <v>2885</v>
      </c>
      <c r="F422" s="19">
        <f t="shared" si="53"/>
        <v>8655</v>
      </c>
      <c r="G422" s="67">
        <f t="shared" si="54"/>
        <v>786.81818181818187</v>
      </c>
    </row>
    <row r="423" spans="2:7" x14ac:dyDescent="0.3">
      <c r="B423" s="73">
        <v>45860</v>
      </c>
      <c r="C423" s="81" t="s">
        <v>888</v>
      </c>
      <c r="D423" s="19">
        <v>10</v>
      </c>
      <c r="E423" s="145">
        <v>2288</v>
      </c>
      <c r="F423" s="19">
        <f t="shared" si="53"/>
        <v>22880</v>
      </c>
      <c r="G423" s="67">
        <f t="shared" si="54"/>
        <v>2080</v>
      </c>
    </row>
    <row r="424" spans="2:7" x14ac:dyDescent="0.3">
      <c r="B424" s="73">
        <v>45860</v>
      </c>
      <c r="C424" s="81" t="s">
        <v>889</v>
      </c>
      <c r="D424" s="19">
        <v>30</v>
      </c>
      <c r="E424" s="19">
        <v>560</v>
      </c>
      <c r="F424" s="19">
        <f t="shared" ref="F424:F435" si="55">E424*D424</f>
        <v>16800</v>
      </c>
      <c r="G424" s="67">
        <f t="shared" ref="G424:G435" si="56">F424/11</f>
        <v>1527.2727272727273</v>
      </c>
    </row>
    <row r="425" spans="2:7" x14ac:dyDescent="0.3">
      <c r="B425" s="73">
        <v>45860</v>
      </c>
      <c r="C425" s="81" t="s">
        <v>890</v>
      </c>
      <c r="D425" s="19">
        <v>28</v>
      </c>
      <c r="E425" s="19">
        <v>1063</v>
      </c>
      <c r="F425" s="19">
        <f t="shared" si="55"/>
        <v>29764</v>
      </c>
      <c r="G425" s="67">
        <f t="shared" si="56"/>
        <v>2705.818181818182</v>
      </c>
    </row>
    <row r="426" spans="2:7" x14ac:dyDescent="0.3">
      <c r="B426" s="73">
        <v>45860</v>
      </c>
      <c r="C426" s="81" t="s">
        <v>891</v>
      </c>
      <c r="D426" s="19">
        <v>1</v>
      </c>
      <c r="E426" s="19">
        <v>433</v>
      </c>
      <c r="F426" s="19">
        <f t="shared" si="55"/>
        <v>433</v>
      </c>
      <c r="G426" s="67">
        <f t="shared" si="56"/>
        <v>39.363636363636367</v>
      </c>
    </row>
    <row r="427" spans="2:7" x14ac:dyDescent="0.3">
      <c r="B427" s="73">
        <v>45860</v>
      </c>
      <c r="C427" s="81" t="s">
        <v>892</v>
      </c>
      <c r="D427" s="19">
        <v>6</v>
      </c>
      <c r="E427" s="19">
        <v>655</v>
      </c>
      <c r="F427" s="19">
        <f t="shared" si="55"/>
        <v>3930</v>
      </c>
      <c r="G427" s="67">
        <f t="shared" si="56"/>
        <v>357.27272727272725</v>
      </c>
    </row>
    <row r="428" spans="2:7" x14ac:dyDescent="0.3">
      <c r="B428" s="73">
        <v>45860</v>
      </c>
      <c r="C428" s="18" t="s">
        <v>893</v>
      </c>
      <c r="D428" s="19">
        <v>3</v>
      </c>
      <c r="E428" s="19">
        <v>679</v>
      </c>
      <c r="F428" s="19">
        <f t="shared" si="55"/>
        <v>2037</v>
      </c>
      <c r="G428" s="67">
        <f t="shared" si="56"/>
        <v>185.18181818181819</v>
      </c>
    </row>
    <row r="429" spans="2:7" x14ac:dyDescent="0.3">
      <c r="B429" s="73">
        <v>45860</v>
      </c>
      <c r="C429" s="18" t="s">
        <v>894</v>
      </c>
      <c r="D429" s="19">
        <v>1</v>
      </c>
      <c r="E429" s="19">
        <v>1069</v>
      </c>
      <c r="F429" s="19">
        <f t="shared" si="55"/>
        <v>1069</v>
      </c>
      <c r="G429" s="67">
        <f t="shared" si="56"/>
        <v>97.181818181818187</v>
      </c>
    </row>
    <row r="430" spans="2:7" x14ac:dyDescent="0.3">
      <c r="B430" s="18"/>
      <c r="C430" s="18"/>
      <c r="D430" s="124"/>
      <c r="E430" s="19"/>
      <c r="F430" s="19">
        <f t="shared" si="55"/>
        <v>0</v>
      </c>
      <c r="G430" s="67">
        <f t="shared" si="56"/>
        <v>0</v>
      </c>
    </row>
    <row r="431" spans="2:7" x14ac:dyDescent="0.3">
      <c r="B431" s="73">
        <v>45862</v>
      </c>
      <c r="C431" s="18" t="s">
        <v>895</v>
      </c>
      <c r="D431" s="19">
        <v>2</v>
      </c>
      <c r="E431" s="19">
        <v>679</v>
      </c>
      <c r="F431" s="19">
        <f t="shared" si="55"/>
        <v>1358</v>
      </c>
      <c r="G431" s="67">
        <f t="shared" si="56"/>
        <v>123.45454545454545</v>
      </c>
    </row>
    <row r="432" spans="2:7" x14ac:dyDescent="0.3">
      <c r="B432" s="73">
        <v>45862</v>
      </c>
      <c r="C432" s="18" t="s">
        <v>896</v>
      </c>
      <c r="D432" s="19">
        <v>1</v>
      </c>
      <c r="E432" s="19">
        <v>645</v>
      </c>
      <c r="F432" s="19">
        <f t="shared" si="55"/>
        <v>645</v>
      </c>
      <c r="G432" s="67">
        <f t="shared" si="56"/>
        <v>58.636363636363633</v>
      </c>
    </row>
    <row r="433" spans="2:7" x14ac:dyDescent="0.3">
      <c r="B433" s="73">
        <v>45866</v>
      </c>
      <c r="C433" s="18" t="s">
        <v>897</v>
      </c>
      <c r="D433" s="19">
        <v>1</v>
      </c>
      <c r="E433" s="19">
        <v>549</v>
      </c>
      <c r="F433" s="19">
        <f t="shared" si="55"/>
        <v>549</v>
      </c>
      <c r="G433" s="67">
        <f t="shared" si="56"/>
        <v>49.909090909090907</v>
      </c>
    </row>
    <row r="434" spans="2:7" x14ac:dyDescent="0.3">
      <c r="B434" s="73">
        <v>45866</v>
      </c>
      <c r="C434" s="18" t="s">
        <v>898</v>
      </c>
      <c r="D434" s="19">
        <v>1</v>
      </c>
      <c r="E434" s="19">
        <v>684</v>
      </c>
      <c r="F434" s="19">
        <f t="shared" si="55"/>
        <v>684</v>
      </c>
      <c r="G434" s="67">
        <f t="shared" si="56"/>
        <v>62.18181818181818</v>
      </c>
    </row>
    <row r="435" spans="2:7" x14ac:dyDescent="0.3">
      <c r="B435" s="73">
        <v>45866</v>
      </c>
      <c r="C435" s="18" t="s">
        <v>899</v>
      </c>
      <c r="D435" s="19">
        <v>2</v>
      </c>
      <c r="E435" s="19">
        <v>80</v>
      </c>
      <c r="F435" s="19">
        <f t="shared" si="55"/>
        <v>160</v>
      </c>
      <c r="G435" s="67">
        <f t="shared" si="56"/>
        <v>14.545454545454545</v>
      </c>
    </row>
    <row r="436" spans="2:7" x14ac:dyDescent="0.3">
      <c r="B436" s="73">
        <v>45866</v>
      </c>
      <c r="C436" s="18" t="s">
        <v>900</v>
      </c>
      <c r="D436" s="19">
        <v>1</v>
      </c>
      <c r="E436" s="19">
        <v>714</v>
      </c>
      <c r="F436" s="19">
        <f t="shared" ref="F436:F444" si="57">E436*D436</f>
        <v>714</v>
      </c>
      <c r="G436" s="67">
        <f t="shared" ref="G436:G444" si="58">F436/11</f>
        <v>64.909090909090907</v>
      </c>
    </row>
    <row r="437" spans="2:7" x14ac:dyDescent="0.3">
      <c r="B437" s="73">
        <v>45866</v>
      </c>
      <c r="C437" s="18" t="s">
        <v>901</v>
      </c>
      <c r="D437" s="19">
        <v>1</v>
      </c>
      <c r="E437" s="19">
        <v>714</v>
      </c>
      <c r="F437" s="19">
        <f t="shared" si="57"/>
        <v>714</v>
      </c>
      <c r="G437" s="67">
        <f t="shared" si="58"/>
        <v>64.909090909090907</v>
      </c>
    </row>
    <row r="438" spans="2:7" x14ac:dyDescent="0.3">
      <c r="B438" s="73">
        <v>45866</v>
      </c>
      <c r="C438" s="18" t="s">
        <v>902</v>
      </c>
      <c r="D438" s="19">
        <v>2</v>
      </c>
      <c r="E438" s="19">
        <v>574</v>
      </c>
      <c r="F438" s="19">
        <f t="shared" si="57"/>
        <v>1148</v>
      </c>
      <c r="G438" s="67">
        <f t="shared" si="58"/>
        <v>104.36363636363636</v>
      </c>
    </row>
    <row r="439" spans="2:7" x14ac:dyDescent="0.3">
      <c r="B439" s="18"/>
      <c r="C439" s="18"/>
      <c r="D439" s="124"/>
      <c r="E439" s="19"/>
      <c r="F439" s="19">
        <f t="shared" si="57"/>
        <v>0</v>
      </c>
      <c r="G439" s="67">
        <f t="shared" si="58"/>
        <v>0</v>
      </c>
    </row>
    <row r="440" spans="2:7" x14ac:dyDescent="0.3">
      <c r="B440" s="82">
        <v>45867</v>
      </c>
      <c r="C440" s="81" t="s">
        <v>906</v>
      </c>
      <c r="D440" s="19">
        <v>2</v>
      </c>
      <c r="E440" s="19">
        <v>574</v>
      </c>
      <c r="F440" s="19">
        <f t="shared" si="57"/>
        <v>1148</v>
      </c>
      <c r="G440" s="67">
        <f t="shared" si="58"/>
        <v>104.36363636363636</v>
      </c>
    </row>
    <row r="441" spans="2:7" x14ac:dyDescent="0.3">
      <c r="B441" s="82">
        <v>45867</v>
      </c>
      <c r="C441" s="81" t="s">
        <v>907</v>
      </c>
      <c r="D441" s="19">
        <v>2</v>
      </c>
      <c r="E441" s="19">
        <v>549</v>
      </c>
      <c r="F441" s="19">
        <f t="shared" si="57"/>
        <v>1098</v>
      </c>
      <c r="G441" s="67">
        <f t="shared" si="58"/>
        <v>99.818181818181813</v>
      </c>
    </row>
    <row r="442" spans="2:7" x14ac:dyDescent="0.3">
      <c r="B442" s="97">
        <v>45867</v>
      </c>
      <c r="C442" s="138" t="s">
        <v>913</v>
      </c>
      <c r="D442" s="126">
        <v>1</v>
      </c>
      <c r="E442" s="126">
        <v>549</v>
      </c>
      <c r="F442" s="19">
        <f t="shared" si="57"/>
        <v>549</v>
      </c>
      <c r="G442" s="67">
        <f t="shared" si="58"/>
        <v>49.909090909090907</v>
      </c>
    </row>
    <row r="443" spans="2:7" x14ac:dyDescent="0.3">
      <c r="B443" s="97">
        <v>45867</v>
      </c>
      <c r="C443" s="138" t="s">
        <v>912</v>
      </c>
      <c r="D443" s="126">
        <v>1</v>
      </c>
      <c r="E443" s="126">
        <v>549</v>
      </c>
      <c r="F443" s="19">
        <f t="shared" si="57"/>
        <v>549</v>
      </c>
      <c r="G443" s="67">
        <f t="shared" si="58"/>
        <v>49.909090909090907</v>
      </c>
    </row>
    <row r="444" spans="2:7" x14ac:dyDescent="0.3">
      <c r="B444" s="82">
        <v>45867</v>
      </c>
      <c r="C444" s="81" t="s">
        <v>908</v>
      </c>
      <c r="D444" s="19">
        <v>1</v>
      </c>
      <c r="E444" s="19">
        <v>549</v>
      </c>
      <c r="F444" s="19">
        <f t="shared" si="57"/>
        <v>549</v>
      </c>
      <c r="G444" s="67">
        <f t="shared" si="58"/>
        <v>49.909090909090907</v>
      </c>
    </row>
    <row r="445" spans="2:7" x14ac:dyDescent="0.3">
      <c r="B445" s="82">
        <v>45867</v>
      </c>
      <c r="C445" s="81" t="s">
        <v>909</v>
      </c>
      <c r="D445" s="19">
        <v>2</v>
      </c>
      <c r="E445" s="19">
        <v>574</v>
      </c>
      <c r="F445" s="19">
        <f t="shared" ref="F445:F456" si="59">E445*D445</f>
        <v>1148</v>
      </c>
      <c r="G445" s="67">
        <f t="shared" ref="G445:G456" si="60">F445/11</f>
        <v>104.36363636363636</v>
      </c>
    </row>
    <row r="446" spans="2:7" x14ac:dyDescent="0.3">
      <c r="B446" s="82">
        <v>45867</v>
      </c>
      <c r="C446" s="81" t="s">
        <v>910</v>
      </c>
      <c r="D446" s="19">
        <v>2</v>
      </c>
      <c r="E446" s="19">
        <v>574</v>
      </c>
      <c r="F446" s="19">
        <f t="shared" si="59"/>
        <v>1148</v>
      </c>
      <c r="G446" s="67">
        <f t="shared" si="60"/>
        <v>104.36363636363636</v>
      </c>
    </row>
    <row r="447" spans="2:7" x14ac:dyDescent="0.3">
      <c r="B447" s="97">
        <v>45867</v>
      </c>
      <c r="C447" s="138" t="s">
        <v>914</v>
      </c>
      <c r="D447" s="126"/>
      <c r="E447" s="126"/>
      <c r="F447" s="19">
        <f t="shared" si="59"/>
        <v>0</v>
      </c>
      <c r="G447" s="67">
        <f t="shared" si="60"/>
        <v>0</v>
      </c>
    </row>
    <row r="448" spans="2:7" x14ac:dyDescent="0.3">
      <c r="B448" s="82">
        <v>45867</v>
      </c>
      <c r="C448" s="81" t="s">
        <v>911</v>
      </c>
      <c r="D448" s="19">
        <v>2</v>
      </c>
      <c r="E448" s="19">
        <v>574</v>
      </c>
      <c r="F448" s="19">
        <f t="shared" si="59"/>
        <v>1148</v>
      </c>
      <c r="G448" s="67">
        <f t="shared" si="60"/>
        <v>104.36363636363636</v>
      </c>
    </row>
    <row r="449" spans="2:7" x14ac:dyDescent="0.3">
      <c r="B449" s="73">
        <v>45869</v>
      </c>
      <c r="C449" s="235" t="s">
        <v>1026</v>
      </c>
      <c r="D449" s="19">
        <v>4</v>
      </c>
      <c r="E449" s="382">
        <v>574</v>
      </c>
      <c r="F449" s="19">
        <f t="shared" si="59"/>
        <v>2296</v>
      </c>
      <c r="G449" s="67">
        <f t="shared" si="60"/>
        <v>208.72727272727272</v>
      </c>
    </row>
    <row r="450" spans="2:7" x14ac:dyDescent="0.3">
      <c r="B450" s="380">
        <v>45869</v>
      </c>
      <c r="C450" s="381" t="s">
        <v>1033</v>
      </c>
      <c r="D450" s="310">
        <v>2</v>
      </c>
      <c r="E450" s="310">
        <v>640</v>
      </c>
      <c r="F450" s="19">
        <f t="shared" si="59"/>
        <v>1280</v>
      </c>
      <c r="G450" s="67">
        <f t="shared" si="60"/>
        <v>116.36363636363636</v>
      </c>
    </row>
    <row r="451" spans="2:7" x14ac:dyDescent="0.3">
      <c r="B451" s="73">
        <v>45869</v>
      </c>
      <c r="C451" s="235" t="s">
        <v>1027</v>
      </c>
      <c r="D451" s="19">
        <v>2</v>
      </c>
      <c r="E451" s="382">
        <v>714</v>
      </c>
      <c r="F451" s="19">
        <f t="shared" si="59"/>
        <v>1428</v>
      </c>
      <c r="G451" s="67">
        <f t="shared" si="60"/>
        <v>129.81818181818181</v>
      </c>
    </row>
    <row r="452" spans="2:7" x14ac:dyDescent="0.3">
      <c r="B452" s="73">
        <v>45869</v>
      </c>
      <c r="C452" s="235" t="s">
        <v>1028</v>
      </c>
      <c r="D452" s="19">
        <v>2</v>
      </c>
      <c r="E452" s="382">
        <v>574</v>
      </c>
      <c r="F452" s="19">
        <f t="shared" si="59"/>
        <v>1148</v>
      </c>
      <c r="G452" s="67">
        <f t="shared" si="60"/>
        <v>104.36363636363636</v>
      </c>
    </row>
    <row r="453" spans="2:7" x14ac:dyDescent="0.3">
      <c r="B453" s="73">
        <v>45869</v>
      </c>
      <c r="C453" s="235" t="s">
        <v>1029</v>
      </c>
      <c r="D453" s="19">
        <v>2</v>
      </c>
      <c r="E453" s="382">
        <v>549</v>
      </c>
      <c r="F453" s="19">
        <f t="shared" si="59"/>
        <v>1098</v>
      </c>
      <c r="G453" s="67">
        <f t="shared" si="60"/>
        <v>99.818181818181813</v>
      </c>
    </row>
    <row r="454" spans="2:7" x14ac:dyDescent="0.3">
      <c r="B454" s="73">
        <v>45869</v>
      </c>
      <c r="C454" s="235" t="s">
        <v>1030</v>
      </c>
      <c r="D454" s="19">
        <v>6</v>
      </c>
      <c r="E454" s="382">
        <v>87</v>
      </c>
      <c r="F454" s="19">
        <f t="shared" si="59"/>
        <v>522</v>
      </c>
      <c r="G454" s="67">
        <f t="shared" si="60"/>
        <v>47.454545454545453</v>
      </c>
    </row>
    <row r="455" spans="2:7" x14ac:dyDescent="0.3">
      <c r="B455" s="73">
        <v>45869</v>
      </c>
      <c r="C455" s="235" t="s">
        <v>1031</v>
      </c>
      <c r="D455" s="19">
        <v>4</v>
      </c>
      <c r="E455" s="382">
        <v>51</v>
      </c>
      <c r="F455" s="19">
        <f t="shared" si="59"/>
        <v>204</v>
      </c>
      <c r="G455" s="67">
        <f t="shared" si="60"/>
        <v>18.545454545454547</v>
      </c>
    </row>
    <row r="456" spans="2:7" x14ac:dyDescent="0.3">
      <c r="B456" s="73">
        <v>45869</v>
      </c>
      <c r="C456" s="235" t="s">
        <v>1032</v>
      </c>
      <c r="D456" s="19">
        <v>7</v>
      </c>
      <c r="E456" s="382">
        <v>19</v>
      </c>
      <c r="F456" s="19">
        <f t="shared" si="59"/>
        <v>133</v>
      </c>
      <c r="G456" s="67">
        <f t="shared" si="60"/>
        <v>12.090909090909092</v>
      </c>
    </row>
    <row r="457" spans="2:7" x14ac:dyDescent="0.3">
      <c r="B457" s="18"/>
      <c r="C457" s="18"/>
      <c r="D457" s="124"/>
      <c r="E457" s="18"/>
      <c r="F457" s="19">
        <f t="shared" ref="F457:F542" si="61">E457*D457</f>
        <v>0</v>
      </c>
      <c r="G457" s="67">
        <f t="shared" ref="G457:G542" si="62">F457/11</f>
        <v>0</v>
      </c>
    </row>
    <row r="458" spans="2:7" x14ac:dyDescent="0.3">
      <c r="B458" s="73">
        <v>45873</v>
      </c>
      <c r="C458" s="18" t="s">
        <v>1041</v>
      </c>
      <c r="D458" s="19">
        <v>1</v>
      </c>
      <c r="E458" s="19">
        <v>285</v>
      </c>
      <c r="F458" s="19">
        <f t="shared" si="61"/>
        <v>285</v>
      </c>
      <c r="G458" s="67">
        <f t="shared" si="62"/>
        <v>25.90909090909091</v>
      </c>
    </row>
    <row r="459" spans="2:7" x14ac:dyDescent="0.3">
      <c r="B459" s="73">
        <v>45873</v>
      </c>
      <c r="C459" s="18" t="s">
        <v>1041</v>
      </c>
      <c r="D459" s="19">
        <v>2</v>
      </c>
      <c r="E459" s="19">
        <v>285</v>
      </c>
      <c r="F459" s="19">
        <f t="shared" si="61"/>
        <v>570</v>
      </c>
      <c r="G459" s="67">
        <f t="shared" si="62"/>
        <v>51.81818181818182</v>
      </c>
    </row>
    <row r="460" spans="2:7" x14ac:dyDescent="0.3">
      <c r="B460" s="73">
        <v>45875</v>
      </c>
      <c r="C460" s="18" t="s">
        <v>1042</v>
      </c>
      <c r="D460" s="19">
        <v>1</v>
      </c>
      <c r="E460" s="19">
        <v>274</v>
      </c>
      <c r="F460" s="19">
        <f t="shared" si="61"/>
        <v>274</v>
      </c>
      <c r="G460" s="67">
        <f t="shared" si="62"/>
        <v>24.90909090909091</v>
      </c>
    </row>
    <row r="461" spans="2:7" x14ac:dyDescent="0.3">
      <c r="B461" s="214">
        <v>45876</v>
      </c>
      <c r="C461" s="109" t="s">
        <v>1046</v>
      </c>
      <c r="D461" s="126">
        <v>30</v>
      </c>
      <c r="E461" s="126">
        <v>274</v>
      </c>
      <c r="F461" s="19">
        <f t="shared" si="61"/>
        <v>8220</v>
      </c>
      <c r="G461" s="67">
        <f t="shared" si="62"/>
        <v>747.27272727272725</v>
      </c>
    </row>
    <row r="462" spans="2:7" x14ac:dyDescent="0.3">
      <c r="B462" s="73">
        <v>45880</v>
      </c>
      <c r="C462" s="18" t="s">
        <v>1043</v>
      </c>
      <c r="D462" s="19">
        <v>4</v>
      </c>
      <c r="E462" s="19">
        <v>274</v>
      </c>
      <c r="F462" s="19">
        <f t="shared" si="61"/>
        <v>1096</v>
      </c>
      <c r="G462" s="67">
        <f t="shared" si="62"/>
        <v>99.63636363636364</v>
      </c>
    </row>
    <row r="463" spans="2:7" x14ac:dyDescent="0.3">
      <c r="B463" s="73">
        <v>45880</v>
      </c>
      <c r="C463" s="18" t="s">
        <v>1044</v>
      </c>
      <c r="D463" s="19">
        <v>4</v>
      </c>
      <c r="E463" s="19">
        <v>274</v>
      </c>
      <c r="F463" s="19">
        <f t="shared" si="61"/>
        <v>1096</v>
      </c>
      <c r="G463" s="67">
        <f t="shared" si="62"/>
        <v>99.63636363636364</v>
      </c>
    </row>
    <row r="464" spans="2:7" x14ac:dyDescent="0.3">
      <c r="B464" s="73">
        <v>45880</v>
      </c>
      <c r="C464" s="18" t="s">
        <v>1045</v>
      </c>
      <c r="D464" s="19">
        <v>2</v>
      </c>
      <c r="E464" s="19">
        <v>274</v>
      </c>
      <c r="F464" s="19">
        <f t="shared" si="61"/>
        <v>548</v>
      </c>
      <c r="G464" s="67">
        <f t="shared" si="62"/>
        <v>49.81818181818182</v>
      </c>
    </row>
    <row r="465" spans="2:7" x14ac:dyDescent="0.3">
      <c r="B465" s="82">
        <v>45881</v>
      </c>
      <c r="C465" s="18" t="s">
        <v>1105</v>
      </c>
      <c r="D465" s="19">
        <v>4</v>
      </c>
      <c r="E465" s="145">
        <v>274</v>
      </c>
      <c r="F465" s="19">
        <f>E465*D465</f>
        <v>1096</v>
      </c>
      <c r="G465" s="67">
        <f t="shared" si="62"/>
        <v>99.63636363636364</v>
      </c>
    </row>
    <row r="466" spans="2:7" x14ac:dyDescent="0.3">
      <c r="B466" s="82">
        <v>45881</v>
      </c>
      <c r="C466" s="18" t="s">
        <v>1105</v>
      </c>
      <c r="D466" s="19">
        <v>8</v>
      </c>
      <c r="E466" s="145">
        <v>274</v>
      </c>
      <c r="F466" s="19">
        <f t="shared" ref="F466:F484" si="63">E466*D466</f>
        <v>2192</v>
      </c>
      <c r="G466" s="67">
        <f t="shared" si="62"/>
        <v>199.27272727272728</v>
      </c>
    </row>
    <row r="467" spans="2:7" x14ac:dyDescent="0.3">
      <c r="B467" s="82">
        <v>45881</v>
      </c>
      <c r="C467" s="18" t="s">
        <v>1106</v>
      </c>
      <c r="D467" s="19">
        <v>4</v>
      </c>
      <c r="E467" s="145">
        <v>274</v>
      </c>
      <c r="F467" s="19">
        <f t="shared" si="63"/>
        <v>1096</v>
      </c>
      <c r="G467" s="67">
        <f t="shared" si="62"/>
        <v>99.63636363636364</v>
      </c>
    </row>
    <row r="468" spans="2:7" x14ac:dyDescent="0.3">
      <c r="B468" s="82">
        <v>45881</v>
      </c>
      <c r="C468" s="18" t="s">
        <v>1107</v>
      </c>
      <c r="D468" s="19">
        <v>4</v>
      </c>
      <c r="E468" s="145">
        <v>274</v>
      </c>
      <c r="F468" s="19">
        <f t="shared" si="63"/>
        <v>1096</v>
      </c>
      <c r="G468" s="67">
        <f t="shared" si="62"/>
        <v>99.63636363636364</v>
      </c>
    </row>
    <row r="469" spans="2:7" x14ac:dyDescent="0.3">
      <c r="B469" s="82">
        <v>45881</v>
      </c>
      <c r="C469" s="18" t="s">
        <v>1107</v>
      </c>
      <c r="D469" s="19">
        <v>12</v>
      </c>
      <c r="E469" s="145">
        <v>274</v>
      </c>
      <c r="F469" s="19">
        <f t="shared" si="63"/>
        <v>3288</v>
      </c>
      <c r="G469" s="67">
        <f t="shared" si="62"/>
        <v>298.90909090909093</v>
      </c>
    </row>
    <row r="470" spans="2:7" x14ac:dyDescent="0.3">
      <c r="B470" s="82">
        <v>45881</v>
      </c>
      <c r="C470" s="18" t="s">
        <v>1044</v>
      </c>
      <c r="D470" s="19">
        <v>4</v>
      </c>
      <c r="E470" s="145">
        <v>274</v>
      </c>
      <c r="F470" s="19">
        <f t="shared" si="63"/>
        <v>1096</v>
      </c>
      <c r="G470" s="67">
        <f t="shared" si="62"/>
        <v>99.63636363636364</v>
      </c>
    </row>
    <row r="471" spans="2:7" x14ac:dyDescent="0.3">
      <c r="B471" s="82">
        <v>45882</v>
      </c>
      <c r="C471" s="18" t="s">
        <v>1044</v>
      </c>
      <c r="D471" s="19">
        <v>2</v>
      </c>
      <c r="E471" s="145">
        <v>274</v>
      </c>
      <c r="F471" s="19">
        <f t="shared" si="63"/>
        <v>548</v>
      </c>
      <c r="G471" s="67">
        <f t="shared" si="62"/>
        <v>49.81818181818182</v>
      </c>
    </row>
    <row r="472" spans="2:7" x14ac:dyDescent="0.3">
      <c r="B472" s="82">
        <v>45882</v>
      </c>
      <c r="C472" s="18" t="s">
        <v>1044</v>
      </c>
      <c r="D472" s="19">
        <v>2</v>
      </c>
      <c r="E472" s="145">
        <v>274</v>
      </c>
      <c r="F472" s="19">
        <f t="shared" si="63"/>
        <v>548</v>
      </c>
      <c r="G472" s="67">
        <f t="shared" si="62"/>
        <v>49.81818181818182</v>
      </c>
    </row>
    <row r="473" spans="2:7" x14ac:dyDescent="0.3">
      <c r="B473" s="82">
        <v>45882</v>
      </c>
      <c r="C473" s="18" t="s">
        <v>1108</v>
      </c>
      <c r="D473" s="19">
        <v>2</v>
      </c>
      <c r="E473" s="145">
        <v>274</v>
      </c>
      <c r="F473" s="19">
        <f t="shared" si="63"/>
        <v>548</v>
      </c>
      <c r="G473" s="67">
        <f t="shared" si="62"/>
        <v>49.81818181818182</v>
      </c>
    </row>
    <row r="474" spans="2:7" x14ac:dyDescent="0.3">
      <c r="B474" s="82">
        <v>45882</v>
      </c>
      <c r="C474" s="18" t="s">
        <v>1109</v>
      </c>
      <c r="D474" s="19">
        <v>4</v>
      </c>
      <c r="E474" s="145">
        <v>274</v>
      </c>
      <c r="F474" s="19">
        <f t="shared" si="63"/>
        <v>1096</v>
      </c>
      <c r="G474" s="67">
        <f t="shared" si="62"/>
        <v>99.63636363636364</v>
      </c>
    </row>
    <row r="475" spans="2:7" x14ac:dyDescent="0.3">
      <c r="B475" s="82">
        <v>45882</v>
      </c>
      <c r="C475" s="18" t="s">
        <v>1110</v>
      </c>
      <c r="D475" s="19">
        <v>6</v>
      </c>
      <c r="E475" s="145">
        <v>274</v>
      </c>
      <c r="F475" s="19">
        <f t="shared" si="63"/>
        <v>1644</v>
      </c>
      <c r="G475" s="67">
        <f t="shared" si="62"/>
        <v>149.45454545454547</v>
      </c>
    </row>
    <row r="476" spans="2:7" x14ac:dyDescent="0.3">
      <c r="B476" s="82">
        <v>45882</v>
      </c>
      <c r="C476" s="18" t="s">
        <v>1111</v>
      </c>
      <c r="D476" s="19">
        <v>2</v>
      </c>
      <c r="E476" s="145">
        <v>274</v>
      </c>
      <c r="F476" s="19">
        <f t="shared" si="63"/>
        <v>548</v>
      </c>
      <c r="G476" s="67">
        <f t="shared" si="62"/>
        <v>49.81818181818182</v>
      </c>
    </row>
    <row r="477" spans="2:7" x14ac:dyDescent="0.3">
      <c r="B477" s="82">
        <v>45882</v>
      </c>
      <c r="C477" s="18" t="s">
        <v>1112</v>
      </c>
      <c r="D477" s="19">
        <v>4</v>
      </c>
      <c r="E477" s="145">
        <v>274</v>
      </c>
      <c r="F477" s="19">
        <f t="shared" si="63"/>
        <v>1096</v>
      </c>
      <c r="G477" s="67">
        <f t="shared" si="62"/>
        <v>99.63636363636364</v>
      </c>
    </row>
    <row r="478" spans="2:7" x14ac:dyDescent="0.3">
      <c r="B478" s="82">
        <v>45882</v>
      </c>
      <c r="C478" s="18" t="s">
        <v>1113</v>
      </c>
      <c r="D478" s="19">
        <v>6</v>
      </c>
      <c r="E478" s="145">
        <v>274</v>
      </c>
      <c r="F478" s="19">
        <f t="shared" si="63"/>
        <v>1644</v>
      </c>
      <c r="G478" s="67">
        <f t="shared" si="62"/>
        <v>149.45454545454547</v>
      </c>
    </row>
    <row r="479" spans="2:7" x14ac:dyDescent="0.3">
      <c r="B479" s="82">
        <v>45882</v>
      </c>
      <c r="C479" s="18" t="s">
        <v>1113</v>
      </c>
      <c r="D479" s="19">
        <v>2</v>
      </c>
      <c r="E479" s="145">
        <v>274</v>
      </c>
      <c r="F479" s="19">
        <f t="shared" si="63"/>
        <v>548</v>
      </c>
      <c r="G479" s="67">
        <f t="shared" si="62"/>
        <v>49.81818181818182</v>
      </c>
    </row>
    <row r="480" spans="2:7" x14ac:dyDescent="0.3">
      <c r="B480" s="82">
        <v>45882</v>
      </c>
      <c r="C480" s="18" t="s">
        <v>1114</v>
      </c>
      <c r="D480" s="19">
        <v>7</v>
      </c>
      <c r="E480" s="145">
        <v>274</v>
      </c>
      <c r="F480" s="19">
        <f t="shared" si="63"/>
        <v>1918</v>
      </c>
      <c r="G480" s="67">
        <f t="shared" si="62"/>
        <v>174.36363636363637</v>
      </c>
    </row>
    <row r="481" spans="2:7" x14ac:dyDescent="0.3">
      <c r="B481" s="82">
        <v>45883</v>
      </c>
      <c r="C481" s="18" t="s">
        <v>1115</v>
      </c>
      <c r="D481" s="19">
        <v>8</v>
      </c>
      <c r="E481" s="145">
        <v>274</v>
      </c>
      <c r="F481" s="19">
        <f t="shared" si="63"/>
        <v>2192</v>
      </c>
      <c r="G481" s="67">
        <f t="shared" si="62"/>
        <v>199.27272727272728</v>
      </c>
    </row>
    <row r="482" spans="2:7" x14ac:dyDescent="0.3">
      <c r="B482" s="97">
        <v>45883</v>
      </c>
      <c r="C482" s="109" t="s">
        <v>1116</v>
      </c>
      <c r="D482" s="126">
        <v>24</v>
      </c>
      <c r="E482" s="146">
        <v>274</v>
      </c>
      <c r="F482" s="126">
        <f t="shared" si="63"/>
        <v>6576</v>
      </c>
      <c r="G482" s="67">
        <f t="shared" si="62"/>
        <v>597.81818181818187</v>
      </c>
    </row>
    <row r="483" spans="2:7" x14ac:dyDescent="0.3">
      <c r="B483" s="97">
        <v>45883</v>
      </c>
      <c r="C483" s="109" t="s">
        <v>1117</v>
      </c>
      <c r="D483" s="126">
        <v>20</v>
      </c>
      <c r="E483" s="146">
        <v>274</v>
      </c>
      <c r="F483" s="126">
        <f t="shared" si="63"/>
        <v>5480</v>
      </c>
      <c r="G483" s="67">
        <f t="shared" si="62"/>
        <v>498.18181818181819</v>
      </c>
    </row>
    <row r="484" spans="2:7" x14ac:dyDescent="0.3">
      <c r="B484" s="97">
        <v>45883</v>
      </c>
      <c r="C484" s="426" t="s">
        <v>1159</v>
      </c>
      <c r="D484" s="126"/>
      <c r="E484" s="146"/>
      <c r="F484" s="126">
        <f t="shared" si="63"/>
        <v>0</v>
      </c>
      <c r="G484" s="67">
        <f t="shared" si="62"/>
        <v>0</v>
      </c>
    </row>
    <row r="485" spans="2:7" x14ac:dyDescent="0.3">
      <c r="B485" s="101" t="s">
        <v>1160</v>
      </c>
      <c r="C485" s="102" t="s">
        <v>1166</v>
      </c>
      <c r="D485" s="101">
        <v>5</v>
      </c>
      <c r="E485" s="430">
        <v>274</v>
      </c>
      <c r="F485" s="19">
        <f t="shared" si="61"/>
        <v>1370</v>
      </c>
      <c r="G485" s="67">
        <f t="shared" si="62"/>
        <v>124.54545454545455</v>
      </c>
    </row>
    <row r="486" spans="2:7" x14ac:dyDescent="0.3">
      <c r="B486" s="382" t="s">
        <v>1160</v>
      </c>
      <c r="C486" s="235" t="s">
        <v>1161</v>
      </c>
      <c r="D486" s="382">
        <v>8</v>
      </c>
      <c r="E486" s="431">
        <v>3750</v>
      </c>
      <c r="F486" s="19">
        <f t="shared" si="61"/>
        <v>30000</v>
      </c>
      <c r="G486" s="67">
        <f t="shared" si="62"/>
        <v>2727.2727272727275</v>
      </c>
    </row>
    <row r="487" spans="2:7" x14ac:dyDescent="0.3">
      <c r="B487" s="19" t="s">
        <v>1160</v>
      </c>
      <c r="C487" s="18" t="s">
        <v>892</v>
      </c>
      <c r="D487" s="19">
        <v>2</v>
      </c>
      <c r="E487" s="145">
        <v>655</v>
      </c>
      <c r="F487" s="19">
        <f t="shared" si="61"/>
        <v>1310</v>
      </c>
      <c r="G487" s="67">
        <f t="shared" si="62"/>
        <v>119.09090909090909</v>
      </c>
    </row>
    <row r="488" spans="2:7" x14ac:dyDescent="0.3">
      <c r="B488" s="19" t="s">
        <v>1160</v>
      </c>
      <c r="C488" s="18" t="s">
        <v>1162</v>
      </c>
      <c r="D488" s="19">
        <v>5</v>
      </c>
      <c r="E488" s="145">
        <v>433</v>
      </c>
      <c r="F488" s="19">
        <f t="shared" si="61"/>
        <v>2165</v>
      </c>
      <c r="G488" s="67">
        <f t="shared" si="62"/>
        <v>196.81818181818181</v>
      </c>
    </row>
    <row r="489" spans="2:7" x14ac:dyDescent="0.3">
      <c r="B489" s="19" t="s">
        <v>1160</v>
      </c>
      <c r="C489" s="18" t="s">
        <v>1163</v>
      </c>
      <c r="D489" s="19">
        <v>2</v>
      </c>
      <c r="E489" s="145">
        <v>573</v>
      </c>
      <c r="F489" s="19">
        <f t="shared" si="61"/>
        <v>1146</v>
      </c>
      <c r="G489" s="67">
        <f t="shared" si="62"/>
        <v>104.18181818181819</v>
      </c>
    </row>
    <row r="490" spans="2:7" x14ac:dyDescent="0.3">
      <c r="B490" s="19" t="s">
        <v>1160</v>
      </c>
      <c r="C490" s="18" t="s">
        <v>1164</v>
      </c>
      <c r="D490" s="19">
        <v>15</v>
      </c>
      <c r="E490" s="145">
        <v>560</v>
      </c>
      <c r="F490" s="19">
        <f t="shared" si="61"/>
        <v>8400</v>
      </c>
      <c r="G490" s="67">
        <f t="shared" si="62"/>
        <v>763.63636363636363</v>
      </c>
    </row>
    <row r="491" spans="2:7" x14ac:dyDescent="0.3">
      <c r="B491" s="19" t="s">
        <v>1160</v>
      </c>
      <c r="C491" s="18" t="s">
        <v>1165</v>
      </c>
      <c r="D491" s="19">
        <v>1</v>
      </c>
      <c r="E491" s="145">
        <v>713</v>
      </c>
      <c r="F491" s="19">
        <f t="shared" si="61"/>
        <v>713</v>
      </c>
      <c r="G491" s="67">
        <f t="shared" si="62"/>
        <v>64.818181818181813</v>
      </c>
    </row>
    <row r="492" spans="2:7" x14ac:dyDescent="0.3">
      <c r="B492" s="19"/>
      <c r="C492" s="19"/>
      <c r="D492" s="19"/>
      <c r="E492" s="19"/>
      <c r="F492" s="19">
        <f t="shared" si="61"/>
        <v>0</v>
      </c>
      <c r="G492" s="67">
        <f t="shared" si="62"/>
        <v>0</v>
      </c>
    </row>
    <row r="493" spans="2:7" x14ac:dyDescent="0.3">
      <c r="B493" s="82">
        <v>45860</v>
      </c>
      <c r="C493" s="235" t="s">
        <v>1167</v>
      </c>
      <c r="D493" s="382">
        <v>5</v>
      </c>
      <c r="E493" s="431">
        <v>751</v>
      </c>
      <c r="F493" s="19">
        <f t="shared" si="61"/>
        <v>3755</v>
      </c>
      <c r="G493" s="67">
        <f t="shared" si="62"/>
        <v>341.36363636363637</v>
      </c>
    </row>
    <row r="494" spans="2:7" x14ac:dyDescent="0.3">
      <c r="B494" s="82">
        <v>45860</v>
      </c>
      <c r="C494" s="235" t="s">
        <v>1168</v>
      </c>
      <c r="D494" s="382">
        <v>2</v>
      </c>
      <c r="E494" s="431">
        <v>2288</v>
      </c>
      <c r="F494" s="19">
        <f t="shared" si="61"/>
        <v>4576</v>
      </c>
      <c r="G494" s="67">
        <f t="shared" si="62"/>
        <v>416</v>
      </c>
    </row>
    <row r="495" spans="2:7" x14ac:dyDescent="0.3">
      <c r="B495" s="82">
        <v>45860</v>
      </c>
      <c r="C495" s="235" t="s">
        <v>1169</v>
      </c>
      <c r="D495" s="382">
        <v>12</v>
      </c>
      <c r="E495" s="431">
        <v>1063</v>
      </c>
      <c r="F495" s="19">
        <f t="shared" si="61"/>
        <v>12756</v>
      </c>
      <c r="G495" s="67">
        <f t="shared" si="62"/>
        <v>1159.6363636363637</v>
      </c>
    </row>
    <row r="496" spans="2:7" x14ac:dyDescent="0.3">
      <c r="B496" s="18"/>
      <c r="C496" s="18"/>
      <c r="D496" s="124"/>
      <c r="E496" s="18"/>
      <c r="F496" s="19">
        <f t="shared" si="61"/>
        <v>0</v>
      </c>
      <c r="G496" s="67">
        <f t="shared" si="62"/>
        <v>0</v>
      </c>
    </row>
    <row r="497" spans="2:7" x14ac:dyDescent="0.3">
      <c r="B497" s="437">
        <v>45889</v>
      </c>
      <c r="C497" s="235" t="s">
        <v>1178</v>
      </c>
      <c r="D497" s="382">
        <v>5</v>
      </c>
      <c r="E497" s="431">
        <v>690</v>
      </c>
      <c r="F497" s="19">
        <f t="shared" si="61"/>
        <v>3450</v>
      </c>
      <c r="G497" s="67">
        <f t="shared" si="62"/>
        <v>313.63636363636363</v>
      </c>
    </row>
    <row r="498" spans="2:7" x14ac:dyDescent="0.3">
      <c r="B498" s="437">
        <v>45891</v>
      </c>
      <c r="C498" s="235" t="s">
        <v>1179</v>
      </c>
      <c r="D498" s="382">
        <v>400</v>
      </c>
      <c r="E498" s="431">
        <v>274</v>
      </c>
      <c r="F498" s="19">
        <f t="shared" ref="F498:F500" si="64">E498*D498</f>
        <v>109600</v>
      </c>
      <c r="G498" s="67">
        <f t="shared" ref="G498:G500" si="65">F498/11</f>
        <v>9963.636363636364</v>
      </c>
    </row>
    <row r="499" spans="2:7" x14ac:dyDescent="0.3">
      <c r="B499" s="97">
        <v>45895</v>
      </c>
      <c r="C499" s="109" t="s">
        <v>1181</v>
      </c>
      <c r="D499" s="126">
        <v>60</v>
      </c>
      <c r="E499" s="146">
        <v>274</v>
      </c>
      <c r="F499" s="19">
        <f t="shared" si="64"/>
        <v>16440</v>
      </c>
      <c r="G499" s="67">
        <f t="shared" si="65"/>
        <v>1494.5454545454545</v>
      </c>
    </row>
    <row r="500" spans="2:7" x14ac:dyDescent="0.3">
      <c r="B500" s="437">
        <v>45891</v>
      </c>
      <c r="C500" s="235" t="s">
        <v>1180</v>
      </c>
      <c r="D500" s="382">
        <v>57</v>
      </c>
      <c r="E500" s="431">
        <v>300</v>
      </c>
      <c r="F500" s="19">
        <f t="shared" si="64"/>
        <v>17100</v>
      </c>
      <c r="G500" s="67">
        <f t="shared" si="65"/>
        <v>1554.5454545454545</v>
      </c>
    </row>
    <row r="501" spans="2:7" x14ac:dyDescent="0.3">
      <c r="B501" s="97">
        <v>45883</v>
      </c>
      <c r="C501" s="109" t="s">
        <v>1183</v>
      </c>
      <c r="D501" s="126">
        <v>56</v>
      </c>
      <c r="E501" s="146">
        <v>274</v>
      </c>
      <c r="F501" s="19">
        <f t="shared" ref="F501" si="66">E501*D501</f>
        <v>15344</v>
      </c>
      <c r="G501" s="67">
        <f t="shared" ref="G501:G517" si="67">F501/11</f>
        <v>1394.909090909091</v>
      </c>
    </row>
    <row r="502" spans="2:7" x14ac:dyDescent="0.3">
      <c r="B502" s="18"/>
      <c r="C502" s="18"/>
      <c r="D502" s="124"/>
      <c r="E502" s="18"/>
      <c r="F502" s="18"/>
      <c r="G502" s="67">
        <f t="shared" si="67"/>
        <v>0</v>
      </c>
    </row>
    <row r="503" spans="2:7" x14ac:dyDescent="0.3">
      <c r="B503" s="437">
        <v>45883</v>
      </c>
      <c r="C503" s="81" t="s">
        <v>1105</v>
      </c>
      <c r="D503" s="19">
        <v>56</v>
      </c>
      <c r="E503" s="19">
        <v>274</v>
      </c>
      <c r="F503" s="19">
        <f>E503*D503</f>
        <v>15344</v>
      </c>
      <c r="G503" s="67">
        <f t="shared" si="67"/>
        <v>1394.909090909091</v>
      </c>
    </row>
    <row r="504" spans="2:7" x14ac:dyDescent="0.3">
      <c r="B504" s="97">
        <v>45897</v>
      </c>
      <c r="C504" s="138" t="s">
        <v>1216</v>
      </c>
      <c r="D504" s="126">
        <v>10</v>
      </c>
      <c r="E504" s="126">
        <v>2600</v>
      </c>
      <c r="F504" s="126">
        <f t="shared" ref="F504:F506" si="68">E504*D504</f>
        <v>26000</v>
      </c>
      <c r="G504" s="67">
        <f t="shared" si="67"/>
        <v>2363.6363636363635</v>
      </c>
    </row>
    <row r="505" spans="2:7" x14ac:dyDescent="0.3">
      <c r="B505" s="437">
        <v>45898</v>
      </c>
      <c r="C505" s="81" t="s">
        <v>1215</v>
      </c>
      <c r="D505" s="19">
        <v>30</v>
      </c>
      <c r="E505" s="19">
        <v>274</v>
      </c>
      <c r="F505" s="19">
        <f t="shared" si="68"/>
        <v>8220</v>
      </c>
      <c r="G505" s="67">
        <f t="shared" si="67"/>
        <v>747.27272727272725</v>
      </c>
    </row>
    <row r="506" spans="2:7" x14ac:dyDescent="0.3">
      <c r="B506" s="97">
        <v>45899</v>
      </c>
      <c r="C506" s="138" t="s">
        <v>1217</v>
      </c>
      <c r="D506" s="126">
        <v>20</v>
      </c>
      <c r="E506" s="126">
        <v>560</v>
      </c>
      <c r="F506" s="126">
        <f t="shared" si="68"/>
        <v>11200</v>
      </c>
      <c r="G506" s="67">
        <f t="shared" si="67"/>
        <v>1018.1818181818181</v>
      </c>
    </row>
    <row r="507" spans="2:7" x14ac:dyDescent="0.3">
      <c r="B507" s="437">
        <v>45909</v>
      </c>
      <c r="C507" s="235" t="s">
        <v>1249</v>
      </c>
      <c r="D507" s="382">
        <v>10</v>
      </c>
      <c r="E507" s="431">
        <v>397</v>
      </c>
      <c r="F507" s="382">
        <f>E507*D507</f>
        <v>3970</v>
      </c>
      <c r="G507" s="67">
        <f t="shared" si="67"/>
        <v>360.90909090909093</v>
      </c>
    </row>
    <row r="508" spans="2:7" x14ac:dyDescent="0.3">
      <c r="B508" s="437">
        <v>45909</v>
      </c>
      <c r="C508" s="235" t="s">
        <v>1250</v>
      </c>
      <c r="D508" s="382">
        <v>10</v>
      </c>
      <c r="E508" s="464">
        <v>353</v>
      </c>
      <c r="F508" s="382">
        <f t="shared" ref="F508:F516" si="69">E508*D508</f>
        <v>3530</v>
      </c>
      <c r="G508" s="67">
        <f t="shared" si="67"/>
        <v>320.90909090909093</v>
      </c>
    </row>
    <row r="509" spans="2:7" x14ac:dyDescent="0.3">
      <c r="B509" s="437">
        <v>45910</v>
      </c>
      <c r="C509" s="235" t="s">
        <v>1251</v>
      </c>
      <c r="D509" s="382">
        <v>5</v>
      </c>
      <c r="E509" s="464">
        <v>999</v>
      </c>
      <c r="F509" s="382">
        <f t="shared" si="69"/>
        <v>4995</v>
      </c>
      <c r="G509" s="67">
        <f t="shared" si="67"/>
        <v>454.09090909090907</v>
      </c>
    </row>
    <row r="510" spans="2:7" x14ac:dyDescent="0.3">
      <c r="B510" s="437">
        <v>45910</v>
      </c>
      <c r="C510" s="235" t="s">
        <v>1252</v>
      </c>
      <c r="D510" s="382">
        <v>15</v>
      </c>
      <c r="E510" s="464">
        <v>1150</v>
      </c>
      <c r="F510" s="382">
        <f t="shared" si="69"/>
        <v>17250</v>
      </c>
      <c r="G510" s="67">
        <f t="shared" si="67"/>
        <v>1568.1818181818182</v>
      </c>
    </row>
    <row r="511" spans="2:7" x14ac:dyDescent="0.3">
      <c r="B511" s="437">
        <v>45910</v>
      </c>
      <c r="C511" s="235" t="s">
        <v>1253</v>
      </c>
      <c r="D511" s="382">
        <v>10</v>
      </c>
      <c r="E511" s="464">
        <v>1260</v>
      </c>
      <c r="F511" s="382">
        <f t="shared" si="69"/>
        <v>12600</v>
      </c>
      <c r="G511" s="67">
        <f t="shared" si="67"/>
        <v>1145.4545454545455</v>
      </c>
    </row>
    <row r="512" spans="2:7" x14ac:dyDescent="0.3">
      <c r="B512" s="437">
        <v>45910</v>
      </c>
      <c r="C512" s="235" t="s">
        <v>1254</v>
      </c>
      <c r="D512" s="382">
        <v>5</v>
      </c>
      <c r="E512" s="464">
        <v>3300</v>
      </c>
      <c r="F512" s="382">
        <f t="shared" si="69"/>
        <v>16500</v>
      </c>
      <c r="G512" s="67">
        <f t="shared" si="67"/>
        <v>1500</v>
      </c>
    </row>
    <row r="513" spans="2:7" x14ac:dyDescent="0.3">
      <c r="B513" s="437">
        <v>45910</v>
      </c>
      <c r="C513" s="235" t="s">
        <v>1255</v>
      </c>
      <c r="D513" s="382">
        <v>9</v>
      </c>
      <c r="E513" s="464">
        <v>1063</v>
      </c>
      <c r="F513" s="382">
        <f t="shared" si="69"/>
        <v>9567</v>
      </c>
      <c r="G513" s="67">
        <f t="shared" si="67"/>
        <v>869.72727272727275</v>
      </c>
    </row>
    <row r="514" spans="2:7" x14ac:dyDescent="0.3">
      <c r="B514" s="437">
        <v>45910</v>
      </c>
      <c r="C514" s="235" t="s">
        <v>1256</v>
      </c>
      <c r="D514" s="382">
        <v>9</v>
      </c>
      <c r="E514" s="464">
        <v>433</v>
      </c>
      <c r="F514" s="382">
        <f t="shared" si="69"/>
        <v>3897</v>
      </c>
      <c r="G514" s="67">
        <f t="shared" si="67"/>
        <v>354.27272727272725</v>
      </c>
    </row>
    <row r="515" spans="2:7" x14ac:dyDescent="0.3">
      <c r="B515" s="437">
        <v>45910</v>
      </c>
      <c r="C515" s="235" t="s">
        <v>802</v>
      </c>
      <c r="D515" s="382">
        <v>1</v>
      </c>
      <c r="E515" s="464">
        <v>655</v>
      </c>
      <c r="F515" s="382">
        <f t="shared" si="69"/>
        <v>655</v>
      </c>
      <c r="G515" s="67">
        <f t="shared" si="67"/>
        <v>59.545454545454547</v>
      </c>
    </row>
    <row r="516" spans="2:7" x14ac:dyDescent="0.3">
      <c r="B516" s="82">
        <v>45910</v>
      </c>
      <c r="C516" s="18" t="s">
        <v>1257</v>
      </c>
      <c r="D516" s="19">
        <v>50</v>
      </c>
      <c r="E516" s="464">
        <v>49</v>
      </c>
      <c r="F516" s="19">
        <f t="shared" si="69"/>
        <v>2450</v>
      </c>
      <c r="G516" s="67">
        <f t="shared" si="67"/>
        <v>222.72727272727272</v>
      </c>
    </row>
    <row r="517" spans="2:7" x14ac:dyDescent="0.3">
      <c r="B517" s="82">
        <v>45910</v>
      </c>
      <c r="C517" s="18" t="s">
        <v>1260</v>
      </c>
      <c r="D517" s="19">
        <v>5</v>
      </c>
      <c r="E517" s="489">
        <v>751</v>
      </c>
      <c r="F517" s="19">
        <f t="shared" si="61"/>
        <v>3755</v>
      </c>
      <c r="G517" s="67">
        <f t="shared" si="67"/>
        <v>341.36363636363637</v>
      </c>
    </row>
    <row r="518" spans="2:7" x14ac:dyDescent="0.3">
      <c r="B518" s="82">
        <v>45910</v>
      </c>
      <c r="C518" s="18" t="s">
        <v>1261</v>
      </c>
      <c r="D518" s="19">
        <v>2</v>
      </c>
      <c r="E518" s="489">
        <v>2800</v>
      </c>
      <c r="F518" s="19">
        <f t="shared" ref="F518:F522" si="70">E518*D518</f>
        <v>5600</v>
      </c>
      <c r="G518" s="67">
        <f t="shared" ref="G518:G522" si="71">F518/11</f>
        <v>509.09090909090907</v>
      </c>
    </row>
    <row r="519" spans="2:7" x14ac:dyDescent="0.3">
      <c r="B519" s="82">
        <v>45910</v>
      </c>
      <c r="C519" s="235" t="s">
        <v>1262</v>
      </c>
      <c r="D519" s="19">
        <v>20</v>
      </c>
      <c r="E519" s="489">
        <v>560</v>
      </c>
      <c r="F519" s="19">
        <f t="shared" si="70"/>
        <v>11200</v>
      </c>
      <c r="G519" s="67">
        <f t="shared" si="71"/>
        <v>1018.1818181818181</v>
      </c>
    </row>
    <row r="520" spans="2:7" x14ac:dyDescent="0.3">
      <c r="B520" s="82">
        <v>45910</v>
      </c>
      <c r="C520" s="18" t="s">
        <v>1263</v>
      </c>
      <c r="D520" s="19">
        <v>1</v>
      </c>
      <c r="E520" s="489">
        <v>3690</v>
      </c>
      <c r="F520" s="19">
        <f t="shared" si="70"/>
        <v>3690</v>
      </c>
      <c r="G520" s="67">
        <f t="shared" si="71"/>
        <v>335.45454545454544</v>
      </c>
    </row>
    <row r="521" spans="2:7" x14ac:dyDescent="0.3">
      <c r="B521" s="491">
        <v>45910</v>
      </c>
      <c r="C521" s="319" t="s">
        <v>1265</v>
      </c>
      <c r="D521" s="382">
        <v>4</v>
      </c>
      <c r="E521" s="490">
        <v>679</v>
      </c>
      <c r="F521" s="19">
        <f>E521*D521</f>
        <v>2716</v>
      </c>
      <c r="G521" s="67">
        <f t="shared" si="71"/>
        <v>246.90909090909091</v>
      </c>
    </row>
    <row r="522" spans="2:7" x14ac:dyDescent="0.3">
      <c r="B522" s="18"/>
      <c r="C522" s="18"/>
      <c r="D522" s="124"/>
      <c r="E522" s="18"/>
      <c r="F522" s="19">
        <f t="shared" si="70"/>
        <v>0</v>
      </c>
      <c r="G522" s="67">
        <f t="shared" si="71"/>
        <v>0</v>
      </c>
    </row>
    <row r="523" spans="2:7" x14ac:dyDescent="0.3">
      <c r="B523" s="18"/>
      <c r="C523" s="18"/>
      <c r="D523" s="124"/>
      <c r="E523" s="18"/>
      <c r="F523" s="18"/>
      <c r="G523" s="438"/>
    </row>
    <row r="524" spans="2:7" x14ac:dyDescent="0.3">
      <c r="B524" s="18"/>
      <c r="C524" s="18"/>
      <c r="D524" s="124"/>
      <c r="E524" s="18"/>
      <c r="F524" s="18"/>
      <c r="G524" s="438"/>
    </row>
    <row r="525" spans="2:7" x14ac:dyDescent="0.3">
      <c r="B525" s="18"/>
      <c r="C525" s="18"/>
      <c r="D525" s="124"/>
      <c r="E525" s="18"/>
      <c r="F525" s="18"/>
      <c r="G525" s="438"/>
    </row>
    <row r="526" spans="2:7" x14ac:dyDescent="0.3">
      <c r="B526" s="18"/>
      <c r="C526" s="18"/>
      <c r="D526" s="124"/>
      <c r="E526" s="18"/>
      <c r="F526" s="18"/>
      <c r="G526" s="438"/>
    </row>
    <row r="527" spans="2:7" x14ac:dyDescent="0.3">
      <c r="B527" s="18"/>
      <c r="C527" s="18"/>
      <c r="D527" s="124"/>
      <c r="E527" s="18"/>
      <c r="F527" s="18"/>
      <c r="G527" s="438"/>
    </row>
    <row r="528" spans="2:7" x14ac:dyDescent="0.3">
      <c r="B528" s="18"/>
      <c r="C528" s="18"/>
      <c r="D528" s="124"/>
      <c r="E528" s="18"/>
      <c r="F528" s="18"/>
      <c r="G528" s="438"/>
    </row>
    <row r="529" spans="2:7" x14ac:dyDescent="0.3">
      <c r="B529" s="18"/>
      <c r="C529" s="18"/>
      <c r="D529" s="124"/>
      <c r="E529" s="18"/>
      <c r="F529" s="18"/>
      <c r="G529" s="438"/>
    </row>
    <row r="530" spans="2:7" x14ac:dyDescent="0.3">
      <c r="B530" s="18"/>
      <c r="C530" s="18"/>
      <c r="D530" s="124"/>
      <c r="E530" s="18"/>
      <c r="F530" s="18"/>
      <c r="G530" s="438"/>
    </row>
    <row r="531" spans="2:7" x14ac:dyDescent="0.3">
      <c r="B531" s="18"/>
      <c r="C531" s="18"/>
      <c r="D531" s="124"/>
      <c r="E531" s="18"/>
      <c r="F531" s="18"/>
      <c r="G531" s="438"/>
    </row>
    <row r="532" spans="2:7" x14ac:dyDescent="0.3">
      <c r="B532" s="18"/>
      <c r="C532" s="18"/>
      <c r="D532" s="124"/>
      <c r="E532" s="18"/>
      <c r="F532" s="18"/>
      <c r="G532" s="438"/>
    </row>
    <row r="533" spans="2:7" x14ac:dyDescent="0.3">
      <c r="B533" s="18"/>
      <c r="C533" s="18"/>
      <c r="D533" s="124"/>
      <c r="E533" s="18"/>
      <c r="F533" s="18"/>
      <c r="G533" s="438"/>
    </row>
    <row r="534" spans="2:7" x14ac:dyDescent="0.3">
      <c r="B534" s="18"/>
      <c r="C534" s="18"/>
      <c r="D534" s="124"/>
      <c r="E534" s="18"/>
      <c r="F534" s="18"/>
      <c r="G534" s="438"/>
    </row>
    <row r="535" spans="2:7" x14ac:dyDescent="0.3">
      <c r="B535" s="18"/>
      <c r="C535" s="18"/>
      <c r="D535" s="124"/>
      <c r="E535" s="18"/>
      <c r="F535" s="18"/>
      <c r="G535" s="438"/>
    </row>
    <row r="536" spans="2:7" x14ac:dyDescent="0.3">
      <c r="B536" s="18"/>
      <c r="C536" s="18"/>
      <c r="D536" s="124"/>
      <c r="E536" s="18"/>
      <c r="F536" s="18"/>
      <c r="G536" s="438"/>
    </row>
    <row r="537" spans="2:7" x14ac:dyDescent="0.3">
      <c r="B537" s="18"/>
      <c r="C537" s="18"/>
      <c r="D537" s="124"/>
      <c r="E537" s="18"/>
      <c r="F537" s="18"/>
      <c r="G537" s="438"/>
    </row>
    <row r="538" spans="2:7" x14ac:dyDescent="0.3">
      <c r="B538" s="18"/>
      <c r="C538" s="18"/>
      <c r="D538" s="124"/>
      <c r="E538" s="18"/>
      <c r="F538" s="18"/>
      <c r="G538" s="438"/>
    </row>
    <row r="539" spans="2:7" x14ac:dyDescent="0.3">
      <c r="B539" s="18"/>
      <c r="C539" s="18"/>
      <c r="D539" s="124"/>
      <c r="E539" s="18"/>
      <c r="F539" s="18"/>
      <c r="G539" s="438"/>
    </row>
    <row r="540" spans="2:7" x14ac:dyDescent="0.3">
      <c r="B540" s="18"/>
      <c r="C540" s="18"/>
      <c r="D540" s="124"/>
      <c r="E540" s="18"/>
      <c r="F540" s="18"/>
      <c r="G540" s="438"/>
    </row>
    <row r="541" spans="2:7" x14ac:dyDescent="0.3">
      <c r="B541" s="18"/>
      <c r="C541" s="18"/>
      <c r="D541" s="124"/>
      <c r="E541" s="18"/>
      <c r="F541" s="19">
        <f t="shared" si="61"/>
        <v>0</v>
      </c>
      <c r="G541" s="67">
        <f t="shared" si="62"/>
        <v>0</v>
      </c>
    </row>
    <row r="542" spans="2:7" x14ac:dyDescent="0.3">
      <c r="B542" s="73"/>
      <c r="C542" s="18"/>
      <c r="D542" s="124"/>
      <c r="E542" s="74"/>
      <c r="F542" s="19">
        <f t="shared" si="61"/>
        <v>0</v>
      </c>
      <c r="G542" s="67">
        <f t="shared" si="62"/>
        <v>0</v>
      </c>
    </row>
    <row r="543" spans="2:7" ht="21" x14ac:dyDescent="0.4">
      <c r="F543" s="68" t="s">
        <v>106</v>
      </c>
      <c r="G543" s="69">
        <f>SUM(G6:G542)</f>
        <v>156558.7418181817</v>
      </c>
    </row>
  </sheetData>
  <mergeCells count="6">
    <mergeCell ref="G2:I2"/>
    <mergeCell ref="I128:N128"/>
    <mergeCell ref="B4:G4"/>
    <mergeCell ref="I4:N4"/>
    <mergeCell ref="B3:C3"/>
    <mergeCell ref="I3:J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9"/>
  <sheetViews>
    <sheetView zoomScale="65" zoomScaleNormal="65" workbookViewId="0">
      <pane ySplit="4" topLeftCell="A474" activePane="bottomLeft" state="frozen"/>
      <selection pane="bottomLeft" activeCell="B440" sqref="B440:G489"/>
    </sheetView>
  </sheetViews>
  <sheetFormatPr defaultRowHeight="21" x14ac:dyDescent="0.4"/>
  <cols>
    <col min="2" max="2" width="18.6640625" style="33" customWidth="1"/>
    <col min="3" max="3" width="49.88671875" style="33" customWidth="1"/>
    <col min="4" max="4" width="31.44140625" style="33" customWidth="1"/>
    <col min="5" max="5" width="33.88671875" style="33" customWidth="1"/>
    <col min="6" max="6" width="18.6640625" style="33" customWidth="1"/>
    <col min="7" max="7" width="20.5546875" style="32" customWidth="1"/>
    <col min="8" max="8" width="12.88671875" customWidth="1"/>
    <col min="11" max="11" width="35.21875" customWidth="1"/>
  </cols>
  <sheetData>
    <row r="2" spans="2:12" x14ac:dyDescent="0.4">
      <c r="C2" s="503"/>
      <c r="D2" s="503"/>
    </row>
    <row r="3" spans="2:12" x14ac:dyDescent="0.4">
      <c r="C3" s="504" t="s">
        <v>30</v>
      </c>
      <c r="D3" s="504"/>
      <c r="E3" s="504"/>
      <c r="F3" s="504"/>
    </row>
    <row r="4" spans="2:12" x14ac:dyDescent="0.4">
      <c r="B4" s="6" t="s">
        <v>31</v>
      </c>
      <c r="C4" s="6" t="s">
        <v>2</v>
      </c>
      <c r="D4" s="6" t="s">
        <v>32</v>
      </c>
      <c r="E4" s="6" t="s">
        <v>33</v>
      </c>
      <c r="F4" s="6" t="s">
        <v>24</v>
      </c>
      <c r="G4" s="6" t="s">
        <v>50</v>
      </c>
    </row>
    <row r="5" spans="2:12" x14ac:dyDescent="0.4">
      <c r="B5" s="42" t="s">
        <v>77</v>
      </c>
      <c r="C5" s="36" t="s">
        <v>76</v>
      </c>
      <c r="D5" s="45">
        <v>201</v>
      </c>
      <c r="E5" s="45" t="s">
        <v>75</v>
      </c>
      <c r="F5" s="45">
        <v>201</v>
      </c>
      <c r="G5" s="45">
        <f>D5-F5</f>
        <v>0</v>
      </c>
      <c r="K5" s="51" t="s">
        <v>96</v>
      </c>
    </row>
    <row r="6" spans="2:12" x14ac:dyDescent="0.4">
      <c r="B6" s="42" t="s">
        <v>77</v>
      </c>
      <c r="C6" s="36" t="s">
        <v>78</v>
      </c>
      <c r="D6" s="43">
        <v>200</v>
      </c>
      <c r="E6" s="45" t="s">
        <v>75</v>
      </c>
      <c r="F6" s="43">
        <v>200</v>
      </c>
      <c r="G6" s="45">
        <f t="shared" ref="G6:G69" si="0">D6-F6</f>
        <v>0</v>
      </c>
      <c r="K6" s="52" t="s">
        <v>2</v>
      </c>
      <c r="L6" s="52" t="s">
        <v>3</v>
      </c>
    </row>
    <row r="7" spans="2:12" x14ac:dyDescent="0.4">
      <c r="B7" s="42" t="s">
        <v>77</v>
      </c>
      <c r="C7" s="36" t="s">
        <v>80</v>
      </c>
      <c r="D7" s="43">
        <v>17</v>
      </c>
      <c r="E7" s="45" t="s">
        <v>75</v>
      </c>
      <c r="F7" s="43">
        <v>17</v>
      </c>
      <c r="G7" s="45">
        <f t="shared" si="0"/>
        <v>0</v>
      </c>
      <c r="K7" s="43" t="s">
        <v>94</v>
      </c>
      <c r="L7" s="18">
        <v>1</v>
      </c>
    </row>
    <row r="8" spans="2:12" x14ac:dyDescent="0.4">
      <c r="B8" s="42" t="s">
        <v>77</v>
      </c>
      <c r="C8" s="36" t="s">
        <v>82</v>
      </c>
      <c r="D8" s="43">
        <v>309</v>
      </c>
      <c r="E8" s="45" t="s">
        <v>75</v>
      </c>
      <c r="F8" s="43">
        <v>309</v>
      </c>
      <c r="G8" s="45">
        <f t="shared" si="0"/>
        <v>0</v>
      </c>
      <c r="K8" s="36"/>
      <c r="L8" s="18"/>
    </row>
    <row r="9" spans="2:12" x14ac:dyDescent="0.4">
      <c r="B9" s="42" t="s">
        <v>77</v>
      </c>
      <c r="C9" s="36" t="s">
        <v>84</v>
      </c>
      <c r="D9" s="43">
        <v>15</v>
      </c>
      <c r="E9" s="45" t="s">
        <v>75</v>
      </c>
      <c r="F9" s="43">
        <v>15</v>
      </c>
      <c r="G9" s="45">
        <f t="shared" si="0"/>
        <v>0</v>
      </c>
      <c r="K9" s="43" t="s">
        <v>91</v>
      </c>
      <c r="L9" s="18">
        <v>2</v>
      </c>
    </row>
    <row r="10" spans="2:12" x14ac:dyDescent="0.4">
      <c r="B10" s="42" t="s">
        <v>77</v>
      </c>
      <c r="C10" s="36" t="s">
        <v>88</v>
      </c>
      <c r="D10" s="43">
        <v>2</v>
      </c>
      <c r="E10" s="45" t="s">
        <v>75</v>
      </c>
      <c r="F10" s="43">
        <v>2</v>
      </c>
      <c r="G10" s="45">
        <f t="shared" si="0"/>
        <v>0</v>
      </c>
      <c r="K10" s="43" t="s">
        <v>97</v>
      </c>
      <c r="L10" s="18">
        <v>1</v>
      </c>
    </row>
    <row r="11" spans="2:12" x14ac:dyDescent="0.4">
      <c r="B11" s="42" t="s">
        <v>77</v>
      </c>
      <c r="C11" s="36" t="s">
        <v>89</v>
      </c>
      <c r="D11" s="43">
        <v>2</v>
      </c>
      <c r="E11" s="45" t="s">
        <v>75</v>
      </c>
      <c r="F11" s="43">
        <v>2</v>
      </c>
      <c r="G11" s="45">
        <f t="shared" si="0"/>
        <v>0</v>
      </c>
      <c r="K11" s="36" t="s">
        <v>90</v>
      </c>
      <c r="L11" s="18">
        <v>2</v>
      </c>
    </row>
    <row r="12" spans="2:12" x14ac:dyDescent="0.4">
      <c r="B12" s="42" t="s">
        <v>77</v>
      </c>
      <c r="C12" s="36" t="s">
        <v>85</v>
      </c>
      <c r="D12" s="43">
        <v>5</v>
      </c>
      <c r="E12" s="45" t="s">
        <v>75</v>
      </c>
      <c r="F12" s="43">
        <v>5</v>
      </c>
      <c r="G12" s="45">
        <f t="shared" si="0"/>
        <v>0</v>
      </c>
      <c r="K12" s="43"/>
      <c r="L12" s="18"/>
    </row>
    <row r="13" spans="2:12" x14ac:dyDescent="0.4">
      <c r="B13" s="42" t="s">
        <v>77</v>
      </c>
      <c r="C13" s="36" t="s">
        <v>90</v>
      </c>
      <c r="D13" s="43">
        <v>2</v>
      </c>
      <c r="E13" s="45" t="s">
        <v>75</v>
      </c>
      <c r="F13" s="43">
        <v>2</v>
      </c>
      <c r="G13" s="45">
        <f t="shared" si="0"/>
        <v>0</v>
      </c>
    </row>
    <row r="14" spans="2:12" x14ac:dyDescent="0.4">
      <c r="B14" s="42" t="s">
        <v>77</v>
      </c>
      <c r="C14" s="43" t="s">
        <v>91</v>
      </c>
      <c r="D14" s="43">
        <v>2</v>
      </c>
      <c r="E14" s="45" t="s">
        <v>75</v>
      </c>
      <c r="F14" s="43">
        <v>2</v>
      </c>
      <c r="G14" s="45">
        <f t="shared" si="0"/>
        <v>0</v>
      </c>
    </row>
    <row r="15" spans="2:12" x14ac:dyDescent="0.4">
      <c r="B15" s="42" t="s">
        <v>77</v>
      </c>
      <c r="C15" s="43" t="s">
        <v>92</v>
      </c>
      <c r="D15" s="43">
        <v>10</v>
      </c>
      <c r="E15" s="45" t="s">
        <v>75</v>
      </c>
      <c r="F15" s="43">
        <v>10</v>
      </c>
      <c r="G15" s="45">
        <f t="shared" si="0"/>
        <v>0</v>
      </c>
    </row>
    <row r="16" spans="2:12" x14ac:dyDescent="0.4">
      <c r="B16" s="42" t="s">
        <v>77</v>
      </c>
      <c r="C16" s="43" t="s">
        <v>93</v>
      </c>
      <c r="D16" s="43">
        <v>1</v>
      </c>
      <c r="E16" s="45" t="s">
        <v>75</v>
      </c>
      <c r="F16" s="43">
        <v>1</v>
      </c>
      <c r="G16" s="45">
        <f t="shared" si="0"/>
        <v>0</v>
      </c>
    </row>
    <row r="17" spans="2:7" x14ac:dyDescent="0.4">
      <c r="B17" s="42" t="s">
        <v>77</v>
      </c>
      <c r="C17" s="43" t="s">
        <v>94</v>
      </c>
      <c r="D17" s="43">
        <v>1</v>
      </c>
      <c r="E17" s="45" t="s">
        <v>75</v>
      </c>
      <c r="F17" s="43">
        <v>1</v>
      </c>
      <c r="G17" s="45">
        <f t="shared" si="0"/>
        <v>0</v>
      </c>
    </row>
    <row r="18" spans="2:7" x14ac:dyDescent="0.4">
      <c r="B18" s="42" t="s">
        <v>77</v>
      </c>
      <c r="C18" s="43" t="s">
        <v>95</v>
      </c>
      <c r="D18" s="43">
        <v>2</v>
      </c>
      <c r="E18" s="45" t="s">
        <v>75</v>
      </c>
      <c r="F18" s="43">
        <v>2</v>
      </c>
      <c r="G18" s="45">
        <f t="shared" si="0"/>
        <v>0</v>
      </c>
    </row>
    <row r="19" spans="2:7" x14ac:dyDescent="0.4">
      <c r="B19" s="43"/>
      <c r="C19" s="43"/>
      <c r="D19" s="43"/>
      <c r="E19" s="43"/>
      <c r="F19" s="43"/>
      <c r="G19" s="45">
        <f t="shared" si="0"/>
        <v>0</v>
      </c>
    </row>
    <row r="20" spans="2:7" x14ac:dyDescent="0.4">
      <c r="B20" s="42">
        <v>45711</v>
      </c>
      <c r="C20" s="43" t="s">
        <v>86</v>
      </c>
      <c r="D20" s="43">
        <v>23</v>
      </c>
      <c r="E20" s="110" t="s">
        <v>145</v>
      </c>
      <c r="F20" s="43">
        <v>23</v>
      </c>
      <c r="G20" s="45">
        <f t="shared" si="0"/>
        <v>0</v>
      </c>
    </row>
    <row r="21" spans="2:7" x14ac:dyDescent="0.4">
      <c r="B21" s="42">
        <v>45711</v>
      </c>
      <c r="C21" s="36" t="s">
        <v>80</v>
      </c>
      <c r="D21" s="43">
        <v>188</v>
      </c>
      <c r="E21" s="110" t="s">
        <v>145</v>
      </c>
      <c r="F21" s="43">
        <v>188</v>
      </c>
      <c r="G21" s="45">
        <f t="shared" si="0"/>
        <v>0</v>
      </c>
    </row>
    <row r="22" spans="2:7" x14ac:dyDescent="0.4">
      <c r="B22" s="42">
        <v>45711</v>
      </c>
      <c r="C22" s="36" t="s">
        <v>85</v>
      </c>
      <c r="D22" s="43">
        <v>2</v>
      </c>
      <c r="E22" s="110" t="s">
        <v>145</v>
      </c>
      <c r="F22" s="43">
        <v>2</v>
      </c>
      <c r="G22" s="45">
        <f t="shared" si="0"/>
        <v>0</v>
      </c>
    </row>
    <row r="23" spans="2:7" x14ac:dyDescent="0.4">
      <c r="B23" s="42">
        <v>45711</v>
      </c>
      <c r="C23" s="43" t="s">
        <v>87</v>
      </c>
      <c r="D23" s="43">
        <v>21</v>
      </c>
      <c r="E23" s="110" t="s">
        <v>145</v>
      </c>
      <c r="F23" s="43">
        <v>21</v>
      </c>
      <c r="G23" s="45">
        <f t="shared" si="0"/>
        <v>0</v>
      </c>
    </row>
    <row r="24" spans="2:7" x14ac:dyDescent="0.4">
      <c r="B24" s="42">
        <v>45711</v>
      </c>
      <c r="C24" s="43" t="s">
        <v>122</v>
      </c>
      <c r="D24" s="43">
        <v>5</v>
      </c>
      <c r="E24" s="110" t="s">
        <v>145</v>
      </c>
      <c r="F24" s="43">
        <v>5</v>
      </c>
      <c r="G24" s="45">
        <f t="shared" si="0"/>
        <v>0</v>
      </c>
    </row>
    <row r="25" spans="2:7" x14ac:dyDescent="0.4">
      <c r="B25" s="42">
        <v>45711</v>
      </c>
      <c r="C25" s="43" t="s">
        <v>123</v>
      </c>
      <c r="D25" s="43">
        <v>1</v>
      </c>
      <c r="E25" s="110" t="s">
        <v>145</v>
      </c>
      <c r="F25" s="43">
        <v>1</v>
      </c>
      <c r="G25" s="45">
        <f t="shared" si="0"/>
        <v>0</v>
      </c>
    </row>
    <row r="26" spans="2:7" x14ac:dyDescent="0.4">
      <c r="B26" s="42">
        <v>45711</v>
      </c>
      <c r="C26" s="43" t="s">
        <v>124</v>
      </c>
      <c r="D26" s="43">
        <v>1</v>
      </c>
      <c r="E26" s="110" t="s">
        <v>145</v>
      </c>
      <c r="F26" s="43">
        <v>1</v>
      </c>
      <c r="G26" s="45">
        <f t="shared" si="0"/>
        <v>0</v>
      </c>
    </row>
    <row r="27" spans="2:7" x14ac:dyDescent="0.4">
      <c r="B27" s="42">
        <v>45711</v>
      </c>
      <c r="C27" s="43" t="s">
        <v>125</v>
      </c>
      <c r="D27" s="43">
        <v>1</v>
      </c>
      <c r="E27" s="110" t="s">
        <v>145</v>
      </c>
      <c r="F27" s="43">
        <v>1</v>
      </c>
      <c r="G27" s="45">
        <f t="shared" si="0"/>
        <v>0</v>
      </c>
    </row>
    <row r="28" spans="2:7" x14ac:dyDescent="0.4">
      <c r="B28" s="42">
        <v>45711</v>
      </c>
      <c r="C28" s="43" t="s">
        <v>126</v>
      </c>
      <c r="D28" s="43">
        <v>1</v>
      </c>
      <c r="E28" s="110" t="s">
        <v>145</v>
      </c>
      <c r="F28" s="43">
        <v>1</v>
      </c>
      <c r="G28" s="45">
        <f t="shared" si="0"/>
        <v>0</v>
      </c>
    </row>
    <row r="29" spans="2:7" x14ac:dyDescent="0.4">
      <c r="B29" s="83"/>
      <c r="C29" s="83"/>
      <c r="D29" s="83"/>
      <c r="E29" s="83"/>
      <c r="F29" s="83"/>
      <c r="G29" s="45">
        <f t="shared" si="0"/>
        <v>0</v>
      </c>
    </row>
    <row r="30" spans="2:7" x14ac:dyDescent="0.4">
      <c r="B30" s="223">
        <v>45719</v>
      </c>
      <c r="C30" s="229" t="s">
        <v>133</v>
      </c>
      <c r="D30" s="225">
        <v>13</v>
      </c>
      <c r="E30" s="225" t="s">
        <v>144</v>
      </c>
      <c r="F30" s="225">
        <v>13</v>
      </c>
      <c r="G30" s="225">
        <f t="shared" si="0"/>
        <v>0</v>
      </c>
    </row>
    <row r="31" spans="2:7" x14ac:dyDescent="0.4">
      <c r="B31" s="223">
        <v>45719</v>
      </c>
      <c r="C31" s="229" t="s">
        <v>136</v>
      </c>
      <c r="D31" s="225">
        <v>20</v>
      </c>
      <c r="E31" s="225" t="s">
        <v>144</v>
      </c>
      <c r="F31" s="225">
        <v>20</v>
      </c>
      <c r="G31" s="225">
        <f t="shared" si="0"/>
        <v>0</v>
      </c>
    </row>
    <row r="32" spans="2:7" x14ac:dyDescent="0.4">
      <c r="B32" s="223">
        <v>45719</v>
      </c>
      <c r="C32" s="229" t="s">
        <v>137</v>
      </c>
      <c r="D32" s="225">
        <v>4</v>
      </c>
      <c r="E32" s="225" t="s">
        <v>144</v>
      </c>
      <c r="F32" s="225">
        <v>4</v>
      </c>
      <c r="G32" s="225">
        <f t="shared" si="0"/>
        <v>0</v>
      </c>
    </row>
    <row r="33" spans="2:7" x14ac:dyDescent="0.4">
      <c r="B33" s="223">
        <v>45719</v>
      </c>
      <c r="C33" s="225" t="s">
        <v>87</v>
      </c>
      <c r="D33" s="225">
        <v>4</v>
      </c>
      <c r="E33" s="225" t="s">
        <v>144</v>
      </c>
      <c r="F33" s="225">
        <v>4</v>
      </c>
      <c r="G33" s="225">
        <f t="shared" si="0"/>
        <v>0</v>
      </c>
    </row>
    <row r="34" spans="2:7" x14ac:dyDescent="0.4">
      <c r="B34" s="223">
        <v>45719</v>
      </c>
      <c r="C34" s="229" t="s">
        <v>139</v>
      </c>
      <c r="D34" s="225">
        <v>14</v>
      </c>
      <c r="E34" s="225" t="s">
        <v>144</v>
      </c>
      <c r="F34" s="225">
        <v>14</v>
      </c>
      <c r="G34" s="225">
        <f t="shared" si="0"/>
        <v>0</v>
      </c>
    </row>
    <row r="35" spans="2:7" x14ac:dyDescent="0.4">
      <c r="B35" s="223">
        <v>45719</v>
      </c>
      <c r="C35" s="229" t="s">
        <v>140</v>
      </c>
      <c r="D35" s="225">
        <v>2</v>
      </c>
      <c r="E35" s="225" t="s">
        <v>144</v>
      </c>
      <c r="F35" s="225">
        <v>2</v>
      </c>
      <c r="G35" s="225">
        <f t="shared" si="0"/>
        <v>0</v>
      </c>
    </row>
    <row r="36" spans="2:7" x14ac:dyDescent="0.4">
      <c r="B36" s="223">
        <v>45719</v>
      </c>
      <c r="C36" s="229" t="s">
        <v>141</v>
      </c>
      <c r="D36" s="225">
        <v>1</v>
      </c>
      <c r="E36" s="225" t="s">
        <v>144</v>
      </c>
      <c r="F36" s="225">
        <v>1</v>
      </c>
      <c r="G36" s="225">
        <f t="shared" si="0"/>
        <v>0</v>
      </c>
    </row>
    <row r="37" spans="2:7" x14ac:dyDescent="0.4">
      <c r="B37" s="43"/>
      <c r="C37" s="43"/>
      <c r="D37" s="43"/>
      <c r="E37" s="43"/>
      <c r="F37" s="43"/>
      <c r="G37" s="43">
        <f t="shared" si="0"/>
        <v>0</v>
      </c>
    </row>
    <row r="38" spans="2:7" x14ac:dyDescent="0.4">
      <c r="B38" s="82">
        <v>45728</v>
      </c>
      <c r="C38" s="94" t="s">
        <v>168</v>
      </c>
      <c r="D38" s="43">
        <v>2</v>
      </c>
      <c r="E38" s="43" t="s">
        <v>174</v>
      </c>
      <c r="F38" s="43">
        <v>2</v>
      </c>
      <c r="G38" s="43">
        <f t="shared" si="0"/>
        <v>0</v>
      </c>
    </row>
    <row r="39" spans="2:7" x14ac:dyDescent="0.4">
      <c r="B39" s="82">
        <v>45728</v>
      </c>
      <c r="C39" s="94" t="s">
        <v>169</v>
      </c>
      <c r="D39" s="43">
        <v>1</v>
      </c>
      <c r="E39" s="43" t="s">
        <v>174</v>
      </c>
      <c r="F39" s="43">
        <v>1</v>
      </c>
      <c r="G39" s="43">
        <f t="shared" si="0"/>
        <v>0</v>
      </c>
    </row>
    <row r="40" spans="2:7" x14ac:dyDescent="0.4">
      <c r="B40" s="82">
        <v>45728</v>
      </c>
      <c r="C40" s="85" t="s">
        <v>133</v>
      </c>
      <c r="D40" s="43">
        <v>2</v>
      </c>
      <c r="E40" s="43" t="s">
        <v>174</v>
      </c>
      <c r="F40" s="43">
        <v>2</v>
      </c>
      <c r="G40" s="43">
        <f t="shared" si="0"/>
        <v>0</v>
      </c>
    </row>
    <row r="41" spans="2:7" x14ac:dyDescent="0.4">
      <c r="B41" s="82">
        <v>45728</v>
      </c>
      <c r="C41" s="94" t="s">
        <v>156</v>
      </c>
      <c r="D41" s="43">
        <v>12</v>
      </c>
      <c r="E41" s="43" t="s">
        <v>174</v>
      </c>
      <c r="F41" s="43">
        <v>12</v>
      </c>
      <c r="G41" s="43">
        <f t="shared" si="0"/>
        <v>0</v>
      </c>
    </row>
    <row r="42" spans="2:7" x14ac:dyDescent="0.4">
      <c r="B42" s="82">
        <v>45728</v>
      </c>
      <c r="C42" s="94" t="s">
        <v>157</v>
      </c>
      <c r="D42" s="43">
        <v>17</v>
      </c>
      <c r="E42" s="43" t="s">
        <v>174</v>
      </c>
      <c r="F42" s="43">
        <v>17</v>
      </c>
      <c r="G42" s="43">
        <f t="shared" si="0"/>
        <v>0</v>
      </c>
    </row>
    <row r="43" spans="2:7" x14ac:dyDescent="0.4">
      <c r="B43" s="82">
        <v>45728</v>
      </c>
      <c r="C43" s="94" t="s">
        <v>161</v>
      </c>
      <c r="D43" s="43">
        <v>7</v>
      </c>
      <c r="E43" s="43" t="s">
        <v>174</v>
      </c>
      <c r="F43" s="43">
        <v>7</v>
      </c>
      <c r="G43" s="43">
        <f t="shared" si="0"/>
        <v>0</v>
      </c>
    </row>
    <row r="44" spans="2:7" x14ac:dyDescent="0.4">
      <c r="B44" s="82">
        <v>45728</v>
      </c>
      <c r="C44" s="94" t="s">
        <v>170</v>
      </c>
      <c r="D44" s="43">
        <v>1</v>
      </c>
      <c r="E44" s="43" t="s">
        <v>174</v>
      </c>
      <c r="F44" s="43">
        <v>1</v>
      </c>
      <c r="G44" s="43">
        <f t="shared" si="0"/>
        <v>0</v>
      </c>
    </row>
    <row r="45" spans="2:7" x14ac:dyDescent="0.4">
      <c r="B45" s="82">
        <v>45728</v>
      </c>
      <c r="C45" s="94" t="s">
        <v>171</v>
      </c>
      <c r="D45" s="43">
        <v>1</v>
      </c>
      <c r="E45" s="43" t="s">
        <v>174</v>
      </c>
      <c r="F45" s="43">
        <v>1</v>
      </c>
      <c r="G45" s="43">
        <f t="shared" si="0"/>
        <v>0</v>
      </c>
    </row>
    <row r="46" spans="2:7" x14ac:dyDescent="0.4">
      <c r="B46" s="82">
        <v>45728</v>
      </c>
      <c r="C46" s="94" t="s">
        <v>172</v>
      </c>
      <c r="D46" s="43">
        <v>1</v>
      </c>
      <c r="E46" s="43" t="s">
        <v>174</v>
      </c>
      <c r="F46" s="43">
        <v>1</v>
      </c>
      <c r="G46" s="43">
        <f t="shared" si="0"/>
        <v>0</v>
      </c>
    </row>
    <row r="47" spans="2:7" x14ac:dyDescent="0.4">
      <c r="B47" s="82">
        <v>45728</v>
      </c>
      <c r="C47" s="94" t="s">
        <v>173</v>
      </c>
      <c r="D47" s="43">
        <v>1</v>
      </c>
      <c r="E47" s="43" t="s">
        <v>174</v>
      </c>
      <c r="F47" s="43">
        <v>1</v>
      </c>
      <c r="G47" s="43">
        <f t="shared" si="0"/>
        <v>0</v>
      </c>
    </row>
    <row r="48" spans="2:7" x14ac:dyDescent="0.4">
      <c r="B48" s="82">
        <v>45728</v>
      </c>
      <c r="C48" s="85" t="s">
        <v>136</v>
      </c>
      <c r="D48" s="43">
        <v>1</v>
      </c>
      <c r="E48" s="43" t="s">
        <v>174</v>
      </c>
      <c r="F48" s="43">
        <v>1</v>
      </c>
      <c r="G48" s="43">
        <f t="shared" si="0"/>
        <v>0</v>
      </c>
    </row>
    <row r="49" spans="2:7" x14ac:dyDescent="0.4">
      <c r="G49" s="43">
        <f t="shared" si="0"/>
        <v>0</v>
      </c>
    </row>
    <row r="50" spans="2:7" x14ac:dyDescent="0.4">
      <c r="B50" s="82">
        <v>45730</v>
      </c>
      <c r="C50" s="94" t="s">
        <v>86</v>
      </c>
      <c r="D50" s="43">
        <v>55</v>
      </c>
      <c r="E50" s="110" t="s">
        <v>145</v>
      </c>
      <c r="F50" s="43">
        <v>55</v>
      </c>
      <c r="G50" s="43">
        <f t="shared" si="0"/>
        <v>0</v>
      </c>
    </row>
    <row r="51" spans="2:7" x14ac:dyDescent="0.4">
      <c r="B51" s="82">
        <v>45730</v>
      </c>
      <c r="C51" s="94" t="s">
        <v>187</v>
      </c>
      <c r="D51" s="43">
        <v>11</v>
      </c>
      <c r="E51" s="110" t="s">
        <v>145</v>
      </c>
      <c r="F51" s="43">
        <v>11</v>
      </c>
      <c r="G51" s="43">
        <f t="shared" si="0"/>
        <v>0</v>
      </c>
    </row>
    <row r="52" spans="2:7" x14ac:dyDescent="0.4">
      <c r="B52" s="82">
        <v>45730</v>
      </c>
      <c r="C52" s="93" t="s">
        <v>85</v>
      </c>
      <c r="D52" s="43">
        <v>1</v>
      </c>
      <c r="E52" s="110" t="s">
        <v>145</v>
      </c>
      <c r="F52" s="43">
        <v>1</v>
      </c>
      <c r="G52" s="43">
        <f t="shared" si="0"/>
        <v>0</v>
      </c>
    </row>
    <row r="53" spans="2:7" x14ac:dyDescent="0.4">
      <c r="B53" s="82">
        <v>45730</v>
      </c>
      <c r="C53" s="94" t="s">
        <v>87</v>
      </c>
      <c r="D53" s="43">
        <v>68</v>
      </c>
      <c r="E53" s="110" t="s">
        <v>145</v>
      </c>
      <c r="F53" s="43">
        <v>68</v>
      </c>
      <c r="G53" s="43">
        <f t="shared" si="0"/>
        <v>0</v>
      </c>
    </row>
    <row r="54" spans="2:7" x14ac:dyDescent="0.4">
      <c r="B54" s="82">
        <v>45730</v>
      </c>
      <c r="C54" s="93" t="s">
        <v>84</v>
      </c>
      <c r="D54" s="43">
        <v>2</v>
      </c>
      <c r="E54" s="110" t="s">
        <v>145</v>
      </c>
      <c r="F54" s="43">
        <v>2</v>
      </c>
      <c r="G54" s="43">
        <f t="shared" si="0"/>
        <v>0</v>
      </c>
    </row>
    <row r="55" spans="2:7" x14ac:dyDescent="0.4">
      <c r="B55" s="82">
        <v>45730</v>
      </c>
      <c r="C55" s="94" t="s">
        <v>122</v>
      </c>
      <c r="D55" s="43">
        <v>1</v>
      </c>
      <c r="E55" s="110" t="s">
        <v>145</v>
      </c>
      <c r="F55" s="43">
        <v>1</v>
      </c>
      <c r="G55" s="43">
        <f t="shared" si="0"/>
        <v>0</v>
      </c>
    </row>
    <row r="56" spans="2:7" x14ac:dyDescent="0.4">
      <c r="B56" s="82">
        <v>45730</v>
      </c>
      <c r="C56" s="116" t="s">
        <v>78</v>
      </c>
      <c r="D56" s="43">
        <v>17</v>
      </c>
      <c r="E56" s="110" t="s">
        <v>145</v>
      </c>
      <c r="F56" s="43">
        <v>17</v>
      </c>
      <c r="G56" s="43">
        <f t="shared" si="0"/>
        <v>0</v>
      </c>
    </row>
    <row r="57" spans="2:7" x14ac:dyDescent="0.4">
      <c r="B57" s="82">
        <v>45730</v>
      </c>
      <c r="C57" s="103" t="s">
        <v>126</v>
      </c>
      <c r="D57" s="33">
        <v>1</v>
      </c>
      <c r="E57" s="110" t="s">
        <v>145</v>
      </c>
      <c r="F57" s="33">
        <v>1</v>
      </c>
      <c r="G57" s="43">
        <f t="shared" si="0"/>
        <v>0</v>
      </c>
    </row>
    <row r="58" spans="2:7" x14ac:dyDescent="0.4">
      <c r="B58" s="82">
        <v>45730</v>
      </c>
      <c r="C58" s="116" t="s">
        <v>82</v>
      </c>
      <c r="D58" s="43">
        <v>250</v>
      </c>
      <c r="E58" s="110" t="s">
        <v>145</v>
      </c>
      <c r="F58" s="43">
        <v>250</v>
      </c>
      <c r="G58" s="43">
        <f t="shared" si="0"/>
        <v>0</v>
      </c>
    </row>
    <row r="59" spans="2:7" x14ac:dyDescent="0.4">
      <c r="B59" s="82">
        <v>45730</v>
      </c>
      <c r="C59" s="116" t="s">
        <v>78</v>
      </c>
      <c r="D59" s="43">
        <v>100</v>
      </c>
      <c r="E59" s="110" t="s">
        <v>145</v>
      </c>
      <c r="F59" s="43">
        <v>100</v>
      </c>
      <c r="G59" s="43">
        <f t="shared" si="0"/>
        <v>0</v>
      </c>
    </row>
    <row r="60" spans="2:7" x14ac:dyDescent="0.4">
      <c r="B60" s="82">
        <v>45730</v>
      </c>
      <c r="C60" s="116" t="s">
        <v>76</v>
      </c>
      <c r="D60" s="43">
        <v>153</v>
      </c>
      <c r="E60" s="110" t="s">
        <v>145</v>
      </c>
      <c r="F60" s="43">
        <v>153</v>
      </c>
      <c r="G60" s="43">
        <f t="shared" si="0"/>
        <v>0</v>
      </c>
    </row>
    <row r="61" spans="2:7" x14ac:dyDescent="0.4">
      <c r="B61" s="82">
        <v>45730</v>
      </c>
      <c r="C61" s="103" t="s">
        <v>202</v>
      </c>
      <c r="D61" s="43">
        <v>6</v>
      </c>
      <c r="E61" s="110" t="s">
        <v>145</v>
      </c>
      <c r="F61" s="43">
        <v>6</v>
      </c>
      <c r="G61" s="43">
        <f t="shared" si="0"/>
        <v>0</v>
      </c>
    </row>
    <row r="62" spans="2:7" x14ac:dyDescent="0.4">
      <c r="B62" s="82">
        <v>45737</v>
      </c>
      <c r="C62" s="103" t="s">
        <v>202</v>
      </c>
      <c r="D62" s="43">
        <v>1</v>
      </c>
      <c r="E62" s="110" t="s">
        <v>277</v>
      </c>
      <c r="F62" s="43">
        <v>1</v>
      </c>
      <c r="G62" s="43">
        <f t="shared" si="0"/>
        <v>0</v>
      </c>
    </row>
    <row r="63" spans="2:7" x14ac:dyDescent="0.4">
      <c r="B63" s="223">
        <v>45742</v>
      </c>
      <c r="C63" s="226" t="s">
        <v>274</v>
      </c>
      <c r="D63" s="225">
        <v>100</v>
      </c>
      <c r="E63" s="225" t="s">
        <v>276</v>
      </c>
      <c r="F63" s="225">
        <v>100</v>
      </c>
      <c r="G63" s="225">
        <f t="shared" si="0"/>
        <v>0</v>
      </c>
    </row>
    <row r="64" spans="2:7" x14ac:dyDescent="0.4">
      <c r="B64" s="82">
        <v>45742</v>
      </c>
      <c r="C64" s="94" t="s">
        <v>86</v>
      </c>
      <c r="D64" s="43">
        <v>10</v>
      </c>
      <c r="E64" s="43" t="s">
        <v>273</v>
      </c>
      <c r="F64" s="43">
        <v>10</v>
      </c>
      <c r="G64" s="43">
        <f t="shared" si="0"/>
        <v>0</v>
      </c>
    </row>
    <row r="65" spans="2:7" x14ac:dyDescent="0.4">
      <c r="B65" s="223">
        <v>45744</v>
      </c>
      <c r="C65" s="224" t="s">
        <v>78</v>
      </c>
      <c r="D65" s="225">
        <v>79</v>
      </c>
      <c r="E65" s="225" t="s">
        <v>276</v>
      </c>
      <c r="F65" s="225">
        <v>79</v>
      </c>
      <c r="G65" s="226">
        <f t="shared" si="0"/>
        <v>0</v>
      </c>
    </row>
    <row r="66" spans="2:7" x14ac:dyDescent="0.4">
      <c r="B66" s="223">
        <v>45744</v>
      </c>
      <c r="C66" s="227" t="s">
        <v>274</v>
      </c>
      <c r="D66" s="225">
        <v>174</v>
      </c>
      <c r="E66" s="225" t="s">
        <v>276</v>
      </c>
      <c r="F66" s="225">
        <v>174</v>
      </c>
      <c r="G66" s="226">
        <f t="shared" si="0"/>
        <v>0</v>
      </c>
    </row>
    <row r="67" spans="2:7" x14ac:dyDescent="0.4">
      <c r="B67" s="82">
        <v>45754</v>
      </c>
      <c r="C67" s="94" t="s">
        <v>122</v>
      </c>
      <c r="D67" s="33">
        <v>1</v>
      </c>
      <c r="E67" s="110" t="s">
        <v>145</v>
      </c>
      <c r="F67" s="33">
        <v>1</v>
      </c>
      <c r="G67" s="156">
        <f t="shared" si="0"/>
        <v>0</v>
      </c>
    </row>
    <row r="68" spans="2:7" x14ac:dyDescent="0.4">
      <c r="B68" s="82">
        <v>45754</v>
      </c>
      <c r="C68" s="103" t="s">
        <v>302</v>
      </c>
      <c r="D68" s="43">
        <v>5</v>
      </c>
      <c r="E68" s="110" t="s">
        <v>145</v>
      </c>
      <c r="F68" s="43">
        <v>5</v>
      </c>
      <c r="G68" s="103">
        <f t="shared" si="0"/>
        <v>0</v>
      </c>
    </row>
    <row r="69" spans="2:7" x14ac:dyDescent="0.4">
      <c r="B69" s="82">
        <v>45754</v>
      </c>
      <c r="C69" s="94" t="s">
        <v>334</v>
      </c>
      <c r="D69" s="43">
        <v>8</v>
      </c>
      <c r="E69" s="110" t="s">
        <v>145</v>
      </c>
      <c r="F69" s="43">
        <v>8</v>
      </c>
      <c r="G69" s="103">
        <f t="shared" si="0"/>
        <v>0</v>
      </c>
    </row>
    <row r="70" spans="2:7" x14ac:dyDescent="0.4">
      <c r="B70" s="82">
        <v>45754</v>
      </c>
      <c r="C70" s="94" t="s">
        <v>86</v>
      </c>
      <c r="D70" s="43">
        <v>3</v>
      </c>
      <c r="E70" s="110" t="s">
        <v>145</v>
      </c>
      <c r="F70" s="43">
        <v>3</v>
      </c>
      <c r="G70" s="103">
        <f t="shared" ref="G70:G86" si="1">D70-F70</f>
        <v>0</v>
      </c>
    </row>
    <row r="71" spans="2:7" x14ac:dyDescent="0.4">
      <c r="B71" s="82">
        <v>45754</v>
      </c>
      <c r="C71" s="93" t="s">
        <v>84</v>
      </c>
      <c r="D71" s="43">
        <v>45</v>
      </c>
      <c r="E71" s="110" t="s">
        <v>145</v>
      </c>
      <c r="F71" s="43">
        <v>45</v>
      </c>
      <c r="G71" s="103">
        <f t="shared" si="1"/>
        <v>0</v>
      </c>
    </row>
    <row r="72" spans="2:7" x14ac:dyDescent="0.4">
      <c r="B72" s="82">
        <v>45754</v>
      </c>
      <c r="C72" s="94" t="s">
        <v>123</v>
      </c>
      <c r="D72" s="43">
        <v>7</v>
      </c>
      <c r="E72" s="110" t="s">
        <v>145</v>
      </c>
      <c r="F72" s="43">
        <v>7</v>
      </c>
      <c r="G72" s="103">
        <f t="shared" si="1"/>
        <v>0</v>
      </c>
    </row>
    <row r="73" spans="2:7" x14ac:dyDescent="0.4">
      <c r="B73" s="82">
        <v>45754</v>
      </c>
      <c r="C73" s="94" t="s">
        <v>303</v>
      </c>
      <c r="D73" s="43">
        <v>15</v>
      </c>
      <c r="E73" s="110" t="s">
        <v>145</v>
      </c>
      <c r="F73" s="43">
        <v>15</v>
      </c>
      <c r="G73" s="103">
        <f t="shared" si="1"/>
        <v>0</v>
      </c>
    </row>
    <row r="74" spans="2:7" x14ac:dyDescent="0.4">
      <c r="B74" s="82">
        <v>45754</v>
      </c>
      <c r="C74" s="94" t="s">
        <v>202</v>
      </c>
      <c r="D74" s="43">
        <v>23</v>
      </c>
      <c r="E74" s="110" t="s">
        <v>145</v>
      </c>
      <c r="F74" s="43">
        <v>23</v>
      </c>
      <c r="G74" s="103">
        <f t="shared" si="1"/>
        <v>0</v>
      </c>
    </row>
    <row r="75" spans="2:7" x14ac:dyDescent="0.4">
      <c r="B75" s="82">
        <v>45754</v>
      </c>
      <c r="C75" s="94" t="s">
        <v>126</v>
      </c>
      <c r="D75" s="43">
        <v>1</v>
      </c>
      <c r="E75" s="110" t="s">
        <v>145</v>
      </c>
      <c r="F75" s="43">
        <v>1</v>
      </c>
      <c r="G75" s="103">
        <f t="shared" si="1"/>
        <v>0</v>
      </c>
    </row>
    <row r="76" spans="2:7" x14ac:dyDescent="0.4">
      <c r="B76" s="82">
        <v>45754</v>
      </c>
      <c r="C76" s="85" t="s">
        <v>133</v>
      </c>
      <c r="D76" s="43">
        <v>2</v>
      </c>
      <c r="E76" s="110" t="s">
        <v>145</v>
      </c>
      <c r="F76" s="43">
        <v>2</v>
      </c>
      <c r="G76" s="103">
        <f t="shared" si="1"/>
        <v>0</v>
      </c>
    </row>
    <row r="77" spans="2:7" x14ac:dyDescent="0.4">
      <c r="B77" s="82">
        <v>45754</v>
      </c>
      <c r="C77" s="85" t="s">
        <v>136</v>
      </c>
      <c r="D77" s="43">
        <v>2</v>
      </c>
      <c r="E77" s="110" t="s">
        <v>145</v>
      </c>
      <c r="F77" s="43">
        <v>2</v>
      </c>
      <c r="G77" s="103">
        <f t="shared" si="1"/>
        <v>0</v>
      </c>
    </row>
    <row r="78" spans="2:7" x14ac:dyDescent="0.4">
      <c r="B78" s="82">
        <v>45754</v>
      </c>
      <c r="C78" s="94" t="s">
        <v>87</v>
      </c>
      <c r="D78" s="43">
        <v>4</v>
      </c>
      <c r="E78" s="110" t="s">
        <v>145</v>
      </c>
      <c r="F78" s="43">
        <v>4</v>
      </c>
      <c r="G78" s="103">
        <f t="shared" si="1"/>
        <v>0</v>
      </c>
    </row>
    <row r="79" spans="2:7" x14ac:dyDescent="0.4">
      <c r="B79" s="82">
        <v>45754</v>
      </c>
      <c r="C79" s="103" t="s">
        <v>304</v>
      </c>
      <c r="D79" s="43">
        <v>2</v>
      </c>
      <c r="E79" s="110" t="s">
        <v>145</v>
      </c>
      <c r="F79" s="43">
        <v>2</v>
      </c>
      <c r="G79" s="103">
        <f t="shared" si="1"/>
        <v>0</v>
      </c>
    </row>
    <row r="80" spans="2:7" x14ac:dyDescent="0.4">
      <c r="B80" s="82">
        <v>45754</v>
      </c>
      <c r="C80" s="191" t="s">
        <v>381</v>
      </c>
      <c r="D80" s="43">
        <v>1</v>
      </c>
      <c r="E80" s="110" t="s">
        <v>145</v>
      </c>
      <c r="F80" s="43">
        <v>1</v>
      </c>
      <c r="G80" s="103">
        <f t="shared" si="1"/>
        <v>0</v>
      </c>
    </row>
    <row r="81" spans="2:7" x14ac:dyDescent="0.4">
      <c r="B81" s="82">
        <v>45754</v>
      </c>
      <c r="C81" s="43" t="s">
        <v>92</v>
      </c>
      <c r="D81" s="43">
        <v>11</v>
      </c>
      <c r="E81" s="110" t="s">
        <v>145</v>
      </c>
      <c r="F81" s="33">
        <v>11</v>
      </c>
      <c r="G81" s="157">
        <f t="shared" si="1"/>
        <v>0</v>
      </c>
    </row>
    <row r="82" spans="2:7" x14ac:dyDescent="0.4">
      <c r="B82" s="82">
        <v>45754</v>
      </c>
      <c r="C82" s="103" t="s">
        <v>266</v>
      </c>
      <c r="D82" s="43">
        <v>59</v>
      </c>
      <c r="E82" s="110" t="s">
        <v>145</v>
      </c>
      <c r="F82" s="33">
        <v>59</v>
      </c>
      <c r="G82" s="157">
        <f t="shared" si="1"/>
        <v>0</v>
      </c>
    </row>
    <row r="83" spans="2:7" x14ac:dyDescent="0.4">
      <c r="B83" s="82">
        <v>45754</v>
      </c>
      <c r="C83" s="43" t="s">
        <v>380</v>
      </c>
      <c r="D83" s="43">
        <v>1</v>
      </c>
      <c r="E83" s="110" t="s">
        <v>145</v>
      </c>
      <c r="F83" s="33">
        <v>1</v>
      </c>
      <c r="G83" s="157">
        <f t="shared" si="1"/>
        <v>0</v>
      </c>
    </row>
    <row r="84" spans="2:7" x14ac:dyDescent="0.4">
      <c r="B84" s="82"/>
      <c r="C84" s="43"/>
      <c r="E84" s="43"/>
      <c r="G84" s="157"/>
    </row>
    <row r="85" spans="2:7" x14ac:dyDescent="0.4">
      <c r="B85" s="223">
        <v>45754</v>
      </c>
      <c r="C85" s="224" t="s">
        <v>84</v>
      </c>
      <c r="D85" s="225">
        <v>10</v>
      </c>
      <c r="E85" s="225" t="s">
        <v>276</v>
      </c>
      <c r="F85" s="225">
        <v>10</v>
      </c>
      <c r="G85" s="226">
        <f t="shared" si="1"/>
        <v>0</v>
      </c>
    </row>
    <row r="86" spans="2:7" x14ac:dyDescent="0.4">
      <c r="B86" s="43"/>
      <c r="C86" s="43"/>
      <c r="D86" s="43"/>
      <c r="E86" s="43"/>
      <c r="F86" s="43"/>
      <c r="G86" s="103">
        <f t="shared" si="1"/>
        <v>0</v>
      </c>
    </row>
    <row r="87" spans="2:7" x14ac:dyDescent="0.4">
      <c r="B87" s="223">
        <v>45758</v>
      </c>
      <c r="C87" s="227" t="s">
        <v>390</v>
      </c>
      <c r="D87" s="225">
        <v>37</v>
      </c>
      <c r="E87" s="225" t="s">
        <v>276</v>
      </c>
      <c r="F87" s="225">
        <v>37</v>
      </c>
      <c r="G87" s="226">
        <f t="shared" ref="G87:G150" si="2">D87-F87</f>
        <v>0</v>
      </c>
    </row>
    <row r="88" spans="2:7" x14ac:dyDescent="0.4">
      <c r="B88" s="82">
        <v>45758</v>
      </c>
      <c r="C88" s="85" t="s">
        <v>133</v>
      </c>
      <c r="D88" s="43">
        <v>9</v>
      </c>
      <c r="E88" s="110" t="s">
        <v>403</v>
      </c>
      <c r="F88" s="43">
        <v>9</v>
      </c>
      <c r="G88" s="103">
        <f t="shared" si="2"/>
        <v>0</v>
      </c>
    </row>
    <row r="89" spans="2:7" x14ac:dyDescent="0.4">
      <c r="B89" s="82">
        <v>45758</v>
      </c>
      <c r="C89" s="94" t="s">
        <v>397</v>
      </c>
      <c r="D89" s="43">
        <v>18</v>
      </c>
      <c r="E89" s="110" t="s">
        <v>403</v>
      </c>
      <c r="F89" s="43">
        <v>18</v>
      </c>
      <c r="G89" s="103">
        <f t="shared" si="2"/>
        <v>0</v>
      </c>
    </row>
    <row r="90" spans="2:7" x14ac:dyDescent="0.4">
      <c r="B90" s="82">
        <v>45758</v>
      </c>
      <c r="C90" s="94" t="s">
        <v>398</v>
      </c>
      <c r="D90" s="43">
        <v>1</v>
      </c>
      <c r="E90" s="110" t="s">
        <v>403</v>
      </c>
      <c r="F90" s="43">
        <v>1</v>
      </c>
      <c r="G90" s="103">
        <f t="shared" si="2"/>
        <v>0</v>
      </c>
    </row>
    <row r="91" spans="2:7" x14ac:dyDescent="0.4">
      <c r="B91" s="82">
        <v>45758</v>
      </c>
      <c r="C91" s="94" t="s">
        <v>399</v>
      </c>
      <c r="D91" s="43">
        <v>30</v>
      </c>
      <c r="E91" s="110" t="s">
        <v>403</v>
      </c>
      <c r="F91" s="43">
        <v>30</v>
      </c>
      <c r="G91" s="103">
        <f t="shared" si="2"/>
        <v>0</v>
      </c>
    </row>
    <row r="92" spans="2:7" x14ac:dyDescent="0.4">
      <c r="B92" s="82">
        <v>45758</v>
      </c>
      <c r="C92" s="94" t="s">
        <v>400</v>
      </c>
      <c r="D92" s="43">
        <v>12</v>
      </c>
      <c r="E92" s="110" t="s">
        <v>403</v>
      </c>
      <c r="F92" s="43">
        <v>12</v>
      </c>
      <c r="G92" s="103">
        <f t="shared" si="2"/>
        <v>0</v>
      </c>
    </row>
    <row r="93" spans="2:7" x14ac:dyDescent="0.4">
      <c r="B93" s="82">
        <v>45758</v>
      </c>
      <c r="C93" s="94" t="s">
        <v>87</v>
      </c>
      <c r="D93" s="43">
        <v>22</v>
      </c>
      <c r="E93" s="110" t="s">
        <v>403</v>
      </c>
      <c r="F93" s="43">
        <v>22</v>
      </c>
      <c r="G93" s="103">
        <f t="shared" si="2"/>
        <v>0</v>
      </c>
    </row>
    <row r="94" spans="2:7" x14ac:dyDescent="0.4">
      <c r="B94" s="82">
        <v>45758</v>
      </c>
      <c r="C94" s="36" t="s">
        <v>85</v>
      </c>
      <c r="D94" s="43">
        <v>2</v>
      </c>
      <c r="E94" s="43" t="s">
        <v>404</v>
      </c>
      <c r="F94" s="43">
        <v>2</v>
      </c>
      <c r="G94" s="103">
        <f t="shared" si="2"/>
        <v>0</v>
      </c>
    </row>
    <row r="95" spans="2:7" x14ac:dyDescent="0.4">
      <c r="B95" s="223">
        <v>45761</v>
      </c>
      <c r="C95" s="228" t="s">
        <v>133</v>
      </c>
      <c r="D95" s="225">
        <v>5</v>
      </c>
      <c r="E95" s="225" t="s">
        <v>456</v>
      </c>
      <c r="F95" s="225">
        <v>5</v>
      </c>
      <c r="G95" s="226">
        <f t="shared" si="2"/>
        <v>0</v>
      </c>
    </row>
    <row r="96" spans="2:7" x14ac:dyDescent="0.4">
      <c r="B96" s="223">
        <v>45761</v>
      </c>
      <c r="C96" s="228" t="s">
        <v>455</v>
      </c>
      <c r="D96" s="225">
        <v>3</v>
      </c>
      <c r="E96" s="225" t="s">
        <v>457</v>
      </c>
      <c r="F96" s="225">
        <v>3</v>
      </c>
      <c r="G96" s="226">
        <f t="shared" si="2"/>
        <v>0</v>
      </c>
    </row>
    <row r="97" spans="2:8" x14ac:dyDescent="0.4">
      <c r="B97" s="43"/>
      <c r="C97" s="43"/>
      <c r="D97" s="43"/>
      <c r="E97" s="43"/>
      <c r="F97" s="43"/>
      <c r="G97" s="103">
        <f t="shared" si="2"/>
        <v>0</v>
      </c>
    </row>
    <row r="98" spans="2:8" x14ac:dyDescent="0.4">
      <c r="B98" s="82">
        <v>45764</v>
      </c>
      <c r="C98" s="94" t="s">
        <v>497</v>
      </c>
      <c r="D98" s="43">
        <v>31</v>
      </c>
      <c r="E98" s="110" t="s">
        <v>145</v>
      </c>
      <c r="F98" s="43">
        <v>31</v>
      </c>
      <c r="G98" s="103">
        <f t="shared" si="2"/>
        <v>0</v>
      </c>
    </row>
    <row r="99" spans="2:8" x14ac:dyDescent="0.4">
      <c r="B99" s="82">
        <v>45764</v>
      </c>
      <c r="C99" s="94" t="s">
        <v>398</v>
      </c>
      <c r="D99" s="43">
        <v>2</v>
      </c>
      <c r="E99" s="110" t="s">
        <v>145</v>
      </c>
      <c r="F99" s="43">
        <v>2</v>
      </c>
      <c r="G99" s="103">
        <f t="shared" si="2"/>
        <v>0</v>
      </c>
    </row>
    <row r="100" spans="2:8" x14ac:dyDescent="0.4">
      <c r="B100" s="82">
        <v>45764</v>
      </c>
      <c r="C100" s="85" t="s">
        <v>492</v>
      </c>
      <c r="D100" s="43">
        <v>1</v>
      </c>
      <c r="E100" s="110" t="s">
        <v>145</v>
      </c>
      <c r="F100" s="43">
        <v>1</v>
      </c>
      <c r="G100" s="103">
        <f t="shared" si="2"/>
        <v>0</v>
      </c>
    </row>
    <row r="101" spans="2:8" x14ac:dyDescent="0.4">
      <c r="B101" s="82">
        <v>45764</v>
      </c>
      <c r="C101" s="94" t="s">
        <v>125</v>
      </c>
      <c r="D101" s="43">
        <v>5</v>
      </c>
      <c r="E101" s="110" t="s">
        <v>145</v>
      </c>
      <c r="F101" s="43">
        <v>5</v>
      </c>
      <c r="G101" s="103">
        <f t="shared" si="2"/>
        <v>0</v>
      </c>
    </row>
    <row r="102" spans="2:8" x14ac:dyDescent="0.4">
      <c r="B102" s="82">
        <v>45764</v>
      </c>
      <c r="C102" s="94" t="s">
        <v>303</v>
      </c>
      <c r="D102" s="43">
        <v>15</v>
      </c>
      <c r="E102" s="110" t="s">
        <v>145</v>
      </c>
      <c r="F102" s="43">
        <v>15</v>
      </c>
      <c r="G102" s="103">
        <f t="shared" si="2"/>
        <v>0</v>
      </c>
      <c r="H102" t="s">
        <v>525</v>
      </c>
    </row>
    <row r="103" spans="2:8" x14ac:dyDescent="0.4">
      <c r="B103" s="82">
        <v>45764</v>
      </c>
      <c r="C103" s="85" t="s">
        <v>425</v>
      </c>
      <c r="D103" s="43">
        <v>1</v>
      </c>
      <c r="E103" s="110" t="s">
        <v>145</v>
      </c>
      <c r="F103" s="43">
        <v>1</v>
      </c>
      <c r="G103" s="103">
        <f t="shared" si="2"/>
        <v>0</v>
      </c>
    </row>
    <row r="104" spans="2:8" x14ac:dyDescent="0.4">
      <c r="B104" s="82">
        <v>45764</v>
      </c>
      <c r="C104" s="93" t="s">
        <v>84</v>
      </c>
      <c r="D104" s="43">
        <v>57</v>
      </c>
      <c r="E104" s="110" t="s">
        <v>145</v>
      </c>
      <c r="F104" s="43">
        <v>57</v>
      </c>
      <c r="G104" s="103">
        <f t="shared" si="2"/>
        <v>0</v>
      </c>
    </row>
    <row r="105" spans="2:8" x14ac:dyDescent="0.4">
      <c r="B105" s="82">
        <v>45764</v>
      </c>
      <c r="C105" s="94" t="s">
        <v>123</v>
      </c>
      <c r="D105" s="43">
        <v>14</v>
      </c>
      <c r="E105" s="110" t="s">
        <v>145</v>
      </c>
      <c r="F105" s="43">
        <v>14</v>
      </c>
      <c r="G105" s="103">
        <f t="shared" si="2"/>
        <v>0</v>
      </c>
    </row>
    <row r="106" spans="2:8" x14ac:dyDescent="0.4">
      <c r="B106" s="82">
        <v>45764</v>
      </c>
      <c r="C106" s="85" t="s">
        <v>124</v>
      </c>
      <c r="D106" s="43">
        <v>9</v>
      </c>
      <c r="E106" s="110" t="s">
        <v>145</v>
      </c>
      <c r="F106" s="43">
        <v>9</v>
      </c>
      <c r="G106" s="103">
        <f t="shared" si="2"/>
        <v>0</v>
      </c>
    </row>
    <row r="107" spans="2:8" x14ac:dyDescent="0.4">
      <c r="B107" s="82">
        <v>45764</v>
      </c>
      <c r="C107" s="85" t="s">
        <v>482</v>
      </c>
      <c r="D107" s="43">
        <v>48</v>
      </c>
      <c r="E107" s="110" t="s">
        <v>145</v>
      </c>
      <c r="F107" s="43">
        <v>48</v>
      </c>
      <c r="G107" s="103">
        <f t="shared" si="2"/>
        <v>0</v>
      </c>
    </row>
    <row r="108" spans="2:8" x14ac:dyDescent="0.4">
      <c r="B108" s="82">
        <v>45764</v>
      </c>
      <c r="C108" s="116" t="s">
        <v>84</v>
      </c>
      <c r="D108" s="43">
        <v>5</v>
      </c>
      <c r="E108" s="225" t="s">
        <v>527</v>
      </c>
      <c r="F108" s="43">
        <v>5</v>
      </c>
      <c r="G108" s="103">
        <f t="shared" si="2"/>
        <v>0</v>
      </c>
    </row>
    <row r="109" spans="2:8" x14ac:dyDescent="0.4">
      <c r="B109" s="82">
        <v>45762</v>
      </c>
      <c r="C109" s="85" t="s">
        <v>529</v>
      </c>
      <c r="D109" s="43">
        <v>2</v>
      </c>
      <c r="E109" s="225" t="s">
        <v>276</v>
      </c>
      <c r="F109" s="43">
        <v>2</v>
      </c>
      <c r="G109" s="103">
        <f t="shared" si="2"/>
        <v>0</v>
      </c>
    </row>
    <row r="110" spans="2:8" x14ac:dyDescent="0.4">
      <c r="B110" s="82">
        <v>45764</v>
      </c>
      <c r="C110" s="85" t="s">
        <v>528</v>
      </c>
      <c r="D110" s="43">
        <v>4</v>
      </c>
      <c r="E110" s="225" t="s">
        <v>276</v>
      </c>
      <c r="F110" s="43">
        <v>4</v>
      </c>
      <c r="G110" s="103">
        <f t="shared" si="2"/>
        <v>0</v>
      </c>
    </row>
    <row r="111" spans="2:8" x14ac:dyDescent="0.4">
      <c r="B111" s="82">
        <v>45764</v>
      </c>
      <c r="C111" s="85" t="s">
        <v>512</v>
      </c>
      <c r="D111" s="43">
        <v>4</v>
      </c>
      <c r="E111" s="110" t="s">
        <v>145</v>
      </c>
      <c r="F111" s="43">
        <v>4</v>
      </c>
      <c r="G111" s="103">
        <f t="shared" si="2"/>
        <v>0</v>
      </c>
    </row>
    <row r="112" spans="2:8" x14ac:dyDescent="0.4">
      <c r="B112" s="82">
        <v>45764</v>
      </c>
      <c r="C112" s="85" t="s">
        <v>513</v>
      </c>
      <c r="D112" s="43">
        <v>1</v>
      </c>
      <c r="E112" s="110" t="s">
        <v>145</v>
      </c>
      <c r="F112" s="43">
        <v>1</v>
      </c>
      <c r="G112" s="103">
        <f t="shared" si="2"/>
        <v>0</v>
      </c>
    </row>
    <row r="113" spans="2:7" x14ac:dyDescent="0.4">
      <c r="B113" s="82">
        <v>45764</v>
      </c>
      <c r="C113" s="94" t="s">
        <v>86</v>
      </c>
      <c r="D113" s="43">
        <v>1</v>
      </c>
      <c r="E113" s="110" t="s">
        <v>145</v>
      </c>
      <c r="F113" s="43">
        <v>1</v>
      </c>
      <c r="G113" s="103">
        <f t="shared" si="2"/>
        <v>0</v>
      </c>
    </row>
    <row r="114" spans="2:7" x14ac:dyDescent="0.4">
      <c r="B114" s="82">
        <v>45764</v>
      </c>
      <c r="C114" s="103" t="s">
        <v>302</v>
      </c>
      <c r="D114" s="43">
        <v>1</v>
      </c>
      <c r="E114" s="110" t="s">
        <v>145</v>
      </c>
      <c r="F114" s="43">
        <v>1</v>
      </c>
      <c r="G114" s="103">
        <f t="shared" si="2"/>
        <v>0</v>
      </c>
    </row>
    <row r="115" spans="2:7" x14ac:dyDescent="0.4">
      <c r="B115" s="82">
        <v>45764</v>
      </c>
      <c r="C115" s="103" t="s">
        <v>380</v>
      </c>
      <c r="D115" s="43">
        <v>9</v>
      </c>
      <c r="E115" s="110" t="s">
        <v>145</v>
      </c>
      <c r="F115" s="43">
        <v>9</v>
      </c>
      <c r="G115" s="103">
        <f t="shared" si="2"/>
        <v>0</v>
      </c>
    </row>
    <row r="116" spans="2:7" x14ac:dyDescent="0.4">
      <c r="B116" s="82">
        <v>45764</v>
      </c>
      <c r="C116" s="103" t="s">
        <v>423</v>
      </c>
      <c r="D116" s="43">
        <v>13</v>
      </c>
      <c r="E116" s="110" t="s">
        <v>145</v>
      </c>
      <c r="F116" s="43">
        <v>13</v>
      </c>
      <c r="G116" s="103">
        <f t="shared" si="2"/>
        <v>0</v>
      </c>
    </row>
    <row r="117" spans="2:7" x14ac:dyDescent="0.4">
      <c r="B117" s="82">
        <v>45764</v>
      </c>
      <c r="C117" s="103" t="s">
        <v>266</v>
      </c>
      <c r="D117" s="43">
        <v>16</v>
      </c>
      <c r="E117" s="110" t="s">
        <v>145</v>
      </c>
      <c r="F117" s="43">
        <v>16</v>
      </c>
      <c r="G117" s="103">
        <f t="shared" si="2"/>
        <v>0</v>
      </c>
    </row>
    <row r="118" spans="2:7" x14ac:dyDescent="0.4">
      <c r="B118" s="82">
        <v>45764</v>
      </c>
      <c r="C118" s="103" t="s">
        <v>390</v>
      </c>
      <c r="D118" s="43">
        <v>2</v>
      </c>
      <c r="E118" s="110" t="s">
        <v>145</v>
      </c>
      <c r="F118" s="43">
        <v>2</v>
      </c>
      <c r="G118" s="103">
        <f t="shared" si="2"/>
        <v>0</v>
      </c>
    </row>
    <row r="119" spans="2:7" x14ac:dyDescent="0.4">
      <c r="B119" s="219">
        <v>45767</v>
      </c>
      <c r="C119" s="252" t="s">
        <v>390</v>
      </c>
      <c r="D119" s="43">
        <v>9</v>
      </c>
      <c r="E119" s="225" t="s">
        <v>553</v>
      </c>
      <c r="F119" s="43">
        <v>9</v>
      </c>
      <c r="G119" s="103">
        <f t="shared" si="2"/>
        <v>0</v>
      </c>
    </row>
    <row r="120" spans="2:7" x14ac:dyDescent="0.4">
      <c r="B120" s="219">
        <v>45764</v>
      </c>
      <c r="C120" s="252" t="s">
        <v>136</v>
      </c>
      <c r="D120" s="43">
        <v>2</v>
      </c>
      <c r="E120" s="240" t="s">
        <v>554</v>
      </c>
      <c r="F120" s="43">
        <v>2</v>
      </c>
      <c r="G120" s="103">
        <f t="shared" si="2"/>
        <v>0</v>
      </c>
    </row>
    <row r="121" spans="2:7" x14ac:dyDescent="0.4">
      <c r="B121" s="219">
        <v>45769</v>
      </c>
      <c r="C121" s="253" t="s">
        <v>87</v>
      </c>
      <c r="D121" s="43">
        <v>14</v>
      </c>
      <c r="E121" s="240" t="s">
        <v>555</v>
      </c>
      <c r="F121" s="43">
        <v>14</v>
      </c>
      <c r="G121" s="103">
        <f t="shared" si="2"/>
        <v>0</v>
      </c>
    </row>
    <row r="122" spans="2:7" x14ac:dyDescent="0.4">
      <c r="B122" s="219">
        <v>45771</v>
      </c>
      <c r="C122" s="241" t="s">
        <v>529</v>
      </c>
      <c r="D122" s="43">
        <v>2</v>
      </c>
      <c r="E122" s="240" t="s">
        <v>554</v>
      </c>
      <c r="F122" s="43">
        <v>2</v>
      </c>
      <c r="G122" s="103">
        <f t="shared" si="2"/>
        <v>0</v>
      </c>
    </row>
    <row r="123" spans="2:7" x14ac:dyDescent="0.4">
      <c r="B123" s="219">
        <v>45771</v>
      </c>
      <c r="C123" s="241" t="s">
        <v>136</v>
      </c>
      <c r="D123" s="43">
        <v>2</v>
      </c>
      <c r="E123" s="240" t="s">
        <v>554</v>
      </c>
      <c r="F123" s="43">
        <v>2</v>
      </c>
      <c r="G123" s="103">
        <f t="shared" si="2"/>
        <v>0</v>
      </c>
    </row>
    <row r="124" spans="2:7" x14ac:dyDescent="0.4">
      <c r="G124" s="156">
        <f t="shared" si="2"/>
        <v>0</v>
      </c>
    </row>
    <row r="125" spans="2:7" x14ac:dyDescent="0.4">
      <c r="B125" s="82">
        <v>45775</v>
      </c>
      <c r="C125" s="103" t="s">
        <v>390</v>
      </c>
      <c r="D125" s="43">
        <v>53</v>
      </c>
      <c r="E125" s="110" t="s">
        <v>621</v>
      </c>
      <c r="F125" s="43">
        <v>53</v>
      </c>
      <c r="G125" s="103">
        <f t="shared" si="2"/>
        <v>0</v>
      </c>
    </row>
    <row r="126" spans="2:7" x14ac:dyDescent="0.4">
      <c r="B126" s="82">
        <v>45775</v>
      </c>
      <c r="C126" s="94" t="s">
        <v>87</v>
      </c>
      <c r="D126" s="43">
        <v>5</v>
      </c>
      <c r="E126" s="110" t="s">
        <v>621</v>
      </c>
      <c r="F126" s="43">
        <v>5</v>
      </c>
      <c r="G126" s="103">
        <f t="shared" si="2"/>
        <v>0</v>
      </c>
    </row>
    <row r="127" spans="2:7" x14ac:dyDescent="0.4">
      <c r="B127" s="82">
        <v>45775</v>
      </c>
      <c r="C127" s="94" t="s">
        <v>303</v>
      </c>
      <c r="D127" s="43">
        <v>18</v>
      </c>
      <c r="E127" s="110" t="s">
        <v>621</v>
      </c>
      <c r="F127" s="43">
        <v>18</v>
      </c>
      <c r="G127" s="103">
        <f t="shared" si="2"/>
        <v>0</v>
      </c>
    </row>
    <row r="128" spans="2:7" x14ac:dyDescent="0.4">
      <c r="B128" s="82">
        <v>45775</v>
      </c>
      <c r="C128" s="85" t="s">
        <v>512</v>
      </c>
      <c r="D128" s="43">
        <v>15</v>
      </c>
      <c r="E128" s="110" t="s">
        <v>621</v>
      </c>
      <c r="F128" s="43">
        <v>15</v>
      </c>
      <c r="G128" s="103">
        <f t="shared" si="2"/>
        <v>0</v>
      </c>
    </row>
    <row r="129" spans="2:7" x14ac:dyDescent="0.4">
      <c r="B129" s="82">
        <v>45775</v>
      </c>
      <c r="C129" s="85" t="s">
        <v>513</v>
      </c>
      <c r="D129" s="43">
        <v>11</v>
      </c>
      <c r="E129" s="110" t="s">
        <v>621</v>
      </c>
      <c r="F129" s="43">
        <v>11</v>
      </c>
      <c r="G129" s="103">
        <f t="shared" si="2"/>
        <v>0</v>
      </c>
    </row>
    <row r="130" spans="2:7" x14ac:dyDescent="0.4">
      <c r="B130" s="82">
        <v>45775</v>
      </c>
      <c r="C130" s="94" t="s">
        <v>123</v>
      </c>
      <c r="D130" s="43">
        <v>6</v>
      </c>
      <c r="E130" s="110" t="s">
        <v>621</v>
      </c>
      <c r="F130" s="43">
        <v>6</v>
      </c>
      <c r="G130" s="103">
        <f t="shared" si="2"/>
        <v>0</v>
      </c>
    </row>
    <row r="131" spans="2:7" x14ac:dyDescent="0.4">
      <c r="B131" s="82">
        <v>45775</v>
      </c>
      <c r="C131" s="85" t="s">
        <v>124</v>
      </c>
      <c r="D131" s="43">
        <v>2</v>
      </c>
      <c r="E131" s="110" t="s">
        <v>621</v>
      </c>
      <c r="F131" s="43">
        <v>2</v>
      </c>
      <c r="G131" s="103">
        <f t="shared" si="2"/>
        <v>0</v>
      </c>
    </row>
    <row r="132" spans="2:7" x14ac:dyDescent="0.4">
      <c r="B132" s="82">
        <v>45775</v>
      </c>
      <c r="C132" s="94" t="s">
        <v>597</v>
      </c>
      <c r="D132" s="43">
        <v>1</v>
      </c>
      <c r="E132" s="110" t="s">
        <v>621</v>
      </c>
      <c r="F132" s="43">
        <v>1</v>
      </c>
      <c r="G132" s="103">
        <f t="shared" si="2"/>
        <v>0</v>
      </c>
    </row>
    <row r="133" spans="2:7" x14ac:dyDescent="0.4">
      <c r="B133" s="82">
        <v>45775</v>
      </c>
      <c r="C133" s="103" t="s">
        <v>550</v>
      </c>
      <c r="D133" s="43">
        <v>5</v>
      </c>
      <c r="E133" s="110" t="s">
        <v>621</v>
      </c>
      <c r="F133" s="43">
        <v>5</v>
      </c>
      <c r="G133" s="103">
        <f t="shared" si="2"/>
        <v>0</v>
      </c>
    </row>
    <row r="134" spans="2:7" x14ac:dyDescent="0.4">
      <c r="B134" s="82">
        <v>45775</v>
      </c>
      <c r="C134" s="94" t="s">
        <v>398</v>
      </c>
      <c r="D134" s="43">
        <v>3</v>
      </c>
      <c r="E134" s="110" t="s">
        <v>621</v>
      </c>
      <c r="F134" s="43">
        <v>3</v>
      </c>
      <c r="G134" s="103">
        <f t="shared" si="2"/>
        <v>0</v>
      </c>
    </row>
    <row r="135" spans="2:7" x14ac:dyDescent="0.4">
      <c r="B135" s="82">
        <v>45775</v>
      </c>
      <c r="C135" s="103" t="s">
        <v>266</v>
      </c>
      <c r="D135" s="43">
        <v>39</v>
      </c>
      <c r="E135" s="110" t="s">
        <v>621</v>
      </c>
      <c r="F135" s="43">
        <v>39</v>
      </c>
      <c r="G135" s="103">
        <f t="shared" si="2"/>
        <v>0</v>
      </c>
    </row>
    <row r="136" spans="2:7" x14ac:dyDescent="0.4">
      <c r="B136" s="82">
        <v>45775</v>
      </c>
      <c r="C136" s="103" t="s">
        <v>380</v>
      </c>
      <c r="D136" s="43">
        <v>15</v>
      </c>
      <c r="E136" s="110" t="s">
        <v>621</v>
      </c>
      <c r="F136" s="43">
        <v>15</v>
      </c>
      <c r="G136" s="103">
        <f t="shared" si="2"/>
        <v>0</v>
      </c>
    </row>
    <row r="137" spans="2:7" x14ac:dyDescent="0.4">
      <c r="B137" s="82">
        <v>45775</v>
      </c>
      <c r="C137" s="94" t="s">
        <v>598</v>
      </c>
      <c r="D137" s="43">
        <v>47</v>
      </c>
      <c r="E137" s="110" t="s">
        <v>621</v>
      </c>
      <c r="F137" s="43">
        <v>47</v>
      </c>
      <c r="G137" s="103">
        <f t="shared" si="2"/>
        <v>0</v>
      </c>
    </row>
    <row r="138" spans="2:7" x14ac:dyDescent="0.4">
      <c r="B138" s="82">
        <v>45775</v>
      </c>
      <c r="C138" s="94" t="s">
        <v>497</v>
      </c>
      <c r="D138" s="43">
        <v>26</v>
      </c>
      <c r="E138" s="110" t="s">
        <v>621</v>
      </c>
      <c r="F138" s="43">
        <v>26</v>
      </c>
      <c r="G138" s="103">
        <f t="shared" si="2"/>
        <v>0</v>
      </c>
    </row>
    <row r="139" spans="2:7" x14ac:dyDescent="0.4">
      <c r="B139" s="82">
        <v>45775</v>
      </c>
      <c r="C139" s="94" t="s">
        <v>482</v>
      </c>
      <c r="D139" s="43">
        <v>30</v>
      </c>
      <c r="E139" s="110" t="s">
        <v>621</v>
      </c>
      <c r="F139" s="43">
        <v>30</v>
      </c>
      <c r="G139" s="103">
        <f t="shared" si="2"/>
        <v>0</v>
      </c>
    </row>
    <row r="140" spans="2:7" x14ac:dyDescent="0.4">
      <c r="B140" s="219">
        <v>45779</v>
      </c>
      <c r="C140" s="241" t="s">
        <v>136</v>
      </c>
      <c r="D140" s="240">
        <v>4</v>
      </c>
      <c r="E140" s="240" t="s">
        <v>554</v>
      </c>
      <c r="F140" s="240">
        <v>4</v>
      </c>
      <c r="G140" s="252">
        <f t="shared" si="2"/>
        <v>0</v>
      </c>
    </row>
    <row r="141" spans="2:7" x14ac:dyDescent="0.4">
      <c r="B141" s="219">
        <v>45782</v>
      </c>
      <c r="C141" s="241" t="s">
        <v>638</v>
      </c>
      <c r="D141" s="240">
        <v>108</v>
      </c>
      <c r="E141" s="240" t="s">
        <v>554</v>
      </c>
      <c r="F141" s="240">
        <v>108</v>
      </c>
      <c r="G141" s="252">
        <f t="shared" si="2"/>
        <v>0</v>
      </c>
    </row>
    <row r="142" spans="2:7" x14ac:dyDescent="0.4">
      <c r="B142" s="219">
        <v>45784</v>
      </c>
      <c r="C142" s="241" t="s">
        <v>529</v>
      </c>
      <c r="D142" s="242">
        <v>5</v>
      </c>
      <c r="E142" s="270" t="s">
        <v>554</v>
      </c>
      <c r="F142" s="242">
        <v>5</v>
      </c>
      <c r="G142" s="264">
        <f t="shared" si="2"/>
        <v>0</v>
      </c>
    </row>
    <row r="143" spans="2:7" x14ac:dyDescent="0.4">
      <c r="B143" s="82">
        <v>45784</v>
      </c>
      <c r="C143" s="94" t="s">
        <v>497</v>
      </c>
      <c r="D143" s="43">
        <v>700</v>
      </c>
      <c r="E143" s="110" t="s">
        <v>655</v>
      </c>
      <c r="F143" s="43">
        <v>700</v>
      </c>
      <c r="G143" s="103">
        <f t="shared" si="2"/>
        <v>0</v>
      </c>
    </row>
    <row r="144" spans="2:7" x14ac:dyDescent="0.4">
      <c r="B144" s="82">
        <v>45784</v>
      </c>
      <c r="C144" s="93" t="s">
        <v>76</v>
      </c>
      <c r="D144" s="43">
        <v>147</v>
      </c>
      <c r="E144" s="110" t="s">
        <v>655</v>
      </c>
      <c r="F144" s="43">
        <v>147</v>
      </c>
      <c r="G144" s="103">
        <f t="shared" si="2"/>
        <v>0</v>
      </c>
    </row>
    <row r="145" spans="2:7" x14ac:dyDescent="0.4">
      <c r="B145" s="82">
        <v>45784</v>
      </c>
      <c r="C145" s="94" t="s">
        <v>123</v>
      </c>
      <c r="D145" s="43">
        <v>200</v>
      </c>
      <c r="E145" s="110" t="s">
        <v>655</v>
      </c>
      <c r="F145" s="43">
        <v>200</v>
      </c>
      <c r="G145" s="103">
        <f t="shared" si="2"/>
        <v>0</v>
      </c>
    </row>
    <row r="146" spans="2:7" x14ac:dyDescent="0.4">
      <c r="B146" s="82">
        <v>45784</v>
      </c>
      <c r="C146" s="93" t="s">
        <v>84</v>
      </c>
      <c r="D146" s="43">
        <v>34</v>
      </c>
      <c r="E146" s="110" t="s">
        <v>655</v>
      </c>
      <c r="F146" s="43">
        <v>34</v>
      </c>
      <c r="G146" s="103">
        <f t="shared" si="2"/>
        <v>0</v>
      </c>
    </row>
    <row r="147" spans="2:7" x14ac:dyDescent="0.4">
      <c r="B147" s="82">
        <v>45784</v>
      </c>
      <c r="C147" s="93" t="s">
        <v>653</v>
      </c>
      <c r="D147" s="43">
        <v>250</v>
      </c>
      <c r="E147" s="110" t="s">
        <v>655</v>
      </c>
      <c r="F147" s="43">
        <v>250</v>
      </c>
      <c r="G147" s="103">
        <f t="shared" si="2"/>
        <v>0</v>
      </c>
    </row>
    <row r="148" spans="2:7" x14ac:dyDescent="0.4">
      <c r="B148" s="82">
        <v>45785</v>
      </c>
      <c r="C148" s="93" t="s">
        <v>660</v>
      </c>
      <c r="D148" s="43">
        <v>5</v>
      </c>
      <c r="E148" s="43" t="s">
        <v>655</v>
      </c>
      <c r="F148" s="43">
        <v>5</v>
      </c>
      <c r="G148" s="103">
        <f t="shared" si="2"/>
        <v>0</v>
      </c>
    </row>
    <row r="149" spans="2:7" x14ac:dyDescent="0.4">
      <c r="B149" s="82">
        <v>45785</v>
      </c>
      <c r="C149" s="93" t="s">
        <v>661</v>
      </c>
      <c r="D149" s="43">
        <v>5</v>
      </c>
      <c r="E149" s="43" t="s">
        <v>655</v>
      </c>
      <c r="F149" s="43">
        <v>5</v>
      </c>
      <c r="G149" s="103">
        <f t="shared" si="2"/>
        <v>0</v>
      </c>
    </row>
    <row r="150" spans="2:7" x14ac:dyDescent="0.4">
      <c r="B150" s="82">
        <v>45785</v>
      </c>
      <c r="C150" s="85" t="s">
        <v>492</v>
      </c>
      <c r="D150" s="43">
        <v>5</v>
      </c>
      <c r="E150" s="43" t="s">
        <v>655</v>
      </c>
      <c r="F150" s="43">
        <v>5</v>
      </c>
      <c r="G150" s="103">
        <f t="shared" si="2"/>
        <v>0</v>
      </c>
    </row>
    <row r="151" spans="2:7" x14ac:dyDescent="0.4">
      <c r="B151" s="219">
        <v>45789</v>
      </c>
      <c r="C151" s="253" t="s">
        <v>123</v>
      </c>
      <c r="D151" s="240">
        <v>10</v>
      </c>
      <c r="E151" s="240" t="s">
        <v>554</v>
      </c>
      <c r="F151" s="240">
        <v>10</v>
      </c>
      <c r="G151" s="252">
        <f t="shared" ref="G151:G215" si="3">D151-F151</f>
        <v>0</v>
      </c>
    </row>
    <row r="152" spans="2:7" x14ac:dyDescent="0.4">
      <c r="B152" s="219">
        <v>45789</v>
      </c>
      <c r="C152" s="253" t="s">
        <v>123</v>
      </c>
      <c r="D152" s="240">
        <v>2</v>
      </c>
      <c r="E152" s="240" t="s">
        <v>656</v>
      </c>
      <c r="F152" s="240">
        <v>2</v>
      </c>
      <c r="G152" s="252">
        <f t="shared" si="3"/>
        <v>0</v>
      </c>
    </row>
    <row r="153" spans="2:7" x14ac:dyDescent="0.4">
      <c r="B153" s="219">
        <v>45800</v>
      </c>
      <c r="C153" s="241" t="s">
        <v>136</v>
      </c>
      <c r="D153" s="240">
        <v>3</v>
      </c>
      <c r="E153" s="240" t="s">
        <v>554</v>
      </c>
      <c r="F153" s="240">
        <v>3</v>
      </c>
      <c r="G153" s="252">
        <f t="shared" si="3"/>
        <v>0</v>
      </c>
    </row>
    <row r="154" spans="2:7" x14ac:dyDescent="0.4">
      <c r="B154" s="82">
        <v>45799</v>
      </c>
      <c r="C154" s="93" t="s">
        <v>690</v>
      </c>
      <c r="D154" s="43">
        <v>8</v>
      </c>
      <c r="E154" s="43" t="s">
        <v>693</v>
      </c>
      <c r="F154" s="43">
        <v>8</v>
      </c>
      <c r="G154" s="103">
        <f t="shared" si="3"/>
        <v>0</v>
      </c>
    </row>
    <row r="155" spans="2:7" x14ac:dyDescent="0.4">
      <c r="B155" s="82">
        <v>45799</v>
      </c>
      <c r="C155" s="94" t="s">
        <v>303</v>
      </c>
      <c r="D155" s="43">
        <v>3</v>
      </c>
      <c r="E155" s="43" t="s">
        <v>693</v>
      </c>
      <c r="F155" s="43">
        <v>3</v>
      </c>
      <c r="G155" s="103">
        <f t="shared" si="3"/>
        <v>0</v>
      </c>
    </row>
    <row r="156" spans="2:7" x14ac:dyDescent="0.4">
      <c r="B156" s="82">
        <v>45799</v>
      </c>
      <c r="C156" s="93" t="s">
        <v>681</v>
      </c>
      <c r="D156" s="43">
        <v>61</v>
      </c>
      <c r="E156" s="43" t="s">
        <v>693</v>
      </c>
      <c r="F156" s="43">
        <v>61</v>
      </c>
      <c r="G156" s="103">
        <f t="shared" si="3"/>
        <v>0</v>
      </c>
    </row>
    <row r="157" spans="2:7" x14ac:dyDescent="0.4">
      <c r="B157" s="82">
        <v>45799</v>
      </c>
      <c r="C157" s="93" t="s">
        <v>84</v>
      </c>
      <c r="D157" s="43">
        <v>26</v>
      </c>
      <c r="E157" s="43" t="s">
        <v>693</v>
      </c>
      <c r="F157" s="43">
        <v>26</v>
      </c>
      <c r="G157" s="103">
        <f t="shared" si="3"/>
        <v>0</v>
      </c>
    </row>
    <row r="158" spans="2:7" x14ac:dyDescent="0.4">
      <c r="B158" s="82">
        <v>45799</v>
      </c>
      <c r="C158" s="85" t="s">
        <v>512</v>
      </c>
      <c r="D158" s="43">
        <v>10</v>
      </c>
      <c r="E158" s="43" t="s">
        <v>693</v>
      </c>
      <c r="F158" s="43">
        <v>10</v>
      </c>
      <c r="G158" s="103">
        <f t="shared" si="3"/>
        <v>0</v>
      </c>
    </row>
    <row r="159" spans="2:7" x14ac:dyDescent="0.4">
      <c r="B159" s="82">
        <v>45799</v>
      </c>
      <c r="C159" s="85" t="s">
        <v>513</v>
      </c>
      <c r="D159" s="43">
        <v>12</v>
      </c>
      <c r="E159" s="43" t="s">
        <v>693</v>
      </c>
      <c r="F159" s="43">
        <v>12</v>
      </c>
      <c r="G159" s="103">
        <f t="shared" si="3"/>
        <v>0</v>
      </c>
    </row>
    <row r="160" spans="2:7" x14ac:dyDescent="0.4">
      <c r="B160" s="82">
        <v>45799</v>
      </c>
      <c r="C160" s="93" t="s">
        <v>691</v>
      </c>
      <c r="D160" s="43">
        <v>1</v>
      </c>
      <c r="E160" s="43" t="s">
        <v>693</v>
      </c>
      <c r="F160" s="43">
        <v>1</v>
      </c>
      <c r="G160" s="103">
        <f t="shared" si="3"/>
        <v>0</v>
      </c>
    </row>
    <row r="161" spans="2:7" x14ac:dyDescent="0.4">
      <c r="B161" s="82">
        <v>45799</v>
      </c>
      <c r="C161" s="93" t="s">
        <v>661</v>
      </c>
      <c r="D161" s="43">
        <v>10</v>
      </c>
      <c r="E161" s="43" t="s">
        <v>693</v>
      </c>
      <c r="F161" s="43">
        <v>10</v>
      </c>
      <c r="G161" s="103">
        <f t="shared" si="3"/>
        <v>0</v>
      </c>
    </row>
    <row r="162" spans="2:7" x14ac:dyDescent="0.4">
      <c r="B162" s="82">
        <v>45799</v>
      </c>
      <c r="C162" s="103" t="s">
        <v>390</v>
      </c>
      <c r="D162" s="43">
        <v>48</v>
      </c>
      <c r="E162" s="43" t="s">
        <v>693</v>
      </c>
      <c r="F162" s="43">
        <v>48</v>
      </c>
      <c r="G162" s="103">
        <f t="shared" si="3"/>
        <v>0</v>
      </c>
    </row>
    <row r="163" spans="2:7" x14ac:dyDescent="0.4">
      <c r="B163" s="82">
        <v>45799</v>
      </c>
      <c r="C163" s="103" t="s">
        <v>266</v>
      </c>
      <c r="D163" s="43">
        <v>10</v>
      </c>
      <c r="E163" s="43" t="s">
        <v>693</v>
      </c>
      <c r="F163" s="43">
        <v>10</v>
      </c>
      <c r="G163" s="103">
        <f t="shared" si="3"/>
        <v>0</v>
      </c>
    </row>
    <row r="164" spans="2:7" x14ac:dyDescent="0.4">
      <c r="B164" s="82">
        <v>45799</v>
      </c>
      <c r="C164" s="103" t="s">
        <v>380</v>
      </c>
      <c r="D164" s="43">
        <v>4</v>
      </c>
      <c r="E164" s="43" t="s">
        <v>693</v>
      </c>
      <c r="F164" s="43">
        <v>4</v>
      </c>
      <c r="G164" s="103">
        <f t="shared" si="3"/>
        <v>0</v>
      </c>
    </row>
    <row r="165" spans="2:7" x14ac:dyDescent="0.4">
      <c r="B165" s="279">
        <v>45803</v>
      </c>
      <c r="C165" s="241" t="s">
        <v>133</v>
      </c>
      <c r="D165" s="43">
        <v>1</v>
      </c>
      <c r="E165" s="240" t="s">
        <v>656</v>
      </c>
      <c r="F165" s="43">
        <v>1</v>
      </c>
      <c r="G165" s="103">
        <f t="shared" si="3"/>
        <v>0</v>
      </c>
    </row>
    <row r="166" spans="2:7" x14ac:dyDescent="0.4">
      <c r="B166" s="279">
        <v>45803</v>
      </c>
      <c r="C166" s="241" t="s">
        <v>694</v>
      </c>
      <c r="D166" s="43">
        <v>1</v>
      </c>
      <c r="E166" s="240" t="s">
        <v>656</v>
      </c>
      <c r="F166" s="43">
        <v>1</v>
      </c>
      <c r="G166" s="103">
        <f t="shared" si="3"/>
        <v>0</v>
      </c>
    </row>
    <row r="167" spans="2:7" x14ac:dyDescent="0.4">
      <c r="B167" s="280">
        <v>45806</v>
      </c>
      <c r="C167" s="281" t="s">
        <v>136</v>
      </c>
      <c r="D167" s="283">
        <v>5</v>
      </c>
      <c r="E167" s="282" t="s">
        <v>701</v>
      </c>
      <c r="F167" s="283">
        <v>5</v>
      </c>
      <c r="G167" s="285">
        <f t="shared" si="3"/>
        <v>0</v>
      </c>
    </row>
    <row r="168" spans="2:7" x14ac:dyDescent="0.4">
      <c r="B168" s="280">
        <v>45806</v>
      </c>
      <c r="C168" s="281" t="s">
        <v>133</v>
      </c>
      <c r="D168" s="283">
        <v>8</v>
      </c>
      <c r="E168" s="282" t="s">
        <v>701</v>
      </c>
      <c r="F168" s="283">
        <v>8</v>
      </c>
      <c r="G168" s="285">
        <f t="shared" si="3"/>
        <v>0</v>
      </c>
    </row>
    <row r="169" spans="2:7" x14ac:dyDescent="0.4">
      <c r="B169" s="280">
        <v>45806</v>
      </c>
      <c r="C169" s="285" t="s">
        <v>700</v>
      </c>
      <c r="D169" s="283">
        <v>11</v>
      </c>
      <c r="E169" s="282" t="s">
        <v>701</v>
      </c>
      <c r="F169" s="283">
        <v>11</v>
      </c>
      <c r="G169" s="285">
        <f t="shared" si="3"/>
        <v>0</v>
      </c>
    </row>
    <row r="170" spans="2:7" x14ac:dyDescent="0.4">
      <c r="B170" s="280">
        <v>45806</v>
      </c>
      <c r="C170" s="285" t="s">
        <v>397</v>
      </c>
      <c r="D170" s="283">
        <v>11</v>
      </c>
      <c r="E170" s="282" t="s">
        <v>701</v>
      </c>
      <c r="F170" s="283">
        <v>11</v>
      </c>
      <c r="G170" s="285">
        <f t="shared" si="3"/>
        <v>0</v>
      </c>
    </row>
    <row r="171" spans="2:7" x14ac:dyDescent="0.4">
      <c r="B171" s="280">
        <v>45806</v>
      </c>
      <c r="C171" s="285" t="s">
        <v>390</v>
      </c>
      <c r="D171" s="283">
        <v>7</v>
      </c>
      <c r="E171" s="282" t="s">
        <v>701</v>
      </c>
      <c r="F171" s="283">
        <v>7</v>
      </c>
      <c r="G171" s="285">
        <f t="shared" si="3"/>
        <v>0</v>
      </c>
    </row>
    <row r="172" spans="2:7" x14ac:dyDescent="0.4">
      <c r="B172" s="279">
        <v>45785</v>
      </c>
      <c r="C172" s="241" t="s">
        <v>136</v>
      </c>
      <c r="D172" s="240">
        <v>2</v>
      </c>
      <c r="E172" s="240" t="s">
        <v>706</v>
      </c>
      <c r="F172" s="240">
        <v>2</v>
      </c>
      <c r="G172" s="252">
        <f t="shared" si="3"/>
        <v>0</v>
      </c>
    </row>
    <row r="173" spans="2:7" x14ac:dyDescent="0.4">
      <c r="B173" s="271">
        <v>45811</v>
      </c>
      <c r="C173" s="94" t="s">
        <v>76</v>
      </c>
      <c r="D173" s="43">
        <v>200</v>
      </c>
      <c r="E173" s="43" t="s">
        <v>745</v>
      </c>
      <c r="F173" s="43">
        <v>200</v>
      </c>
      <c r="G173" s="103">
        <f t="shared" si="3"/>
        <v>0</v>
      </c>
    </row>
    <row r="174" spans="2:7" x14ac:dyDescent="0.4">
      <c r="B174" s="271">
        <v>45811</v>
      </c>
      <c r="C174" s="94" t="s">
        <v>123</v>
      </c>
      <c r="D174" s="43">
        <v>100</v>
      </c>
      <c r="E174" s="43" t="s">
        <v>745</v>
      </c>
      <c r="F174" s="43">
        <v>100</v>
      </c>
      <c r="G174" s="103">
        <f t="shared" si="3"/>
        <v>0</v>
      </c>
    </row>
    <row r="175" spans="2:7" x14ac:dyDescent="0.4">
      <c r="B175" s="271">
        <v>45811</v>
      </c>
      <c r="C175" s="94" t="s">
        <v>690</v>
      </c>
      <c r="D175" s="43">
        <v>10</v>
      </c>
      <c r="E175" s="43" t="s">
        <v>745</v>
      </c>
      <c r="F175" s="43">
        <v>10</v>
      </c>
      <c r="G175" s="103">
        <f t="shared" si="3"/>
        <v>0</v>
      </c>
    </row>
    <row r="176" spans="2:7" x14ac:dyDescent="0.4">
      <c r="B176" s="280">
        <v>45787</v>
      </c>
      <c r="C176" s="296" t="s">
        <v>425</v>
      </c>
      <c r="D176" s="282">
        <v>76</v>
      </c>
      <c r="E176" s="282" t="s">
        <v>701</v>
      </c>
      <c r="F176" s="282">
        <v>76</v>
      </c>
      <c r="G176" s="285">
        <f t="shared" si="3"/>
        <v>0</v>
      </c>
    </row>
    <row r="177" spans="2:7" x14ac:dyDescent="0.4">
      <c r="B177" s="271">
        <v>45819</v>
      </c>
      <c r="C177" s="94" t="s">
        <v>76</v>
      </c>
      <c r="D177" s="43">
        <v>300</v>
      </c>
      <c r="E177" s="43" t="s">
        <v>749</v>
      </c>
      <c r="F177" s="43">
        <v>300</v>
      </c>
      <c r="G177" s="103">
        <f t="shared" si="3"/>
        <v>0</v>
      </c>
    </row>
    <row r="178" spans="2:7" x14ac:dyDescent="0.4">
      <c r="B178" s="271">
        <v>45819</v>
      </c>
      <c r="C178" s="93" t="s">
        <v>653</v>
      </c>
      <c r="D178" s="43">
        <v>250</v>
      </c>
      <c r="E178" s="43" t="s">
        <v>749</v>
      </c>
      <c r="F178" s="43">
        <v>250</v>
      </c>
      <c r="G178" s="103">
        <f t="shared" si="3"/>
        <v>0</v>
      </c>
    </row>
    <row r="179" spans="2:7" x14ac:dyDescent="0.4">
      <c r="B179" s="271">
        <v>45819</v>
      </c>
      <c r="C179" s="94" t="s">
        <v>690</v>
      </c>
      <c r="D179" s="43">
        <v>10</v>
      </c>
      <c r="E179" s="43" t="s">
        <v>749</v>
      </c>
      <c r="F179" s="43">
        <v>10</v>
      </c>
      <c r="G179" s="103">
        <f t="shared" si="3"/>
        <v>0</v>
      </c>
    </row>
    <row r="180" spans="2:7" x14ac:dyDescent="0.4">
      <c r="B180" s="279">
        <v>45819</v>
      </c>
      <c r="C180" s="241" t="s">
        <v>136</v>
      </c>
      <c r="D180" s="240">
        <v>3</v>
      </c>
      <c r="E180" s="240" t="s">
        <v>750</v>
      </c>
      <c r="F180" s="240">
        <v>3</v>
      </c>
      <c r="G180" s="252">
        <f t="shared" si="3"/>
        <v>0</v>
      </c>
    </row>
    <row r="181" spans="2:7" x14ac:dyDescent="0.4">
      <c r="B181" s="279">
        <v>45819</v>
      </c>
      <c r="C181" s="253" t="s">
        <v>169</v>
      </c>
      <c r="D181" s="240">
        <v>4</v>
      </c>
      <c r="E181" s="240" t="s">
        <v>751</v>
      </c>
      <c r="F181" s="240">
        <v>4</v>
      </c>
      <c r="G181" s="252">
        <f t="shared" si="3"/>
        <v>0</v>
      </c>
    </row>
    <row r="182" spans="2:7" x14ac:dyDescent="0.4">
      <c r="B182" s="279">
        <v>45822</v>
      </c>
      <c r="C182" s="241" t="s">
        <v>136</v>
      </c>
      <c r="D182" s="240">
        <v>3</v>
      </c>
      <c r="E182" s="240" t="s">
        <v>554</v>
      </c>
      <c r="F182" s="240">
        <v>3</v>
      </c>
      <c r="G182" s="252">
        <f t="shared" si="3"/>
        <v>0</v>
      </c>
    </row>
    <row r="183" spans="2:7" x14ac:dyDescent="0.4">
      <c r="B183" s="271">
        <v>45824</v>
      </c>
      <c r="C183" s="93" t="s">
        <v>76</v>
      </c>
      <c r="D183" s="43">
        <v>19</v>
      </c>
      <c r="E183" s="43" t="s">
        <v>756</v>
      </c>
      <c r="F183" s="43">
        <v>19</v>
      </c>
      <c r="G183" s="103">
        <f t="shared" si="3"/>
        <v>0</v>
      </c>
    </row>
    <row r="184" spans="2:7" x14ac:dyDescent="0.4">
      <c r="B184" s="279">
        <v>45831</v>
      </c>
      <c r="C184" s="241" t="s">
        <v>136</v>
      </c>
      <c r="D184" s="240">
        <v>2</v>
      </c>
      <c r="E184" s="240" t="s">
        <v>795</v>
      </c>
      <c r="F184" s="240">
        <v>2</v>
      </c>
      <c r="G184" s="252">
        <f t="shared" si="3"/>
        <v>0</v>
      </c>
    </row>
    <row r="185" spans="2:7" x14ac:dyDescent="0.4">
      <c r="B185" s="279">
        <v>45831</v>
      </c>
      <c r="C185" s="307" t="s">
        <v>78</v>
      </c>
      <c r="D185" s="240">
        <v>270</v>
      </c>
      <c r="E185" s="240" t="s">
        <v>796</v>
      </c>
      <c r="F185" s="240">
        <v>270</v>
      </c>
      <c r="G185" s="252">
        <f t="shared" si="3"/>
        <v>0</v>
      </c>
    </row>
    <row r="186" spans="2:7" x14ac:dyDescent="0.4">
      <c r="B186" s="279">
        <v>45832</v>
      </c>
      <c r="C186" s="241" t="s">
        <v>136</v>
      </c>
      <c r="D186" s="240">
        <v>6</v>
      </c>
      <c r="E186" s="240" t="s">
        <v>554</v>
      </c>
      <c r="F186" s="240">
        <v>6</v>
      </c>
      <c r="G186" s="252">
        <f t="shared" si="3"/>
        <v>0</v>
      </c>
    </row>
    <row r="187" spans="2:7" x14ac:dyDescent="0.4">
      <c r="B187" s="279">
        <v>45832</v>
      </c>
      <c r="C187" s="252" t="s">
        <v>423</v>
      </c>
      <c r="D187" s="240">
        <v>1</v>
      </c>
      <c r="E187" s="240" t="s">
        <v>798</v>
      </c>
      <c r="F187" s="240">
        <v>1</v>
      </c>
      <c r="G187" s="252">
        <f t="shared" si="3"/>
        <v>0</v>
      </c>
    </row>
    <row r="188" spans="2:7" x14ac:dyDescent="0.4">
      <c r="B188" s="271">
        <v>45834</v>
      </c>
      <c r="C188" s="93" t="s">
        <v>689</v>
      </c>
      <c r="D188" s="43">
        <v>2</v>
      </c>
      <c r="E188" s="43" t="s">
        <v>822</v>
      </c>
      <c r="F188" s="43">
        <v>2</v>
      </c>
      <c r="G188" s="103">
        <f t="shared" si="3"/>
        <v>0</v>
      </c>
    </row>
    <row r="189" spans="2:7" x14ac:dyDescent="0.4">
      <c r="B189" s="271">
        <v>45834</v>
      </c>
      <c r="C189" s="93" t="s">
        <v>690</v>
      </c>
      <c r="D189" s="43">
        <v>11</v>
      </c>
      <c r="E189" s="43" t="s">
        <v>822</v>
      </c>
      <c r="F189" s="43">
        <v>11</v>
      </c>
      <c r="G189" s="103">
        <f t="shared" si="3"/>
        <v>0</v>
      </c>
    </row>
    <row r="190" spans="2:7" x14ac:dyDescent="0.4">
      <c r="B190" s="271">
        <v>45834</v>
      </c>
      <c r="C190" s="93" t="s">
        <v>681</v>
      </c>
      <c r="D190" s="43">
        <v>73</v>
      </c>
      <c r="E190" s="43" t="s">
        <v>822</v>
      </c>
      <c r="F190" s="43">
        <v>73</v>
      </c>
      <c r="G190" s="103">
        <f t="shared" si="3"/>
        <v>0</v>
      </c>
    </row>
    <row r="191" spans="2:7" x14ac:dyDescent="0.4">
      <c r="B191" s="271">
        <v>45834</v>
      </c>
      <c r="C191" s="85" t="s">
        <v>512</v>
      </c>
      <c r="D191" s="43">
        <v>6</v>
      </c>
      <c r="E191" s="43" t="s">
        <v>822</v>
      </c>
      <c r="F191" s="43">
        <v>6</v>
      </c>
      <c r="G191" s="103">
        <f t="shared" si="3"/>
        <v>0</v>
      </c>
    </row>
    <row r="192" spans="2:7" x14ac:dyDescent="0.4">
      <c r="B192" s="271">
        <v>45834</v>
      </c>
      <c r="C192" s="85" t="s">
        <v>513</v>
      </c>
      <c r="D192" s="43">
        <v>6</v>
      </c>
      <c r="E192" s="43" t="s">
        <v>822</v>
      </c>
      <c r="F192" s="43">
        <v>6</v>
      </c>
      <c r="G192" s="103">
        <f t="shared" si="3"/>
        <v>0</v>
      </c>
    </row>
    <row r="193" spans="2:7" x14ac:dyDescent="0.4">
      <c r="B193" s="271">
        <v>45834</v>
      </c>
      <c r="C193" s="93" t="s">
        <v>810</v>
      </c>
      <c r="D193" s="43">
        <v>11</v>
      </c>
      <c r="E193" s="43" t="s">
        <v>822</v>
      </c>
      <c r="F193" s="43">
        <v>11</v>
      </c>
      <c r="G193" s="103">
        <f t="shared" si="3"/>
        <v>0</v>
      </c>
    </row>
    <row r="194" spans="2:7" x14ac:dyDescent="0.4">
      <c r="B194" s="271">
        <v>45834</v>
      </c>
      <c r="C194" s="93" t="s">
        <v>691</v>
      </c>
      <c r="D194" s="43">
        <v>8</v>
      </c>
      <c r="E194" s="43" t="s">
        <v>822</v>
      </c>
      <c r="F194" s="43">
        <v>8</v>
      </c>
      <c r="G194" s="103">
        <f t="shared" si="3"/>
        <v>0</v>
      </c>
    </row>
    <row r="195" spans="2:7" x14ac:dyDescent="0.4">
      <c r="B195" s="271">
        <v>45834</v>
      </c>
      <c r="C195" s="85" t="s">
        <v>492</v>
      </c>
      <c r="D195" s="43">
        <v>3</v>
      </c>
      <c r="E195" s="43" t="s">
        <v>822</v>
      </c>
      <c r="F195" s="43">
        <v>3</v>
      </c>
      <c r="G195" s="103">
        <f t="shared" si="3"/>
        <v>0</v>
      </c>
    </row>
    <row r="196" spans="2:7" x14ac:dyDescent="0.4">
      <c r="B196" s="271">
        <v>45834</v>
      </c>
      <c r="C196" s="93" t="s">
        <v>661</v>
      </c>
      <c r="D196" s="43">
        <v>6</v>
      </c>
      <c r="E196" s="43" t="s">
        <v>822</v>
      </c>
      <c r="F196" s="43">
        <v>6</v>
      </c>
      <c r="G196" s="103">
        <f t="shared" si="3"/>
        <v>0</v>
      </c>
    </row>
    <row r="197" spans="2:7" x14ac:dyDescent="0.4">
      <c r="B197" s="271">
        <v>45834</v>
      </c>
      <c r="C197" s="93" t="s">
        <v>84</v>
      </c>
      <c r="D197" s="43">
        <v>38</v>
      </c>
      <c r="E197" s="43" t="s">
        <v>822</v>
      </c>
      <c r="F197" s="43">
        <v>38</v>
      </c>
      <c r="G197" s="103">
        <f t="shared" si="3"/>
        <v>0</v>
      </c>
    </row>
    <row r="198" spans="2:7" x14ac:dyDescent="0.4">
      <c r="B198" s="271">
        <v>45834</v>
      </c>
      <c r="C198" s="94" t="s">
        <v>156</v>
      </c>
      <c r="D198" s="43">
        <v>1</v>
      </c>
      <c r="E198" s="43" t="s">
        <v>822</v>
      </c>
      <c r="F198" s="43">
        <v>1</v>
      </c>
      <c r="G198" s="103">
        <f t="shared" si="3"/>
        <v>0</v>
      </c>
    </row>
    <row r="199" spans="2:7" x14ac:dyDescent="0.4">
      <c r="B199" s="271">
        <v>45834</v>
      </c>
      <c r="C199" s="93" t="s">
        <v>81</v>
      </c>
      <c r="D199" s="43">
        <v>8</v>
      </c>
      <c r="E199" s="43" t="s">
        <v>822</v>
      </c>
      <c r="F199" s="43">
        <v>8</v>
      </c>
      <c r="G199" s="103">
        <f t="shared" si="3"/>
        <v>0</v>
      </c>
    </row>
    <row r="200" spans="2:7" x14ac:dyDescent="0.4">
      <c r="B200" s="279">
        <v>45831</v>
      </c>
      <c r="C200" s="307" t="s">
        <v>78</v>
      </c>
      <c r="D200" s="240">
        <v>100</v>
      </c>
      <c r="E200" s="240" t="s">
        <v>796</v>
      </c>
      <c r="F200" s="240">
        <v>100</v>
      </c>
      <c r="G200" s="252">
        <f t="shared" si="3"/>
        <v>0</v>
      </c>
    </row>
    <row r="201" spans="2:7" x14ac:dyDescent="0.4">
      <c r="B201" s="279">
        <v>45839</v>
      </c>
      <c r="C201" s="307" t="s">
        <v>76</v>
      </c>
      <c r="D201" s="240">
        <v>120</v>
      </c>
      <c r="E201" s="240" t="s">
        <v>796</v>
      </c>
      <c r="F201" s="240">
        <v>120</v>
      </c>
      <c r="G201" s="252">
        <f t="shared" si="3"/>
        <v>0</v>
      </c>
    </row>
    <row r="202" spans="2:7" x14ac:dyDescent="0.4">
      <c r="B202" s="279">
        <v>45842</v>
      </c>
      <c r="C202" s="307" t="s">
        <v>78</v>
      </c>
      <c r="D202" s="240">
        <v>140</v>
      </c>
      <c r="E202" s="240" t="s">
        <v>796</v>
      </c>
      <c r="F202" s="240">
        <v>140</v>
      </c>
      <c r="G202" s="252">
        <f t="shared" si="3"/>
        <v>0</v>
      </c>
    </row>
    <row r="203" spans="2:7" x14ac:dyDescent="0.4">
      <c r="B203" s="312">
        <v>45845</v>
      </c>
      <c r="C203" s="247" t="s">
        <v>133</v>
      </c>
      <c r="D203" s="245">
        <v>8</v>
      </c>
      <c r="E203" s="245" t="s">
        <v>701</v>
      </c>
      <c r="F203" s="245">
        <v>8</v>
      </c>
      <c r="G203" s="313">
        <f t="shared" si="3"/>
        <v>0</v>
      </c>
    </row>
    <row r="204" spans="2:7" x14ac:dyDescent="0.4">
      <c r="B204" s="312">
        <v>45845</v>
      </c>
      <c r="C204" s="244" t="s">
        <v>827</v>
      </c>
      <c r="D204" s="245">
        <v>2</v>
      </c>
      <c r="E204" s="245" t="s">
        <v>701</v>
      </c>
      <c r="F204" s="245">
        <v>2</v>
      </c>
      <c r="G204" s="313">
        <f t="shared" si="3"/>
        <v>0</v>
      </c>
    </row>
    <row r="205" spans="2:7" x14ac:dyDescent="0.4">
      <c r="B205" s="312">
        <v>45845</v>
      </c>
      <c r="C205" s="244" t="s">
        <v>828</v>
      </c>
      <c r="D205" s="245">
        <v>23</v>
      </c>
      <c r="E205" s="245" t="s">
        <v>701</v>
      </c>
      <c r="F205" s="245">
        <v>23</v>
      </c>
      <c r="G205" s="313">
        <f t="shared" si="3"/>
        <v>0</v>
      </c>
    </row>
    <row r="206" spans="2:7" x14ac:dyDescent="0.4">
      <c r="B206" s="312">
        <v>45845</v>
      </c>
      <c r="C206" s="244" t="s">
        <v>829</v>
      </c>
      <c r="D206" s="245">
        <v>8</v>
      </c>
      <c r="E206" s="245" t="s">
        <v>701</v>
      </c>
      <c r="F206" s="245">
        <v>8</v>
      </c>
      <c r="G206" s="313">
        <f t="shared" si="3"/>
        <v>0</v>
      </c>
    </row>
    <row r="207" spans="2:7" x14ac:dyDescent="0.4">
      <c r="B207" s="312">
        <v>45845</v>
      </c>
      <c r="C207" s="244" t="s">
        <v>830</v>
      </c>
      <c r="D207" s="245">
        <v>1</v>
      </c>
      <c r="E207" s="245" t="s">
        <v>701</v>
      </c>
      <c r="F207" s="245">
        <v>1</v>
      </c>
      <c r="G207" s="313">
        <f t="shared" si="3"/>
        <v>0</v>
      </c>
    </row>
    <row r="208" spans="2:7" x14ac:dyDescent="0.4">
      <c r="B208" s="279">
        <v>45846</v>
      </c>
      <c r="C208" s="307" t="s">
        <v>78</v>
      </c>
      <c r="D208" s="240">
        <v>100</v>
      </c>
      <c r="E208" s="240" t="s">
        <v>796</v>
      </c>
      <c r="F208" s="240">
        <v>100</v>
      </c>
      <c r="G208" s="252">
        <f t="shared" si="3"/>
        <v>0</v>
      </c>
    </row>
    <row r="209" spans="2:7" x14ac:dyDescent="0.4">
      <c r="B209" s="279">
        <v>45839</v>
      </c>
      <c r="C209" s="307" t="s">
        <v>76</v>
      </c>
      <c r="D209" s="240">
        <v>5</v>
      </c>
      <c r="E209" s="240" t="s">
        <v>831</v>
      </c>
      <c r="F209" s="240">
        <v>5</v>
      </c>
      <c r="G209" s="252">
        <f t="shared" si="3"/>
        <v>0</v>
      </c>
    </row>
    <row r="210" spans="2:7" x14ac:dyDescent="0.4">
      <c r="B210" s="271">
        <v>45849</v>
      </c>
      <c r="C210" s="94" t="s">
        <v>76</v>
      </c>
      <c r="D210" s="43">
        <v>150</v>
      </c>
      <c r="E210" s="43" t="s">
        <v>864</v>
      </c>
      <c r="F210" s="43">
        <v>150</v>
      </c>
      <c r="G210" s="103">
        <f t="shared" si="3"/>
        <v>0</v>
      </c>
    </row>
    <row r="211" spans="2:7" x14ac:dyDescent="0.4">
      <c r="B211" s="271">
        <v>45849</v>
      </c>
      <c r="C211" s="94" t="s">
        <v>861</v>
      </c>
      <c r="D211" s="43">
        <v>3</v>
      </c>
      <c r="E211" s="43" t="s">
        <v>864</v>
      </c>
      <c r="F211" s="43">
        <v>3</v>
      </c>
      <c r="G211" s="103">
        <f t="shared" si="3"/>
        <v>0</v>
      </c>
    </row>
    <row r="212" spans="2:7" x14ac:dyDescent="0.4">
      <c r="B212" s="271">
        <v>45849</v>
      </c>
      <c r="C212" s="94" t="s">
        <v>860</v>
      </c>
      <c r="D212" s="43">
        <v>13</v>
      </c>
      <c r="E212" s="43" t="s">
        <v>864</v>
      </c>
      <c r="F212" s="43">
        <v>13</v>
      </c>
      <c r="G212" s="103">
        <f t="shared" si="3"/>
        <v>0</v>
      </c>
    </row>
    <row r="213" spans="2:7" x14ac:dyDescent="0.4">
      <c r="B213" s="271">
        <v>45849</v>
      </c>
      <c r="C213" s="93" t="s">
        <v>690</v>
      </c>
      <c r="D213" s="43">
        <v>17</v>
      </c>
      <c r="E213" s="43" t="s">
        <v>864</v>
      </c>
      <c r="F213" s="43">
        <v>17</v>
      </c>
      <c r="G213" s="103">
        <f t="shared" si="3"/>
        <v>0</v>
      </c>
    </row>
    <row r="214" spans="2:7" x14ac:dyDescent="0.4">
      <c r="B214" s="271">
        <v>45849</v>
      </c>
      <c r="C214" s="94" t="s">
        <v>862</v>
      </c>
      <c r="D214" s="43">
        <v>6</v>
      </c>
      <c r="E214" s="43" t="s">
        <v>864</v>
      </c>
      <c r="F214" s="43">
        <v>6</v>
      </c>
      <c r="G214" s="103">
        <f t="shared" si="3"/>
        <v>0</v>
      </c>
    </row>
    <row r="215" spans="2:7" x14ac:dyDescent="0.4">
      <c r="B215" s="271">
        <v>45849</v>
      </c>
      <c r="C215" s="94" t="s">
        <v>865</v>
      </c>
      <c r="D215" s="43">
        <v>5</v>
      </c>
      <c r="E215" s="43" t="s">
        <v>864</v>
      </c>
      <c r="F215" s="43">
        <v>5</v>
      </c>
      <c r="G215" s="103">
        <f t="shared" si="3"/>
        <v>0</v>
      </c>
    </row>
    <row r="216" spans="2:7" x14ac:dyDescent="0.4">
      <c r="B216" s="271">
        <v>45849</v>
      </c>
      <c r="C216" s="94" t="s">
        <v>866</v>
      </c>
      <c r="D216" s="43">
        <v>5</v>
      </c>
      <c r="E216" s="43" t="s">
        <v>864</v>
      </c>
      <c r="F216" s="43">
        <v>5</v>
      </c>
      <c r="G216" s="103">
        <f t="shared" ref="G216:G279" si="4">D216-F216</f>
        <v>0</v>
      </c>
    </row>
    <row r="217" spans="2:7" x14ac:dyDescent="0.4">
      <c r="B217" s="312">
        <v>45850</v>
      </c>
      <c r="C217" s="247" t="s">
        <v>425</v>
      </c>
      <c r="D217" s="245">
        <v>112</v>
      </c>
      <c r="E217" s="245" t="s">
        <v>701</v>
      </c>
      <c r="F217" s="245">
        <v>112</v>
      </c>
      <c r="G217" s="103">
        <f t="shared" si="4"/>
        <v>0</v>
      </c>
    </row>
    <row r="218" spans="2:7" x14ac:dyDescent="0.4">
      <c r="B218" s="312">
        <v>45850</v>
      </c>
      <c r="C218" s="244" t="s">
        <v>828</v>
      </c>
      <c r="D218" s="245">
        <v>24</v>
      </c>
      <c r="E218" s="245" t="s">
        <v>701</v>
      </c>
      <c r="F218" s="245">
        <v>24</v>
      </c>
      <c r="G218" s="103">
        <f t="shared" si="4"/>
        <v>0</v>
      </c>
    </row>
    <row r="219" spans="2:7" x14ac:dyDescent="0.4">
      <c r="B219" s="312">
        <v>45850</v>
      </c>
      <c r="C219" s="244" t="s">
        <v>829</v>
      </c>
      <c r="D219" s="245">
        <v>1</v>
      </c>
      <c r="E219" s="245" t="s">
        <v>701</v>
      </c>
      <c r="F219" s="245">
        <v>1</v>
      </c>
      <c r="G219" s="103">
        <f t="shared" si="4"/>
        <v>0</v>
      </c>
    </row>
    <row r="220" spans="2:7" x14ac:dyDescent="0.4">
      <c r="B220" s="279">
        <v>45843</v>
      </c>
      <c r="C220" s="307" t="s">
        <v>78</v>
      </c>
      <c r="D220" s="240">
        <v>40</v>
      </c>
      <c r="E220" s="240" t="s">
        <v>796</v>
      </c>
      <c r="F220" s="240">
        <v>40</v>
      </c>
      <c r="G220" s="252">
        <f t="shared" si="4"/>
        <v>0</v>
      </c>
    </row>
    <row r="221" spans="2:7" x14ac:dyDescent="0.4">
      <c r="B221" s="322">
        <v>45848</v>
      </c>
      <c r="C221" s="323" t="s">
        <v>136</v>
      </c>
      <c r="D221" s="325">
        <v>5</v>
      </c>
      <c r="E221" s="325" t="s">
        <v>873</v>
      </c>
      <c r="F221" s="325">
        <v>5</v>
      </c>
      <c r="G221" s="326">
        <f t="shared" si="4"/>
        <v>0</v>
      </c>
    </row>
    <row r="222" spans="2:7" x14ac:dyDescent="0.4">
      <c r="B222" s="271">
        <v>45853</v>
      </c>
      <c r="C222" s="93" t="s">
        <v>76</v>
      </c>
      <c r="D222" s="43">
        <v>100</v>
      </c>
      <c r="E222" s="43" t="s">
        <v>874</v>
      </c>
      <c r="F222" s="43">
        <v>100</v>
      </c>
      <c r="G222" s="103">
        <f t="shared" si="4"/>
        <v>0</v>
      </c>
    </row>
    <row r="223" spans="2:7" x14ac:dyDescent="0.4">
      <c r="B223" s="271">
        <v>45853</v>
      </c>
      <c r="C223" s="94" t="s">
        <v>122</v>
      </c>
      <c r="D223" s="43">
        <v>64</v>
      </c>
      <c r="E223" s="43" t="s">
        <v>874</v>
      </c>
      <c r="F223" s="43">
        <v>64</v>
      </c>
      <c r="G223" s="103">
        <f t="shared" si="4"/>
        <v>0</v>
      </c>
    </row>
    <row r="224" spans="2:7" x14ac:dyDescent="0.4">
      <c r="B224" s="329">
        <v>45859</v>
      </c>
      <c r="C224" s="330" t="s">
        <v>425</v>
      </c>
      <c r="D224" s="328">
        <v>8</v>
      </c>
      <c r="E224" s="328" t="s">
        <v>701</v>
      </c>
      <c r="F224" s="328">
        <v>8</v>
      </c>
      <c r="G224" s="103">
        <f t="shared" si="4"/>
        <v>0</v>
      </c>
    </row>
    <row r="225" spans="2:7" x14ac:dyDescent="0.4">
      <c r="B225" s="329">
        <v>45859</v>
      </c>
      <c r="C225" s="330" t="s">
        <v>878</v>
      </c>
      <c r="D225" s="328">
        <v>39</v>
      </c>
      <c r="E225" s="328" t="s">
        <v>701</v>
      </c>
      <c r="F225" s="328">
        <v>39</v>
      </c>
      <c r="G225" s="103">
        <f t="shared" si="4"/>
        <v>0</v>
      </c>
    </row>
    <row r="226" spans="2:7" x14ac:dyDescent="0.4">
      <c r="B226" s="329">
        <v>45859</v>
      </c>
      <c r="C226" s="331" t="s">
        <v>828</v>
      </c>
      <c r="D226" s="328">
        <v>35</v>
      </c>
      <c r="E226" s="328" t="s">
        <v>701</v>
      </c>
      <c r="F226" s="328">
        <v>35</v>
      </c>
      <c r="G226" s="103">
        <f t="shared" si="4"/>
        <v>0</v>
      </c>
    </row>
    <row r="227" spans="2:7" x14ac:dyDescent="0.4">
      <c r="B227" s="329">
        <v>45859</v>
      </c>
      <c r="C227" s="331" t="s">
        <v>829</v>
      </c>
      <c r="D227" s="328">
        <v>15</v>
      </c>
      <c r="E227" s="328" t="s">
        <v>701</v>
      </c>
      <c r="F227" s="328">
        <v>15</v>
      </c>
      <c r="G227" s="103">
        <f t="shared" si="4"/>
        <v>0</v>
      </c>
    </row>
    <row r="228" spans="2:7" x14ac:dyDescent="0.4">
      <c r="B228" s="329">
        <v>45859</v>
      </c>
      <c r="C228" s="331" t="s">
        <v>830</v>
      </c>
      <c r="D228" s="328">
        <v>7</v>
      </c>
      <c r="E228" s="328" t="s">
        <v>701</v>
      </c>
      <c r="F228" s="328">
        <v>7</v>
      </c>
      <c r="G228" s="103">
        <f t="shared" si="4"/>
        <v>0</v>
      </c>
    </row>
    <row r="229" spans="2:7" x14ac:dyDescent="0.4">
      <c r="B229" s="329">
        <v>45863</v>
      </c>
      <c r="C229" s="330" t="s">
        <v>133</v>
      </c>
      <c r="D229" s="328">
        <v>15</v>
      </c>
      <c r="E229" s="328" t="s">
        <v>701</v>
      </c>
      <c r="F229" s="328">
        <v>15</v>
      </c>
      <c r="G229" s="103">
        <f t="shared" si="4"/>
        <v>0</v>
      </c>
    </row>
    <row r="230" spans="2:7" x14ac:dyDescent="0.4">
      <c r="B230" s="329">
        <v>45863</v>
      </c>
      <c r="C230" s="331" t="s">
        <v>828</v>
      </c>
      <c r="D230" s="328">
        <v>21</v>
      </c>
      <c r="E230" s="328" t="s">
        <v>701</v>
      </c>
      <c r="F230" s="328">
        <v>21</v>
      </c>
      <c r="G230" s="103">
        <f t="shared" si="4"/>
        <v>0</v>
      </c>
    </row>
    <row r="231" spans="2:7" x14ac:dyDescent="0.4">
      <c r="B231" s="329">
        <v>45863</v>
      </c>
      <c r="C231" s="331" t="s">
        <v>829</v>
      </c>
      <c r="D231" s="328">
        <v>3</v>
      </c>
      <c r="E231" s="328" t="s">
        <v>701</v>
      </c>
      <c r="F231" s="328">
        <v>3</v>
      </c>
      <c r="G231" s="103">
        <f t="shared" si="4"/>
        <v>0</v>
      </c>
    </row>
    <row r="232" spans="2:7" x14ac:dyDescent="0.4">
      <c r="B232" s="329">
        <v>45863</v>
      </c>
      <c r="C232" s="331" t="s">
        <v>830</v>
      </c>
      <c r="D232" s="328">
        <v>6</v>
      </c>
      <c r="E232" s="328" t="s">
        <v>701</v>
      </c>
      <c r="F232" s="328">
        <v>6</v>
      </c>
      <c r="G232" s="103">
        <f t="shared" si="4"/>
        <v>0</v>
      </c>
    </row>
    <row r="233" spans="2:7" x14ac:dyDescent="0.4">
      <c r="B233" s="271">
        <v>45867</v>
      </c>
      <c r="C233" s="93" t="s">
        <v>84</v>
      </c>
      <c r="D233" s="43">
        <v>200</v>
      </c>
      <c r="E233" s="43" t="s">
        <v>905</v>
      </c>
      <c r="F233" s="43">
        <v>200</v>
      </c>
      <c r="G233" s="103">
        <f t="shared" si="4"/>
        <v>0</v>
      </c>
    </row>
    <row r="234" spans="2:7" x14ac:dyDescent="0.4">
      <c r="B234" s="271">
        <v>45867</v>
      </c>
      <c r="C234" s="94" t="s">
        <v>156</v>
      </c>
      <c r="D234" s="43">
        <v>80</v>
      </c>
      <c r="E234" s="43" t="s">
        <v>905</v>
      </c>
      <c r="F234" s="43">
        <v>80</v>
      </c>
      <c r="G234" s="103">
        <f t="shared" si="4"/>
        <v>0</v>
      </c>
    </row>
    <row r="235" spans="2:7" x14ac:dyDescent="0.4">
      <c r="B235" s="271">
        <v>45867</v>
      </c>
      <c r="C235" s="94" t="s">
        <v>122</v>
      </c>
      <c r="D235" s="43">
        <v>36</v>
      </c>
      <c r="E235" s="43" t="s">
        <v>905</v>
      </c>
      <c r="F235" s="43">
        <v>36</v>
      </c>
      <c r="G235" s="103">
        <f t="shared" si="4"/>
        <v>0</v>
      </c>
    </row>
    <row r="236" spans="2:7" x14ac:dyDescent="0.4">
      <c r="B236" s="279">
        <v>45868</v>
      </c>
      <c r="C236" s="252" t="s">
        <v>76</v>
      </c>
      <c r="D236" s="240">
        <v>10</v>
      </c>
      <c r="E236" s="240" t="s">
        <v>915</v>
      </c>
      <c r="F236" s="240">
        <v>10</v>
      </c>
      <c r="G236" s="252">
        <f t="shared" si="4"/>
        <v>0</v>
      </c>
    </row>
    <row r="237" spans="2:7" x14ac:dyDescent="0.4">
      <c r="B237" s="271">
        <v>45839</v>
      </c>
      <c r="C237" s="347" t="s">
        <v>78</v>
      </c>
      <c r="D237" s="43">
        <v>3</v>
      </c>
      <c r="E237" s="43" t="s">
        <v>928</v>
      </c>
      <c r="F237" s="43">
        <v>3</v>
      </c>
      <c r="G237" s="103">
        <f t="shared" si="4"/>
        <v>0</v>
      </c>
    </row>
    <row r="238" spans="2:7" x14ac:dyDescent="0.4">
      <c r="B238" s="271">
        <v>45840</v>
      </c>
      <c r="C238" s="348" t="s">
        <v>903</v>
      </c>
      <c r="D238" s="43">
        <v>31</v>
      </c>
      <c r="E238" s="43" t="s">
        <v>929</v>
      </c>
      <c r="F238" s="43">
        <v>31</v>
      </c>
      <c r="G238" s="103">
        <f t="shared" si="4"/>
        <v>0</v>
      </c>
    </row>
    <row r="239" spans="2:7" x14ac:dyDescent="0.4">
      <c r="B239" s="271">
        <v>45841</v>
      </c>
      <c r="C239" s="347" t="s">
        <v>904</v>
      </c>
      <c r="D239" s="43">
        <v>28</v>
      </c>
      <c r="E239" s="43" t="s">
        <v>930</v>
      </c>
      <c r="F239" s="43">
        <v>28</v>
      </c>
      <c r="G239" s="103">
        <f t="shared" si="4"/>
        <v>0</v>
      </c>
    </row>
    <row r="240" spans="2:7" x14ac:dyDescent="0.4">
      <c r="B240" s="271">
        <v>45842</v>
      </c>
      <c r="C240" s="349" t="s">
        <v>690</v>
      </c>
      <c r="D240" s="43">
        <v>18</v>
      </c>
      <c r="E240" s="43" t="s">
        <v>931</v>
      </c>
      <c r="F240" s="43">
        <v>18</v>
      </c>
      <c r="G240" s="103">
        <f t="shared" si="4"/>
        <v>0</v>
      </c>
    </row>
    <row r="241" spans="2:8" x14ac:dyDescent="0.4">
      <c r="B241" s="271">
        <v>45843</v>
      </c>
      <c r="C241" s="348" t="s">
        <v>512</v>
      </c>
      <c r="D241" s="43">
        <v>10</v>
      </c>
      <c r="E241" s="43" t="s">
        <v>932</v>
      </c>
      <c r="F241" s="43">
        <v>10</v>
      </c>
      <c r="G241" s="103">
        <f t="shared" si="4"/>
        <v>0</v>
      </c>
    </row>
    <row r="242" spans="2:8" x14ac:dyDescent="0.4">
      <c r="B242" s="271">
        <v>45844</v>
      </c>
      <c r="C242" s="347" t="s">
        <v>810</v>
      </c>
      <c r="D242" s="43">
        <v>3</v>
      </c>
      <c r="E242" s="43" t="s">
        <v>933</v>
      </c>
      <c r="F242" s="43">
        <v>3</v>
      </c>
      <c r="G242" s="103">
        <f t="shared" si="4"/>
        <v>0</v>
      </c>
    </row>
    <row r="243" spans="2:8" x14ac:dyDescent="0.4">
      <c r="B243" s="271">
        <v>45845</v>
      </c>
      <c r="C243" s="349" t="s">
        <v>303</v>
      </c>
      <c r="D243" s="43">
        <v>6</v>
      </c>
      <c r="E243" s="43" t="s">
        <v>934</v>
      </c>
      <c r="F243" s="43">
        <v>6</v>
      </c>
      <c r="G243" s="103">
        <f t="shared" si="4"/>
        <v>0</v>
      </c>
    </row>
    <row r="244" spans="2:8" x14ac:dyDescent="0.4">
      <c r="B244" s="271">
        <v>45846</v>
      </c>
      <c r="C244" s="348" t="s">
        <v>492</v>
      </c>
      <c r="D244" s="43">
        <v>4</v>
      </c>
      <c r="E244" s="43" t="s">
        <v>935</v>
      </c>
      <c r="F244" s="43">
        <v>4</v>
      </c>
      <c r="G244" s="103">
        <f t="shared" si="4"/>
        <v>0</v>
      </c>
    </row>
    <row r="245" spans="2:8" x14ac:dyDescent="0.4">
      <c r="B245" s="271">
        <v>45847</v>
      </c>
      <c r="C245" s="349" t="s">
        <v>860</v>
      </c>
      <c r="D245" s="43">
        <v>1</v>
      </c>
      <c r="E245" s="43" t="s">
        <v>936</v>
      </c>
      <c r="F245" s="43">
        <v>1</v>
      </c>
      <c r="G245" s="103">
        <f t="shared" si="4"/>
        <v>0</v>
      </c>
    </row>
    <row r="246" spans="2:8" x14ac:dyDescent="0.4">
      <c r="B246" s="271">
        <v>45848</v>
      </c>
      <c r="C246" s="349" t="s">
        <v>887</v>
      </c>
      <c r="D246" s="43">
        <v>1</v>
      </c>
      <c r="E246" s="43" t="s">
        <v>937</v>
      </c>
      <c r="F246" s="43">
        <v>1</v>
      </c>
      <c r="G246" s="103">
        <f t="shared" si="4"/>
        <v>0</v>
      </c>
    </row>
    <row r="247" spans="2:8" x14ac:dyDescent="0.4">
      <c r="B247" s="271">
        <v>45849</v>
      </c>
      <c r="C247" s="349" t="s">
        <v>818</v>
      </c>
      <c r="D247" s="43">
        <v>1</v>
      </c>
      <c r="E247" s="43" t="s">
        <v>938</v>
      </c>
      <c r="F247" s="43">
        <v>1</v>
      </c>
      <c r="G247" s="103">
        <f t="shared" si="4"/>
        <v>0</v>
      </c>
    </row>
    <row r="248" spans="2:8" x14ac:dyDescent="0.4">
      <c r="B248" s="271">
        <v>45850</v>
      </c>
      <c r="C248" s="350" t="s">
        <v>692</v>
      </c>
      <c r="D248" s="43">
        <v>2</v>
      </c>
      <c r="E248" s="43" t="s">
        <v>939</v>
      </c>
      <c r="F248" s="43">
        <v>2</v>
      </c>
      <c r="G248" s="103">
        <f t="shared" si="4"/>
        <v>0</v>
      </c>
    </row>
    <row r="249" spans="2:8" x14ac:dyDescent="0.4">
      <c r="B249" s="271">
        <v>45851</v>
      </c>
      <c r="C249" s="349" t="s">
        <v>497</v>
      </c>
      <c r="D249" s="43">
        <v>19</v>
      </c>
      <c r="E249" s="43" t="s">
        <v>940</v>
      </c>
      <c r="F249" s="43">
        <v>19</v>
      </c>
      <c r="G249" s="103">
        <f t="shared" si="4"/>
        <v>0</v>
      </c>
    </row>
    <row r="250" spans="2:8" x14ac:dyDescent="0.4">
      <c r="B250" s="352">
        <v>45868</v>
      </c>
      <c r="C250" s="353" t="s">
        <v>941</v>
      </c>
      <c r="D250" s="354">
        <v>14</v>
      </c>
      <c r="E250" s="354" t="s">
        <v>943</v>
      </c>
      <c r="F250" s="354">
        <v>14</v>
      </c>
      <c r="G250" s="357">
        <f t="shared" si="4"/>
        <v>0</v>
      </c>
      <c r="H250" t="s">
        <v>1006</v>
      </c>
    </row>
    <row r="251" spans="2:8" x14ac:dyDescent="0.4">
      <c r="B251" s="352">
        <v>45868</v>
      </c>
      <c r="C251" s="353" t="s">
        <v>945</v>
      </c>
      <c r="D251" s="354">
        <v>7</v>
      </c>
      <c r="E251" s="354" t="s">
        <v>943</v>
      </c>
      <c r="F251" s="354">
        <v>7</v>
      </c>
      <c r="G251" s="357">
        <f t="shared" si="4"/>
        <v>0</v>
      </c>
      <c r="H251" t="s">
        <v>1006</v>
      </c>
    </row>
    <row r="252" spans="2:8" x14ac:dyDescent="0.4">
      <c r="B252" s="352">
        <v>45868</v>
      </c>
      <c r="C252" s="353" t="s">
        <v>948</v>
      </c>
      <c r="D252" s="354">
        <v>1</v>
      </c>
      <c r="E252" s="354" t="s">
        <v>943</v>
      </c>
      <c r="F252" s="354">
        <v>1</v>
      </c>
      <c r="G252" s="357">
        <f t="shared" si="4"/>
        <v>0</v>
      </c>
      <c r="H252" t="s">
        <v>1006</v>
      </c>
    </row>
    <row r="253" spans="2:8" x14ac:dyDescent="0.4">
      <c r="B253" s="352">
        <v>45868</v>
      </c>
      <c r="C253" s="356" t="s">
        <v>947</v>
      </c>
      <c r="D253" s="354">
        <v>1</v>
      </c>
      <c r="E253" s="354" t="s">
        <v>943</v>
      </c>
      <c r="F253" s="354">
        <v>1</v>
      </c>
      <c r="G253" s="357">
        <f t="shared" si="4"/>
        <v>0</v>
      </c>
      <c r="H253" t="s">
        <v>1006</v>
      </c>
    </row>
    <row r="254" spans="2:8" x14ac:dyDescent="0.4">
      <c r="B254" s="352">
        <v>45868</v>
      </c>
      <c r="C254" s="353" t="s">
        <v>137</v>
      </c>
      <c r="D254" s="354">
        <v>1</v>
      </c>
      <c r="E254" s="354" t="s">
        <v>943</v>
      </c>
      <c r="F254" s="354">
        <v>1</v>
      </c>
      <c r="G254" s="357">
        <f t="shared" si="4"/>
        <v>0</v>
      </c>
      <c r="H254" t="s">
        <v>1006</v>
      </c>
    </row>
    <row r="255" spans="2:8" x14ac:dyDescent="0.4">
      <c r="B255" s="352">
        <v>45868</v>
      </c>
      <c r="C255" s="355" t="s">
        <v>942</v>
      </c>
      <c r="D255" s="354">
        <v>4</v>
      </c>
      <c r="E255" s="354" t="s">
        <v>943</v>
      </c>
      <c r="F255" s="354">
        <v>4</v>
      </c>
      <c r="G255" s="357">
        <f t="shared" si="4"/>
        <v>0</v>
      </c>
      <c r="H255" t="s">
        <v>1006</v>
      </c>
    </row>
    <row r="256" spans="2:8" x14ac:dyDescent="0.4">
      <c r="B256" s="352">
        <v>45868</v>
      </c>
      <c r="C256" s="353" t="s">
        <v>136</v>
      </c>
      <c r="D256" s="354">
        <v>46</v>
      </c>
      <c r="E256" s="354" t="s">
        <v>943</v>
      </c>
      <c r="F256" s="354">
        <v>46</v>
      </c>
      <c r="G256" s="357">
        <f t="shared" si="4"/>
        <v>0</v>
      </c>
      <c r="H256" t="s">
        <v>1006</v>
      </c>
    </row>
    <row r="257" spans="2:8" x14ac:dyDescent="0.4">
      <c r="B257" s="352">
        <v>45868</v>
      </c>
      <c r="C257" s="356" t="s">
        <v>950</v>
      </c>
      <c r="D257" s="354">
        <v>5</v>
      </c>
      <c r="E257" s="354" t="s">
        <v>943</v>
      </c>
      <c r="F257" s="354">
        <v>5</v>
      </c>
      <c r="G257" s="357">
        <f t="shared" si="4"/>
        <v>0</v>
      </c>
      <c r="H257" t="s">
        <v>1006</v>
      </c>
    </row>
    <row r="258" spans="2:8" x14ac:dyDescent="0.4">
      <c r="B258" s="352">
        <v>45868</v>
      </c>
      <c r="C258" s="355" t="s">
        <v>951</v>
      </c>
      <c r="D258" s="354">
        <v>1</v>
      </c>
      <c r="E258" s="354" t="s">
        <v>943</v>
      </c>
      <c r="F258" s="354">
        <v>1</v>
      </c>
      <c r="G258" s="357">
        <f t="shared" si="4"/>
        <v>0</v>
      </c>
      <c r="H258" t="s">
        <v>1006</v>
      </c>
    </row>
    <row r="259" spans="2:8" x14ac:dyDescent="0.4">
      <c r="B259" s="352">
        <v>45868</v>
      </c>
      <c r="C259" s="355" t="s">
        <v>169</v>
      </c>
      <c r="D259" s="354">
        <v>5</v>
      </c>
      <c r="E259" s="354" t="s">
        <v>943</v>
      </c>
      <c r="F259" s="354">
        <v>5</v>
      </c>
      <c r="G259" s="357">
        <f t="shared" si="4"/>
        <v>0</v>
      </c>
      <c r="H259" t="s">
        <v>1006</v>
      </c>
    </row>
    <row r="260" spans="2:8" x14ac:dyDescent="0.4">
      <c r="B260" s="352">
        <v>45868</v>
      </c>
      <c r="C260" s="355" t="s">
        <v>168</v>
      </c>
      <c r="D260" s="354">
        <v>6</v>
      </c>
      <c r="E260" s="354" t="s">
        <v>943</v>
      </c>
      <c r="F260" s="354">
        <v>6</v>
      </c>
      <c r="G260" s="357">
        <f t="shared" si="4"/>
        <v>0</v>
      </c>
      <c r="H260" t="s">
        <v>1006</v>
      </c>
    </row>
    <row r="261" spans="2:8" x14ac:dyDescent="0.4">
      <c r="B261" s="352">
        <v>45868</v>
      </c>
      <c r="C261" s="353" t="s">
        <v>949</v>
      </c>
      <c r="D261" s="354">
        <v>4</v>
      </c>
      <c r="E261" s="354" t="s">
        <v>943</v>
      </c>
      <c r="F261" s="354">
        <v>4</v>
      </c>
      <c r="G261" s="357">
        <f t="shared" si="4"/>
        <v>0</v>
      </c>
      <c r="H261" t="s">
        <v>1006</v>
      </c>
    </row>
    <row r="262" spans="2:8" x14ac:dyDescent="0.4">
      <c r="B262" s="352">
        <v>45868</v>
      </c>
      <c r="C262" s="356" t="s">
        <v>952</v>
      </c>
      <c r="D262" s="354">
        <v>2</v>
      </c>
      <c r="E262" s="354" t="s">
        <v>943</v>
      </c>
      <c r="F262" s="354">
        <v>2</v>
      </c>
      <c r="G262" s="357">
        <f t="shared" si="4"/>
        <v>0</v>
      </c>
      <c r="H262" t="s">
        <v>1006</v>
      </c>
    </row>
    <row r="263" spans="2:8" x14ac:dyDescent="0.4">
      <c r="B263" s="352">
        <v>45868</v>
      </c>
      <c r="C263" s="356" t="s">
        <v>953</v>
      </c>
      <c r="D263" s="354">
        <v>1</v>
      </c>
      <c r="E263" s="354" t="s">
        <v>943</v>
      </c>
      <c r="F263" s="354">
        <v>1</v>
      </c>
      <c r="G263" s="357">
        <f t="shared" si="4"/>
        <v>0</v>
      </c>
      <c r="H263" t="s">
        <v>1006</v>
      </c>
    </row>
    <row r="264" spans="2:8" x14ac:dyDescent="0.4">
      <c r="B264" s="352">
        <v>45868</v>
      </c>
      <c r="C264" s="357" t="s">
        <v>954</v>
      </c>
      <c r="D264" s="354">
        <v>8</v>
      </c>
      <c r="E264" s="354" t="s">
        <v>943</v>
      </c>
      <c r="F264" s="354">
        <v>8</v>
      </c>
      <c r="G264" s="357">
        <f t="shared" si="4"/>
        <v>0</v>
      </c>
      <c r="H264" t="s">
        <v>1006</v>
      </c>
    </row>
    <row r="265" spans="2:8" x14ac:dyDescent="0.4">
      <c r="B265" s="352">
        <v>45868</v>
      </c>
      <c r="C265" s="357" t="s">
        <v>956</v>
      </c>
      <c r="D265" s="354">
        <v>2</v>
      </c>
      <c r="E265" s="354" t="s">
        <v>943</v>
      </c>
      <c r="F265" s="354">
        <v>2</v>
      </c>
      <c r="G265" s="357">
        <f t="shared" si="4"/>
        <v>0</v>
      </c>
      <c r="H265" t="s">
        <v>1006</v>
      </c>
    </row>
    <row r="266" spans="2:8" x14ac:dyDescent="0.4">
      <c r="B266" s="352">
        <v>45871</v>
      </c>
      <c r="C266" s="355" t="s">
        <v>942</v>
      </c>
      <c r="D266" s="354">
        <v>2</v>
      </c>
      <c r="E266" s="354" t="s">
        <v>943</v>
      </c>
      <c r="F266" s="354">
        <v>2</v>
      </c>
      <c r="G266" s="357">
        <f t="shared" si="4"/>
        <v>0</v>
      </c>
      <c r="H266" s="358" t="s">
        <v>983</v>
      </c>
    </row>
    <row r="267" spans="2:8" x14ac:dyDescent="0.4">
      <c r="B267" s="352">
        <v>45871</v>
      </c>
      <c r="C267" s="355" t="s">
        <v>953</v>
      </c>
      <c r="D267" s="354">
        <v>1</v>
      </c>
      <c r="E267" s="354" t="s">
        <v>943</v>
      </c>
      <c r="F267" s="354">
        <v>1</v>
      </c>
      <c r="G267" s="357">
        <f t="shared" si="4"/>
        <v>0</v>
      </c>
      <c r="H267" s="358" t="s">
        <v>983</v>
      </c>
    </row>
    <row r="268" spans="2:8" x14ac:dyDescent="0.4">
      <c r="B268" s="352">
        <v>45871</v>
      </c>
      <c r="C268" s="355" t="s">
        <v>136</v>
      </c>
      <c r="D268" s="354">
        <v>9</v>
      </c>
      <c r="E268" s="354" t="s">
        <v>943</v>
      </c>
      <c r="F268" s="354">
        <v>9</v>
      </c>
      <c r="G268" s="357">
        <f t="shared" si="4"/>
        <v>0</v>
      </c>
      <c r="H268" s="358" t="s">
        <v>983</v>
      </c>
    </row>
    <row r="269" spans="2:8" x14ac:dyDescent="0.4">
      <c r="B269" s="352">
        <v>45871</v>
      </c>
      <c r="C269" s="355" t="s">
        <v>961</v>
      </c>
      <c r="D269" s="354">
        <v>4</v>
      </c>
      <c r="E269" s="354" t="s">
        <v>943</v>
      </c>
      <c r="F269" s="354">
        <v>4</v>
      </c>
      <c r="G269" s="357">
        <f t="shared" si="4"/>
        <v>0</v>
      </c>
      <c r="H269" s="358" t="s">
        <v>983</v>
      </c>
    </row>
    <row r="270" spans="2:8" x14ac:dyDescent="0.4">
      <c r="B270" s="352">
        <v>45871</v>
      </c>
      <c r="C270" s="355" t="s">
        <v>954</v>
      </c>
      <c r="D270" s="354">
        <v>1</v>
      </c>
      <c r="E270" s="354" t="s">
        <v>943</v>
      </c>
      <c r="F270" s="354">
        <v>1</v>
      </c>
      <c r="G270" s="357">
        <f t="shared" si="4"/>
        <v>0</v>
      </c>
      <c r="H270" s="358" t="s">
        <v>983</v>
      </c>
    </row>
    <row r="271" spans="2:8" x14ac:dyDescent="0.4">
      <c r="B271" s="352">
        <v>45871</v>
      </c>
      <c r="C271" s="355" t="s">
        <v>962</v>
      </c>
      <c r="D271" s="354">
        <v>4</v>
      </c>
      <c r="E271" s="354" t="s">
        <v>943</v>
      </c>
      <c r="F271" s="354">
        <v>4</v>
      </c>
      <c r="G271" s="357">
        <f t="shared" si="4"/>
        <v>0</v>
      </c>
      <c r="H271" s="358" t="s">
        <v>983</v>
      </c>
    </row>
    <row r="272" spans="2:8" x14ac:dyDescent="0.4">
      <c r="B272" s="352">
        <v>45871</v>
      </c>
      <c r="C272" s="355" t="s">
        <v>950</v>
      </c>
      <c r="D272" s="354">
        <v>5</v>
      </c>
      <c r="E272" s="354" t="s">
        <v>943</v>
      </c>
      <c r="F272" s="354">
        <v>5</v>
      </c>
      <c r="G272" s="357">
        <f t="shared" si="4"/>
        <v>0</v>
      </c>
      <c r="H272" s="358" t="s">
        <v>983</v>
      </c>
    </row>
    <row r="273" spans="2:8" x14ac:dyDescent="0.4">
      <c r="B273" s="352">
        <v>45871</v>
      </c>
      <c r="C273" s="355" t="s">
        <v>942</v>
      </c>
      <c r="D273" s="354">
        <v>1</v>
      </c>
      <c r="E273" s="354" t="s">
        <v>943</v>
      </c>
      <c r="F273" s="354">
        <v>1</v>
      </c>
      <c r="G273" s="357">
        <f t="shared" si="4"/>
        <v>0</v>
      </c>
      <c r="H273" t="s">
        <v>984</v>
      </c>
    </row>
    <row r="274" spans="2:8" x14ac:dyDescent="0.4">
      <c r="B274" s="352">
        <v>45871</v>
      </c>
      <c r="C274" s="355" t="s">
        <v>985</v>
      </c>
      <c r="D274" s="354">
        <v>7</v>
      </c>
      <c r="E274" s="354" t="s">
        <v>943</v>
      </c>
      <c r="F274" s="354">
        <v>7</v>
      </c>
      <c r="G274" s="357">
        <f t="shared" si="4"/>
        <v>0</v>
      </c>
      <c r="H274" t="s">
        <v>984</v>
      </c>
    </row>
    <row r="275" spans="2:8" x14ac:dyDescent="0.4">
      <c r="B275" s="352">
        <v>45871</v>
      </c>
      <c r="C275" s="355" t="s">
        <v>169</v>
      </c>
      <c r="D275" s="354">
        <v>3</v>
      </c>
      <c r="E275" s="354" t="s">
        <v>943</v>
      </c>
      <c r="F275" s="354">
        <v>3</v>
      </c>
      <c r="G275" s="357">
        <f t="shared" si="4"/>
        <v>0</v>
      </c>
      <c r="H275" t="s">
        <v>984</v>
      </c>
    </row>
    <row r="276" spans="2:8" x14ac:dyDescent="0.4">
      <c r="B276" s="352">
        <v>45871</v>
      </c>
      <c r="C276" s="355" t="s">
        <v>168</v>
      </c>
      <c r="D276" s="354">
        <v>1</v>
      </c>
      <c r="E276" s="354" t="s">
        <v>943</v>
      </c>
      <c r="F276" s="354">
        <v>1</v>
      </c>
      <c r="G276" s="357">
        <f t="shared" si="4"/>
        <v>0</v>
      </c>
      <c r="H276" t="s">
        <v>984</v>
      </c>
    </row>
    <row r="277" spans="2:8" x14ac:dyDescent="0.4">
      <c r="B277" s="352">
        <v>45871</v>
      </c>
      <c r="C277" s="355" t="s">
        <v>136</v>
      </c>
      <c r="D277" s="354">
        <v>6</v>
      </c>
      <c r="E277" s="354" t="s">
        <v>943</v>
      </c>
      <c r="F277" s="354">
        <v>6</v>
      </c>
      <c r="G277" s="357">
        <f t="shared" si="4"/>
        <v>0</v>
      </c>
      <c r="H277" t="s">
        <v>984</v>
      </c>
    </row>
    <row r="278" spans="2:8" x14ac:dyDescent="0.4">
      <c r="B278" s="352">
        <v>45871</v>
      </c>
      <c r="C278" s="355" t="s">
        <v>950</v>
      </c>
      <c r="D278" s="354">
        <v>1</v>
      </c>
      <c r="E278" s="354" t="s">
        <v>943</v>
      </c>
      <c r="F278" s="354">
        <v>1</v>
      </c>
      <c r="G278" s="357">
        <f t="shared" si="4"/>
        <v>0</v>
      </c>
      <c r="H278" t="s">
        <v>984</v>
      </c>
    </row>
    <row r="279" spans="2:8" x14ac:dyDescent="0.4">
      <c r="B279" s="352">
        <v>45871</v>
      </c>
      <c r="C279" s="355" t="s">
        <v>962</v>
      </c>
      <c r="D279" s="354">
        <v>1</v>
      </c>
      <c r="E279" s="354" t="s">
        <v>943</v>
      </c>
      <c r="F279" s="354">
        <v>1</v>
      </c>
      <c r="G279" s="357">
        <f t="shared" si="4"/>
        <v>0</v>
      </c>
      <c r="H279" t="s">
        <v>984</v>
      </c>
    </row>
    <row r="280" spans="2:8" x14ac:dyDescent="0.4">
      <c r="B280" s="352">
        <v>45871</v>
      </c>
      <c r="C280" s="355" t="s">
        <v>136</v>
      </c>
      <c r="D280" s="354">
        <v>10</v>
      </c>
      <c r="E280" s="354" t="s">
        <v>943</v>
      </c>
      <c r="F280" s="354">
        <v>10</v>
      </c>
      <c r="G280" s="357">
        <f t="shared" ref="G280:G344" si="5">D280-F280</f>
        <v>0</v>
      </c>
      <c r="H280" t="s">
        <v>984</v>
      </c>
    </row>
    <row r="281" spans="2:8" x14ac:dyDescent="0.4">
      <c r="B281" s="352">
        <v>45871</v>
      </c>
      <c r="C281" s="355" t="s">
        <v>950</v>
      </c>
      <c r="D281" s="354">
        <v>1</v>
      </c>
      <c r="E281" s="354" t="s">
        <v>943</v>
      </c>
      <c r="F281" s="354">
        <v>1</v>
      </c>
      <c r="G281" s="357">
        <f t="shared" si="5"/>
        <v>0</v>
      </c>
      <c r="H281" t="s">
        <v>984</v>
      </c>
    </row>
    <row r="282" spans="2:8" x14ac:dyDescent="0.4">
      <c r="B282" s="352">
        <v>45871</v>
      </c>
      <c r="C282" s="355" t="s">
        <v>136</v>
      </c>
      <c r="D282" s="354">
        <v>4</v>
      </c>
      <c r="E282" s="354" t="s">
        <v>943</v>
      </c>
      <c r="F282" s="354">
        <v>4</v>
      </c>
      <c r="G282" s="357">
        <f t="shared" si="5"/>
        <v>0</v>
      </c>
      <c r="H282" t="s">
        <v>984</v>
      </c>
    </row>
    <row r="283" spans="2:8" x14ac:dyDescent="0.4">
      <c r="B283" s="352">
        <v>45871</v>
      </c>
      <c r="C283" s="355" t="s">
        <v>169</v>
      </c>
      <c r="D283" s="354">
        <v>1</v>
      </c>
      <c r="E283" s="354" t="s">
        <v>943</v>
      </c>
      <c r="F283" s="354">
        <v>1</v>
      </c>
      <c r="G283" s="357">
        <f t="shared" si="5"/>
        <v>0</v>
      </c>
      <c r="H283" t="s">
        <v>984</v>
      </c>
    </row>
    <row r="284" spans="2:8" x14ac:dyDescent="0.4">
      <c r="B284" s="352">
        <v>45871</v>
      </c>
      <c r="C284" s="355" t="s">
        <v>168</v>
      </c>
      <c r="D284" s="354">
        <v>1</v>
      </c>
      <c r="E284" s="354" t="s">
        <v>943</v>
      </c>
      <c r="F284" s="354">
        <v>1</v>
      </c>
      <c r="G284" s="357">
        <f t="shared" si="5"/>
        <v>0</v>
      </c>
      <c r="H284" t="s">
        <v>984</v>
      </c>
    </row>
    <row r="285" spans="2:8" x14ac:dyDescent="0.4">
      <c r="B285" s="352">
        <v>45871</v>
      </c>
      <c r="C285" s="355" t="s">
        <v>171</v>
      </c>
      <c r="D285" s="354">
        <v>4</v>
      </c>
      <c r="E285" s="354" t="s">
        <v>943</v>
      </c>
      <c r="F285" s="354">
        <v>4</v>
      </c>
      <c r="G285" s="357">
        <f t="shared" si="5"/>
        <v>0</v>
      </c>
      <c r="H285" t="s">
        <v>984</v>
      </c>
    </row>
    <row r="286" spans="2:8" x14ac:dyDescent="0.4">
      <c r="B286" s="352">
        <v>45871</v>
      </c>
      <c r="C286" s="355" t="s">
        <v>951</v>
      </c>
      <c r="D286" s="354">
        <v>1</v>
      </c>
      <c r="E286" s="354" t="s">
        <v>943</v>
      </c>
      <c r="F286" s="354">
        <v>1</v>
      </c>
      <c r="G286" s="357">
        <f t="shared" si="5"/>
        <v>0</v>
      </c>
      <c r="H286" t="s">
        <v>984</v>
      </c>
    </row>
    <row r="287" spans="2:8" x14ac:dyDescent="0.4">
      <c r="B287" s="352">
        <v>45871</v>
      </c>
      <c r="C287" s="355" t="s">
        <v>954</v>
      </c>
      <c r="D287" s="354">
        <v>11</v>
      </c>
      <c r="E287" s="354" t="s">
        <v>943</v>
      </c>
      <c r="F287" s="354">
        <v>11</v>
      </c>
      <c r="G287" s="357">
        <f t="shared" si="5"/>
        <v>0</v>
      </c>
      <c r="H287" t="s">
        <v>984</v>
      </c>
    </row>
    <row r="288" spans="2:8" x14ac:dyDescent="0.4">
      <c r="B288" s="312">
        <v>45871</v>
      </c>
      <c r="C288" s="244" t="s">
        <v>828</v>
      </c>
      <c r="D288" s="245">
        <v>24</v>
      </c>
      <c r="E288" s="328" t="s">
        <v>701</v>
      </c>
      <c r="F288" s="245">
        <v>24</v>
      </c>
      <c r="G288" s="313">
        <f t="shared" si="5"/>
        <v>0</v>
      </c>
    </row>
    <row r="289" spans="2:8" x14ac:dyDescent="0.4">
      <c r="B289" s="312">
        <v>45871</v>
      </c>
      <c r="C289" s="244" t="s">
        <v>829</v>
      </c>
      <c r="D289" s="245">
        <v>30</v>
      </c>
      <c r="E289" s="328" t="s">
        <v>701</v>
      </c>
      <c r="F289" s="245">
        <v>30</v>
      </c>
      <c r="G289" s="313">
        <f t="shared" si="5"/>
        <v>0</v>
      </c>
    </row>
    <row r="290" spans="2:8" x14ac:dyDescent="0.4">
      <c r="B290" s="312">
        <v>45871</v>
      </c>
      <c r="C290" s="244" t="s">
        <v>830</v>
      </c>
      <c r="D290" s="245">
        <v>13</v>
      </c>
      <c r="E290" s="328" t="s">
        <v>701</v>
      </c>
      <c r="F290" s="245">
        <v>13</v>
      </c>
      <c r="G290" s="313">
        <f t="shared" si="5"/>
        <v>0</v>
      </c>
    </row>
    <row r="291" spans="2:8" x14ac:dyDescent="0.4">
      <c r="B291" s="312">
        <v>45871</v>
      </c>
      <c r="C291" s="247" t="s">
        <v>133</v>
      </c>
      <c r="D291" s="245">
        <v>5</v>
      </c>
      <c r="E291" s="328" t="s">
        <v>701</v>
      </c>
      <c r="F291" s="245">
        <v>5</v>
      </c>
      <c r="G291" s="313">
        <f t="shared" si="5"/>
        <v>0</v>
      </c>
    </row>
    <row r="292" spans="2:8" x14ac:dyDescent="0.4">
      <c r="B292" s="312">
        <v>45871</v>
      </c>
      <c r="C292" s="244" t="s">
        <v>398</v>
      </c>
      <c r="D292" s="245">
        <v>2</v>
      </c>
      <c r="E292" s="328" t="s">
        <v>701</v>
      </c>
      <c r="F292" s="245">
        <v>2</v>
      </c>
      <c r="G292" s="313">
        <f t="shared" si="5"/>
        <v>0</v>
      </c>
    </row>
    <row r="293" spans="2:8" x14ac:dyDescent="0.4">
      <c r="B293" s="312">
        <v>45871</v>
      </c>
      <c r="C293" s="364" t="s">
        <v>986</v>
      </c>
      <c r="D293" s="245">
        <v>2</v>
      </c>
      <c r="E293" s="328" t="s">
        <v>701</v>
      </c>
      <c r="F293" s="245">
        <v>2</v>
      </c>
      <c r="G293" s="313">
        <f t="shared" si="5"/>
        <v>0</v>
      </c>
    </row>
    <row r="294" spans="2:8" x14ac:dyDescent="0.4">
      <c r="B294" s="312">
        <v>45871</v>
      </c>
      <c r="C294" s="244" t="s">
        <v>136</v>
      </c>
      <c r="D294" s="245">
        <v>4</v>
      </c>
      <c r="E294" s="328" t="s">
        <v>701</v>
      </c>
      <c r="F294" s="245">
        <v>4</v>
      </c>
      <c r="G294" s="313">
        <f t="shared" si="5"/>
        <v>0</v>
      </c>
    </row>
    <row r="295" spans="2:8" x14ac:dyDescent="0.4">
      <c r="B295" s="312">
        <v>45871</v>
      </c>
      <c r="C295" s="247" t="s">
        <v>941</v>
      </c>
      <c r="D295" s="245">
        <v>3</v>
      </c>
      <c r="E295" s="328" t="s">
        <v>701</v>
      </c>
      <c r="F295" s="245">
        <v>3</v>
      </c>
      <c r="G295" s="313">
        <f t="shared" si="5"/>
        <v>0</v>
      </c>
    </row>
    <row r="296" spans="2:8" x14ac:dyDescent="0.4">
      <c r="B296" s="312">
        <v>45871</v>
      </c>
      <c r="C296" s="364" t="s">
        <v>988</v>
      </c>
      <c r="D296" s="245">
        <v>14</v>
      </c>
      <c r="E296" s="328" t="s">
        <v>701</v>
      </c>
      <c r="F296" s="245">
        <v>14</v>
      </c>
      <c r="G296" s="313">
        <f t="shared" si="5"/>
        <v>0</v>
      </c>
    </row>
    <row r="297" spans="2:8" x14ac:dyDescent="0.4">
      <c r="B297" s="352">
        <v>45873</v>
      </c>
      <c r="C297" s="355" t="s">
        <v>997</v>
      </c>
      <c r="D297" s="354">
        <v>1</v>
      </c>
      <c r="E297" s="354" t="s">
        <v>943</v>
      </c>
      <c r="F297" s="354">
        <v>1</v>
      </c>
      <c r="G297" s="357">
        <f t="shared" si="5"/>
        <v>0</v>
      </c>
      <c r="H297" t="s">
        <v>1007</v>
      </c>
    </row>
    <row r="298" spans="2:8" x14ac:dyDescent="0.4">
      <c r="B298" s="352">
        <v>45873</v>
      </c>
      <c r="C298" s="353" t="s">
        <v>948</v>
      </c>
      <c r="D298" s="354">
        <v>3</v>
      </c>
      <c r="E298" s="354" t="s">
        <v>943</v>
      </c>
      <c r="F298" s="354">
        <v>3</v>
      </c>
      <c r="G298" s="357">
        <f t="shared" si="5"/>
        <v>0</v>
      </c>
      <c r="H298" t="s">
        <v>1007</v>
      </c>
    </row>
    <row r="299" spans="2:8" x14ac:dyDescent="0.4">
      <c r="B299" s="352">
        <v>45873</v>
      </c>
      <c r="C299" s="355" t="s">
        <v>171</v>
      </c>
      <c r="D299" s="354">
        <v>3</v>
      </c>
      <c r="E299" s="354" t="s">
        <v>943</v>
      </c>
      <c r="F299" s="354">
        <v>3</v>
      </c>
      <c r="G299" s="357">
        <f t="shared" si="5"/>
        <v>0</v>
      </c>
      <c r="H299" t="s">
        <v>1007</v>
      </c>
    </row>
    <row r="300" spans="2:8" x14ac:dyDescent="0.4">
      <c r="B300" s="352">
        <v>45873</v>
      </c>
      <c r="C300" s="355" t="s">
        <v>998</v>
      </c>
      <c r="D300" s="354">
        <v>1</v>
      </c>
      <c r="E300" s="354" t="s">
        <v>943</v>
      </c>
      <c r="F300" s="354">
        <v>1</v>
      </c>
      <c r="G300" s="357">
        <f t="shared" si="5"/>
        <v>0</v>
      </c>
      <c r="H300" t="s">
        <v>1007</v>
      </c>
    </row>
    <row r="301" spans="2:8" x14ac:dyDescent="0.4">
      <c r="B301" s="352">
        <v>45873</v>
      </c>
      <c r="C301" s="355" t="s">
        <v>136</v>
      </c>
      <c r="D301" s="354">
        <v>22</v>
      </c>
      <c r="E301" s="354" t="s">
        <v>943</v>
      </c>
      <c r="F301" s="354">
        <v>22</v>
      </c>
      <c r="G301" s="357">
        <f t="shared" si="5"/>
        <v>0</v>
      </c>
      <c r="H301" t="s">
        <v>1007</v>
      </c>
    </row>
    <row r="302" spans="2:8" x14ac:dyDescent="0.4">
      <c r="B302" s="352">
        <v>45873</v>
      </c>
      <c r="C302" s="355" t="s">
        <v>169</v>
      </c>
      <c r="D302" s="354">
        <v>6</v>
      </c>
      <c r="E302" s="354" t="s">
        <v>943</v>
      </c>
      <c r="F302" s="354">
        <v>6</v>
      </c>
      <c r="G302" s="357">
        <f t="shared" si="5"/>
        <v>0</v>
      </c>
      <c r="H302" t="s">
        <v>1007</v>
      </c>
    </row>
    <row r="303" spans="2:8" x14ac:dyDescent="0.4">
      <c r="B303" s="352">
        <v>45873</v>
      </c>
      <c r="C303" s="355" t="s">
        <v>168</v>
      </c>
      <c r="D303" s="354">
        <v>1</v>
      </c>
      <c r="E303" s="354" t="s">
        <v>943</v>
      </c>
      <c r="F303" s="354">
        <v>1</v>
      </c>
      <c r="G303" s="357">
        <f t="shared" si="5"/>
        <v>0</v>
      </c>
      <c r="H303" t="s">
        <v>1007</v>
      </c>
    </row>
    <row r="304" spans="2:8" x14ac:dyDescent="0.4">
      <c r="B304" s="352">
        <v>45873</v>
      </c>
      <c r="C304" s="355" t="s">
        <v>171</v>
      </c>
      <c r="D304" s="354">
        <v>2</v>
      </c>
      <c r="E304" s="354" t="s">
        <v>943</v>
      </c>
      <c r="F304" s="354">
        <v>2</v>
      </c>
      <c r="G304" s="357">
        <f t="shared" si="5"/>
        <v>0</v>
      </c>
      <c r="H304" t="s">
        <v>1007</v>
      </c>
    </row>
    <row r="305" spans="2:8" x14ac:dyDescent="0.4">
      <c r="B305" s="352">
        <v>45873</v>
      </c>
      <c r="C305" s="355" t="s">
        <v>942</v>
      </c>
      <c r="D305" s="354">
        <v>10</v>
      </c>
      <c r="E305" s="354" t="s">
        <v>943</v>
      </c>
      <c r="F305" s="354">
        <v>10</v>
      </c>
      <c r="G305" s="357">
        <f t="shared" si="5"/>
        <v>0</v>
      </c>
      <c r="H305" t="s">
        <v>1007</v>
      </c>
    </row>
    <row r="306" spans="2:8" x14ac:dyDescent="0.4">
      <c r="B306" s="352">
        <v>45873</v>
      </c>
      <c r="C306" s="357" t="s">
        <v>954</v>
      </c>
      <c r="D306" s="354">
        <v>4</v>
      </c>
      <c r="E306" s="354" t="s">
        <v>943</v>
      </c>
      <c r="F306" s="354">
        <v>4</v>
      </c>
      <c r="G306" s="357">
        <f t="shared" si="5"/>
        <v>0</v>
      </c>
      <c r="H306" t="s">
        <v>1007</v>
      </c>
    </row>
    <row r="307" spans="2:8" x14ac:dyDescent="0.4">
      <c r="B307" s="352">
        <v>45873</v>
      </c>
      <c r="C307" s="355" t="s">
        <v>961</v>
      </c>
      <c r="D307" s="354">
        <v>1</v>
      </c>
      <c r="E307" s="354" t="s">
        <v>943</v>
      </c>
      <c r="F307" s="354">
        <v>1</v>
      </c>
      <c r="G307" s="357">
        <f t="shared" si="5"/>
        <v>0</v>
      </c>
      <c r="H307" t="s">
        <v>1007</v>
      </c>
    </row>
    <row r="308" spans="2:8" x14ac:dyDescent="0.4">
      <c r="B308" s="352">
        <v>45873</v>
      </c>
      <c r="C308" s="355" t="s">
        <v>999</v>
      </c>
      <c r="D308" s="354">
        <v>1</v>
      </c>
      <c r="E308" s="354" t="s">
        <v>943</v>
      </c>
      <c r="F308" s="354">
        <v>1</v>
      </c>
      <c r="G308" s="357">
        <f t="shared" si="5"/>
        <v>0</v>
      </c>
      <c r="H308" t="s">
        <v>1007</v>
      </c>
    </row>
    <row r="309" spans="2:8" x14ac:dyDescent="0.4">
      <c r="B309" s="329">
        <v>45874</v>
      </c>
      <c r="C309" s="331" t="s">
        <v>828</v>
      </c>
      <c r="D309" s="328">
        <v>14</v>
      </c>
      <c r="E309" s="328" t="s">
        <v>701</v>
      </c>
      <c r="F309" s="328">
        <v>14</v>
      </c>
      <c r="G309" s="313">
        <f t="shared" si="5"/>
        <v>0</v>
      </c>
    </row>
    <row r="310" spans="2:8" x14ac:dyDescent="0.4">
      <c r="B310" s="329">
        <v>45874</v>
      </c>
      <c r="C310" s="331" t="s">
        <v>829</v>
      </c>
      <c r="D310" s="328">
        <v>21</v>
      </c>
      <c r="E310" s="328" t="s">
        <v>701</v>
      </c>
      <c r="F310" s="328">
        <v>21</v>
      </c>
      <c r="G310" s="313">
        <f t="shared" si="5"/>
        <v>0</v>
      </c>
    </row>
    <row r="311" spans="2:8" x14ac:dyDescent="0.4">
      <c r="B311" s="329">
        <v>45874</v>
      </c>
      <c r="C311" s="331" t="s">
        <v>830</v>
      </c>
      <c r="D311" s="328">
        <v>18</v>
      </c>
      <c r="E311" s="328" t="s">
        <v>701</v>
      </c>
      <c r="F311" s="328">
        <v>18</v>
      </c>
      <c r="G311" s="313">
        <f t="shared" si="5"/>
        <v>0</v>
      </c>
    </row>
    <row r="312" spans="2:8" x14ac:dyDescent="0.4">
      <c r="B312" s="329">
        <v>45874</v>
      </c>
      <c r="C312" s="330" t="s">
        <v>133</v>
      </c>
      <c r="D312" s="328">
        <v>14</v>
      </c>
      <c r="E312" s="328" t="s">
        <v>701</v>
      </c>
      <c r="F312" s="328">
        <v>14</v>
      </c>
      <c r="G312" s="313">
        <f t="shared" si="5"/>
        <v>0</v>
      </c>
    </row>
    <row r="313" spans="2:8" x14ac:dyDescent="0.4">
      <c r="B313" s="329">
        <v>45874</v>
      </c>
      <c r="C313" s="331" t="s">
        <v>986</v>
      </c>
      <c r="D313" s="328">
        <v>6</v>
      </c>
      <c r="E313" s="328" t="s">
        <v>701</v>
      </c>
      <c r="F313" s="328">
        <v>6</v>
      </c>
      <c r="G313" s="313">
        <f t="shared" si="5"/>
        <v>0</v>
      </c>
    </row>
    <row r="314" spans="2:8" x14ac:dyDescent="0.4">
      <c r="B314" s="329">
        <v>45874</v>
      </c>
      <c r="C314" s="331" t="s">
        <v>1001</v>
      </c>
      <c r="D314" s="328">
        <v>5</v>
      </c>
      <c r="E314" s="328" t="s">
        <v>701</v>
      </c>
      <c r="F314" s="328">
        <v>5</v>
      </c>
      <c r="G314" s="313">
        <f t="shared" si="5"/>
        <v>0</v>
      </c>
    </row>
    <row r="315" spans="2:8" x14ac:dyDescent="0.4">
      <c r="B315" s="329">
        <v>45874</v>
      </c>
      <c r="C315" s="330" t="s">
        <v>941</v>
      </c>
      <c r="D315" s="328">
        <v>3</v>
      </c>
      <c r="E315" s="328" t="s">
        <v>701</v>
      </c>
      <c r="F315" s="328">
        <v>3</v>
      </c>
      <c r="G315" s="313">
        <f t="shared" si="5"/>
        <v>0</v>
      </c>
    </row>
    <row r="316" spans="2:8" x14ac:dyDescent="0.4">
      <c r="B316" s="329">
        <v>45874</v>
      </c>
      <c r="C316" s="331" t="s">
        <v>1002</v>
      </c>
      <c r="D316" s="328">
        <v>1</v>
      </c>
      <c r="E316" s="328" t="s">
        <v>701</v>
      </c>
      <c r="F316" s="328">
        <v>1</v>
      </c>
      <c r="G316" s="313">
        <f t="shared" si="5"/>
        <v>0</v>
      </c>
    </row>
    <row r="317" spans="2:8" x14ac:dyDescent="0.4">
      <c r="B317" s="329">
        <v>45874</v>
      </c>
      <c r="C317" s="331" t="s">
        <v>1003</v>
      </c>
      <c r="D317" s="328">
        <v>1</v>
      </c>
      <c r="E317" s="328" t="s">
        <v>701</v>
      </c>
      <c r="F317" s="328">
        <v>1</v>
      </c>
      <c r="G317" s="313">
        <f t="shared" si="5"/>
        <v>0</v>
      </c>
    </row>
    <row r="318" spans="2:8" x14ac:dyDescent="0.4">
      <c r="B318" s="329">
        <v>45874</v>
      </c>
      <c r="C318" s="331" t="s">
        <v>136</v>
      </c>
      <c r="D318" s="328">
        <v>4</v>
      </c>
      <c r="E318" s="328" t="s">
        <v>701</v>
      </c>
      <c r="F318" s="328">
        <v>4</v>
      </c>
      <c r="G318" s="313">
        <f t="shared" si="5"/>
        <v>0</v>
      </c>
    </row>
    <row r="319" spans="2:8" x14ac:dyDescent="0.4">
      <c r="B319" s="329">
        <v>45874</v>
      </c>
      <c r="C319" s="331" t="s">
        <v>169</v>
      </c>
      <c r="D319" s="328">
        <v>2</v>
      </c>
      <c r="E319" s="328" t="s">
        <v>701</v>
      </c>
      <c r="F319" s="328">
        <v>2</v>
      </c>
      <c r="G319" s="313">
        <f t="shared" si="5"/>
        <v>0</v>
      </c>
    </row>
    <row r="320" spans="2:8" x14ac:dyDescent="0.4">
      <c r="B320" s="329">
        <v>45874</v>
      </c>
      <c r="C320" s="331" t="s">
        <v>168</v>
      </c>
      <c r="D320" s="328">
        <v>2</v>
      </c>
      <c r="E320" s="328" t="s">
        <v>701</v>
      </c>
      <c r="F320" s="328">
        <v>2</v>
      </c>
      <c r="G320" s="313">
        <f t="shared" si="5"/>
        <v>0</v>
      </c>
    </row>
    <row r="321" spans="2:8" x14ac:dyDescent="0.4">
      <c r="B321" s="279">
        <v>45880</v>
      </c>
      <c r="C321" s="307" t="s">
        <v>78</v>
      </c>
      <c r="D321" s="242">
        <v>30</v>
      </c>
      <c r="E321" s="242" t="s">
        <v>1062</v>
      </c>
      <c r="F321" s="242">
        <v>30</v>
      </c>
      <c r="G321" s="252">
        <f t="shared" si="5"/>
        <v>0</v>
      </c>
    </row>
    <row r="322" spans="2:8" x14ac:dyDescent="0.4">
      <c r="B322" s="401">
        <v>45881</v>
      </c>
      <c r="C322" s="193" t="s">
        <v>136</v>
      </c>
      <c r="D322" s="395">
        <v>1</v>
      </c>
      <c r="E322" s="395" t="s">
        <v>1066</v>
      </c>
      <c r="F322" s="395">
        <v>1</v>
      </c>
      <c r="G322" s="402">
        <f t="shared" si="5"/>
        <v>0</v>
      </c>
    </row>
    <row r="323" spans="2:8" x14ac:dyDescent="0.4">
      <c r="B323" s="271">
        <v>45881</v>
      </c>
      <c r="C323" s="94" t="s">
        <v>829</v>
      </c>
      <c r="D323" s="43">
        <v>4</v>
      </c>
      <c r="E323" s="43" t="s">
        <v>940</v>
      </c>
      <c r="F323" s="43">
        <v>4</v>
      </c>
      <c r="G323" s="103">
        <f t="shared" si="5"/>
        <v>0</v>
      </c>
      <c r="H323" t="s">
        <v>1100</v>
      </c>
    </row>
    <row r="324" spans="2:8" x14ac:dyDescent="0.4">
      <c r="B324" s="352">
        <v>45881</v>
      </c>
      <c r="C324" s="355" t="s">
        <v>136</v>
      </c>
      <c r="D324" s="354">
        <v>9</v>
      </c>
      <c r="E324" s="354" t="s">
        <v>1101</v>
      </c>
      <c r="F324" s="354">
        <v>9</v>
      </c>
      <c r="G324" s="357">
        <f t="shared" si="5"/>
        <v>0</v>
      </c>
    </row>
    <row r="325" spans="2:8" x14ac:dyDescent="0.4">
      <c r="B325" s="352">
        <v>45881</v>
      </c>
      <c r="C325" s="355" t="s">
        <v>942</v>
      </c>
      <c r="D325" s="354">
        <v>4</v>
      </c>
      <c r="E325" s="354" t="s">
        <v>1101</v>
      </c>
      <c r="F325" s="354">
        <v>4</v>
      </c>
      <c r="G325" s="357">
        <f t="shared" si="5"/>
        <v>0</v>
      </c>
    </row>
    <row r="326" spans="2:8" x14ac:dyDescent="0.4">
      <c r="B326" s="352">
        <v>45881</v>
      </c>
      <c r="C326" s="355" t="s">
        <v>950</v>
      </c>
      <c r="D326" s="354">
        <v>1</v>
      </c>
      <c r="E326" s="354" t="s">
        <v>1101</v>
      </c>
      <c r="F326" s="354">
        <v>1</v>
      </c>
      <c r="G326" s="357">
        <f t="shared" si="5"/>
        <v>0</v>
      </c>
    </row>
    <row r="327" spans="2:8" x14ac:dyDescent="0.4">
      <c r="B327" s="352">
        <v>45881</v>
      </c>
      <c r="C327" s="353" t="s">
        <v>941</v>
      </c>
      <c r="D327" s="406">
        <v>1</v>
      </c>
      <c r="E327" s="354" t="s">
        <v>1101</v>
      </c>
      <c r="F327" s="406">
        <v>1</v>
      </c>
      <c r="G327" s="357">
        <f t="shared" si="5"/>
        <v>0</v>
      </c>
    </row>
    <row r="328" spans="2:8" x14ac:dyDescent="0.4">
      <c r="B328" s="279">
        <v>45882</v>
      </c>
      <c r="C328" s="307" t="s">
        <v>78</v>
      </c>
      <c r="D328" s="242">
        <v>40</v>
      </c>
      <c r="E328" s="242" t="s">
        <v>1062</v>
      </c>
      <c r="F328" s="242">
        <v>40</v>
      </c>
      <c r="G328" s="252">
        <f t="shared" si="5"/>
        <v>0</v>
      </c>
    </row>
    <row r="329" spans="2:8" x14ac:dyDescent="0.4">
      <c r="B329" s="352">
        <v>45883</v>
      </c>
      <c r="C329" s="355" t="s">
        <v>1119</v>
      </c>
      <c r="D329" s="354">
        <v>1</v>
      </c>
      <c r="E329" s="354" t="s">
        <v>943</v>
      </c>
      <c r="F329" s="354">
        <v>1</v>
      </c>
      <c r="G329" s="357">
        <f t="shared" si="5"/>
        <v>0</v>
      </c>
      <c r="H329" t="s">
        <v>1125</v>
      </c>
    </row>
    <row r="330" spans="2:8" x14ac:dyDescent="0.4">
      <c r="B330" s="352">
        <v>45883</v>
      </c>
      <c r="C330" s="355" t="s">
        <v>1120</v>
      </c>
      <c r="D330" s="354">
        <v>1</v>
      </c>
      <c r="E330" s="354" t="s">
        <v>943</v>
      </c>
      <c r="F330" s="354">
        <v>1</v>
      </c>
      <c r="G330" s="357">
        <f t="shared" si="5"/>
        <v>0</v>
      </c>
    </row>
    <row r="331" spans="2:8" x14ac:dyDescent="0.4">
      <c r="B331" s="352">
        <v>45883</v>
      </c>
      <c r="C331" s="353" t="s">
        <v>941</v>
      </c>
      <c r="D331" s="354">
        <v>5</v>
      </c>
      <c r="E331" s="354" t="s">
        <v>943</v>
      </c>
      <c r="F331" s="354">
        <v>5</v>
      </c>
      <c r="G331" s="357">
        <f t="shared" si="5"/>
        <v>0</v>
      </c>
    </row>
    <row r="332" spans="2:8" x14ac:dyDescent="0.4">
      <c r="B332" s="352">
        <v>45883</v>
      </c>
      <c r="C332" s="355" t="s">
        <v>171</v>
      </c>
      <c r="D332" s="354">
        <v>1</v>
      </c>
      <c r="E332" s="354" t="s">
        <v>943</v>
      </c>
      <c r="F332" s="354">
        <v>1</v>
      </c>
      <c r="G332" s="357">
        <f t="shared" si="5"/>
        <v>0</v>
      </c>
    </row>
    <row r="333" spans="2:8" x14ac:dyDescent="0.4">
      <c r="B333" s="352">
        <v>45883</v>
      </c>
      <c r="C333" s="353" t="s">
        <v>136</v>
      </c>
      <c r="D333" s="354">
        <v>27</v>
      </c>
      <c r="E333" s="354" t="s">
        <v>943</v>
      </c>
      <c r="F333" s="354">
        <v>27</v>
      </c>
      <c r="G333" s="357">
        <f t="shared" si="5"/>
        <v>0</v>
      </c>
    </row>
    <row r="334" spans="2:8" x14ac:dyDescent="0.4">
      <c r="B334" s="352">
        <v>45883</v>
      </c>
      <c r="C334" s="355" t="s">
        <v>168</v>
      </c>
      <c r="D334" s="354">
        <v>1</v>
      </c>
      <c r="E334" s="354" t="s">
        <v>943</v>
      </c>
      <c r="F334" s="354">
        <v>1</v>
      </c>
      <c r="G334" s="357">
        <f t="shared" si="5"/>
        <v>0</v>
      </c>
    </row>
    <row r="335" spans="2:8" x14ac:dyDescent="0.4">
      <c r="B335" s="352">
        <v>45883</v>
      </c>
      <c r="C335" s="355" t="s">
        <v>169</v>
      </c>
      <c r="D335" s="354">
        <v>3</v>
      </c>
      <c r="E335" s="354" t="s">
        <v>943</v>
      </c>
      <c r="F335" s="354">
        <v>3</v>
      </c>
      <c r="G335" s="357">
        <f t="shared" si="5"/>
        <v>0</v>
      </c>
    </row>
    <row r="336" spans="2:8" x14ac:dyDescent="0.4">
      <c r="B336" s="352">
        <v>45883</v>
      </c>
      <c r="C336" s="355" t="s">
        <v>951</v>
      </c>
      <c r="D336" s="354">
        <v>1</v>
      </c>
      <c r="E336" s="354" t="s">
        <v>943</v>
      </c>
      <c r="F336" s="354">
        <v>1</v>
      </c>
      <c r="G336" s="357">
        <f t="shared" si="5"/>
        <v>0</v>
      </c>
    </row>
    <row r="337" spans="2:8" x14ac:dyDescent="0.4">
      <c r="B337" s="352">
        <v>45883</v>
      </c>
      <c r="C337" s="355" t="s">
        <v>1121</v>
      </c>
      <c r="D337" s="354">
        <v>2</v>
      </c>
      <c r="E337" s="354" t="s">
        <v>943</v>
      </c>
      <c r="F337" s="354">
        <v>2</v>
      </c>
      <c r="G337" s="357">
        <f t="shared" si="5"/>
        <v>0</v>
      </c>
    </row>
    <row r="338" spans="2:8" x14ac:dyDescent="0.4">
      <c r="B338" s="352">
        <v>45883</v>
      </c>
      <c r="C338" s="356" t="s">
        <v>953</v>
      </c>
      <c r="D338" s="354">
        <v>1</v>
      </c>
      <c r="E338" s="354" t="s">
        <v>943</v>
      </c>
      <c r="F338" s="354">
        <v>1</v>
      </c>
      <c r="G338" s="357">
        <f t="shared" si="5"/>
        <v>0</v>
      </c>
    </row>
    <row r="339" spans="2:8" x14ac:dyDescent="0.4">
      <c r="B339" s="352">
        <v>45883</v>
      </c>
      <c r="C339" s="357" t="s">
        <v>954</v>
      </c>
      <c r="D339" s="354">
        <v>8</v>
      </c>
      <c r="E339" s="354" t="s">
        <v>943</v>
      </c>
      <c r="F339" s="354">
        <v>8</v>
      </c>
      <c r="G339" s="357">
        <f t="shared" si="5"/>
        <v>0</v>
      </c>
    </row>
    <row r="340" spans="2:8" x14ac:dyDescent="0.4">
      <c r="B340" s="352">
        <v>45883</v>
      </c>
      <c r="C340" s="355" t="s">
        <v>1122</v>
      </c>
      <c r="D340" s="354">
        <v>1</v>
      </c>
      <c r="E340" s="354" t="s">
        <v>943</v>
      </c>
      <c r="F340" s="354">
        <v>1</v>
      </c>
      <c r="G340" s="357">
        <f t="shared" si="5"/>
        <v>0</v>
      </c>
    </row>
    <row r="341" spans="2:8" x14ac:dyDescent="0.4">
      <c r="B341" s="352">
        <v>45883</v>
      </c>
      <c r="C341" s="353" t="s">
        <v>136</v>
      </c>
      <c r="D341" s="354">
        <v>16</v>
      </c>
      <c r="E341" s="354" t="s">
        <v>943</v>
      </c>
      <c r="F341" s="354">
        <v>16</v>
      </c>
      <c r="G341" s="357">
        <f t="shared" si="5"/>
        <v>0</v>
      </c>
      <c r="H341" t="s">
        <v>1124</v>
      </c>
    </row>
    <row r="342" spans="2:8" x14ac:dyDescent="0.4">
      <c r="B342" s="352">
        <v>45883</v>
      </c>
      <c r="C342" s="355" t="s">
        <v>169</v>
      </c>
      <c r="D342" s="354">
        <v>5</v>
      </c>
      <c r="E342" s="354" t="s">
        <v>943</v>
      </c>
      <c r="F342" s="354">
        <v>5</v>
      </c>
      <c r="G342" s="357">
        <f t="shared" si="5"/>
        <v>0</v>
      </c>
    </row>
    <row r="343" spans="2:8" x14ac:dyDescent="0.4">
      <c r="B343" s="352">
        <v>45883</v>
      </c>
      <c r="C343" s="355" t="s">
        <v>168</v>
      </c>
      <c r="D343" s="354">
        <v>2</v>
      </c>
      <c r="E343" s="354" t="s">
        <v>943</v>
      </c>
      <c r="F343" s="354">
        <v>2</v>
      </c>
      <c r="G343" s="357">
        <f t="shared" si="5"/>
        <v>0</v>
      </c>
    </row>
    <row r="344" spans="2:8" x14ac:dyDescent="0.4">
      <c r="B344" s="352">
        <v>45883</v>
      </c>
      <c r="C344" s="357" t="s">
        <v>954</v>
      </c>
      <c r="D344" s="354">
        <v>5</v>
      </c>
      <c r="E344" s="354" t="s">
        <v>943</v>
      </c>
      <c r="F344" s="354">
        <v>5</v>
      </c>
      <c r="G344" s="357">
        <f t="shared" si="5"/>
        <v>0</v>
      </c>
    </row>
    <row r="345" spans="2:8" x14ac:dyDescent="0.4">
      <c r="B345" s="352">
        <v>45883</v>
      </c>
      <c r="C345" s="355" t="s">
        <v>961</v>
      </c>
      <c r="D345" s="354">
        <v>1</v>
      </c>
      <c r="E345" s="354" t="s">
        <v>943</v>
      </c>
      <c r="F345" s="354">
        <v>1</v>
      </c>
      <c r="G345" s="357">
        <f t="shared" ref="G345:G408" si="6">D345-F345</f>
        <v>0</v>
      </c>
    </row>
    <row r="346" spans="2:8" x14ac:dyDescent="0.4">
      <c r="B346" s="352">
        <v>45883</v>
      </c>
      <c r="C346" s="355" t="s">
        <v>171</v>
      </c>
      <c r="D346" s="354">
        <v>1</v>
      </c>
      <c r="E346" s="354" t="s">
        <v>943</v>
      </c>
      <c r="F346" s="354">
        <v>1</v>
      </c>
      <c r="G346" s="357">
        <f t="shared" si="6"/>
        <v>0</v>
      </c>
    </row>
    <row r="347" spans="2:8" x14ac:dyDescent="0.4">
      <c r="B347" s="341">
        <v>45884</v>
      </c>
      <c r="C347" s="347" t="s">
        <v>76</v>
      </c>
      <c r="D347" s="351">
        <v>111</v>
      </c>
      <c r="E347" s="351" t="s">
        <v>1126</v>
      </c>
      <c r="F347" s="351">
        <v>111</v>
      </c>
      <c r="G347" s="350">
        <f t="shared" si="6"/>
        <v>0</v>
      </c>
    </row>
    <row r="348" spans="2:8" x14ac:dyDescent="0.4">
      <c r="B348" s="341">
        <v>45884</v>
      </c>
      <c r="C348" s="347" t="s">
        <v>690</v>
      </c>
      <c r="D348" s="351">
        <v>10</v>
      </c>
      <c r="E348" s="351" t="s">
        <v>1126</v>
      </c>
      <c r="F348" s="351">
        <v>10</v>
      </c>
      <c r="G348" s="350">
        <f t="shared" si="6"/>
        <v>0</v>
      </c>
    </row>
    <row r="349" spans="2:8" x14ac:dyDescent="0.4">
      <c r="B349" s="341">
        <v>45884</v>
      </c>
      <c r="C349" s="349" t="s">
        <v>861</v>
      </c>
      <c r="D349" s="351">
        <v>15</v>
      </c>
      <c r="E349" s="351" t="s">
        <v>1126</v>
      </c>
      <c r="F349" s="351">
        <v>15</v>
      </c>
      <c r="G349" s="350">
        <f t="shared" si="6"/>
        <v>0</v>
      </c>
    </row>
    <row r="350" spans="2:8" x14ac:dyDescent="0.4">
      <c r="B350" s="341">
        <v>45884</v>
      </c>
      <c r="C350" s="349" t="s">
        <v>923</v>
      </c>
      <c r="D350" s="351">
        <v>2</v>
      </c>
      <c r="E350" s="351" t="s">
        <v>1126</v>
      </c>
      <c r="F350" s="351">
        <v>2</v>
      </c>
      <c r="G350" s="350">
        <f t="shared" si="6"/>
        <v>0</v>
      </c>
    </row>
    <row r="351" spans="2:8" x14ac:dyDescent="0.4">
      <c r="B351" s="341">
        <v>45889</v>
      </c>
      <c r="C351" s="349" t="s">
        <v>76</v>
      </c>
      <c r="D351" s="351">
        <v>85</v>
      </c>
      <c r="E351" s="351" t="s">
        <v>1155</v>
      </c>
      <c r="F351" s="351">
        <v>85</v>
      </c>
      <c r="G351" s="350">
        <f t="shared" si="6"/>
        <v>0</v>
      </c>
    </row>
    <row r="352" spans="2:8" x14ac:dyDescent="0.4">
      <c r="B352" s="341">
        <v>45889</v>
      </c>
      <c r="C352" s="349" t="s">
        <v>690</v>
      </c>
      <c r="D352" s="351">
        <v>2</v>
      </c>
      <c r="E352" s="351" t="s">
        <v>1155</v>
      </c>
      <c r="F352" s="351">
        <v>2</v>
      </c>
      <c r="G352" s="350">
        <f t="shared" si="6"/>
        <v>0</v>
      </c>
    </row>
    <row r="353" spans="2:7" x14ac:dyDescent="0.4">
      <c r="B353" s="341">
        <v>45889</v>
      </c>
      <c r="C353" s="347" t="s">
        <v>691</v>
      </c>
      <c r="D353" s="351">
        <v>8</v>
      </c>
      <c r="E353" s="351" t="s">
        <v>1155</v>
      </c>
      <c r="F353" s="351">
        <v>8</v>
      </c>
      <c r="G353" s="350">
        <f t="shared" si="6"/>
        <v>0</v>
      </c>
    </row>
    <row r="354" spans="2:7" x14ac:dyDescent="0.4">
      <c r="B354" s="341">
        <v>45889</v>
      </c>
      <c r="C354" s="349" t="s">
        <v>887</v>
      </c>
      <c r="D354" s="351">
        <v>5</v>
      </c>
      <c r="E354" s="351" t="s">
        <v>1155</v>
      </c>
      <c r="F354" s="351">
        <v>5</v>
      </c>
      <c r="G354" s="350">
        <f t="shared" si="6"/>
        <v>0</v>
      </c>
    </row>
    <row r="355" spans="2:7" x14ac:dyDescent="0.4">
      <c r="B355" s="341">
        <v>45889</v>
      </c>
      <c r="C355" s="349" t="s">
        <v>830</v>
      </c>
      <c r="D355" s="351">
        <v>26</v>
      </c>
      <c r="E355" s="351" t="s">
        <v>1155</v>
      </c>
      <c r="F355" s="351">
        <v>26</v>
      </c>
      <c r="G355" s="350">
        <f t="shared" si="6"/>
        <v>0</v>
      </c>
    </row>
    <row r="356" spans="2:7" x14ac:dyDescent="0.4">
      <c r="B356" s="341">
        <v>45889</v>
      </c>
      <c r="C356" s="349" t="s">
        <v>829</v>
      </c>
      <c r="D356" s="351">
        <v>2</v>
      </c>
      <c r="E356" s="351" t="s">
        <v>1155</v>
      </c>
      <c r="F356" s="351">
        <v>2</v>
      </c>
      <c r="G356" s="350">
        <f t="shared" si="6"/>
        <v>0</v>
      </c>
    </row>
    <row r="357" spans="2:7" x14ac:dyDescent="0.4">
      <c r="B357" s="341">
        <v>45889</v>
      </c>
      <c r="C357" s="348" t="s">
        <v>492</v>
      </c>
      <c r="D357" s="351">
        <v>5</v>
      </c>
      <c r="E357" s="351" t="s">
        <v>1155</v>
      </c>
      <c r="F357" s="351">
        <v>5</v>
      </c>
      <c r="G357" s="350">
        <f t="shared" si="6"/>
        <v>0</v>
      </c>
    </row>
    <row r="358" spans="2:7" x14ac:dyDescent="0.4">
      <c r="B358" s="341">
        <v>45889</v>
      </c>
      <c r="C358" s="348" t="s">
        <v>512</v>
      </c>
      <c r="D358" s="351">
        <v>2</v>
      </c>
      <c r="E358" s="351" t="s">
        <v>1155</v>
      </c>
      <c r="F358" s="351">
        <v>2</v>
      </c>
      <c r="G358" s="350">
        <f t="shared" si="6"/>
        <v>0</v>
      </c>
    </row>
    <row r="359" spans="2:7" x14ac:dyDescent="0.4">
      <c r="B359" s="341">
        <v>45889</v>
      </c>
      <c r="C359" s="347" t="s">
        <v>904</v>
      </c>
      <c r="D359" s="351">
        <v>12</v>
      </c>
      <c r="E359" s="351" t="s">
        <v>1155</v>
      </c>
      <c r="F359" s="351">
        <v>12</v>
      </c>
      <c r="G359" s="350">
        <f t="shared" si="6"/>
        <v>0</v>
      </c>
    </row>
    <row r="360" spans="2:7" x14ac:dyDescent="0.4">
      <c r="B360" s="341">
        <v>45889</v>
      </c>
      <c r="C360" s="347" t="s">
        <v>84</v>
      </c>
      <c r="D360" s="351">
        <v>3</v>
      </c>
      <c r="E360" s="351" t="s">
        <v>1155</v>
      </c>
      <c r="F360" s="351">
        <v>3</v>
      </c>
      <c r="G360" s="350">
        <f t="shared" si="6"/>
        <v>0</v>
      </c>
    </row>
    <row r="361" spans="2:7" x14ac:dyDescent="0.4">
      <c r="B361" s="279">
        <v>45890</v>
      </c>
      <c r="C361" s="253" t="s">
        <v>136</v>
      </c>
      <c r="D361" s="240">
        <v>4</v>
      </c>
      <c r="E361" s="240" t="s">
        <v>1156</v>
      </c>
      <c r="F361" s="240">
        <v>4</v>
      </c>
      <c r="G361" s="252">
        <f t="shared" si="6"/>
        <v>0</v>
      </c>
    </row>
    <row r="362" spans="2:7" x14ac:dyDescent="0.4">
      <c r="B362" s="329">
        <v>45894</v>
      </c>
      <c r="C362" s="331" t="s">
        <v>830</v>
      </c>
      <c r="D362" s="432">
        <v>3</v>
      </c>
      <c r="E362" s="328" t="s">
        <v>701</v>
      </c>
      <c r="F362" s="432">
        <v>3</v>
      </c>
      <c r="G362" s="434">
        <f t="shared" si="6"/>
        <v>0</v>
      </c>
    </row>
    <row r="363" spans="2:7" x14ac:dyDescent="0.4">
      <c r="B363" s="329">
        <v>45894</v>
      </c>
      <c r="C363" s="331" t="s">
        <v>828</v>
      </c>
      <c r="D363" s="432">
        <v>11</v>
      </c>
      <c r="E363" s="328" t="s">
        <v>701</v>
      </c>
      <c r="F363" s="432">
        <v>11</v>
      </c>
      <c r="G363" s="434">
        <f t="shared" si="6"/>
        <v>0</v>
      </c>
    </row>
    <row r="364" spans="2:7" x14ac:dyDescent="0.4">
      <c r="B364" s="329">
        <v>45894</v>
      </c>
      <c r="C364" s="331" t="s">
        <v>829</v>
      </c>
      <c r="D364" s="432">
        <v>4</v>
      </c>
      <c r="E364" s="328" t="s">
        <v>701</v>
      </c>
      <c r="F364" s="432">
        <v>4</v>
      </c>
      <c r="G364" s="434">
        <f t="shared" si="6"/>
        <v>0</v>
      </c>
    </row>
    <row r="365" spans="2:7" x14ac:dyDescent="0.4">
      <c r="B365" s="329">
        <v>45894</v>
      </c>
      <c r="C365" s="330" t="s">
        <v>133</v>
      </c>
      <c r="D365" s="432">
        <v>7</v>
      </c>
      <c r="E365" s="328" t="s">
        <v>701</v>
      </c>
      <c r="F365" s="432">
        <v>7</v>
      </c>
      <c r="G365" s="434">
        <f t="shared" si="6"/>
        <v>0</v>
      </c>
    </row>
    <row r="366" spans="2:7" x14ac:dyDescent="0.4">
      <c r="B366" s="329">
        <v>45894</v>
      </c>
      <c r="C366" s="330" t="s">
        <v>425</v>
      </c>
      <c r="D366" s="432">
        <v>1</v>
      </c>
      <c r="E366" s="328" t="s">
        <v>701</v>
      </c>
      <c r="F366" s="432">
        <v>1</v>
      </c>
      <c r="G366" s="434">
        <f t="shared" si="6"/>
        <v>0</v>
      </c>
    </row>
    <row r="367" spans="2:7" x14ac:dyDescent="0.4">
      <c r="B367" s="329">
        <v>45894</v>
      </c>
      <c r="C367" s="434" t="s">
        <v>1171</v>
      </c>
      <c r="D367" s="432">
        <v>2</v>
      </c>
      <c r="E367" s="328" t="s">
        <v>701</v>
      </c>
      <c r="F367" s="432">
        <v>2</v>
      </c>
      <c r="G367" s="434">
        <f t="shared" si="6"/>
        <v>0</v>
      </c>
    </row>
    <row r="368" spans="2:7" x14ac:dyDescent="0.4">
      <c r="B368" s="329">
        <v>45894</v>
      </c>
      <c r="C368" s="434" t="s">
        <v>1172</v>
      </c>
      <c r="D368" s="432">
        <v>4</v>
      </c>
      <c r="E368" s="328" t="s">
        <v>701</v>
      </c>
      <c r="F368" s="432">
        <v>4</v>
      </c>
      <c r="G368" s="434">
        <f t="shared" si="6"/>
        <v>0</v>
      </c>
    </row>
    <row r="369" spans="2:7" x14ac:dyDescent="0.4">
      <c r="B369" s="329">
        <v>45894</v>
      </c>
      <c r="C369" s="434" t="s">
        <v>1172</v>
      </c>
      <c r="D369" s="432">
        <v>4</v>
      </c>
      <c r="E369" s="328" t="s">
        <v>701</v>
      </c>
      <c r="F369" s="432">
        <v>4</v>
      </c>
      <c r="G369" s="434">
        <f t="shared" si="6"/>
        <v>0</v>
      </c>
    </row>
    <row r="370" spans="2:7" x14ac:dyDescent="0.4">
      <c r="B370" s="329">
        <v>45894</v>
      </c>
      <c r="C370" s="434" t="s">
        <v>1173</v>
      </c>
      <c r="D370" s="432">
        <v>2</v>
      </c>
      <c r="E370" s="328" t="s">
        <v>701</v>
      </c>
      <c r="F370" s="432">
        <v>2</v>
      </c>
      <c r="G370" s="434">
        <f t="shared" si="6"/>
        <v>0</v>
      </c>
    </row>
    <row r="371" spans="2:7" x14ac:dyDescent="0.4">
      <c r="B371" s="329">
        <v>45894</v>
      </c>
      <c r="C371" s="434" t="s">
        <v>1174</v>
      </c>
      <c r="D371" s="432">
        <v>1</v>
      </c>
      <c r="E371" s="328" t="s">
        <v>701</v>
      </c>
      <c r="F371" s="432">
        <v>1</v>
      </c>
      <c r="G371" s="434">
        <f t="shared" si="6"/>
        <v>0</v>
      </c>
    </row>
    <row r="372" spans="2:7" x14ac:dyDescent="0.4">
      <c r="B372" s="329">
        <v>45894</v>
      </c>
      <c r="C372" s="435" t="s">
        <v>941</v>
      </c>
      <c r="D372" s="432">
        <v>2</v>
      </c>
      <c r="E372" s="328" t="s">
        <v>701</v>
      </c>
      <c r="F372" s="432">
        <v>2</v>
      </c>
      <c r="G372" s="434">
        <f t="shared" si="6"/>
        <v>0</v>
      </c>
    </row>
    <row r="373" spans="2:7" x14ac:dyDescent="0.4">
      <c r="B373" s="329">
        <v>45894</v>
      </c>
      <c r="C373" s="435" t="s">
        <v>945</v>
      </c>
      <c r="D373" s="432">
        <v>2</v>
      </c>
      <c r="E373" s="328" t="s">
        <v>701</v>
      </c>
      <c r="F373" s="432">
        <v>2</v>
      </c>
      <c r="G373" s="434">
        <f t="shared" si="6"/>
        <v>0</v>
      </c>
    </row>
    <row r="374" spans="2:7" x14ac:dyDescent="0.4">
      <c r="B374" s="329">
        <v>45894</v>
      </c>
      <c r="C374" s="435" t="s">
        <v>1175</v>
      </c>
      <c r="D374" s="432">
        <v>1</v>
      </c>
      <c r="E374" s="328" t="s">
        <v>701</v>
      </c>
      <c r="F374" s="432">
        <v>1</v>
      </c>
      <c r="G374" s="434">
        <f t="shared" si="6"/>
        <v>0</v>
      </c>
    </row>
    <row r="375" spans="2:7" x14ac:dyDescent="0.4">
      <c r="B375" s="329">
        <v>45894</v>
      </c>
      <c r="C375" s="331" t="s">
        <v>1002</v>
      </c>
      <c r="D375" s="432">
        <v>2</v>
      </c>
      <c r="E375" s="328" t="s">
        <v>701</v>
      </c>
      <c r="F375" s="432">
        <v>2</v>
      </c>
      <c r="G375" s="434">
        <f t="shared" si="6"/>
        <v>0</v>
      </c>
    </row>
    <row r="376" spans="2:7" x14ac:dyDescent="0.4">
      <c r="B376" s="329">
        <v>45894</v>
      </c>
      <c r="C376" s="331" t="s">
        <v>942</v>
      </c>
      <c r="D376" s="432">
        <v>1</v>
      </c>
      <c r="E376" s="328" t="s">
        <v>701</v>
      </c>
      <c r="F376" s="432">
        <v>1</v>
      </c>
      <c r="G376" s="434">
        <f t="shared" si="6"/>
        <v>0</v>
      </c>
    </row>
    <row r="377" spans="2:7" x14ac:dyDescent="0.4">
      <c r="B377" s="329">
        <v>45894</v>
      </c>
      <c r="C377" s="435" t="s">
        <v>950</v>
      </c>
      <c r="D377" s="432">
        <v>1</v>
      </c>
      <c r="E377" s="328" t="s">
        <v>701</v>
      </c>
      <c r="F377" s="432">
        <v>1</v>
      </c>
      <c r="G377" s="434">
        <f t="shared" si="6"/>
        <v>0</v>
      </c>
    </row>
    <row r="378" spans="2:7" x14ac:dyDescent="0.4">
      <c r="B378" s="329">
        <v>45894</v>
      </c>
      <c r="C378" s="435" t="s">
        <v>136</v>
      </c>
      <c r="D378" s="432">
        <v>2</v>
      </c>
      <c r="E378" s="328" t="s">
        <v>701</v>
      </c>
      <c r="F378" s="432">
        <v>2</v>
      </c>
      <c r="G378" s="434">
        <f t="shared" si="6"/>
        <v>0</v>
      </c>
    </row>
    <row r="379" spans="2:7" x14ac:dyDescent="0.4">
      <c r="B379" s="329">
        <v>45894</v>
      </c>
      <c r="C379" s="435" t="s">
        <v>136</v>
      </c>
      <c r="D379" s="432">
        <v>4</v>
      </c>
      <c r="E379" s="328" t="s">
        <v>701</v>
      </c>
      <c r="F379" s="432">
        <v>4</v>
      </c>
      <c r="G379" s="434">
        <f t="shared" si="6"/>
        <v>0</v>
      </c>
    </row>
    <row r="380" spans="2:7" x14ac:dyDescent="0.4">
      <c r="B380" s="329">
        <v>45894</v>
      </c>
      <c r="C380" s="435" t="s">
        <v>136</v>
      </c>
      <c r="D380" s="432">
        <v>3</v>
      </c>
      <c r="E380" s="328" t="s">
        <v>701</v>
      </c>
      <c r="F380" s="432">
        <v>3</v>
      </c>
      <c r="G380" s="434">
        <f t="shared" si="6"/>
        <v>0</v>
      </c>
    </row>
    <row r="381" spans="2:7" x14ac:dyDescent="0.4">
      <c r="B381" s="329">
        <v>45894</v>
      </c>
      <c r="C381" s="435" t="s">
        <v>136</v>
      </c>
      <c r="D381" s="432">
        <v>4</v>
      </c>
      <c r="E381" s="328" t="s">
        <v>701</v>
      </c>
      <c r="F381" s="432">
        <v>4</v>
      </c>
      <c r="G381" s="434">
        <f t="shared" si="6"/>
        <v>0</v>
      </c>
    </row>
    <row r="382" spans="2:7" x14ac:dyDescent="0.4">
      <c r="B382" s="329">
        <v>45894</v>
      </c>
      <c r="C382" s="434" t="s">
        <v>1176</v>
      </c>
      <c r="D382" s="432">
        <v>4</v>
      </c>
      <c r="E382" s="328" t="s">
        <v>701</v>
      </c>
      <c r="F382" s="432">
        <v>4</v>
      </c>
      <c r="G382" s="434">
        <f t="shared" si="6"/>
        <v>0</v>
      </c>
    </row>
    <row r="383" spans="2:7" x14ac:dyDescent="0.4">
      <c r="B383" s="329">
        <v>45894</v>
      </c>
      <c r="C383" s="434" t="s">
        <v>169</v>
      </c>
      <c r="D383" s="432">
        <v>1</v>
      </c>
      <c r="E383" s="328" t="s">
        <v>701</v>
      </c>
      <c r="F383" s="432">
        <v>1</v>
      </c>
      <c r="G383" s="434">
        <f t="shared" si="6"/>
        <v>0</v>
      </c>
    </row>
    <row r="384" spans="2:7" x14ac:dyDescent="0.4">
      <c r="B384" s="329">
        <v>45894</v>
      </c>
      <c r="C384" s="435" t="s">
        <v>136</v>
      </c>
      <c r="D384" s="432">
        <v>1</v>
      </c>
      <c r="E384" s="328" t="s">
        <v>701</v>
      </c>
      <c r="F384" s="432">
        <v>1</v>
      </c>
      <c r="G384" s="434">
        <f t="shared" si="6"/>
        <v>0</v>
      </c>
    </row>
    <row r="385" spans="2:8" x14ac:dyDescent="0.4">
      <c r="B385" s="352">
        <v>45890</v>
      </c>
      <c r="C385" s="355" t="s">
        <v>171</v>
      </c>
      <c r="D385" s="354">
        <v>1</v>
      </c>
      <c r="E385" s="354" t="s">
        <v>943</v>
      </c>
      <c r="F385" s="354">
        <v>1</v>
      </c>
      <c r="G385" s="357">
        <f t="shared" si="6"/>
        <v>0</v>
      </c>
      <c r="H385" t="s">
        <v>1194</v>
      </c>
    </row>
    <row r="386" spans="2:8" x14ac:dyDescent="0.4">
      <c r="B386" s="352">
        <v>45890</v>
      </c>
      <c r="C386" s="355" t="s">
        <v>136</v>
      </c>
      <c r="D386" s="354">
        <v>9</v>
      </c>
      <c r="E386" s="354" t="s">
        <v>943</v>
      </c>
      <c r="F386" s="354">
        <v>9</v>
      </c>
      <c r="G386" s="357">
        <f t="shared" si="6"/>
        <v>0</v>
      </c>
    </row>
    <row r="387" spans="2:8" x14ac:dyDescent="0.4">
      <c r="B387" s="352">
        <v>45890</v>
      </c>
      <c r="C387" s="355" t="s">
        <v>136</v>
      </c>
      <c r="D387" s="354">
        <v>10</v>
      </c>
      <c r="E387" s="354" t="s">
        <v>943</v>
      </c>
      <c r="F387" s="354">
        <v>10</v>
      </c>
      <c r="G387" s="357">
        <f t="shared" si="6"/>
        <v>0</v>
      </c>
    </row>
    <row r="388" spans="2:8" x14ac:dyDescent="0.4">
      <c r="B388" s="352">
        <v>45890</v>
      </c>
      <c r="C388" s="356" t="s">
        <v>950</v>
      </c>
      <c r="D388" s="354">
        <v>1</v>
      </c>
      <c r="E388" s="354" t="s">
        <v>943</v>
      </c>
      <c r="F388" s="354">
        <v>1</v>
      </c>
      <c r="G388" s="357">
        <f t="shared" si="6"/>
        <v>0</v>
      </c>
    </row>
    <row r="389" spans="2:8" x14ac:dyDescent="0.4">
      <c r="B389" s="352">
        <v>45890</v>
      </c>
      <c r="C389" s="355" t="s">
        <v>136</v>
      </c>
      <c r="D389" s="354">
        <v>1</v>
      </c>
      <c r="E389" s="354" t="s">
        <v>943</v>
      </c>
      <c r="F389" s="354">
        <v>1</v>
      </c>
      <c r="G389" s="357">
        <f t="shared" si="6"/>
        <v>0</v>
      </c>
    </row>
    <row r="390" spans="2:8" x14ac:dyDescent="0.4">
      <c r="B390" s="352">
        <v>45890</v>
      </c>
      <c r="C390" s="355" t="s">
        <v>169</v>
      </c>
      <c r="D390" s="354">
        <v>2</v>
      </c>
      <c r="E390" s="354" t="s">
        <v>943</v>
      </c>
      <c r="F390" s="354">
        <v>2</v>
      </c>
      <c r="G390" s="357">
        <f t="shared" si="6"/>
        <v>0</v>
      </c>
    </row>
    <row r="391" spans="2:8" x14ac:dyDescent="0.4">
      <c r="B391" s="352">
        <v>45890</v>
      </c>
      <c r="C391" s="355" t="s">
        <v>169</v>
      </c>
      <c r="D391" s="354">
        <v>6</v>
      </c>
      <c r="E391" s="354" t="s">
        <v>943</v>
      </c>
      <c r="F391" s="354">
        <v>6</v>
      </c>
      <c r="G391" s="357">
        <f t="shared" si="6"/>
        <v>0</v>
      </c>
    </row>
    <row r="392" spans="2:8" x14ac:dyDescent="0.4">
      <c r="B392" s="352">
        <v>45890</v>
      </c>
      <c r="C392" s="355" t="s">
        <v>999</v>
      </c>
      <c r="D392" s="354">
        <v>1</v>
      </c>
      <c r="E392" s="354" t="s">
        <v>943</v>
      </c>
      <c r="F392" s="354">
        <v>1</v>
      </c>
      <c r="G392" s="357">
        <f t="shared" si="6"/>
        <v>0</v>
      </c>
    </row>
    <row r="393" spans="2:8" x14ac:dyDescent="0.4">
      <c r="B393" s="352">
        <v>45890</v>
      </c>
      <c r="C393" s="355" t="s">
        <v>999</v>
      </c>
      <c r="D393" s="354">
        <v>1</v>
      </c>
      <c r="E393" s="354" t="s">
        <v>943</v>
      </c>
      <c r="F393" s="354">
        <v>1</v>
      </c>
      <c r="G393" s="357">
        <f t="shared" si="6"/>
        <v>0</v>
      </c>
    </row>
    <row r="394" spans="2:8" x14ac:dyDescent="0.4">
      <c r="B394" s="352">
        <v>45890</v>
      </c>
      <c r="C394" s="355" t="s">
        <v>169</v>
      </c>
      <c r="D394" s="354">
        <v>1</v>
      </c>
      <c r="E394" s="354" t="s">
        <v>943</v>
      </c>
      <c r="F394" s="354">
        <v>1</v>
      </c>
      <c r="G394" s="357">
        <f t="shared" si="6"/>
        <v>0</v>
      </c>
    </row>
    <row r="395" spans="2:8" x14ac:dyDescent="0.4">
      <c r="B395" s="352">
        <v>45890</v>
      </c>
      <c r="C395" s="355" t="s">
        <v>168</v>
      </c>
      <c r="D395" s="354">
        <v>1</v>
      </c>
      <c r="E395" s="354" t="s">
        <v>943</v>
      </c>
      <c r="F395" s="354">
        <v>1</v>
      </c>
      <c r="G395" s="357">
        <f t="shared" si="6"/>
        <v>0</v>
      </c>
    </row>
    <row r="396" spans="2:8" x14ac:dyDescent="0.4">
      <c r="B396" s="352">
        <v>45890</v>
      </c>
      <c r="C396" s="355" t="s">
        <v>999</v>
      </c>
      <c r="D396" s="354">
        <v>1</v>
      </c>
      <c r="E396" s="354" t="s">
        <v>943</v>
      </c>
      <c r="F396" s="354">
        <v>1</v>
      </c>
      <c r="G396" s="357">
        <f t="shared" si="6"/>
        <v>0</v>
      </c>
    </row>
    <row r="397" spans="2:8" x14ac:dyDescent="0.4">
      <c r="B397" s="352">
        <v>45890</v>
      </c>
      <c r="C397" s="356" t="s">
        <v>941</v>
      </c>
      <c r="D397" s="354">
        <v>4</v>
      </c>
      <c r="E397" s="354" t="s">
        <v>943</v>
      </c>
      <c r="F397" s="354">
        <v>4</v>
      </c>
      <c r="G397" s="357">
        <f t="shared" si="6"/>
        <v>0</v>
      </c>
    </row>
    <row r="398" spans="2:8" x14ac:dyDescent="0.4">
      <c r="B398" s="352">
        <v>45890</v>
      </c>
      <c r="C398" s="436" t="s">
        <v>1177</v>
      </c>
      <c r="D398" s="354">
        <v>1</v>
      </c>
      <c r="E398" s="354" t="s">
        <v>943</v>
      </c>
      <c r="F398" s="354">
        <v>1</v>
      </c>
      <c r="G398" s="357">
        <f t="shared" si="6"/>
        <v>0</v>
      </c>
    </row>
    <row r="399" spans="2:8" x14ac:dyDescent="0.4">
      <c r="B399" s="352">
        <v>45890</v>
      </c>
      <c r="C399" s="356" t="s">
        <v>941</v>
      </c>
      <c r="D399" s="354">
        <v>1</v>
      </c>
      <c r="E399" s="354" t="s">
        <v>943</v>
      </c>
      <c r="F399" s="354">
        <v>1</v>
      </c>
      <c r="G399" s="357">
        <f t="shared" si="6"/>
        <v>0</v>
      </c>
    </row>
    <row r="400" spans="2:8" x14ac:dyDescent="0.4">
      <c r="B400" s="352">
        <v>45890</v>
      </c>
      <c r="C400" s="356" t="s">
        <v>945</v>
      </c>
      <c r="D400" s="354">
        <v>1</v>
      </c>
      <c r="E400" s="354" t="s">
        <v>943</v>
      </c>
      <c r="F400" s="354">
        <v>1</v>
      </c>
      <c r="G400" s="357">
        <f t="shared" si="6"/>
        <v>0</v>
      </c>
    </row>
    <row r="401" spans="2:8" x14ac:dyDescent="0.4">
      <c r="B401" s="352">
        <v>45890</v>
      </c>
      <c r="C401" s="357" t="s">
        <v>954</v>
      </c>
      <c r="D401" s="354">
        <v>4</v>
      </c>
      <c r="E401" s="354" t="s">
        <v>943</v>
      </c>
      <c r="F401" s="354">
        <v>4</v>
      </c>
      <c r="G401" s="357">
        <f t="shared" si="6"/>
        <v>0</v>
      </c>
    </row>
    <row r="402" spans="2:8" x14ac:dyDescent="0.4">
      <c r="B402" s="352">
        <v>45890</v>
      </c>
      <c r="C402" s="355" t="s">
        <v>942</v>
      </c>
      <c r="D402" s="354">
        <v>9</v>
      </c>
      <c r="E402" s="354" t="s">
        <v>943</v>
      </c>
      <c r="F402" s="354">
        <v>9</v>
      </c>
      <c r="G402" s="357">
        <f t="shared" si="6"/>
        <v>0</v>
      </c>
    </row>
    <row r="403" spans="2:8" x14ac:dyDescent="0.4">
      <c r="B403" s="352">
        <v>45890</v>
      </c>
      <c r="C403" s="355" t="s">
        <v>1119</v>
      </c>
      <c r="D403" s="354">
        <v>0</v>
      </c>
      <c r="E403" s="354" t="s">
        <v>943</v>
      </c>
      <c r="F403" s="354">
        <v>0</v>
      </c>
      <c r="G403" s="357">
        <f t="shared" si="6"/>
        <v>0</v>
      </c>
    </row>
    <row r="404" spans="2:8" x14ac:dyDescent="0.4">
      <c r="B404" s="341">
        <v>45895</v>
      </c>
      <c r="C404" s="349" t="s">
        <v>76</v>
      </c>
      <c r="D404" s="351">
        <v>57</v>
      </c>
      <c r="E404" s="351" t="s">
        <v>1182</v>
      </c>
      <c r="F404" s="43">
        <v>57</v>
      </c>
      <c r="G404" s="103">
        <f t="shared" si="6"/>
        <v>0</v>
      </c>
    </row>
    <row r="405" spans="2:8" x14ac:dyDescent="0.4">
      <c r="B405" s="352">
        <v>45896</v>
      </c>
      <c r="C405" s="353" t="s">
        <v>137</v>
      </c>
      <c r="D405" s="354">
        <v>1</v>
      </c>
      <c r="E405" s="354" t="s">
        <v>943</v>
      </c>
      <c r="F405" s="354">
        <v>1</v>
      </c>
      <c r="G405" s="357">
        <f t="shared" si="6"/>
        <v>0</v>
      </c>
      <c r="H405" t="s">
        <v>1193</v>
      </c>
    </row>
    <row r="406" spans="2:8" x14ac:dyDescent="0.4">
      <c r="B406" s="352">
        <v>45896</v>
      </c>
      <c r="C406" s="356" t="s">
        <v>941</v>
      </c>
      <c r="D406" s="354">
        <v>3</v>
      </c>
      <c r="E406" s="354" t="s">
        <v>943</v>
      </c>
      <c r="F406" s="354">
        <v>3</v>
      </c>
      <c r="G406" s="357">
        <f t="shared" si="6"/>
        <v>0</v>
      </c>
    </row>
    <row r="407" spans="2:8" x14ac:dyDescent="0.4">
      <c r="B407" s="352">
        <v>45896</v>
      </c>
      <c r="C407" s="355" t="s">
        <v>136</v>
      </c>
      <c r="D407" s="354">
        <v>3</v>
      </c>
      <c r="E407" s="354" t="s">
        <v>943</v>
      </c>
      <c r="F407" s="354">
        <v>3</v>
      </c>
      <c r="G407" s="357">
        <f t="shared" si="6"/>
        <v>0</v>
      </c>
    </row>
    <row r="408" spans="2:8" x14ac:dyDescent="0.4">
      <c r="B408" s="352">
        <v>45896</v>
      </c>
      <c r="C408" s="355" t="s">
        <v>136</v>
      </c>
      <c r="D408" s="354">
        <v>1</v>
      </c>
      <c r="E408" s="354" t="s">
        <v>943</v>
      </c>
      <c r="F408" s="354">
        <v>1</v>
      </c>
      <c r="G408" s="357">
        <f t="shared" si="6"/>
        <v>0</v>
      </c>
    </row>
    <row r="409" spans="2:8" x14ac:dyDescent="0.4">
      <c r="B409" s="352">
        <v>45896</v>
      </c>
      <c r="C409" s="355" t="s">
        <v>169</v>
      </c>
      <c r="D409" s="354">
        <v>2</v>
      </c>
      <c r="E409" s="354" t="s">
        <v>943</v>
      </c>
      <c r="F409" s="354">
        <v>2</v>
      </c>
      <c r="G409" s="357">
        <f t="shared" ref="G409:G472" si="7">D409-F409</f>
        <v>0</v>
      </c>
    </row>
    <row r="410" spans="2:8" x14ac:dyDescent="0.4">
      <c r="B410" s="352">
        <v>45896</v>
      </c>
      <c r="C410" s="355" t="s">
        <v>942</v>
      </c>
      <c r="D410" s="354">
        <v>8</v>
      </c>
      <c r="E410" s="354" t="s">
        <v>943</v>
      </c>
      <c r="F410" s="354">
        <v>8</v>
      </c>
      <c r="G410" s="357">
        <f t="shared" si="7"/>
        <v>0</v>
      </c>
    </row>
    <row r="411" spans="2:8" x14ac:dyDescent="0.4">
      <c r="B411" s="341">
        <v>45896</v>
      </c>
      <c r="C411" s="349" t="s">
        <v>76</v>
      </c>
      <c r="D411" s="351">
        <v>180</v>
      </c>
      <c r="E411" s="351" t="s">
        <v>1195</v>
      </c>
      <c r="F411" s="351">
        <v>180</v>
      </c>
      <c r="G411" s="350">
        <f t="shared" si="7"/>
        <v>0</v>
      </c>
    </row>
    <row r="412" spans="2:8" x14ac:dyDescent="0.4">
      <c r="B412" s="271">
        <v>45897</v>
      </c>
      <c r="C412" s="349" t="s">
        <v>76</v>
      </c>
      <c r="D412" s="43">
        <v>263</v>
      </c>
      <c r="E412" s="351" t="s">
        <v>1198</v>
      </c>
      <c r="F412" s="43">
        <v>263</v>
      </c>
      <c r="G412" s="103">
        <f t="shared" si="7"/>
        <v>0</v>
      </c>
    </row>
    <row r="413" spans="2:8" x14ac:dyDescent="0.4">
      <c r="B413" s="447">
        <v>45897</v>
      </c>
      <c r="C413" s="227" t="s">
        <v>1199</v>
      </c>
      <c r="D413" s="225">
        <v>65</v>
      </c>
      <c r="E413" s="225" t="s">
        <v>796</v>
      </c>
      <c r="F413" s="225">
        <v>65</v>
      </c>
      <c r="G413" s="226">
        <f t="shared" si="7"/>
        <v>0</v>
      </c>
    </row>
    <row r="414" spans="2:8" x14ac:dyDescent="0.4">
      <c r="B414" s="352">
        <v>45897</v>
      </c>
      <c r="C414" s="356" t="s">
        <v>941</v>
      </c>
      <c r="D414" s="354">
        <v>1</v>
      </c>
      <c r="E414" s="354" t="s">
        <v>943</v>
      </c>
      <c r="F414" s="354">
        <v>1</v>
      </c>
      <c r="G414" s="357">
        <f t="shared" si="7"/>
        <v>0</v>
      </c>
      <c r="H414" t="s">
        <v>1203</v>
      </c>
    </row>
    <row r="415" spans="2:8" x14ac:dyDescent="0.4">
      <c r="B415" s="352">
        <v>45897</v>
      </c>
      <c r="C415" s="356" t="s">
        <v>941</v>
      </c>
      <c r="D415" s="354">
        <v>1</v>
      </c>
      <c r="E415" s="354" t="s">
        <v>943</v>
      </c>
      <c r="F415" s="354">
        <v>1</v>
      </c>
      <c r="G415" s="357">
        <f t="shared" si="7"/>
        <v>0</v>
      </c>
    </row>
    <row r="416" spans="2:8" x14ac:dyDescent="0.4">
      <c r="B416" s="352">
        <v>45897</v>
      </c>
      <c r="C416" s="355" t="s">
        <v>136</v>
      </c>
      <c r="D416" s="354">
        <v>3</v>
      </c>
      <c r="E416" s="354" t="s">
        <v>943</v>
      </c>
      <c r="F416" s="354">
        <v>3</v>
      </c>
      <c r="G416" s="357">
        <f t="shared" si="7"/>
        <v>0</v>
      </c>
    </row>
    <row r="417" spans="2:8" x14ac:dyDescent="0.4">
      <c r="B417" s="352">
        <v>45897</v>
      </c>
      <c r="C417" s="355" t="s">
        <v>136</v>
      </c>
      <c r="D417" s="354">
        <v>1</v>
      </c>
      <c r="E417" s="354" t="s">
        <v>943</v>
      </c>
      <c r="F417" s="354">
        <v>1</v>
      </c>
      <c r="G417" s="357">
        <f t="shared" si="7"/>
        <v>0</v>
      </c>
    </row>
    <row r="418" spans="2:8" x14ac:dyDescent="0.4">
      <c r="B418" s="352">
        <v>45897</v>
      </c>
      <c r="C418" s="355" t="s">
        <v>169</v>
      </c>
      <c r="D418" s="354">
        <v>1</v>
      </c>
      <c r="E418" s="354" t="s">
        <v>943</v>
      </c>
      <c r="F418" s="354">
        <v>1</v>
      </c>
      <c r="G418" s="357">
        <f t="shared" si="7"/>
        <v>0</v>
      </c>
    </row>
    <row r="419" spans="2:8" x14ac:dyDescent="0.4">
      <c r="B419" s="352">
        <v>45897</v>
      </c>
      <c r="C419" s="353" t="s">
        <v>949</v>
      </c>
      <c r="D419" s="354">
        <v>2</v>
      </c>
      <c r="E419" s="354" t="s">
        <v>943</v>
      </c>
      <c r="F419" s="354">
        <v>2</v>
      </c>
      <c r="G419" s="357">
        <f t="shared" si="7"/>
        <v>0</v>
      </c>
    </row>
    <row r="420" spans="2:8" x14ac:dyDescent="0.4">
      <c r="B420" s="352">
        <v>45897</v>
      </c>
      <c r="C420" s="436" t="s">
        <v>1202</v>
      </c>
      <c r="D420" s="354">
        <v>1</v>
      </c>
      <c r="E420" s="354" t="s">
        <v>943</v>
      </c>
      <c r="F420" s="354">
        <v>1</v>
      </c>
      <c r="G420" s="357">
        <f t="shared" si="7"/>
        <v>0</v>
      </c>
    </row>
    <row r="421" spans="2:8" x14ac:dyDescent="0.4">
      <c r="B421" s="352">
        <v>45897</v>
      </c>
      <c r="C421" s="355" t="s">
        <v>942</v>
      </c>
      <c r="D421" s="354">
        <v>5</v>
      </c>
      <c r="E421" s="354" t="s">
        <v>943</v>
      </c>
      <c r="F421" s="354">
        <v>5</v>
      </c>
      <c r="G421" s="357">
        <f t="shared" si="7"/>
        <v>0</v>
      </c>
    </row>
    <row r="422" spans="2:8" x14ac:dyDescent="0.4">
      <c r="B422" s="352">
        <v>45897</v>
      </c>
      <c r="C422" s="357" t="s">
        <v>954</v>
      </c>
      <c r="D422" s="354">
        <v>4</v>
      </c>
      <c r="E422" s="354" t="s">
        <v>943</v>
      </c>
      <c r="F422" s="354">
        <v>4</v>
      </c>
      <c r="G422" s="357">
        <f t="shared" si="7"/>
        <v>0</v>
      </c>
    </row>
    <row r="423" spans="2:8" x14ac:dyDescent="0.4">
      <c r="B423" s="352">
        <v>45896</v>
      </c>
      <c r="C423" s="355" t="s">
        <v>962</v>
      </c>
      <c r="D423" s="354">
        <v>1</v>
      </c>
      <c r="E423" s="354" t="s">
        <v>943</v>
      </c>
      <c r="F423" s="354">
        <v>1</v>
      </c>
      <c r="G423" s="357">
        <f t="shared" si="7"/>
        <v>0</v>
      </c>
      <c r="H423" s="320" t="s">
        <v>1205</v>
      </c>
    </row>
    <row r="424" spans="2:8" x14ac:dyDescent="0.4">
      <c r="B424" s="352">
        <v>45896</v>
      </c>
      <c r="C424" s="355" t="s">
        <v>168</v>
      </c>
      <c r="D424" s="354">
        <v>1</v>
      </c>
      <c r="E424" s="354" t="s">
        <v>943</v>
      </c>
      <c r="F424" s="354">
        <v>1</v>
      </c>
      <c r="G424" s="357">
        <f t="shared" si="7"/>
        <v>0</v>
      </c>
    </row>
    <row r="425" spans="2:8" x14ac:dyDescent="0.4">
      <c r="B425" s="352">
        <v>45896</v>
      </c>
      <c r="C425" s="357" t="s">
        <v>954</v>
      </c>
      <c r="D425" s="354">
        <v>1</v>
      </c>
      <c r="E425" s="354" t="s">
        <v>943</v>
      </c>
      <c r="F425" s="354">
        <v>1</v>
      </c>
      <c r="G425" s="357">
        <f t="shared" si="7"/>
        <v>0</v>
      </c>
    </row>
    <row r="426" spans="2:8" x14ac:dyDescent="0.4">
      <c r="B426" s="447">
        <v>45898</v>
      </c>
      <c r="C426" s="227" t="s">
        <v>828</v>
      </c>
      <c r="D426" s="225">
        <v>1</v>
      </c>
      <c r="E426" s="225" t="s">
        <v>1206</v>
      </c>
      <c r="F426" s="225">
        <v>1</v>
      </c>
      <c r="G426" s="226">
        <f t="shared" si="7"/>
        <v>0</v>
      </c>
    </row>
    <row r="427" spans="2:8" x14ac:dyDescent="0.4">
      <c r="B427" s="312">
        <v>45902</v>
      </c>
      <c r="C427" s="247" t="s">
        <v>425</v>
      </c>
      <c r="D427" s="245">
        <v>116</v>
      </c>
      <c r="E427" s="328" t="s">
        <v>701</v>
      </c>
      <c r="F427" s="245">
        <v>116</v>
      </c>
      <c r="G427" s="313">
        <f t="shared" si="7"/>
        <v>0</v>
      </c>
    </row>
    <row r="428" spans="2:8" x14ac:dyDescent="0.4">
      <c r="B428" s="312">
        <v>45902</v>
      </c>
      <c r="C428" s="313" t="s">
        <v>1210</v>
      </c>
      <c r="D428" s="245">
        <v>1</v>
      </c>
      <c r="E428" s="328" t="s">
        <v>701</v>
      </c>
      <c r="F428" s="245">
        <v>1</v>
      </c>
      <c r="G428" s="313">
        <f t="shared" si="7"/>
        <v>0</v>
      </c>
    </row>
    <row r="429" spans="2:8" x14ac:dyDescent="0.4">
      <c r="B429" s="312">
        <v>45902</v>
      </c>
      <c r="C429" s="313" t="s">
        <v>1211</v>
      </c>
      <c r="D429" s="245">
        <v>1</v>
      </c>
      <c r="E429" s="328" t="s">
        <v>701</v>
      </c>
      <c r="F429" s="245">
        <v>1</v>
      </c>
      <c r="G429" s="313">
        <f t="shared" si="7"/>
        <v>0</v>
      </c>
    </row>
    <row r="430" spans="2:8" x14ac:dyDescent="0.4">
      <c r="B430" s="312">
        <v>45902</v>
      </c>
      <c r="C430" s="247" t="s">
        <v>878</v>
      </c>
      <c r="D430" s="245">
        <v>7</v>
      </c>
      <c r="E430" s="328" t="s">
        <v>701</v>
      </c>
      <c r="F430" s="245">
        <v>7</v>
      </c>
      <c r="G430" s="313">
        <f t="shared" si="7"/>
        <v>0</v>
      </c>
    </row>
    <row r="431" spans="2:8" x14ac:dyDescent="0.4">
      <c r="B431" s="312">
        <v>45902</v>
      </c>
      <c r="C431" s="244" t="s">
        <v>398</v>
      </c>
      <c r="D431" s="245">
        <v>1</v>
      </c>
      <c r="E431" s="328" t="s">
        <v>701</v>
      </c>
      <c r="F431" s="245">
        <v>1</v>
      </c>
      <c r="G431" s="313">
        <f t="shared" si="7"/>
        <v>0</v>
      </c>
    </row>
    <row r="432" spans="2:8" x14ac:dyDescent="0.4">
      <c r="B432" s="312">
        <v>45902</v>
      </c>
      <c r="C432" s="244" t="s">
        <v>828</v>
      </c>
      <c r="D432" s="245">
        <v>3</v>
      </c>
      <c r="E432" s="328" t="s">
        <v>701</v>
      </c>
      <c r="F432" s="245">
        <v>3</v>
      </c>
      <c r="G432" s="313">
        <f t="shared" si="7"/>
        <v>0</v>
      </c>
    </row>
    <row r="433" spans="2:7" x14ac:dyDescent="0.4">
      <c r="B433" s="312">
        <v>45902</v>
      </c>
      <c r="C433" s="244" t="s">
        <v>829</v>
      </c>
      <c r="D433" s="245">
        <v>1</v>
      </c>
      <c r="E433" s="328" t="s">
        <v>701</v>
      </c>
      <c r="F433" s="245">
        <v>1</v>
      </c>
      <c r="G433" s="313">
        <f t="shared" si="7"/>
        <v>0</v>
      </c>
    </row>
    <row r="434" spans="2:7" x14ac:dyDescent="0.4">
      <c r="B434" s="312">
        <v>45902</v>
      </c>
      <c r="C434" s="244" t="s">
        <v>156</v>
      </c>
      <c r="D434" s="245">
        <v>6</v>
      </c>
      <c r="E434" s="328" t="s">
        <v>701</v>
      </c>
      <c r="F434" s="245">
        <v>6</v>
      </c>
      <c r="G434" s="313">
        <f t="shared" si="7"/>
        <v>0</v>
      </c>
    </row>
    <row r="435" spans="2:7" x14ac:dyDescent="0.4">
      <c r="B435" s="312">
        <v>45902</v>
      </c>
      <c r="C435" s="247" t="s">
        <v>137</v>
      </c>
      <c r="D435" s="245">
        <v>3</v>
      </c>
      <c r="E435" s="328" t="s">
        <v>701</v>
      </c>
      <c r="F435" s="245">
        <v>3</v>
      </c>
      <c r="G435" s="313">
        <f t="shared" si="7"/>
        <v>0</v>
      </c>
    </row>
    <row r="436" spans="2:7" x14ac:dyDescent="0.4">
      <c r="B436" s="312">
        <v>45902</v>
      </c>
      <c r="C436" s="247" t="s">
        <v>941</v>
      </c>
      <c r="D436" s="245">
        <v>3</v>
      </c>
      <c r="E436" s="328" t="s">
        <v>701</v>
      </c>
      <c r="F436" s="245">
        <v>3</v>
      </c>
      <c r="G436" s="313">
        <f t="shared" si="7"/>
        <v>0</v>
      </c>
    </row>
    <row r="437" spans="2:7" x14ac:dyDescent="0.4">
      <c r="B437" s="312">
        <v>45902</v>
      </c>
      <c r="C437" s="247" t="s">
        <v>945</v>
      </c>
      <c r="D437" s="245">
        <v>1</v>
      </c>
      <c r="E437" s="328" t="s">
        <v>701</v>
      </c>
      <c r="F437" s="245">
        <v>1</v>
      </c>
      <c r="G437" s="313">
        <f t="shared" si="7"/>
        <v>0</v>
      </c>
    </row>
    <row r="438" spans="2:7" x14ac:dyDescent="0.4">
      <c r="B438" s="312">
        <v>45902</v>
      </c>
      <c r="C438" s="247" t="s">
        <v>1214</v>
      </c>
      <c r="D438" s="245">
        <v>1</v>
      </c>
      <c r="E438" s="328" t="s">
        <v>701</v>
      </c>
      <c r="F438" s="245">
        <v>1</v>
      </c>
      <c r="G438" s="313">
        <f t="shared" si="7"/>
        <v>0</v>
      </c>
    </row>
    <row r="439" spans="2:7" x14ac:dyDescent="0.4">
      <c r="B439" s="312">
        <v>45902</v>
      </c>
      <c r="C439" s="313" t="s">
        <v>1173</v>
      </c>
      <c r="D439" s="245">
        <v>1</v>
      </c>
      <c r="E439" s="328" t="s">
        <v>701</v>
      </c>
      <c r="F439" s="245">
        <v>1</v>
      </c>
      <c r="G439" s="313">
        <f t="shared" si="7"/>
        <v>0</v>
      </c>
    </row>
    <row r="440" spans="2:7" x14ac:dyDescent="0.4">
      <c r="B440" s="271">
        <v>45906</v>
      </c>
      <c r="C440" s="349" t="s">
        <v>76</v>
      </c>
      <c r="D440" s="43">
        <v>90</v>
      </c>
      <c r="E440" s="351" t="s">
        <v>1230</v>
      </c>
      <c r="F440" s="43">
        <v>90</v>
      </c>
      <c r="G440" s="103">
        <f t="shared" si="7"/>
        <v>0</v>
      </c>
    </row>
    <row r="441" spans="2:7" x14ac:dyDescent="0.4">
      <c r="B441" s="447">
        <v>45906</v>
      </c>
      <c r="C441" s="227" t="s">
        <v>76</v>
      </c>
      <c r="D441" s="225">
        <v>10</v>
      </c>
      <c r="E441" s="225" t="s">
        <v>1231</v>
      </c>
      <c r="F441" s="225">
        <v>10</v>
      </c>
      <c r="G441" s="226">
        <f t="shared" si="7"/>
        <v>0</v>
      </c>
    </row>
    <row r="442" spans="2:7" x14ac:dyDescent="0.4">
      <c r="B442" s="447">
        <v>45908</v>
      </c>
      <c r="C442" s="227" t="s">
        <v>76</v>
      </c>
      <c r="D442" s="225">
        <v>5</v>
      </c>
      <c r="E442" s="225" t="s">
        <v>1231</v>
      </c>
      <c r="F442" s="225">
        <v>5</v>
      </c>
      <c r="G442" s="226">
        <f t="shared" si="7"/>
        <v>0</v>
      </c>
    </row>
    <row r="443" spans="2:7" x14ac:dyDescent="0.4">
      <c r="B443" s="447">
        <v>45908</v>
      </c>
      <c r="C443" s="227" t="s">
        <v>76</v>
      </c>
      <c r="D443" s="454">
        <v>15</v>
      </c>
      <c r="E443" s="225" t="s">
        <v>1231</v>
      </c>
      <c r="F443" s="454">
        <v>15</v>
      </c>
      <c r="G443" s="226">
        <f t="shared" si="7"/>
        <v>0</v>
      </c>
    </row>
    <row r="444" spans="2:7" x14ac:dyDescent="0.4">
      <c r="B444" s="352">
        <v>45909</v>
      </c>
      <c r="C444" s="355" t="s">
        <v>1120</v>
      </c>
      <c r="D444" s="354">
        <v>1</v>
      </c>
      <c r="E444" s="354" t="s">
        <v>943</v>
      </c>
      <c r="F444" s="354">
        <v>1</v>
      </c>
      <c r="G444" s="357">
        <f t="shared" si="7"/>
        <v>0</v>
      </c>
    </row>
    <row r="445" spans="2:7" x14ac:dyDescent="0.4">
      <c r="B445" s="352">
        <v>45909</v>
      </c>
      <c r="C445" s="353" t="s">
        <v>945</v>
      </c>
      <c r="D445" s="354">
        <v>1</v>
      </c>
      <c r="E445" s="354" t="s">
        <v>943</v>
      </c>
      <c r="F445" s="354">
        <v>1</v>
      </c>
      <c r="G445" s="357">
        <f t="shared" si="7"/>
        <v>0</v>
      </c>
    </row>
    <row r="446" spans="2:7" x14ac:dyDescent="0.4">
      <c r="B446" s="352">
        <v>45909</v>
      </c>
      <c r="C446" s="355" t="s">
        <v>1232</v>
      </c>
      <c r="D446" s="354">
        <v>1</v>
      </c>
      <c r="E446" s="354" t="s">
        <v>943</v>
      </c>
      <c r="F446" s="354">
        <v>1</v>
      </c>
      <c r="G446" s="357">
        <f t="shared" si="7"/>
        <v>0</v>
      </c>
    </row>
    <row r="447" spans="2:7" x14ac:dyDescent="0.4">
      <c r="B447" s="352">
        <v>45909</v>
      </c>
      <c r="C447" s="353" t="s">
        <v>136</v>
      </c>
      <c r="D447" s="354">
        <v>1</v>
      </c>
      <c r="E447" s="354" t="s">
        <v>943</v>
      </c>
      <c r="F447" s="354">
        <v>1</v>
      </c>
      <c r="G447" s="357">
        <f t="shared" si="7"/>
        <v>0</v>
      </c>
    </row>
    <row r="448" spans="2:7" x14ac:dyDescent="0.4">
      <c r="B448" s="352">
        <v>45909</v>
      </c>
      <c r="C448" s="356" t="s">
        <v>950</v>
      </c>
      <c r="D448" s="354">
        <v>1</v>
      </c>
      <c r="E448" s="354" t="s">
        <v>943</v>
      </c>
      <c r="F448" s="354">
        <v>1</v>
      </c>
      <c r="G448" s="357">
        <f t="shared" si="7"/>
        <v>0</v>
      </c>
    </row>
    <row r="449" spans="2:7" x14ac:dyDescent="0.4">
      <c r="B449" s="352">
        <v>45909</v>
      </c>
      <c r="C449" s="353" t="s">
        <v>136</v>
      </c>
      <c r="D449" s="354">
        <v>7</v>
      </c>
      <c r="E449" s="354" t="s">
        <v>943</v>
      </c>
      <c r="F449" s="354">
        <v>7</v>
      </c>
      <c r="G449" s="357">
        <f t="shared" si="7"/>
        <v>0</v>
      </c>
    </row>
    <row r="450" spans="2:7" x14ac:dyDescent="0.4">
      <c r="B450" s="352">
        <v>45909</v>
      </c>
      <c r="C450" s="355" t="s">
        <v>169</v>
      </c>
      <c r="D450" s="354">
        <v>3</v>
      </c>
      <c r="E450" s="354" t="s">
        <v>943</v>
      </c>
      <c r="F450" s="354">
        <v>3</v>
      </c>
      <c r="G450" s="357">
        <f t="shared" si="7"/>
        <v>0</v>
      </c>
    </row>
    <row r="451" spans="2:7" x14ac:dyDescent="0.4">
      <c r="B451" s="352">
        <v>45909</v>
      </c>
      <c r="C451" s="355" t="s">
        <v>168</v>
      </c>
      <c r="D451" s="354">
        <v>1</v>
      </c>
      <c r="E451" s="354" t="s">
        <v>943</v>
      </c>
      <c r="F451" s="354">
        <v>1</v>
      </c>
      <c r="G451" s="357">
        <f t="shared" si="7"/>
        <v>0</v>
      </c>
    </row>
    <row r="452" spans="2:7" x14ac:dyDescent="0.4">
      <c r="B452" s="352">
        <v>45909</v>
      </c>
      <c r="C452" s="355" t="s">
        <v>999</v>
      </c>
      <c r="D452" s="354">
        <v>1</v>
      </c>
      <c r="E452" s="354" t="s">
        <v>943</v>
      </c>
      <c r="F452" s="354">
        <v>1</v>
      </c>
      <c r="G452" s="357">
        <f t="shared" si="7"/>
        <v>0</v>
      </c>
    </row>
    <row r="453" spans="2:7" x14ac:dyDescent="0.4">
      <c r="B453" s="352">
        <v>45909</v>
      </c>
      <c r="C453" s="355" t="s">
        <v>169</v>
      </c>
      <c r="D453" s="354">
        <v>7</v>
      </c>
      <c r="E453" s="354" t="s">
        <v>943</v>
      </c>
      <c r="F453" s="354">
        <v>7</v>
      </c>
      <c r="G453" s="357">
        <f t="shared" si="7"/>
        <v>0</v>
      </c>
    </row>
    <row r="454" spans="2:7" x14ac:dyDescent="0.4">
      <c r="B454" s="352">
        <v>45909</v>
      </c>
      <c r="C454" s="355" t="s">
        <v>168</v>
      </c>
      <c r="D454" s="354">
        <v>1</v>
      </c>
      <c r="E454" s="354" t="s">
        <v>943</v>
      </c>
      <c r="F454" s="354">
        <v>1</v>
      </c>
      <c r="G454" s="357">
        <f t="shared" si="7"/>
        <v>0</v>
      </c>
    </row>
    <row r="455" spans="2:7" x14ac:dyDescent="0.4">
      <c r="B455" s="352">
        <v>45909</v>
      </c>
      <c r="C455" s="355" t="s">
        <v>168</v>
      </c>
      <c r="D455" s="354">
        <v>1</v>
      </c>
      <c r="E455" s="354" t="s">
        <v>943</v>
      </c>
      <c r="F455" s="354">
        <v>1</v>
      </c>
      <c r="G455" s="357">
        <f t="shared" si="7"/>
        <v>0</v>
      </c>
    </row>
    <row r="456" spans="2:7" x14ac:dyDescent="0.4">
      <c r="B456" s="352">
        <v>45909</v>
      </c>
      <c r="C456" s="355" t="s">
        <v>999</v>
      </c>
      <c r="D456" s="354">
        <v>2</v>
      </c>
      <c r="E456" s="354" t="s">
        <v>943</v>
      </c>
      <c r="F456" s="354">
        <v>2</v>
      </c>
      <c r="G456" s="357">
        <f t="shared" si="7"/>
        <v>0</v>
      </c>
    </row>
    <row r="457" spans="2:7" x14ac:dyDescent="0.4">
      <c r="B457" s="352">
        <v>45909</v>
      </c>
      <c r="C457" s="355" t="s">
        <v>169</v>
      </c>
      <c r="D457" s="354">
        <v>1</v>
      </c>
      <c r="E457" s="354" t="s">
        <v>943</v>
      </c>
      <c r="F457" s="354">
        <v>1</v>
      </c>
      <c r="G457" s="357">
        <f t="shared" si="7"/>
        <v>0</v>
      </c>
    </row>
    <row r="458" spans="2:7" x14ac:dyDescent="0.4">
      <c r="B458" s="352">
        <v>45909</v>
      </c>
      <c r="C458" s="356" t="s">
        <v>952</v>
      </c>
      <c r="D458" s="354">
        <v>1</v>
      </c>
      <c r="E458" s="354" t="s">
        <v>943</v>
      </c>
      <c r="F458" s="354">
        <v>1</v>
      </c>
      <c r="G458" s="357">
        <f t="shared" si="7"/>
        <v>0</v>
      </c>
    </row>
    <row r="459" spans="2:7" x14ac:dyDescent="0.4">
      <c r="B459" s="352">
        <v>45909</v>
      </c>
      <c r="C459" s="355" t="s">
        <v>942</v>
      </c>
      <c r="D459" s="354">
        <v>8</v>
      </c>
      <c r="E459" s="354" t="s">
        <v>943</v>
      </c>
      <c r="F459" s="354">
        <v>8</v>
      </c>
      <c r="G459" s="357">
        <f t="shared" si="7"/>
        <v>0</v>
      </c>
    </row>
    <row r="460" spans="2:7" x14ac:dyDescent="0.4">
      <c r="B460" s="352">
        <v>45909</v>
      </c>
      <c r="C460" s="355" t="s">
        <v>942</v>
      </c>
      <c r="D460" s="354">
        <v>0</v>
      </c>
      <c r="E460" s="354" t="s">
        <v>943</v>
      </c>
      <c r="F460" s="354">
        <v>0</v>
      </c>
      <c r="G460" s="357">
        <f t="shared" si="7"/>
        <v>0</v>
      </c>
    </row>
    <row r="461" spans="2:7" x14ac:dyDescent="0.4">
      <c r="B461" s="352">
        <v>45909</v>
      </c>
      <c r="C461" s="353" t="s">
        <v>941</v>
      </c>
      <c r="D461" s="354">
        <v>1</v>
      </c>
      <c r="E461" s="354" t="s">
        <v>943</v>
      </c>
      <c r="F461" s="354">
        <v>1</v>
      </c>
      <c r="G461" s="357">
        <f t="shared" si="7"/>
        <v>0</v>
      </c>
    </row>
    <row r="462" spans="2:7" x14ac:dyDescent="0.4">
      <c r="B462" s="352">
        <v>45909</v>
      </c>
      <c r="C462" s="353" t="s">
        <v>136</v>
      </c>
      <c r="D462" s="354">
        <v>8</v>
      </c>
      <c r="E462" s="354" t="s">
        <v>943</v>
      </c>
      <c r="F462" s="354">
        <v>8</v>
      </c>
      <c r="G462" s="357">
        <f t="shared" si="7"/>
        <v>0</v>
      </c>
    </row>
    <row r="463" spans="2:7" x14ac:dyDescent="0.4">
      <c r="B463" s="352">
        <v>45909</v>
      </c>
      <c r="C463" s="355" t="s">
        <v>168</v>
      </c>
      <c r="D463" s="354">
        <v>1</v>
      </c>
      <c r="E463" s="354" t="s">
        <v>943</v>
      </c>
      <c r="F463" s="354">
        <v>1</v>
      </c>
      <c r="G463" s="357">
        <f t="shared" si="7"/>
        <v>0</v>
      </c>
    </row>
    <row r="464" spans="2:7" x14ac:dyDescent="0.4">
      <c r="B464" s="352">
        <v>45909</v>
      </c>
      <c r="C464" s="356" t="s">
        <v>950</v>
      </c>
      <c r="D464" s="354">
        <v>1</v>
      </c>
      <c r="E464" s="354" t="s">
        <v>943</v>
      </c>
      <c r="F464" s="354">
        <v>1</v>
      </c>
      <c r="G464" s="357">
        <f t="shared" si="7"/>
        <v>0</v>
      </c>
    </row>
    <row r="465" spans="2:7" x14ac:dyDescent="0.4">
      <c r="B465" s="352">
        <v>45909</v>
      </c>
      <c r="C465" s="353" t="s">
        <v>136</v>
      </c>
      <c r="D465" s="354">
        <v>4</v>
      </c>
      <c r="E465" s="354" t="s">
        <v>943</v>
      </c>
      <c r="F465" s="354">
        <v>4</v>
      </c>
      <c r="G465" s="357">
        <f t="shared" si="7"/>
        <v>0</v>
      </c>
    </row>
    <row r="466" spans="2:7" x14ac:dyDescent="0.4">
      <c r="B466" s="352">
        <v>45909</v>
      </c>
      <c r="C466" s="355" t="s">
        <v>168</v>
      </c>
      <c r="D466" s="354">
        <v>1</v>
      </c>
      <c r="E466" s="354" t="s">
        <v>943</v>
      </c>
      <c r="F466" s="354">
        <v>1</v>
      </c>
      <c r="G466" s="357">
        <f t="shared" si="7"/>
        <v>0</v>
      </c>
    </row>
    <row r="467" spans="2:7" x14ac:dyDescent="0.4">
      <c r="B467" s="352">
        <v>45909</v>
      </c>
      <c r="C467" s="355" t="s">
        <v>169</v>
      </c>
      <c r="D467" s="354">
        <v>1</v>
      </c>
      <c r="E467" s="354" t="s">
        <v>943</v>
      </c>
      <c r="F467" s="354">
        <v>1</v>
      </c>
      <c r="G467" s="357">
        <f t="shared" si="7"/>
        <v>0</v>
      </c>
    </row>
    <row r="468" spans="2:7" x14ac:dyDescent="0.4">
      <c r="B468" s="352">
        <v>45909</v>
      </c>
      <c r="C468" s="355" t="s">
        <v>168</v>
      </c>
      <c r="D468" s="354">
        <v>2</v>
      </c>
      <c r="E468" s="354" t="s">
        <v>943</v>
      </c>
      <c r="F468" s="354">
        <v>2</v>
      </c>
      <c r="G468" s="357">
        <f t="shared" si="7"/>
        <v>0</v>
      </c>
    </row>
    <row r="469" spans="2:7" x14ac:dyDescent="0.4">
      <c r="B469" s="352">
        <v>45909</v>
      </c>
      <c r="C469" s="355" t="s">
        <v>942</v>
      </c>
      <c r="D469" s="354">
        <v>3</v>
      </c>
      <c r="E469" s="354" t="s">
        <v>943</v>
      </c>
      <c r="F469" s="354">
        <v>3</v>
      </c>
      <c r="G469" s="357">
        <f t="shared" si="7"/>
        <v>0</v>
      </c>
    </row>
    <row r="470" spans="2:7" x14ac:dyDescent="0.4">
      <c r="B470" s="352">
        <v>45909</v>
      </c>
      <c r="C470" s="355" t="s">
        <v>942</v>
      </c>
      <c r="D470" s="354">
        <v>0</v>
      </c>
      <c r="E470" s="354" t="s">
        <v>943</v>
      </c>
      <c r="F470" s="354">
        <v>0</v>
      </c>
      <c r="G470" s="357">
        <f t="shared" si="7"/>
        <v>0</v>
      </c>
    </row>
    <row r="471" spans="2:7" x14ac:dyDescent="0.4">
      <c r="B471" s="352">
        <v>45909</v>
      </c>
      <c r="C471" s="357" t="s">
        <v>954</v>
      </c>
      <c r="D471" s="354">
        <v>3</v>
      </c>
      <c r="E471" s="354" t="s">
        <v>943</v>
      </c>
      <c r="F471" s="354">
        <v>3</v>
      </c>
      <c r="G471" s="357">
        <f t="shared" si="7"/>
        <v>0</v>
      </c>
    </row>
    <row r="472" spans="2:7" x14ac:dyDescent="0.4">
      <c r="B472" s="329">
        <v>45908</v>
      </c>
      <c r="C472" s="457" t="s">
        <v>828</v>
      </c>
      <c r="D472" s="328">
        <v>3</v>
      </c>
      <c r="E472" s="328" t="s">
        <v>701</v>
      </c>
      <c r="F472" s="328">
        <v>3</v>
      </c>
      <c r="G472" s="434">
        <f t="shared" si="7"/>
        <v>0</v>
      </c>
    </row>
    <row r="473" spans="2:7" x14ac:dyDescent="0.4">
      <c r="B473" s="329">
        <v>45908</v>
      </c>
      <c r="C473" s="457" t="s">
        <v>829</v>
      </c>
      <c r="D473" s="328">
        <v>2</v>
      </c>
      <c r="E473" s="328" t="s">
        <v>701</v>
      </c>
      <c r="F473" s="328">
        <v>2</v>
      </c>
      <c r="G473" s="434">
        <f t="shared" ref="G473:G489" si="8">D473-F473</f>
        <v>0</v>
      </c>
    </row>
    <row r="474" spans="2:7" x14ac:dyDescent="0.4">
      <c r="B474" s="329">
        <v>45908</v>
      </c>
      <c r="C474" s="458" t="s">
        <v>1210</v>
      </c>
      <c r="D474" s="328">
        <v>1</v>
      </c>
      <c r="E474" s="328" t="s">
        <v>701</v>
      </c>
      <c r="F474" s="328">
        <v>1</v>
      </c>
      <c r="G474" s="434">
        <f t="shared" si="8"/>
        <v>0</v>
      </c>
    </row>
    <row r="475" spans="2:7" x14ac:dyDescent="0.4">
      <c r="B475" s="329">
        <v>45908</v>
      </c>
      <c r="C475" s="459" t="s">
        <v>425</v>
      </c>
      <c r="D475" s="328">
        <v>4</v>
      </c>
      <c r="E475" s="328" t="s">
        <v>701</v>
      </c>
      <c r="F475" s="328">
        <v>4</v>
      </c>
      <c r="G475" s="434">
        <f t="shared" si="8"/>
        <v>0</v>
      </c>
    </row>
    <row r="476" spans="2:7" x14ac:dyDescent="0.4">
      <c r="B476" s="329">
        <v>45908</v>
      </c>
      <c r="C476" s="459" t="s">
        <v>133</v>
      </c>
      <c r="D476" s="328">
        <v>13</v>
      </c>
      <c r="E476" s="328" t="s">
        <v>701</v>
      </c>
      <c r="F476" s="328">
        <v>13</v>
      </c>
      <c r="G476" s="434">
        <f t="shared" si="8"/>
        <v>0</v>
      </c>
    </row>
    <row r="477" spans="2:7" x14ac:dyDescent="0.4">
      <c r="B477" s="329">
        <v>45908</v>
      </c>
      <c r="C477" s="459" t="s">
        <v>941</v>
      </c>
      <c r="D477" s="328">
        <v>4</v>
      </c>
      <c r="E477" s="328" t="s">
        <v>701</v>
      </c>
      <c r="F477" s="328">
        <v>4</v>
      </c>
      <c r="G477" s="434">
        <f t="shared" si="8"/>
        <v>0</v>
      </c>
    </row>
    <row r="478" spans="2:7" x14ac:dyDescent="0.4">
      <c r="B478" s="329">
        <v>45908</v>
      </c>
      <c r="C478" s="459" t="s">
        <v>941</v>
      </c>
      <c r="D478" s="328">
        <v>4</v>
      </c>
      <c r="E478" s="328" t="s">
        <v>701</v>
      </c>
      <c r="F478" s="328">
        <v>4</v>
      </c>
      <c r="G478" s="434">
        <f t="shared" si="8"/>
        <v>0</v>
      </c>
    </row>
    <row r="479" spans="2:7" x14ac:dyDescent="0.4">
      <c r="B479" s="329">
        <v>45908</v>
      </c>
      <c r="C479" s="459" t="s">
        <v>137</v>
      </c>
      <c r="D479" s="328">
        <v>1</v>
      </c>
      <c r="E479" s="328" t="s">
        <v>701</v>
      </c>
      <c r="F479" s="328">
        <v>1</v>
      </c>
      <c r="G479" s="434">
        <f t="shared" si="8"/>
        <v>0</v>
      </c>
    </row>
    <row r="480" spans="2:7" x14ac:dyDescent="0.4">
      <c r="B480" s="329">
        <v>45908</v>
      </c>
      <c r="C480" s="459" t="s">
        <v>137</v>
      </c>
      <c r="D480" s="328">
        <v>1</v>
      </c>
      <c r="E480" s="328" t="s">
        <v>701</v>
      </c>
      <c r="F480" s="328">
        <v>1</v>
      </c>
      <c r="G480" s="434">
        <f t="shared" si="8"/>
        <v>0</v>
      </c>
    </row>
    <row r="481" spans="2:7" x14ac:dyDescent="0.4">
      <c r="B481" s="329">
        <v>45908</v>
      </c>
      <c r="C481" s="459" t="s">
        <v>139</v>
      </c>
      <c r="D481" s="328">
        <v>1</v>
      </c>
      <c r="E481" s="328" t="s">
        <v>701</v>
      </c>
      <c r="F481" s="328">
        <v>1</v>
      </c>
      <c r="G481" s="434">
        <f t="shared" si="8"/>
        <v>0</v>
      </c>
    </row>
    <row r="482" spans="2:7" x14ac:dyDescent="0.4">
      <c r="B482" s="329">
        <v>45908</v>
      </c>
      <c r="C482" s="457" t="s">
        <v>1177</v>
      </c>
      <c r="D482" s="328">
        <v>1</v>
      </c>
      <c r="E482" s="328" t="s">
        <v>701</v>
      </c>
      <c r="F482" s="328">
        <v>1</v>
      </c>
      <c r="G482" s="434">
        <f t="shared" si="8"/>
        <v>0</v>
      </c>
    </row>
    <row r="483" spans="2:7" x14ac:dyDescent="0.4">
      <c r="B483" s="329">
        <v>45908</v>
      </c>
      <c r="C483" s="457" t="s">
        <v>1120</v>
      </c>
      <c r="D483" s="328">
        <v>1</v>
      </c>
      <c r="E483" s="328" t="s">
        <v>701</v>
      </c>
      <c r="F483" s="328">
        <v>1</v>
      </c>
      <c r="G483" s="434">
        <f t="shared" si="8"/>
        <v>0</v>
      </c>
    </row>
    <row r="484" spans="2:7" x14ac:dyDescent="0.4">
      <c r="B484" s="329">
        <v>45908</v>
      </c>
      <c r="C484" s="460" t="s">
        <v>1235</v>
      </c>
      <c r="D484" s="328">
        <v>1</v>
      </c>
      <c r="E484" s="328" t="s">
        <v>701</v>
      </c>
      <c r="F484" s="328">
        <v>1</v>
      </c>
      <c r="G484" s="434">
        <f t="shared" si="8"/>
        <v>0</v>
      </c>
    </row>
    <row r="485" spans="2:7" x14ac:dyDescent="0.4">
      <c r="B485" s="329">
        <v>45908</v>
      </c>
      <c r="C485" s="459" t="s">
        <v>136</v>
      </c>
      <c r="D485" s="328">
        <v>9</v>
      </c>
      <c r="E485" s="328" t="s">
        <v>701</v>
      </c>
      <c r="F485" s="328">
        <v>9</v>
      </c>
      <c r="G485" s="434">
        <f t="shared" si="8"/>
        <v>0</v>
      </c>
    </row>
    <row r="486" spans="2:7" x14ac:dyDescent="0.4">
      <c r="B486" s="329">
        <v>45908</v>
      </c>
      <c r="C486" s="461" t="s">
        <v>950</v>
      </c>
      <c r="D486" s="328">
        <v>2</v>
      </c>
      <c r="E486" s="328" t="s">
        <v>701</v>
      </c>
      <c r="F486" s="328">
        <v>2</v>
      </c>
      <c r="G486" s="434">
        <f t="shared" si="8"/>
        <v>0</v>
      </c>
    </row>
    <row r="487" spans="2:7" x14ac:dyDescent="0.4">
      <c r="B487" s="329">
        <v>45908</v>
      </c>
      <c r="C487" s="459" t="s">
        <v>136</v>
      </c>
      <c r="D487" s="328">
        <v>1</v>
      </c>
      <c r="E487" s="328" t="s">
        <v>701</v>
      </c>
      <c r="F487" s="328">
        <v>1</v>
      </c>
      <c r="G487" s="434">
        <f t="shared" si="8"/>
        <v>0</v>
      </c>
    </row>
    <row r="488" spans="2:7" x14ac:dyDescent="0.4">
      <c r="B488" s="329">
        <v>45908</v>
      </c>
      <c r="C488" s="457" t="s">
        <v>169</v>
      </c>
      <c r="D488" s="328">
        <v>1</v>
      </c>
      <c r="E488" s="328" t="s">
        <v>701</v>
      </c>
      <c r="F488" s="328">
        <v>1</v>
      </c>
      <c r="G488" s="434">
        <f t="shared" si="8"/>
        <v>0</v>
      </c>
    </row>
    <row r="489" spans="2:7" x14ac:dyDescent="0.4">
      <c r="B489" s="329">
        <v>45908</v>
      </c>
      <c r="C489" s="457" t="s">
        <v>171</v>
      </c>
      <c r="D489" s="328">
        <v>2</v>
      </c>
      <c r="E489" s="328" t="s">
        <v>701</v>
      </c>
      <c r="F489" s="328">
        <v>2</v>
      </c>
      <c r="G489" s="434">
        <f t="shared" si="8"/>
        <v>0</v>
      </c>
    </row>
  </sheetData>
  <mergeCells count="2">
    <mergeCell ref="C2:D2"/>
    <mergeCell ref="C3:F3"/>
  </mergeCells>
  <phoneticPr fontId="3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B6D5-8DED-43A2-B3EE-99F9A3049DC7}">
  <dimension ref="A1:J120"/>
  <sheetViews>
    <sheetView topLeftCell="A100" zoomScale="85" zoomScaleNormal="85" workbookViewId="0">
      <selection activeCell="F49" sqref="F49"/>
    </sheetView>
  </sheetViews>
  <sheetFormatPr defaultRowHeight="14.4" x14ac:dyDescent="0.3"/>
  <cols>
    <col min="1" max="1" width="6.109375" customWidth="1"/>
    <col min="2" max="2" width="11.5546875" customWidth="1"/>
    <col min="3" max="3" width="35.33203125" customWidth="1"/>
    <col min="4" max="4" width="10.6640625" style="164" bestFit="1" customWidth="1"/>
    <col min="5" max="5" width="19" style="162" customWidth="1"/>
    <col min="6" max="6" width="22.21875" customWidth="1"/>
    <col min="7" max="7" width="19.88671875" customWidth="1"/>
    <col min="8" max="8" width="21.109375" customWidth="1"/>
    <col min="9" max="9" width="22.33203125" style="162" customWidth="1"/>
    <col min="10" max="10" width="16.21875" style="173" customWidth="1"/>
  </cols>
  <sheetData>
    <row r="1" spans="1:10" x14ac:dyDescent="0.3">
      <c r="A1" cm="1">
        <f t="array" aca="1" ref="A1" ca="1">A1:K74</f>
        <v>0</v>
      </c>
    </row>
    <row r="2" spans="1:10" ht="18" x14ac:dyDescent="0.35">
      <c r="B2" s="160" t="s">
        <v>1</v>
      </c>
      <c r="C2" s="160" t="s">
        <v>2</v>
      </c>
      <c r="D2" s="163" t="s">
        <v>3</v>
      </c>
      <c r="E2" s="161" t="s">
        <v>349</v>
      </c>
      <c r="F2" s="160" t="s">
        <v>350</v>
      </c>
      <c r="G2" s="160" t="s">
        <v>353</v>
      </c>
      <c r="H2" s="160" t="s">
        <v>351</v>
      </c>
      <c r="I2" s="161" t="s">
        <v>352</v>
      </c>
      <c r="J2" s="172" t="s">
        <v>354</v>
      </c>
    </row>
    <row r="3" spans="1:10" ht="21" x14ac:dyDescent="0.3">
      <c r="B3" s="165">
        <v>45718</v>
      </c>
      <c r="C3" s="166" t="s">
        <v>78</v>
      </c>
      <c r="D3" s="176">
        <v>5</v>
      </c>
      <c r="E3" s="177">
        <v>1180</v>
      </c>
      <c r="F3" s="177">
        <v>1199.78712</v>
      </c>
      <c r="G3" s="177">
        <f t="shared" ref="G3:G36" si="0">E3-F3</f>
        <v>-19.787119999999959</v>
      </c>
      <c r="H3" s="179">
        <f t="shared" ref="H3:H36" si="1">E3*D3</f>
        <v>5900</v>
      </c>
      <c r="I3" s="179">
        <f t="shared" ref="I3:I36" si="2">F3*D3</f>
        <v>5998.9355999999998</v>
      </c>
      <c r="J3" s="178">
        <f t="shared" ref="J3:J36" si="3">H3-I3</f>
        <v>-98.935599999999795</v>
      </c>
    </row>
    <row r="4" spans="1:10" ht="21" x14ac:dyDescent="0.4">
      <c r="B4" s="167">
        <v>45722</v>
      </c>
      <c r="C4" s="168" t="s">
        <v>86</v>
      </c>
      <c r="D4" s="176">
        <v>20</v>
      </c>
      <c r="E4" s="177">
        <v>4900</v>
      </c>
      <c r="F4" s="177">
        <v>5019.6000000000004</v>
      </c>
      <c r="G4" s="177">
        <f t="shared" si="0"/>
        <v>-119.60000000000036</v>
      </c>
      <c r="H4" s="179">
        <f t="shared" si="1"/>
        <v>98000</v>
      </c>
      <c r="I4" s="179">
        <f t="shared" si="2"/>
        <v>100392</v>
      </c>
      <c r="J4" s="178">
        <f t="shared" si="3"/>
        <v>-2392</v>
      </c>
    </row>
    <row r="5" spans="1:10" ht="21" x14ac:dyDescent="0.3">
      <c r="B5" s="167">
        <v>45722</v>
      </c>
      <c r="C5" s="166" t="s">
        <v>78</v>
      </c>
      <c r="D5" s="176">
        <v>50</v>
      </c>
      <c r="E5" s="177">
        <v>1140</v>
      </c>
      <c r="F5" s="177">
        <v>1199.78712</v>
      </c>
      <c r="G5" s="177">
        <f t="shared" si="0"/>
        <v>-59.787119999999959</v>
      </c>
      <c r="H5" s="179">
        <f t="shared" si="1"/>
        <v>57000</v>
      </c>
      <c r="I5" s="179">
        <f t="shared" si="2"/>
        <v>59989.356</v>
      </c>
      <c r="J5" s="178">
        <f t="shared" si="3"/>
        <v>-2989.3559999999998</v>
      </c>
    </row>
    <row r="6" spans="1:10" ht="21" x14ac:dyDescent="0.3">
      <c r="B6" s="167">
        <v>45723</v>
      </c>
      <c r="C6" s="166" t="s">
        <v>78</v>
      </c>
      <c r="D6" s="176">
        <v>44</v>
      </c>
      <c r="E6" s="177">
        <v>1135</v>
      </c>
      <c r="F6" s="177">
        <v>1199.78712</v>
      </c>
      <c r="G6" s="177">
        <f t="shared" si="0"/>
        <v>-64.787119999999959</v>
      </c>
      <c r="H6" s="179">
        <f t="shared" si="1"/>
        <v>49940</v>
      </c>
      <c r="I6" s="179">
        <f t="shared" si="2"/>
        <v>52790.633279999995</v>
      </c>
      <c r="J6" s="178">
        <f t="shared" si="3"/>
        <v>-2850.6332799999946</v>
      </c>
    </row>
    <row r="7" spans="1:10" ht="21" x14ac:dyDescent="0.3">
      <c r="B7" s="167">
        <v>45728</v>
      </c>
      <c r="C7" s="166" t="s">
        <v>78</v>
      </c>
      <c r="D7" s="176">
        <v>2</v>
      </c>
      <c r="E7" s="177">
        <v>1135</v>
      </c>
      <c r="F7" s="177">
        <v>1199.78712</v>
      </c>
      <c r="G7" s="177">
        <f t="shared" si="0"/>
        <v>-64.787119999999959</v>
      </c>
      <c r="H7" s="179">
        <f t="shared" si="1"/>
        <v>2270</v>
      </c>
      <c r="I7" s="179">
        <f t="shared" si="2"/>
        <v>2399.5742399999999</v>
      </c>
      <c r="J7" s="178">
        <f t="shared" si="3"/>
        <v>-129.57423999999992</v>
      </c>
    </row>
    <row r="8" spans="1:10" ht="21" x14ac:dyDescent="0.3">
      <c r="B8" s="167">
        <v>45729</v>
      </c>
      <c r="C8" s="166" t="s">
        <v>78</v>
      </c>
      <c r="D8" s="176">
        <v>30</v>
      </c>
      <c r="E8" s="177">
        <v>1125</v>
      </c>
      <c r="F8" s="177">
        <v>1199.78712</v>
      </c>
      <c r="G8" s="177">
        <f t="shared" si="0"/>
        <v>-74.787119999999959</v>
      </c>
      <c r="H8" s="179">
        <f t="shared" si="1"/>
        <v>33750</v>
      </c>
      <c r="I8" s="179">
        <f t="shared" si="2"/>
        <v>35993.613599999997</v>
      </c>
      <c r="J8" s="178">
        <f t="shared" si="3"/>
        <v>-2243.6135999999969</v>
      </c>
    </row>
    <row r="9" spans="1:10" ht="21" x14ac:dyDescent="0.4">
      <c r="B9" s="167">
        <v>45729</v>
      </c>
      <c r="C9" s="169" t="s">
        <v>93</v>
      </c>
      <c r="D9" s="176">
        <v>1</v>
      </c>
      <c r="E9" s="177">
        <v>2150</v>
      </c>
      <c r="F9" s="177">
        <v>2250</v>
      </c>
      <c r="G9" s="177">
        <f t="shared" si="0"/>
        <v>-100</v>
      </c>
      <c r="H9" s="179">
        <f t="shared" si="1"/>
        <v>2150</v>
      </c>
      <c r="I9" s="179">
        <f t="shared" si="2"/>
        <v>2250</v>
      </c>
      <c r="J9" s="178">
        <f t="shared" si="3"/>
        <v>-100</v>
      </c>
    </row>
    <row r="10" spans="1:10" ht="21" x14ac:dyDescent="0.4">
      <c r="B10" s="167">
        <v>45733</v>
      </c>
      <c r="C10" s="170" t="s">
        <v>86</v>
      </c>
      <c r="D10" s="176">
        <v>2</v>
      </c>
      <c r="E10" s="177">
        <v>4930</v>
      </c>
      <c r="F10" s="177">
        <v>5019.6000000000004</v>
      </c>
      <c r="G10" s="177">
        <f t="shared" si="0"/>
        <v>-89.600000000000364</v>
      </c>
      <c r="H10" s="179">
        <f t="shared" si="1"/>
        <v>9860</v>
      </c>
      <c r="I10" s="179">
        <f t="shared" si="2"/>
        <v>10039.200000000001</v>
      </c>
      <c r="J10" s="178">
        <f t="shared" si="3"/>
        <v>-179.20000000000073</v>
      </c>
    </row>
    <row r="11" spans="1:10" ht="21" x14ac:dyDescent="0.4">
      <c r="B11" s="167">
        <v>45734</v>
      </c>
      <c r="C11" s="170" t="s">
        <v>86</v>
      </c>
      <c r="D11" s="176">
        <v>31</v>
      </c>
      <c r="E11" s="177">
        <v>4900</v>
      </c>
      <c r="F11" s="177">
        <v>5019.6000000000004</v>
      </c>
      <c r="G11" s="177">
        <f t="shared" si="0"/>
        <v>-119.60000000000036</v>
      </c>
      <c r="H11" s="179">
        <f t="shared" si="1"/>
        <v>151900</v>
      </c>
      <c r="I11" s="179">
        <f t="shared" si="2"/>
        <v>155607.6</v>
      </c>
      <c r="J11" s="178">
        <f t="shared" si="3"/>
        <v>-3707.6000000000058</v>
      </c>
    </row>
    <row r="12" spans="1:10" ht="21" x14ac:dyDescent="0.3">
      <c r="B12" s="167">
        <v>45734</v>
      </c>
      <c r="C12" s="166" t="s">
        <v>78</v>
      </c>
      <c r="D12" s="176">
        <v>3</v>
      </c>
      <c r="E12" s="177">
        <v>1115</v>
      </c>
      <c r="F12" s="177">
        <v>1199.78712</v>
      </c>
      <c r="G12" s="177">
        <f t="shared" si="0"/>
        <v>-84.787119999999959</v>
      </c>
      <c r="H12" s="179">
        <f t="shared" si="1"/>
        <v>3345</v>
      </c>
      <c r="I12" s="179">
        <f t="shared" si="2"/>
        <v>3599.3613599999999</v>
      </c>
      <c r="J12" s="178">
        <f t="shared" si="3"/>
        <v>-254.36135999999988</v>
      </c>
    </row>
    <row r="13" spans="1:10" ht="21" x14ac:dyDescent="0.3">
      <c r="B13" s="167">
        <v>45738</v>
      </c>
      <c r="C13" s="166" t="s">
        <v>78</v>
      </c>
      <c r="D13" s="176">
        <v>4</v>
      </c>
      <c r="E13" s="177">
        <v>1120</v>
      </c>
      <c r="F13" s="177">
        <v>1199.78712</v>
      </c>
      <c r="G13" s="177">
        <f t="shared" si="0"/>
        <v>-79.787119999999959</v>
      </c>
      <c r="H13" s="179">
        <f t="shared" si="1"/>
        <v>4480</v>
      </c>
      <c r="I13" s="179">
        <f t="shared" si="2"/>
        <v>4799.1484799999998</v>
      </c>
      <c r="J13" s="178">
        <f t="shared" si="3"/>
        <v>-319.14847999999984</v>
      </c>
    </row>
    <row r="14" spans="1:10" ht="21" x14ac:dyDescent="0.4">
      <c r="B14" s="167">
        <v>45742</v>
      </c>
      <c r="C14" s="169" t="s">
        <v>86</v>
      </c>
      <c r="D14" s="176">
        <v>2</v>
      </c>
      <c r="E14" s="177">
        <v>4890</v>
      </c>
      <c r="F14" s="177">
        <v>5019.6000000000004</v>
      </c>
      <c r="G14" s="177">
        <f t="shared" si="0"/>
        <v>-129.60000000000036</v>
      </c>
      <c r="H14" s="179">
        <f t="shared" si="1"/>
        <v>9780</v>
      </c>
      <c r="I14" s="179">
        <f t="shared" si="2"/>
        <v>10039.200000000001</v>
      </c>
      <c r="J14" s="178">
        <f t="shared" si="3"/>
        <v>-259.20000000000073</v>
      </c>
    </row>
    <row r="15" spans="1:10" ht="21" x14ac:dyDescent="0.3">
      <c r="B15" s="167">
        <v>45742</v>
      </c>
      <c r="C15" s="171" t="s">
        <v>78</v>
      </c>
      <c r="D15" s="176">
        <v>25</v>
      </c>
      <c r="E15" s="177">
        <v>1050</v>
      </c>
      <c r="F15" s="177">
        <v>1199.78712</v>
      </c>
      <c r="G15" s="177">
        <f t="shared" si="0"/>
        <v>-149.78711999999996</v>
      </c>
      <c r="H15" s="179">
        <f t="shared" si="1"/>
        <v>26250</v>
      </c>
      <c r="I15" s="179">
        <f t="shared" si="2"/>
        <v>29994.678</v>
      </c>
      <c r="J15" s="178">
        <f t="shared" si="3"/>
        <v>-3744.6779999999999</v>
      </c>
    </row>
    <row r="16" spans="1:10" ht="21" x14ac:dyDescent="0.3">
      <c r="B16" s="167">
        <v>45742</v>
      </c>
      <c r="C16" s="171" t="s">
        <v>78</v>
      </c>
      <c r="D16" s="176">
        <v>1</v>
      </c>
      <c r="E16" s="177">
        <v>1080</v>
      </c>
      <c r="F16" s="177">
        <v>1199.78712</v>
      </c>
      <c r="G16" s="177">
        <f t="shared" si="0"/>
        <v>-119.78711999999996</v>
      </c>
      <c r="H16" s="179">
        <f t="shared" si="1"/>
        <v>1080</v>
      </c>
      <c r="I16" s="179">
        <f t="shared" si="2"/>
        <v>1199.78712</v>
      </c>
      <c r="J16" s="178">
        <f t="shared" si="3"/>
        <v>-119.78711999999996</v>
      </c>
    </row>
    <row r="17" spans="2:10" ht="21" x14ac:dyDescent="0.3">
      <c r="B17" s="167">
        <v>45743</v>
      </c>
      <c r="C17" s="171" t="s">
        <v>78</v>
      </c>
      <c r="D17" s="176">
        <v>20</v>
      </c>
      <c r="E17" s="177">
        <v>1040</v>
      </c>
      <c r="F17" s="177">
        <v>1199.78712</v>
      </c>
      <c r="G17" s="177">
        <f t="shared" si="0"/>
        <v>-159.78711999999996</v>
      </c>
      <c r="H17" s="179">
        <f t="shared" si="1"/>
        <v>20800</v>
      </c>
      <c r="I17" s="179">
        <f t="shared" si="2"/>
        <v>23995.742399999999</v>
      </c>
      <c r="J17" s="178">
        <f t="shared" si="3"/>
        <v>-3195.7423999999992</v>
      </c>
    </row>
    <row r="18" spans="2:10" ht="21" x14ac:dyDescent="0.3">
      <c r="B18" s="167">
        <v>45743</v>
      </c>
      <c r="C18" s="171" t="s">
        <v>78</v>
      </c>
      <c r="D18" s="176">
        <v>60</v>
      </c>
      <c r="E18" s="177">
        <v>1030</v>
      </c>
      <c r="F18" s="177">
        <v>1199.78712</v>
      </c>
      <c r="G18" s="177">
        <f t="shared" si="0"/>
        <v>-169.78711999999996</v>
      </c>
      <c r="H18" s="179">
        <f t="shared" si="1"/>
        <v>61800</v>
      </c>
      <c r="I18" s="179">
        <f t="shared" si="2"/>
        <v>71987.227199999994</v>
      </c>
      <c r="J18" s="178">
        <f t="shared" si="3"/>
        <v>-10187.227199999994</v>
      </c>
    </row>
    <row r="19" spans="2:10" ht="21" x14ac:dyDescent="0.4">
      <c r="B19" s="192">
        <v>45744</v>
      </c>
      <c r="C19" s="193" t="s">
        <v>86</v>
      </c>
      <c r="D19" s="194">
        <v>2</v>
      </c>
      <c r="E19" s="195">
        <v>4870</v>
      </c>
      <c r="F19" s="195">
        <v>5019.6000000000004</v>
      </c>
      <c r="G19" s="195">
        <f t="shared" si="0"/>
        <v>-149.60000000000036</v>
      </c>
      <c r="H19" s="196">
        <f t="shared" si="1"/>
        <v>9740</v>
      </c>
      <c r="I19" s="196">
        <f t="shared" si="2"/>
        <v>10039.200000000001</v>
      </c>
      <c r="J19" s="197">
        <f t="shared" si="3"/>
        <v>-299.20000000000073</v>
      </c>
    </row>
    <row r="20" spans="2:10" ht="21" x14ac:dyDescent="0.4">
      <c r="B20" s="106"/>
      <c r="C20" s="190"/>
      <c r="D20" s="1"/>
      <c r="F20" s="162"/>
      <c r="G20" s="162"/>
      <c r="H20" s="128"/>
      <c r="I20" s="198" t="s">
        <v>384</v>
      </c>
      <c r="J20" s="199">
        <f>SUM(J3:J19)</f>
        <v>-33070.257279999991</v>
      </c>
    </row>
    <row r="21" spans="2:10" ht="18" x14ac:dyDescent="0.35">
      <c r="B21" s="160" t="s">
        <v>1</v>
      </c>
      <c r="C21" s="160" t="s">
        <v>2</v>
      </c>
      <c r="D21" s="163" t="s">
        <v>3</v>
      </c>
      <c r="E21" s="161" t="s">
        <v>349</v>
      </c>
      <c r="F21" s="160" t="s">
        <v>350</v>
      </c>
      <c r="G21" s="160" t="s">
        <v>353</v>
      </c>
      <c r="H21" s="160" t="s">
        <v>351</v>
      </c>
      <c r="I21" s="161" t="s">
        <v>352</v>
      </c>
      <c r="J21" s="172" t="s">
        <v>354</v>
      </c>
    </row>
    <row r="22" spans="2:10" ht="21" x14ac:dyDescent="0.3">
      <c r="B22" s="20">
        <v>45717</v>
      </c>
      <c r="C22" s="36" t="s">
        <v>76</v>
      </c>
      <c r="D22" s="19">
        <v>3</v>
      </c>
      <c r="E22" s="174">
        <v>1175</v>
      </c>
      <c r="F22" s="174">
        <v>1045.5287759999999</v>
      </c>
      <c r="G22" s="174">
        <f t="shared" si="0"/>
        <v>129.47122400000012</v>
      </c>
      <c r="H22" s="135">
        <f t="shared" si="1"/>
        <v>3525</v>
      </c>
      <c r="I22" s="135">
        <f t="shared" si="2"/>
        <v>3136.5863279999994</v>
      </c>
      <c r="J22" s="175">
        <f>H22-I22</f>
        <v>388.41367200000059</v>
      </c>
    </row>
    <row r="23" spans="2:10" ht="25.2" customHeight="1" x14ac:dyDescent="0.3">
      <c r="B23" s="20">
        <v>45717</v>
      </c>
      <c r="C23" s="36" t="s">
        <v>76</v>
      </c>
      <c r="D23" s="19">
        <v>7</v>
      </c>
      <c r="E23" s="174">
        <v>1175</v>
      </c>
      <c r="F23" s="174">
        <v>1045.5287759999999</v>
      </c>
      <c r="G23" s="174">
        <f t="shared" si="0"/>
        <v>129.47122400000012</v>
      </c>
      <c r="H23" s="135">
        <f t="shared" si="1"/>
        <v>8225</v>
      </c>
      <c r="I23" s="135">
        <f t="shared" si="2"/>
        <v>7318.7014319999989</v>
      </c>
      <c r="J23" s="175">
        <f t="shared" si="3"/>
        <v>906.29856800000107</v>
      </c>
    </row>
    <row r="24" spans="2:10" ht="21" x14ac:dyDescent="0.3">
      <c r="B24" s="20">
        <v>45717</v>
      </c>
      <c r="C24" s="36" t="s">
        <v>76</v>
      </c>
      <c r="D24" s="19">
        <v>10</v>
      </c>
      <c r="E24" s="174">
        <v>1180</v>
      </c>
      <c r="F24" s="174">
        <v>1045.5287759999999</v>
      </c>
      <c r="G24" s="174">
        <f t="shared" si="0"/>
        <v>134.47122400000012</v>
      </c>
      <c r="H24" s="135">
        <f t="shared" si="1"/>
        <v>11800</v>
      </c>
      <c r="I24" s="135">
        <f t="shared" si="2"/>
        <v>10455.287759999999</v>
      </c>
      <c r="J24" s="175">
        <f t="shared" si="3"/>
        <v>1344.7122400000007</v>
      </c>
    </row>
    <row r="25" spans="2:10" ht="21" x14ac:dyDescent="0.3">
      <c r="B25" s="20">
        <v>45717</v>
      </c>
      <c r="C25" s="36" t="s">
        <v>76</v>
      </c>
      <c r="D25" s="19">
        <v>15</v>
      </c>
      <c r="E25" s="174">
        <v>1175</v>
      </c>
      <c r="F25" s="174">
        <v>1045.5287759999999</v>
      </c>
      <c r="G25" s="174">
        <f t="shared" si="0"/>
        <v>129.47122400000012</v>
      </c>
      <c r="H25" s="135">
        <f t="shared" si="1"/>
        <v>17625</v>
      </c>
      <c r="I25" s="135">
        <f t="shared" si="2"/>
        <v>15682.931639999999</v>
      </c>
      <c r="J25" s="175">
        <f t="shared" si="3"/>
        <v>1942.0683600000011</v>
      </c>
    </row>
    <row r="26" spans="2:10" ht="21" x14ac:dyDescent="0.3">
      <c r="B26" s="20">
        <v>45717</v>
      </c>
      <c r="C26" s="36" t="s">
        <v>76</v>
      </c>
      <c r="D26" s="19">
        <v>7</v>
      </c>
      <c r="E26" s="174">
        <v>1175</v>
      </c>
      <c r="F26" s="174">
        <v>1045.5287759999999</v>
      </c>
      <c r="G26" s="174">
        <f t="shared" si="0"/>
        <v>129.47122400000012</v>
      </c>
      <c r="H26" s="135">
        <f t="shared" si="1"/>
        <v>8225</v>
      </c>
      <c r="I26" s="135">
        <f t="shared" si="2"/>
        <v>7318.7014319999989</v>
      </c>
      <c r="J26" s="175">
        <f t="shared" si="3"/>
        <v>906.29856800000107</v>
      </c>
    </row>
    <row r="27" spans="2:10" ht="21" x14ac:dyDescent="0.4">
      <c r="B27" s="43"/>
      <c r="C27" s="43"/>
      <c r="D27" s="19">
        <v>0</v>
      </c>
      <c r="E27" s="174"/>
      <c r="F27" s="174">
        <v>0</v>
      </c>
      <c r="G27" s="174">
        <f t="shared" si="0"/>
        <v>0</v>
      </c>
      <c r="H27" s="135">
        <f t="shared" si="1"/>
        <v>0</v>
      </c>
      <c r="I27" s="135">
        <f t="shared" si="2"/>
        <v>0</v>
      </c>
      <c r="J27" s="175">
        <f t="shared" si="3"/>
        <v>0</v>
      </c>
    </row>
    <row r="28" spans="2:10" ht="21" x14ac:dyDescent="0.3">
      <c r="B28" s="20">
        <v>45719</v>
      </c>
      <c r="C28" s="36" t="s">
        <v>76</v>
      </c>
      <c r="D28" s="19">
        <v>8</v>
      </c>
      <c r="E28" s="174">
        <v>1170</v>
      </c>
      <c r="F28" s="174">
        <v>1045.5287759999999</v>
      </c>
      <c r="G28" s="174">
        <f t="shared" si="0"/>
        <v>124.47122400000012</v>
      </c>
      <c r="H28" s="135">
        <f t="shared" si="1"/>
        <v>9360</v>
      </c>
      <c r="I28" s="135">
        <f t="shared" si="2"/>
        <v>8364.230207999999</v>
      </c>
      <c r="J28" s="175">
        <f t="shared" si="3"/>
        <v>995.76979200000096</v>
      </c>
    </row>
    <row r="29" spans="2:10" ht="21" x14ac:dyDescent="0.4">
      <c r="B29" s="20">
        <v>45719</v>
      </c>
      <c r="C29" s="43" t="s">
        <v>87</v>
      </c>
      <c r="D29" s="19">
        <v>21</v>
      </c>
      <c r="E29" s="174">
        <v>540</v>
      </c>
      <c r="F29" s="174">
        <v>0</v>
      </c>
      <c r="G29" s="174">
        <f t="shared" si="0"/>
        <v>540</v>
      </c>
      <c r="H29" s="135">
        <f t="shared" si="1"/>
        <v>11340</v>
      </c>
      <c r="I29" s="135">
        <f t="shared" si="2"/>
        <v>0</v>
      </c>
      <c r="J29" s="175">
        <f t="shared" si="3"/>
        <v>11340</v>
      </c>
    </row>
    <row r="30" spans="2:10" ht="21" x14ac:dyDescent="0.3">
      <c r="B30" s="20">
        <v>45719</v>
      </c>
      <c r="C30" s="36" t="s">
        <v>82</v>
      </c>
      <c r="D30" s="19">
        <v>100</v>
      </c>
      <c r="E30" s="174">
        <v>310</v>
      </c>
      <c r="F30" s="174">
        <v>283.75917600000002</v>
      </c>
      <c r="G30" s="174">
        <f t="shared" si="0"/>
        <v>26.240823999999975</v>
      </c>
      <c r="H30" s="135">
        <f t="shared" si="1"/>
        <v>31000</v>
      </c>
      <c r="I30" s="135">
        <f t="shared" si="2"/>
        <v>28375.917600000001</v>
      </c>
      <c r="J30" s="175">
        <f t="shared" si="3"/>
        <v>2624.0823999999993</v>
      </c>
    </row>
    <row r="31" spans="2:10" ht="21" x14ac:dyDescent="0.4">
      <c r="B31" s="82">
        <v>45722</v>
      </c>
      <c r="C31" s="43" t="s">
        <v>86</v>
      </c>
      <c r="D31" s="19">
        <v>3</v>
      </c>
      <c r="E31" s="174">
        <v>6150</v>
      </c>
      <c r="F31" s="174">
        <v>5019.6000000000004</v>
      </c>
      <c r="G31" s="174">
        <f t="shared" si="0"/>
        <v>1130.3999999999996</v>
      </c>
      <c r="H31" s="135">
        <f t="shared" si="1"/>
        <v>18450</v>
      </c>
      <c r="I31" s="135">
        <f t="shared" si="2"/>
        <v>15058.800000000001</v>
      </c>
      <c r="J31" s="175">
        <f t="shared" si="3"/>
        <v>3391.1999999999989</v>
      </c>
    </row>
    <row r="32" spans="2:10" ht="21" x14ac:dyDescent="0.3">
      <c r="B32" s="82">
        <v>45722</v>
      </c>
      <c r="C32" s="38" t="s">
        <v>139</v>
      </c>
      <c r="D32" s="19">
        <v>13</v>
      </c>
      <c r="E32" s="174">
        <v>3120</v>
      </c>
      <c r="F32" s="174">
        <v>2940.3</v>
      </c>
      <c r="G32" s="174">
        <f t="shared" si="0"/>
        <v>179.69999999999982</v>
      </c>
      <c r="H32" s="135">
        <f t="shared" si="1"/>
        <v>40560</v>
      </c>
      <c r="I32" s="135">
        <f t="shared" si="2"/>
        <v>38223.9</v>
      </c>
      <c r="J32" s="175">
        <f t="shared" si="3"/>
        <v>2336.0999999999985</v>
      </c>
    </row>
    <row r="33" spans="2:10" ht="21" x14ac:dyDescent="0.3">
      <c r="B33" s="82">
        <v>45722</v>
      </c>
      <c r="C33" s="38" t="s">
        <v>137</v>
      </c>
      <c r="D33" s="19">
        <v>4</v>
      </c>
      <c r="E33" s="174">
        <v>3800</v>
      </c>
      <c r="F33" s="174">
        <v>3630</v>
      </c>
      <c r="G33" s="174">
        <f t="shared" si="0"/>
        <v>170</v>
      </c>
      <c r="H33" s="135">
        <f t="shared" si="1"/>
        <v>15200</v>
      </c>
      <c r="I33" s="135">
        <f t="shared" si="2"/>
        <v>14520</v>
      </c>
      <c r="J33" s="175">
        <f t="shared" si="3"/>
        <v>680</v>
      </c>
    </row>
    <row r="34" spans="2:10" ht="21" x14ac:dyDescent="0.3">
      <c r="B34" s="82">
        <v>45722</v>
      </c>
      <c r="C34" s="38" t="s">
        <v>136</v>
      </c>
      <c r="D34" s="19">
        <v>17</v>
      </c>
      <c r="E34" s="174">
        <v>2860</v>
      </c>
      <c r="F34" s="174">
        <v>2766.06</v>
      </c>
      <c r="G34" s="174">
        <f t="shared" si="0"/>
        <v>93.940000000000055</v>
      </c>
      <c r="H34" s="135">
        <f t="shared" si="1"/>
        <v>48620</v>
      </c>
      <c r="I34" s="135">
        <f t="shared" si="2"/>
        <v>47023.02</v>
      </c>
      <c r="J34" s="175">
        <f t="shared" si="3"/>
        <v>1596.9800000000032</v>
      </c>
    </row>
    <row r="35" spans="2:10" ht="21" x14ac:dyDescent="0.3">
      <c r="B35" s="82">
        <v>45722</v>
      </c>
      <c r="C35" s="38" t="s">
        <v>136</v>
      </c>
      <c r="D35" s="19">
        <v>2</v>
      </c>
      <c r="E35" s="174">
        <v>2805</v>
      </c>
      <c r="F35" s="174">
        <v>2766.06</v>
      </c>
      <c r="G35" s="174">
        <f t="shared" si="0"/>
        <v>38.940000000000055</v>
      </c>
      <c r="H35" s="135">
        <f t="shared" si="1"/>
        <v>5610</v>
      </c>
      <c r="I35" s="135">
        <f t="shared" si="2"/>
        <v>5532.12</v>
      </c>
      <c r="J35" s="175">
        <f t="shared" si="3"/>
        <v>77.880000000000109</v>
      </c>
    </row>
    <row r="36" spans="2:10" ht="42" x14ac:dyDescent="0.3">
      <c r="B36" s="82">
        <v>45723</v>
      </c>
      <c r="C36" s="36" t="s">
        <v>88</v>
      </c>
      <c r="D36" s="19">
        <v>1</v>
      </c>
      <c r="E36" s="174">
        <v>325</v>
      </c>
      <c r="F36" s="174">
        <v>250</v>
      </c>
      <c r="G36" s="174">
        <f t="shared" si="0"/>
        <v>75</v>
      </c>
      <c r="H36" s="135">
        <f t="shared" si="1"/>
        <v>325</v>
      </c>
      <c r="I36" s="135">
        <f t="shared" si="2"/>
        <v>250</v>
      </c>
      <c r="J36" s="175">
        <f t="shared" si="3"/>
        <v>75</v>
      </c>
    </row>
    <row r="37" spans="2:10" ht="21" x14ac:dyDescent="0.3">
      <c r="B37" s="82">
        <v>45723</v>
      </c>
      <c r="C37" s="36" t="s">
        <v>82</v>
      </c>
      <c r="D37" s="19">
        <v>20</v>
      </c>
      <c r="E37" s="174">
        <v>315</v>
      </c>
      <c r="F37" s="174">
        <v>283.75917600000002</v>
      </c>
      <c r="G37" s="174">
        <f t="shared" ref="G37:G68" si="4">E37-F37</f>
        <v>31.240823999999975</v>
      </c>
      <c r="H37" s="135">
        <f t="shared" ref="H37:H68" si="5">E37*D37</f>
        <v>6300</v>
      </c>
      <c r="I37" s="135">
        <f t="shared" ref="I37:I68" si="6">F37*D37</f>
        <v>5675.1835200000005</v>
      </c>
      <c r="J37" s="175">
        <f t="shared" ref="J37:J68" si="7">H37-I37</f>
        <v>624.8164799999995</v>
      </c>
    </row>
    <row r="38" spans="2:10" ht="21" x14ac:dyDescent="0.3">
      <c r="B38" s="82">
        <v>45723</v>
      </c>
      <c r="C38" s="36" t="s">
        <v>82</v>
      </c>
      <c r="D38" s="19">
        <v>102</v>
      </c>
      <c r="E38" s="174">
        <v>310</v>
      </c>
      <c r="F38" s="174">
        <v>283.75917600000002</v>
      </c>
      <c r="G38" s="174">
        <f t="shared" si="4"/>
        <v>26.240823999999975</v>
      </c>
      <c r="H38" s="135">
        <f t="shared" si="5"/>
        <v>31620</v>
      </c>
      <c r="I38" s="135">
        <f t="shared" si="6"/>
        <v>28943.435952000003</v>
      </c>
      <c r="J38" s="175">
        <f t="shared" si="7"/>
        <v>2676.5640479999965</v>
      </c>
    </row>
    <row r="39" spans="2:10" ht="21" x14ac:dyDescent="0.4">
      <c r="B39" s="43"/>
      <c r="C39" s="43"/>
      <c r="D39" s="19">
        <v>0</v>
      </c>
      <c r="E39" s="174"/>
      <c r="F39" s="174">
        <v>0</v>
      </c>
      <c r="G39" s="174">
        <f t="shared" si="4"/>
        <v>0</v>
      </c>
      <c r="H39" s="135">
        <f t="shared" si="5"/>
        <v>0</v>
      </c>
      <c r="I39" s="135">
        <f t="shared" si="6"/>
        <v>0</v>
      </c>
      <c r="J39" s="175">
        <f t="shared" si="7"/>
        <v>0</v>
      </c>
    </row>
    <row r="40" spans="2:10" ht="21" x14ac:dyDescent="0.3">
      <c r="B40" s="82">
        <v>45729</v>
      </c>
      <c r="C40" s="93" t="s">
        <v>80</v>
      </c>
      <c r="D40" s="19">
        <v>188</v>
      </c>
      <c r="E40" s="174">
        <v>320</v>
      </c>
      <c r="F40" s="174">
        <v>276.14148</v>
      </c>
      <c r="G40" s="174">
        <f t="shared" si="4"/>
        <v>43.858519999999999</v>
      </c>
      <c r="H40" s="135">
        <f t="shared" si="5"/>
        <v>60160</v>
      </c>
      <c r="I40" s="135">
        <f t="shared" si="6"/>
        <v>51914.598239999999</v>
      </c>
      <c r="J40" s="175">
        <f t="shared" si="7"/>
        <v>8245.4017600000006</v>
      </c>
    </row>
    <row r="41" spans="2:10" ht="21" x14ac:dyDescent="0.3">
      <c r="B41" s="82">
        <v>45729</v>
      </c>
      <c r="C41" s="85" t="s">
        <v>133</v>
      </c>
      <c r="D41" s="19">
        <v>13</v>
      </c>
      <c r="E41" s="174">
        <v>1730</v>
      </c>
      <c r="F41" s="174">
        <v>1542.75</v>
      </c>
      <c r="G41" s="174">
        <f t="shared" si="4"/>
        <v>187.25</v>
      </c>
      <c r="H41" s="135">
        <f t="shared" si="5"/>
        <v>22490</v>
      </c>
      <c r="I41" s="135">
        <f t="shared" si="6"/>
        <v>20055.75</v>
      </c>
      <c r="J41" s="175">
        <f t="shared" si="7"/>
        <v>2434.25</v>
      </c>
    </row>
    <row r="42" spans="2:10" ht="21" x14ac:dyDescent="0.4">
      <c r="B42" s="82">
        <v>45729</v>
      </c>
      <c r="C42" s="94" t="s">
        <v>156</v>
      </c>
      <c r="D42" s="19">
        <v>10</v>
      </c>
      <c r="E42" s="174">
        <v>205</v>
      </c>
      <c r="F42" s="174">
        <v>163.35</v>
      </c>
      <c r="G42" s="174">
        <f t="shared" si="4"/>
        <v>41.650000000000006</v>
      </c>
      <c r="H42" s="135">
        <f t="shared" si="5"/>
        <v>2050</v>
      </c>
      <c r="I42" s="135">
        <f t="shared" si="6"/>
        <v>1633.5</v>
      </c>
      <c r="J42" s="175">
        <f t="shared" si="7"/>
        <v>416.5</v>
      </c>
    </row>
    <row r="43" spans="2:10" ht="21" x14ac:dyDescent="0.4">
      <c r="B43" s="82">
        <v>45729</v>
      </c>
      <c r="C43" s="94" t="s">
        <v>87</v>
      </c>
      <c r="D43" s="19">
        <v>4</v>
      </c>
      <c r="E43" s="174">
        <v>545</v>
      </c>
      <c r="F43" s="174">
        <v>429</v>
      </c>
      <c r="G43" s="174">
        <f t="shared" si="4"/>
        <v>116</v>
      </c>
      <c r="H43" s="135">
        <f t="shared" si="5"/>
        <v>2180</v>
      </c>
      <c r="I43" s="135">
        <f t="shared" si="6"/>
        <v>1716</v>
      </c>
      <c r="J43" s="175">
        <f t="shared" si="7"/>
        <v>464</v>
      </c>
    </row>
    <row r="44" spans="2:10" ht="21" x14ac:dyDescent="0.3">
      <c r="B44" s="82">
        <v>45729</v>
      </c>
      <c r="C44" s="85" t="s">
        <v>133</v>
      </c>
      <c r="D44" s="19">
        <v>1</v>
      </c>
      <c r="E44" s="174">
        <v>1730</v>
      </c>
      <c r="F44" s="174">
        <v>1524.6</v>
      </c>
      <c r="G44" s="174">
        <f t="shared" si="4"/>
        <v>205.40000000000009</v>
      </c>
      <c r="H44" s="135">
        <f t="shared" si="5"/>
        <v>1730</v>
      </c>
      <c r="I44" s="135">
        <f t="shared" si="6"/>
        <v>1524.6</v>
      </c>
      <c r="J44" s="175">
        <f t="shared" si="7"/>
        <v>205.40000000000009</v>
      </c>
    </row>
    <row r="45" spans="2:10" ht="21" x14ac:dyDescent="0.4">
      <c r="B45" s="82">
        <v>45729</v>
      </c>
      <c r="C45" s="94" t="s">
        <v>157</v>
      </c>
      <c r="D45" s="19">
        <v>17</v>
      </c>
      <c r="E45" s="174">
        <v>380</v>
      </c>
      <c r="F45" s="174">
        <v>283.14</v>
      </c>
      <c r="G45" s="174">
        <f t="shared" si="4"/>
        <v>96.860000000000014</v>
      </c>
      <c r="H45" s="135">
        <f t="shared" si="5"/>
        <v>6460</v>
      </c>
      <c r="I45" s="135">
        <f t="shared" si="6"/>
        <v>4813.38</v>
      </c>
      <c r="J45" s="175">
        <f t="shared" si="7"/>
        <v>1646.62</v>
      </c>
    </row>
    <row r="46" spans="2:10" ht="21" x14ac:dyDescent="0.4">
      <c r="B46" s="82">
        <v>45729</v>
      </c>
      <c r="C46" s="94" t="s">
        <v>161</v>
      </c>
      <c r="D46" s="19">
        <v>6</v>
      </c>
      <c r="E46" s="174">
        <v>220</v>
      </c>
      <c r="F46" s="174">
        <v>174.24</v>
      </c>
      <c r="G46" s="174">
        <f t="shared" si="4"/>
        <v>45.759999999999991</v>
      </c>
      <c r="H46" s="135">
        <f t="shared" si="5"/>
        <v>1320</v>
      </c>
      <c r="I46" s="135">
        <f t="shared" si="6"/>
        <v>1045.44</v>
      </c>
      <c r="J46" s="175">
        <f t="shared" si="7"/>
        <v>274.55999999999995</v>
      </c>
    </row>
    <row r="47" spans="2:10" ht="21" x14ac:dyDescent="0.3">
      <c r="B47" s="82">
        <v>45729</v>
      </c>
      <c r="C47" s="85" t="s">
        <v>133</v>
      </c>
      <c r="D47" s="19">
        <v>1</v>
      </c>
      <c r="E47" s="174">
        <v>1730</v>
      </c>
      <c r="F47" s="174">
        <v>1524.6</v>
      </c>
      <c r="G47" s="174">
        <f t="shared" si="4"/>
        <v>205.40000000000009</v>
      </c>
      <c r="H47" s="135">
        <f t="shared" si="5"/>
        <v>1730</v>
      </c>
      <c r="I47" s="135">
        <f t="shared" si="6"/>
        <v>1524.6</v>
      </c>
      <c r="J47" s="175">
        <f t="shared" si="7"/>
        <v>205.40000000000009</v>
      </c>
    </row>
    <row r="48" spans="2:10" ht="21" x14ac:dyDescent="0.4">
      <c r="B48" s="43"/>
      <c r="C48" s="43"/>
      <c r="D48" s="19">
        <v>0</v>
      </c>
      <c r="E48" s="174"/>
      <c r="F48" s="174">
        <v>0</v>
      </c>
      <c r="G48" s="174">
        <f t="shared" si="4"/>
        <v>0</v>
      </c>
      <c r="H48" s="135">
        <f t="shared" si="5"/>
        <v>0</v>
      </c>
      <c r="I48" s="135">
        <f t="shared" si="6"/>
        <v>0</v>
      </c>
      <c r="J48" s="175">
        <f t="shared" si="7"/>
        <v>0</v>
      </c>
    </row>
    <row r="49" spans="2:10" ht="42" x14ac:dyDescent="0.3">
      <c r="B49" s="82">
        <v>45730</v>
      </c>
      <c r="C49" s="93" t="s">
        <v>89</v>
      </c>
      <c r="D49" s="19">
        <v>1</v>
      </c>
      <c r="E49" s="174">
        <v>325</v>
      </c>
      <c r="F49" s="174">
        <v>241</v>
      </c>
      <c r="G49" s="174">
        <f t="shared" si="4"/>
        <v>84</v>
      </c>
      <c r="H49" s="135">
        <f t="shared" si="5"/>
        <v>325</v>
      </c>
      <c r="I49" s="135">
        <f t="shared" si="6"/>
        <v>241</v>
      </c>
      <c r="J49" s="175">
        <f t="shared" si="7"/>
        <v>84</v>
      </c>
    </row>
    <row r="50" spans="2:10" ht="21" x14ac:dyDescent="0.3">
      <c r="B50" s="82">
        <v>45731</v>
      </c>
      <c r="C50" s="38" t="s">
        <v>136</v>
      </c>
      <c r="D50" s="19">
        <v>1</v>
      </c>
      <c r="E50" s="174">
        <v>2880</v>
      </c>
      <c r="F50" s="174">
        <v>2880</v>
      </c>
      <c r="G50" s="174">
        <f t="shared" si="4"/>
        <v>0</v>
      </c>
      <c r="H50" s="135">
        <f t="shared" si="5"/>
        <v>2880</v>
      </c>
      <c r="I50" s="135">
        <f t="shared" si="6"/>
        <v>2880</v>
      </c>
      <c r="J50" s="175">
        <f t="shared" si="7"/>
        <v>0</v>
      </c>
    </row>
    <row r="51" spans="2:10" ht="21" x14ac:dyDescent="0.4">
      <c r="B51" s="82">
        <v>45731</v>
      </c>
      <c r="C51" s="94" t="s">
        <v>122</v>
      </c>
      <c r="D51" s="19">
        <v>5</v>
      </c>
      <c r="E51" s="174">
        <v>510</v>
      </c>
      <c r="F51" s="174">
        <v>396.5090909090909</v>
      </c>
      <c r="G51" s="174">
        <f t="shared" si="4"/>
        <v>113.4909090909091</v>
      </c>
      <c r="H51" s="135">
        <f t="shared" si="5"/>
        <v>2550</v>
      </c>
      <c r="I51" s="135">
        <f t="shared" si="6"/>
        <v>1982.5454545454545</v>
      </c>
      <c r="J51" s="175">
        <f t="shared" si="7"/>
        <v>567.4545454545455</v>
      </c>
    </row>
    <row r="52" spans="2:10" ht="21" x14ac:dyDescent="0.4">
      <c r="B52" s="82">
        <v>45731</v>
      </c>
      <c r="C52" s="94" t="s">
        <v>123</v>
      </c>
      <c r="D52" s="19">
        <v>1</v>
      </c>
      <c r="E52" s="174">
        <v>680</v>
      </c>
      <c r="F52" s="174">
        <v>524.18181818181824</v>
      </c>
      <c r="G52" s="174">
        <f t="shared" si="4"/>
        <v>155.81818181818176</v>
      </c>
      <c r="H52" s="135">
        <f t="shared" si="5"/>
        <v>680</v>
      </c>
      <c r="I52" s="135">
        <f t="shared" si="6"/>
        <v>524.18181818181824</v>
      </c>
      <c r="J52" s="175">
        <f t="shared" si="7"/>
        <v>155.81818181818176</v>
      </c>
    </row>
    <row r="53" spans="2:10" ht="21" x14ac:dyDescent="0.4">
      <c r="B53" s="82">
        <v>45731</v>
      </c>
      <c r="C53" s="94" t="s">
        <v>124</v>
      </c>
      <c r="D53" s="19">
        <v>1</v>
      </c>
      <c r="E53" s="174">
        <v>470</v>
      </c>
      <c r="F53" s="174">
        <v>429.06363636363642</v>
      </c>
      <c r="G53" s="174">
        <f t="shared" si="4"/>
        <v>40.936363636363581</v>
      </c>
      <c r="H53" s="135">
        <f t="shared" si="5"/>
        <v>470</v>
      </c>
      <c r="I53" s="135">
        <f t="shared" si="6"/>
        <v>429.06363636363642</v>
      </c>
      <c r="J53" s="175">
        <f t="shared" si="7"/>
        <v>40.936363636363581</v>
      </c>
    </row>
    <row r="54" spans="2:10" ht="21" x14ac:dyDescent="0.4">
      <c r="B54" s="82">
        <v>45731</v>
      </c>
      <c r="C54" s="94" t="s">
        <v>125</v>
      </c>
      <c r="D54" s="19">
        <v>1</v>
      </c>
      <c r="E54" s="174">
        <v>330</v>
      </c>
      <c r="F54" s="174">
        <v>302.24545454545455</v>
      </c>
      <c r="G54" s="174">
        <f t="shared" si="4"/>
        <v>27.75454545454545</v>
      </c>
      <c r="H54" s="135">
        <f t="shared" si="5"/>
        <v>330</v>
      </c>
      <c r="I54" s="135">
        <f t="shared" si="6"/>
        <v>302.24545454545455</v>
      </c>
      <c r="J54" s="175">
        <f t="shared" si="7"/>
        <v>27.75454545454545</v>
      </c>
    </row>
    <row r="55" spans="2:10" ht="21" x14ac:dyDescent="0.4">
      <c r="B55" s="82">
        <v>45731</v>
      </c>
      <c r="C55" s="94" t="s">
        <v>126</v>
      </c>
      <c r="D55" s="19">
        <v>1</v>
      </c>
      <c r="E55" s="174">
        <v>545</v>
      </c>
      <c r="F55" s="174">
        <v>528.40909090909088</v>
      </c>
      <c r="G55" s="174">
        <f t="shared" si="4"/>
        <v>16.590909090909122</v>
      </c>
      <c r="H55" s="135">
        <f t="shared" si="5"/>
        <v>545</v>
      </c>
      <c r="I55" s="135">
        <f t="shared" si="6"/>
        <v>528.40909090909088</v>
      </c>
      <c r="J55" s="175">
        <f t="shared" si="7"/>
        <v>16.590909090909122</v>
      </c>
    </row>
    <row r="56" spans="2:10" ht="21" x14ac:dyDescent="0.4">
      <c r="B56" s="82">
        <v>45731</v>
      </c>
      <c r="C56" s="94" t="s">
        <v>187</v>
      </c>
      <c r="D56" s="19">
        <v>11</v>
      </c>
      <c r="E56" s="174">
        <v>3350</v>
      </c>
      <c r="F56" s="174">
        <v>3309.227272727273</v>
      </c>
      <c r="G56" s="174">
        <f t="shared" si="4"/>
        <v>40.772727272727025</v>
      </c>
      <c r="H56" s="135">
        <f t="shared" si="5"/>
        <v>36850</v>
      </c>
      <c r="I56" s="135">
        <f t="shared" si="6"/>
        <v>36401.5</v>
      </c>
      <c r="J56" s="175">
        <f t="shared" si="7"/>
        <v>448.5</v>
      </c>
    </row>
    <row r="57" spans="2:10" ht="21" x14ac:dyDescent="0.4">
      <c r="B57" s="97">
        <v>45731</v>
      </c>
      <c r="C57" s="108" t="s">
        <v>86</v>
      </c>
      <c r="D57" s="19">
        <v>2</v>
      </c>
      <c r="E57" s="174">
        <v>6350</v>
      </c>
      <c r="F57" s="174">
        <v>5019.6000000000004</v>
      </c>
      <c r="G57" s="174">
        <f t="shared" si="4"/>
        <v>1330.3999999999996</v>
      </c>
      <c r="H57" s="135">
        <f t="shared" si="5"/>
        <v>12700</v>
      </c>
      <c r="I57" s="135">
        <f t="shared" si="6"/>
        <v>10039.200000000001</v>
      </c>
      <c r="J57" s="175">
        <f t="shared" si="7"/>
        <v>2660.7999999999993</v>
      </c>
    </row>
    <row r="58" spans="2:10" ht="21" x14ac:dyDescent="0.3">
      <c r="B58" s="82">
        <v>45733</v>
      </c>
      <c r="C58" s="93" t="s">
        <v>84</v>
      </c>
      <c r="D58" s="19">
        <v>2</v>
      </c>
      <c r="E58" s="174">
        <v>1680</v>
      </c>
      <c r="F58" s="174">
        <v>1323.5746799999999</v>
      </c>
      <c r="G58" s="174">
        <f t="shared" si="4"/>
        <v>356.42532000000006</v>
      </c>
      <c r="H58" s="135">
        <f t="shared" si="5"/>
        <v>3360</v>
      </c>
      <c r="I58" s="135">
        <f t="shared" si="6"/>
        <v>2647.1493599999999</v>
      </c>
      <c r="J58" s="175">
        <f t="shared" si="7"/>
        <v>712.85064000000011</v>
      </c>
    </row>
    <row r="59" spans="2:10" ht="21" x14ac:dyDescent="0.4">
      <c r="B59" s="82">
        <v>45733</v>
      </c>
      <c r="C59" s="94" t="s">
        <v>87</v>
      </c>
      <c r="D59" s="19">
        <v>5</v>
      </c>
      <c r="E59" s="174">
        <v>4930</v>
      </c>
      <c r="F59" s="174">
        <v>0</v>
      </c>
      <c r="G59" s="174">
        <f t="shared" si="4"/>
        <v>4930</v>
      </c>
      <c r="H59" s="135">
        <f t="shared" si="5"/>
        <v>24650</v>
      </c>
      <c r="I59" s="135">
        <f t="shared" si="6"/>
        <v>0</v>
      </c>
      <c r="J59" s="175">
        <f t="shared" si="7"/>
        <v>24650</v>
      </c>
    </row>
    <row r="60" spans="2:10" ht="21" x14ac:dyDescent="0.4">
      <c r="B60" s="82">
        <v>45734</v>
      </c>
      <c r="C60" s="103" t="s">
        <v>87</v>
      </c>
      <c r="D60" s="19">
        <v>63</v>
      </c>
      <c r="E60" s="174">
        <v>550</v>
      </c>
      <c r="F60" s="174">
        <v>0</v>
      </c>
      <c r="G60" s="174">
        <f t="shared" si="4"/>
        <v>550</v>
      </c>
      <c r="H60" s="135">
        <f t="shared" si="5"/>
        <v>34650</v>
      </c>
      <c r="I60" s="135">
        <f t="shared" si="6"/>
        <v>0</v>
      </c>
      <c r="J60" s="175">
        <f t="shared" si="7"/>
        <v>34650</v>
      </c>
    </row>
    <row r="61" spans="2:10" ht="21" x14ac:dyDescent="0.3">
      <c r="B61" s="82">
        <v>45734</v>
      </c>
      <c r="C61" s="116" t="s">
        <v>82</v>
      </c>
      <c r="D61" s="19">
        <v>80</v>
      </c>
      <c r="E61" s="174">
        <v>310</v>
      </c>
      <c r="F61" s="174">
        <v>283.75917600000002</v>
      </c>
      <c r="G61" s="174">
        <f t="shared" si="4"/>
        <v>26.240823999999975</v>
      </c>
      <c r="H61" s="135">
        <f t="shared" si="5"/>
        <v>24800</v>
      </c>
      <c r="I61" s="135">
        <f t="shared" si="6"/>
        <v>22700.734080000002</v>
      </c>
      <c r="J61" s="175">
        <f t="shared" si="7"/>
        <v>2099.265919999998</v>
      </c>
    </row>
    <row r="62" spans="2:10" ht="21" x14ac:dyDescent="0.4">
      <c r="B62" s="97">
        <v>45734</v>
      </c>
      <c r="C62" s="108" t="s">
        <v>86</v>
      </c>
      <c r="D62" s="19">
        <v>4</v>
      </c>
      <c r="E62" s="174">
        <v>5200</v>
      </c>
      <c r="F62" s="174">
        <v>5019.6000000000004</v>
      </c>
      <c r="G62" s="174">
        <f t="shared" si="4"/>
        <v>180.39999999999964</v>
      </c>
      <c r="H62" s="135">
        <f t="shared" si="5"/>
        <v>20800</v>
      </c>
      <c r="I62" s="135">
        <f t="shared" si="6"/>
        <v>20078.400000000001</v>
      </c>
      <c r="J62" s="175">
        <f t="shared" si="7"/>
        <v>721.59999999999854</v>
      </c>
    </row>
    <row r="63" spans="2:10" ht="21" x14ac:dyDescent="0.3">
      <c r="B63" s="82">
        <v>45734</v>
      </c>
      <c r="C63" s="85" t="s">
        <v>133</v>
      </c>
      <c r="D63" s="19">
        <v>2</v>
      </c>
      <c r="E63" s="174">
        <v>1735</v>
      </c>
      <c r="F63" s="174">
        <v>1735</v>
      </c>
      <c r="G63" s="174">
        <f t="shared" si="4"/>
        <v>0</v>
      </c>
      <c r="H63" s="135">
        <f t="shared" si="5"/>
        <v>3470</v>
      </c>
      <c r="I63" s="135">
        <f t="shared" si="6"/>
        <v>3470</v>
      </c>
      <c r="J63" s="175">
        <f t="shared" si="7"/>
        <v>0</v>
      </c>
    </row>
    <row r="64" spans="2:10" ht="21" x14ac:dyDescent="0.3">
      <c r="B64" s="82">
        <v>45736</v>
      </c>
      <c r="C64" s="85" t="s">
        <v>133</v>
      </c>
      <c r="D64" s="19">
        <v>1</v>
      </c>
      <c r="E64" s="174">
        <v>1730</v>
      </c>
      <c r="F64" s="174">
        <v>1730</v>
      </c>
      <c r="G64" s="174">
        <f t="shared" si="4"/>
        <v>0</v>
      </c>
      <c r="H64" s="135">
        <f t="shared" si="5"/>
        <v>1730</v>
      </c>
      <c r="I64" s="135">
        <f t="shared" si="6"/>
        <v>1730</v>
      </c>
      <c r="J64" s="175">
        <f t="shared" si="7"/>
        <v>0</v>
      </c>
    </row>
    <row r="65" spans="2:10" ht="21" x14ac:dyDescent="0.3">
      <c r="B65" s="82">
        <v>45736</v>
      </c>
      <c r="C65" s="85" t="s">
        <v>133</v>
      </c>
      <c r="D65" s="19">
        <v>1</v>
      </c>
      <c r="E65" s="174">
        <v>1725</v>
      </c>
      <c r="F65" s="174">
        <v>1700</v>
      </c>
      <c r="G65" s="174">
        <f t="shared" si="4"/>
        <v>25</v>
      </c>
      <c r="H65" s="135">
        <f t="shared" si="5"/>
        <v>1725</v>
      </c>
      <c r="I65" s="135">
        <f t="shared" si="6"/>
        <v>1700</v>
      </c>
      <c r="J65" s="175">
        <f t="shared" si="7"/>
        <v>25</v>
      </c>
    </row>
    <row r="66" spans="2:10" ht="21" x14ac:dyDescent="0.3">
      <c r="B66" s="82">
        <v>45737</v>
      </c>
      <c r="C66" s="85" t="s">
        <v>355</v>
      </c>
      <c r="D66" s="19">
        <v>1</v>
      </c>
      <c r="E66" s="174">
        <v>3350</v>
      </c>
      <c r="F66" s="174">
        <v>3330</v>
      </c>
      <c r="G66" s="174">
        <f t="shared" si="4"/>
        <v>20</v>
      </c>
      <c r="H66" s="135">
        <f t="shared" si="5"/>
        <v>3350</v>
      </c>
      <c r="I66" s="135">
        <f t="shared" si="6"/>
        <v>3330</v>
      </c>
      <c r="J66" s="175">
        <f t="shared" si="7"/>
        <v>20</v>
      </c>
    </row>
    <row r="67" spans="2:10" ht="21" x14ac:dyDescent="0.4">
      <c r="B67" s="82">
        <v>45742</v>
      </c>
      <c r="C67" s="103" t="s">
        <v>86</v>
      </c>
      <c r="D67" s="19">
        <v>3</v>
      </c>
      <c r="E67" s="174">
        <v>5099</v>
      </c>
      <c r="F67" s="174">
        <v>5019.6000000000004</v>
      </c>
      <c r="G67" s="174">
        <f t="shared" si="4"/>
        <v>79.399999999999636</v>
      </c>
      <c r="H67" s="135">
        <f t="shared" si="5"/>
        <v>15297</v>
      </c>
      <c r="I67" s="135">
        <f t="shared" si="6"/>
        <v>15058.800000000001</v>
      </c>
      <c r="J67" s="175">
        <f t="shared" si="7"/>
        <v>238.19999999999891</v>
      </c>
    </row>
    <row r="68" spans="2:10" ht="21" x14ac:dyDescent="0.3">
      <c r="B68" s="82">
        <v>45742</v>
      </c>
      <c r="C68" s="93" t="s">
        <v>76</v>
      </c>
      <c r="D68" s="19">
        <v>10</v>
      </c>
      <c r="E68" s="174">
        <v>1130</v>
      </c>
      <c r="F68" s="174">
        <v>967.69087999999999</v>
      </c>
      <c r="G68" s="174">
        <f t="shared" si="4"/>
        <v>162.30912000000001</v>
      </c>
      <c r="H68" s="135">
        <f t="shared" si="5"/>
        <v>11300</v>
      </c>
      <c r="I68" s="135">
        <f t="shared" si="6"/>
        <v>9676.9087999999992</v>
      </c>
      <c r="J68" s="175">
        <f t="shared" si="7"/>
        <v>1623.0912000000008</v>
      </c>
    </row>
    <row r="69" spans="2:10" ht="21" x14ac:dyDescent="0.3">
      <c r="B69" s="82">
        <v>45742</v>
      </c>
      <c r="C69" s="93" t="s">
        <v>76</v>
      </c>
      <c r="D69" s="19">
        <v>25</v>
      </c>
      <c r="E69" s="174">
        <v>1140</v>
      </c>
      <c r="F69" s="174">
        <v>967.69087999999999</v>
      </c>
      <c r="G69" s="174">
        <f t="shared" ref="G69:G84" si="8">E69-F69</f>
        <v>172.30912000000001</v>
      </c>
      <c r="H69" s="135">
        <f t="shared" ref="H69:H84" si="9">E69*D69</f>
        <v>28500</v>
      </c>
      <c r="I69" s="135">
        <f t="shared" ref="I69:I84" si="10">F69*D69</f>
        <v>24192.272000000001</v>
      </c>
      <c r="J69" s="175">
        <f t="shared" ref="J69:J84" si="11">H69-I69</f>
        <v>4307.7279999999992</v>
      </c>
    </row>
    <row r="70" spans="2:10" ht="21" x14ac:dyDescent="0.4">
      <c r="B70" s="43"/>
      <c r="C70" s="43"/>
      <c r="D70" s="19">
        <v>0</v>
      </c>
      <c r="E70" s="174"/>
      <c r="F70" s="174">
        <v>0</v>
      </c>
      <c r="G70" s="174">
        <f t="shared" si="8"/>
        <v>0</v>
      </c>
      <c r="H70" s="135">
        <f t="shared" si="9"/>
        <v>0</v>
      </c>
      <c r="I70" s="135">
        <f t="shared" si="10"/>
        <v>0</v>
      </c>
      <c r="J70" s="175">
        <f t="shared" si="11"/>
        <v>0</v>
      </c>
    </row>
    <row r="71" spans="2:10" ht="21" x14ac:dyDescent="0.3">
      <c r="B71" s="82">
        <v>45743</v>
      </c>
      <c r="C71" s="93" t="s">
        <v>76</v>
      </c>
      <c r="D71" s="19">
        <v>9</v>
      </c>
      <c r="E71" s="174">
        <v>1140</v>
      </c>
      <c r="F71" s="174">
        <v>967.69087999999999</v>
      </c>
      <c r="G71" s="174">
        <f t="shared" si="8"/>
        <v>172.30912000000001</v>
      </c>
      <c r="H71" s="135">
        <f t="shared" si="9"/>
        <v>10260</v>
      </c>
      <c r="I71" s="135">
        <f t="shared" si="10"/>
        <v>8709.2179199999991</v>
      </c>
      <c r="J71" s="175">
        <f t="shared" si="11"/>
        <v>1550.7820800000009</v>
      </c>
    </row>
    <row r="72" spans="2:10" ht="21" x14ac:dyDescent="0.4">
      <c r="B72" s="82">
        <v>45743</v>
      </c>
      <c r="C72" s="94" t="s">
        <v>274</v>
      </c>
      <c r="D72" s="19">
        <v>5</v>
      </c>
      <c r="E72" s="174">
        <v>80</v>
      </c>
      <c r="F72" s="174">
        <v>76.5</v>
      </c>
      <c r="G72" s="174">
        <f t="shared" si="8"/>
        <v>3.5</v>
      </c>
      <c r="H72" s="135">
        <f t="shared" si="9"/>
        <v>400</v>
      </c>
      <c r="I72" s="135">
        <f t="shared" si="10"/>
        <v>382.5</v>
      </c>
      <c r="J72" s="175">
        <f t="shared" si="11"/>
        <v>17.5</v>
      </c>
    </row>
    <row r="73" spans="2:10" ht="21" x14ac:dyDescent="0.3">
      <c r="B73" s="82">
        <v>45743</v>
      </c>
      <c r="C73" s="93" t="s">
        <v>76</v>
      </c>
      <c r="D73" s="19">
        <v>4</v>
      </c>
      <c r="E73" s="174">
        <v>1140</v>
      </c>
      <c r="F73" s="174">
        <v>967.69087999999999</v>
      </c>
      <c r="G73" s="174">
        <f t="shared" si="8"/>
        <v>172.30912000000001</v>
      </c>
      <c r="H73" s="135">
        <f t="shared" si="9"/>
        <v>4560</v>
      </c>
      <c r="I73" s="135">
        <f t="shared" si="10"/>
        <v>3870.76352</v>
      </c>
      <c r="J73" s="175">
        <f t="shared" si="11"/>
        <v>689.23648000000003</v>
      </c>
    </row>
    <row r="74" spans="2:10" ht="21" x14ac:dyDescent="0.4">
      <c r="B74" s="43"/>
      <c r="C74" s="43"/>
      <c r="D74" s="19">
        <v>0</v>
      </c>
      <c r="E74" s="174"/>
      <c r="F74" s="174">
        <v>0</v>
      </c>
      <c r="G74" s="174">
        <f t="shared" si="8"/>
        <v>0</v>
      </c>
      <c r="H74" s="135">
        <f t="shared" si="9"/>
        <v>0</v>
      </c>
      <c r="I74" s="135">
        <f t="shared" si="10"/>
        <v>0</v>
      </c>
      <c r="J74" s="175">
        <f t="shared" si="11"/>
        <v>0</v>
      </c>
    </row>
    <row r="75" spans="2:10" ht="21" x14ac:dyDescent="0.3">
      <c r="B75" s="82">
        <v>45744</v>
      </c>
      <c r="C75" s="93" t="s">
        <v>76</v>
      </c>
      <c r="D75" s="19">
        <v>4</v>
      </c>
      <c r="E75" s="174">
        <v>1140</v>
      </c>
      <c r="F75" s="174">
        <v>967.69087999999999</v>
      </c>
      <c r="G75" s="174">
        <f t="shared" si="8"/>
        <v>172.30912000000001</v>
      </c>
      <c r="H75" s="135">
        <f t="shared" si="9"/>
        <v>4560</v>
      </c>
      <c r="I75" s="135">
        <f t="shared" si="10"/>
        <v>3870.76352</v>
      </c>
      <c r="J75" s="175">
        <f t="shared" si="11"/>
        <v>689.23648000000003</v>
      </c>
    </row>
    <row r="76" spans="2:10" ht="21" x14ac:dyDescent="0.3">
      <c r="B76" s="82">
        <v>45744</v>
      </c>
      <c r="C76" s="116" t="s">
        <v>78</v>
      </c>
      <c r="D76" s="19">
        <v>63</v>
      </c>
      <c r="E76" s="174">
        <v>1030</v>
      </c>
      <c r="F76" s="174">
        <v>1025</v>
      </c>
      <c r="G76" s="174">
        <f t="shared" si="8"/>
        <v>5</v>
      </c>
      <c r="H76" s="135">
        <f t="shared" si="9"/>
        <v>64890</v>
      </c>
      <c r="I76" s="135">
        <f t="shared" si="10"/>
        <v>64575</v>
      </c>
      <c r="J76" s="175">
        <f t="shared" si="11"/>
        <v>315</v>
      </c>
    </row>
    <row r="77" spans="2:10" ht="21" x14ac:dyDescent="0.3">
      <c r="B77" s="82">
        <v>45744</v>
      </c>
      <c r="C77" s="116" t="s">
        <v>78</v>
      </c>
      <c r="D77" s="19">
        <v>26</v>
      </c>
      <c r="E77" s="174">
        <v>1030</v>
      </c>
      <c r="F77" s="174">
        <v>1025</v>
      </c>
      <c r="G77" s="174">
        <f t="shared" si="8"/>
        <v>5</v>
      </c>
      <c r="H77" s="135">
        <f t="shared" si="9"/>
        <v>26780</v>
      </c>
      <c r="I77" s="135">
        <f t="shared" si="10"/>
        <v>26650</v>
      </c>
      <c r="J77" s="175">
        <f t="shared" si="11"/>
        <v>130</v>
      </c>
    </row>
    <row r="78" spans="2:10" ht="21" x14ac:dyDescent="0.3">
      <c r="B78" s="82">
        <v>45744</v>
      </c>
      <c r="C78" s="93" t="s">
        <v>76</v>
      </c>
      <c r="D78" s="19">
        <v>3</v>
      </c>
      <c r="E78" s="174">
        <v>1140</v>
      </c>
      <c r="F78" s="174">
        <v>967.69087999999999</v>
      </c>
      <c r="G78" s="174">
        <f t="shared" si="8"/>
        <v>172.30912000000001</v>
      </c>
      <c r="H78" s="135">
        <f t="shared" si="9"/>
        <v>3420</v>
      </c>
      <c r="I78" s="135">
        <f t="shared" si="10"/>
        <v>2903.0726399999999</v>
      </c>
      <c r="J78" s="175">
        <f t="shared" si="11"/>
        <v>516.92736000000014</v>
      </c>
    </row>
    <row r="79" spans="2:10" ht="21" x14ac:dyDescent="0.4">
      <c r="B79" s="82">
        <v>45744</v>
      </c>
      <c r="C79" s="94" t="s">
        <v>202</v>
      </c>
      <c r="D79" s="19">
        <v>7</v>
      </c>
      <c r="E79" s="174">
        <v>635</v>
      </c>
      <c r="F79" s="174">
        <v>502.04545454545456</v>
      </c>
      <c r="G79" s="174">
        <f t="shared" si="8"/>
        <v>132.95454545454544</v>
      </c>
      <c r="H79" s="135">
        <f t="shared" si="9"/>
        <v>4445</v>
      </c>
      <c r="I79" s="135">
        <f t="shared" si="10"/>
        <v>3514.318181818182</v>
      </c>
      <c r="J79" s="175">
        <f t="shared" si="11"/>
        <v>930.68181818181802</v>
      </c>
    </row>
    <row r="80" spans="2:10" ht="21" x14ac:dyDescent="0.4">
      <c r="B80" s="82">
        <v>45744</v>
      </c>
      <c r="C80" s="94" t="s">
        <v>126</v>
      </c>
      <c r="D80" s="19">
        <v>1</v>
      </c>
      <c r="E80" s="174">
        <v>595</v>
      </c>
      <c r="F80" s="174">
        <v>489.22727272727269</v>
      </c>
      <c r="G80" s="174">
        <f t="shared" si="8"/>
        <v>105.77272727272731</v>
      </c>
      <c r="H80" s="135">
        <f t="shared" si="9"/>
        <v>595</v>
      </c>
      <c r="I80" s="135">
        <f t="shared" si="10"/>
        <v>489.22727272727269</v>
      </c>
      <c r="J80" s="175">
        <f t="shared" si="11"/>
        <v>105.77272727272731</v>
      </c>
    </row>
    <row r="81" spans="2:10" ht="21" x14ac:dyDescent="0.4">
      <c r="B81" s="82">
        <v>45744</v>
      </c>
      <c r="C81" s="94" t="s">
        <v>122</v>
      </c>
      <c r="D81" s="19">
        <v>1</v>
      </c>
      <c r="E81" s="174">
        <v>510</v>
      </c>
      <c r="F81" s="174">
        <v>405.90909090909088</v>
      </c>
      <c r="G81" s="174">
        <f t="shared" si="8"/>
        <v>104.09090909090912</v>
      </c>
      <c r="H81" s="135">
        <f t="shared" si="9"/>
        <v>510</v>
      </c>
      <c r="I81" s="135">
        <f t="shared" si="10"/>
        <v>405.90909090909088</v>
      </c>
      <c r="J81" s="175">
        <f t="shared" si="11"/>
        <v>104.09090909090912</v>
      </c>
    </row>
    <row r="82" spans="2:10" ht="21" x14ac:dyDescent="0.4">
      <c r="B82" s="82">
        <v>45744</v>
      </c>
      <c r="C82" s="94" t="s">
        <v>274</v>
      </c>
      <c r="D82" s="19">
        <v>269</v>
      </c>
      <c r="E82" s="174">
        <v>77.5</v>
      </c>
      <c r="F82" s="174">
        <v>76.5</v>
      </c>
      <c r="G82" s="174">
        <f t="shared" si="8"/>
        <v>1</v>
      </c>
      <c r="H82" s="135">
        <f t="shared" si="9"/>
        <v>20847.5</v>
      </c>
      <c r="I82" s="135">
        <f t="shared" si="10"/>
        <v>20578.5</v>
      </c>
      <c r="J82" s="175">
        <f t="shared" si="11"/>
        <v>269</v>
      </c>
    </row>
    <row r="83" spans="2:10" ht="21" x14ac:dyDescent="0.4">
      <c r="B83" s="82">
        <v>45744</v>
      </c>
      <c r="C83" s="94" t="s">
        <v>86</v>
      </c>
      <c r="D83" s="19">
        <v>1</v>
      </c>
      <c r="E83" s="174">
        <v>5050</v>
      </c>
      <c r="F83" s="174">
        <v>5019.6000000000004</v>
      </c>
      <c r="G83" s="174">
        <f t="shared" si="8"/>
        <v>30.399999999999636</v>
      </c>
      <c r="H83" s="135">
        <f t="shared" si="9"/>
        <v>5050</v>
      </c>
      <c r="I83" s="135">
        <f t="shared" si="10"/>
        <v>5019.6000000000004</v>
      </c>
      <c r="J83" s="175">
        <f t="shared" si="11"/>
        <v>30.399999999999636</v>
      </c>
    </row>
    <row r="84" spans="2:10" ht="21" x14ac:dyDescent="0.3">
      <c r="B84" s="82">
        <v>45745</v>
      </c>
      <c r="C84" s="93" t="s">
        <v>76</v>
      </c>
      <c r="D84" s="19">
        <v>5</v>
      </c>
      <c r="E84" s="174">
        <v>1140</v>
      </c>
      <c r="F84" s="174">
        <v>967.69087999999999</v>
      </c>
      <c r="G84" s="174">
        <f t="shared" si="8"/>
        <v>172.30912000000001</v>
      </c>
      <c r="H84" s="135">
        <f t="shared" si="9"/>
        <v>5700</v>
      </c>
      <c r="I84" s="135">
        <f t="shared" si="10"/>
        <v>4838.4543999999996</v>
      </c>
      <c r="J84" s="175">
        <f t="shared" si="11"/>
        <v>861.54560000000038</v>
      </c>
    </row>
    <row r="85" spans="2:10" x14ac:dyDescent="0.3">
      <c r="H85" s="128"/>
      <c r="I85" s="128"/>
    </row>
    <row r="86" spans="2:10" x14ac:dyDescent="0.3">
      <c r="H86" s="128"/>
      <c r="I86" s="198" t="s">
        <v>354</v>
      </c>
      <c r="J86" s="199">
        <f>SUM(J22:J85)</f>
        <v>125058.07964800003</v>
      </c>
    </row>
    <row r="87" spans="2:10" x14ac:dyDescent="0.3">
      <c r="I87" s="128"/>
    </row>
    <row r="88" spans="2:10" x14ac:dyDescent="0.3">
      <c r="I88" s="128"/>
    </row>
    <row r="99" spans="2:10" ht="23.4" x14ac:dyDescent="0.45">
      <c r="D99" s="505" t="s">
        <v>372</v>
      </c>
      <c r="E99" s="505"/>
      <c r="F99" s="505"/>
      <c r="G99" s="505"/>
    </row>
    <row r="101" spans="2:10" ht="18" x14ac:dyDescent="0.35">
      <c r="B101" s="160" t="s">
        <v>1</v>
      </c>
      <c r="C101" s="160" t="s">
        <v>2</v>
      </c>
      <c r="D101" s="163" t="s">
        <v>3</v>
      </c>
      <c r="E101" s="161" t="s">
        <v>349</v>
      </c>
      <c r="F101" s="160" t="s">
        <v>350</v>
      </c>
      <c r="G101" s="160" t="s">
        <v>353</v>
      </c>
      <c r="H101" s="160" t="s">
        <v>351</v>
      </c>
      <c r="I101" s="161" t="s">
        <v>352</v>
      </c>
      <c r="J101" s="172" t="s">
        <v>354</v>
      </c>
    </row>
    <row r="102" spans="2:10" ht="21" x14ac:dyDescent="0.3">
      <c r="B102" s="165">
        <v>45718</v>
      </c>
      <c r="C102" s="184" t="s">
        <v>78</v>
      </c>
      <c r="D102" s="176">
        <v>5</v>
      </c>
      <c r="E102" s="177">
        <v>1180</v>
      </c>
      <c r="F102" s="177">
        <v>1199.78712</v>
      </c>
      <c r="G102" s="177">
        <f t="shared" ref="G102" si="12">E102-F102</f>
        <v>-19.787119999999959</v>
      </c>
      <c r="H102" s="179">
        <f t="shared" ref="H102" si="13">E102*D102</f>
        <v>5900</v>
      </c>
      <c r="I102" s="179">
        <f t="shared" ref="I102" si="14">F102*D102</f>
        <v>5998.9355999999998</v>
      </c>
      <c r="J102" s="178">
        <f t="shared" ref="J102" si="15">H102-I102</f>
        <v>-98.935599999999795</v>
      </c>
    </row>
    <row r="103" spans="2:10" ht="21" x14ac:dyDescent="0.3">
      <c r="B103" s="167">
        <v>45722</v>
      </c>
      <c r="C103" s="184" t="s">
        <v>78</v>
      </c>
      <c r="D103" s="176">
        <v>50</v>
      </c>
      <c r="E103" s="177">
        <v>1140</v>
      </c>
      <c r="F103" s="177">
        <v>1199.78712</v>
      </c>
      <c r="G103" s="177">
        <f>E103-F103</f>
        <v>-59.787119999999959</v>
      </c>
      <c r="H103" s="179">
        <f>E103*D103</f>
        <v>57000</v>
      </c>
      <c r="I103" s="179">
        <f>F103*D103</f>
        <v>59989.356</v>
      </c>
      <c r="J103" s="178">
        <f>H103-I103</f>
        <v>-2989.3559999999998</v>
      </c>
    </row>
    <row r="104" spans="2:10" ht="21" x14ac:dyDescent="0.3">
      <c r="B104" s="167">
        <v>45723</v>
      </c>
      <c r="C104" s="184" t="s">
        <v>78</v>
      </c>
      <c r="D104" s="176">
        <v>44</v>
      </c>
      <c r="E104" s="177">
        <v>1135</v>
      </c>
      <c r="F104" s="177">
        <v>1199.78712</v>
      </c>
      <c r="G104" s="177">
        <f>E104-F104</f>
        <v>-64.787119999999959</v>
      </c>
      <c r="H104" s="179">
        <f>E104*D104</f>
        <v>49940</v>
      </c>
      <c r="I104" s="179">
        <f>F104*D104</f>
        <v>52790.633279999995</v>
      </c>
      <c r="J104" s="178">
        <f>H104-I104</f>
        <v>-2850.6332799999946</v>
      </c>
    </row>
    <row r="105" spans="2:10" ht="21" x14ac:dyDescent="0.3">
      <c r="B105" s="167">
        <v>45728</v>
      </c>
      <c r="C105" s="184" t="s">
        <v>78</v>
      </c>
      <c r="D105" s="176">
        <v>2</v>
      </c>
      <c r="E105" s="177">
        <v>1135</v>
      </c>
      <c r="F105" s="177">
        <v>1199.78712</v>
      </c>
      <c r="G105" s="177">
        <f>E105-F105</f>
        <v>-64.787119999999959</v>
      </c>
      <c r="H105" s="179">
        <f>E105*D105</f>
        <v>2270</v>
      </c>
      <c r="I105" s="179">
        <f>F105*D105</f>
        <v>2399.5742399999999</v>
      </c>
      <c r="J105" s="178">
        <f>H105-I105</f>
        <v>-129.57423999999992</v>
      </c>
    </row>
    <row r="106" spans="2:10" ht="21" x14ac:dyDescent="0.3">
      <c r="B106" s="167">
        <v>45729</v>
      </c>
      <c r="C106" s="184" t="s">
        <v>78</v>
      </c>
      <c r="D106" s="176">
        <v>30</v>
      </c>
      <c r="E106" s="177">
        <v>1125</v>
      </c>
      <c r="F106" s="177">
        <v>1199.78712</v>
      </c>
      <c r="G106" s="177">
        <f>E106-F106</f>
        <v>-74.787119999999959</v>
      </c>
      <c r="H106" s="179">
        <f>E106*D106</f>
        <v>33750</v>
      </c>
      <c r="I106" s="179">
        <f>F106*D106</f>
        <v>35993.613599999997</v>
      </c>
      <c r="J106" s="178">
        <f>H106-I106</f>
        <v>-2243.6135999999969</v>
      </c>
    </row>
    <row r="107" spans="2:10" ht="21" x14ac:dyDescent="0.3">
      <c r="B107" s="167">
        <v>45734</v>
      </c>
      <c r="C107" s="184" t="s">
        <v>78</v>
      </c>
      <c r="D107" s="176">
        <v>3</v>
      </c>
      <c r="E107" s="177">
        <v>1115</v>
      </c>
      <c r="F107" s="177">
        <v>1199.78712</v>
      </c>
      <c r="G107" s="177">
        <f t="shared" ref="G107:G112" si="16">E107-F107</f>
        <v>-84.787119999999959</v>
      </c>
      <c r="H107" s="179">
        <f t="shared" ref="H107:H112" si="17">E107*D107</f>
        <v>3345</v>
      </c>
      <c r="I107" s="179">
        <f t="shared" ref="I107:I112" si="18">F107*D107</f>
        <v>3599.3613599999999</v>
      </c>
      <c r="J107" s="178">
        <f t="shared" ref="J107:J112" si="19">H107-I107</f>
        <v>-254.36135999999988</v>
      </c>
    </row>
    <row r="108" spans="2:10" ht="21" x14ac:dyDescent="0.3">
      <c r="B108" s="167">
        <v>45738</v>
      </c>
      <c r="C108" s="184" t="s">
        <v>78</v>
      </c>
      <c r="D108" s="176">
        <v>4</v>
      </c>
      <c r="E108" s="177">
        <v>1120</v>
      </c>
      <c r="F108" s="177">
        <v>1199.78712</v>
      </c>
      <c r="G108" s="177">
        <f t="shared" si="16"/>
        <v>-79.787119999999959</v>
      </c>
      <c r="H108" s="179">
        <f t="shared" si="17"/>
        <v>4480</v>
      </c>
      <c r="I108" s="179">
        <f t="shared" si="18"/>
        <v>4799.1484799999998</v>
      </c>
      <c r="J108" s="178">
        <f t="shared" si="19"/>
        <v>-319.14847999999984</v>
      </c>
    </row>
    <row r="109" spans="2:10" ht="21" x14ac:dyDescent="0.3">
      <c r="B109" s="167">
        <v>45742</v>
      </c>
      <c r="C109" s="184" t="s">
        <v>78</v>
      </c>
      <c r="D109" s="176">
        <v>25</v>
      </c>
      <c r="E109" s="177">
        <v>1050</v>
      </c>
      <c r="F109" s="177">
        <v>1199.78712</v>
      </c>
      <c r="G109" s="177">
        <f t="shared" si="16"/>
        <v>-149.78711999999996</v>
      </c>
      <c r="H109" s="179">
        <f t="shared" si="17"/>
        <v>26250</v>
      </c>
      <c r="I109" s="179">
        <f t="shared" si="18"/>
        <v>29994.678</v>
      </c>
      <c r="J109" s="178">
        <f t="shared" si="19"/>
        <v>-3744.6779999999999</v>
      </c>
    </row>
    <row r="110" spans="2:10" ht="21" x14ac:dyDescent="0.3">
      <c r="B110" s="167">
        <v>45742</v>
      </c>
      <c r="C110" s="184" t="s">
        <v>78</v>
      </c>
      <c r="D110" s="176">
        <v>1</v>
      </c>
      <c r="E110" s="177">
        <v>1080</v>
      </c>
      <c r="F110" s="177">
        <v>1199.78712</v>
      </c>
      <c r="G110" s="177">
        <f t="shared" si="16"/>
        <v>-119.78711999999996</v>
      </c>
      <c r="H110" s="179">
        <f t="shared" si="17"/>
        <v>1080</v>
      </c>
      <c r="I110" s="179">
        <f t="shared" si="18"/>
        <v>1199.78712</v>
      </c>
      <c r="J110" s="178">
        <f t="shared" si="19"/>
        <v>-119.78711999999996</v>
      </c>
    </row>
    <row r="111" spans="2:10" ht="21" x14ac:dyDescent="0.3">
      <c r="B111" s="167">
        <v>45743</v>
      </c>
      <c r="C111" s="184" t="s">
        <v>78</v>
      </c>
      <c r="D111" s="176">
        <v>20</v>
      </c>
      <c r="E111" s="177">
        <v>1040</v>
      </c>
      <c r="F111" s="177">
        <v>1199.78712</v>
      </c>
      <c r="G111" s="177">
        <f t="shared" si="16"/>
        <v>-159.78711999999996</v>
      </c>
      <c r="H111" s="179">
        <f t="shared" si="17"/>
        <v>20800</v>
      </c>
      <c r="I111" s="179">
        <f t="shared" si="18"/>
        <v>23995.742399999999</v>
      </c>
      <c r="J111" s="178">
        <f t="shared" si="19"/>
        <v>-3195.7423999999992</v>
      </c>
    </row>
    <row r="112" spans="2:10" ht="21" x14ac:dyDescent="0.3">
      <c r="B112" s="167">
        <v>45743</v>
      </c>
      <c r="C112" s="184" t="s">
        <v>78</v>
      </c>
      <c r="D112" s="176">
        <v>60</v>
      </c>
      <c r="E112" s="177">
        <v>1030</v>
      </c>
      <c r="F112" s="177">
        <v>1199.78712</v>
      </c>
      <c r="G112" s="177">
        <f t="shared" si="16"/>
        <v>-169.78711999999996</v>
      </c>
      <c r="H112" s="179">
        <f t="shared" si="17"/>
        <v>61800</v>
      </c>
      <c r="I112" s="179">
        <f t="shared" si="18"/>
        <v>71987.227199999994</v>
      </c>
      <c r="J112" s="178">
        <f t="shared" si="19"/>
        <v>-10187.227199999994</v>
      </c>
    </row>
    <row r="113" spans="2:10" ht="21" x14ac:dyDescent="0.4">
      <c r="B113" s="167">
        <v>45744</v>
      </c>
      <c r="C113" s="170" t="s">
        <v>86</v>
      </c>
      <c r="D113" s="176">
        <v>2</v>
      </c>
      <c r="E113" s="177">
        <v>4870</v>
      </c>
      <c r="F113" s="177">
        <v>5019.6000000000004</v>
      </c>
      <c r="G113" s="177">
        <f t="shared" ref="G113:G118" si="20">E113-F113</f>
        <v>-149.60000000000036</v>
      </c>
      <c r="H113" s="179">
        <f t="shared" ref="H113:H118" si="21">E113*D113</f>
        <v>9740</v>
      </c>
      <c r="I113" s="179">
        <f t="shared" ref="I113:I118" si="22">F113*D113</f>
        <v>10039.200000000001</v>
      </c>
      <c r="J113" s="178">
        <f t="shared" ref="J113:J118" si="23">H113-I113</f>
        <v>-299.20000000000073</v>
      </c>
    </row>
    <row r="114" spans="2:10" ht="21" x14ac:dyDescent="0.4">
      <c r="B114" s="167">
        <v>45722</v>
      </c>
      <c r="C114" s="170" t="s">
        <v>86</v>
      </c>
      <c r="D114" s="176">
        <v>20</v>
      </c>
      <c r="E114" s="177">
        <v>4900</v>
      </c>
      <c r="F114" s="177">
        <v>5019.6000000000004</v>
      </c>
      <c r="G114" s="177">
        <f t="shared" si="20"/>
        <v>-119.60000000000036</v>
      </c>
      <c r="H114" s="179">
        <f t="shared" si="21"/>
        <v>98000</v>
      </c>
      <c r="I114" s="179">
        <f t="shared" si="22"/>
        <v>100392</v>
      </c>
      <c r="J114" s="178">
        <f t="shared" si="23"/>
        <v>-2392</v>
      </c>
    </row>
    <row r="115" spans="2:10" ht="21" x14ac:dyDescent="0.4">
      <c r="B115" s="167">
        <v>45729</v>
      </c>
      <c r="C115" s="170" t="s">
        <v>93</v>
      </c>
      <c r="D115" s="176">
        <v>1</v>
      </c>
      <c r="E115" s="177">
        <v>2150</v>
      </c>
      <c r="F115" s="177">
        <v>2250</v>
      </c>
      <c r="G115" s="177">
        <f t="shared" si="20"/>
        <v>-100</v>
      </c>
      <c r="H115" s="179">
        <f t="shared" si="21"/>
        <v>2150</v>
      </c>
      <c r="I115" s="179">
        <f t="shared" si="22"/>
        <v>2250</v>
      </c>
      <c r="J115" s="178">
        <f t="shared" si="23"/>
        <v>-100</v>
      </c>
    </row>
    <row r="116" spans="2:10" ht="21" x14ac:dyDescent="0.4">
      <c r="B116" s="167">
        <v>45733</v>
      </c>
      <c r="C116" s="170" t="s">
        <v>86</v>
      </c>
      <c r="D116" s="176">
        <v>2</v>
      </c>
      <c r="E116" s="177">
        <v>4930</v>
      </c>
      <c r="F116" s="177">
        <v>5019.6000000000004</v>
      </c>
      <c r="G116" s="177">
        <f t="shared" si="20"/>
        <v>-89.600000000000364</v>
      </c>
      <c r="H116" s="179">
        <f t="shared" si="21"/>
        <v>9860</v>
      </c>
      <c r="I116" s="179">
        <f t="shared" si="22"/>
        <v>10039.200000000001</v>
      </c>
      <c r="J116" s="178">
        <f t="shared" si="23"/>
        <v>-179.20000000000073</v>
      </c>
    </row>
    <row r="117" spans="2:10" ht="21" x14ac:dyDescent="0.4">
      <c r="B117" s="167">
        <v>45734</v>
      </c>
      <c r="C117" s="170" t="s">
        <v>86</v>
      </c>
      <c r="D117" s="176">
        <v>31</v>
      </c>
      <c r="E117" s="177">
        <v>4900</v>
      </c>
      <c r="F117" s="177">
        <v>5019.6000000000004</v>
      </c>
      <c r="G117" s="177">
        <f t="shared" si="20"/>
        <v>-119.60000000000036</v>
      </c>
      <c r="H117" s="179">
        <f t="shared" si="21"/>
        <v>151900</v>
      </c>
      <c r="I117" s="179">
        <f t="shared" si="22"/>
        <v>155607.6</v>
      </c>
      <c r="J117" s="178">
        <f t="shared" si="23"/>
        <v>-3707.6000000000058</v>
      </c>
    </row>
    <row r="118" spans="2:10" ht="21" x14ac:dyDescent="0.4">
      <c r="B118" s="167">
        <v>45742</v>
      </c>
      <c r="C118" s="170" t="s">
        <v>86</v>
      </c>
      <c r="D118" s="176">
        <v>2</v>
      </c>
      <c r="E118" s="177">
        <v>4890</v>
      </c>
      <c r="F118" s="177">
        <v>5019.6000000000004</v>
      </c>
      <c r="G118" s="177">
        <f t="shared" si="20"/>
        <v>-129.60000000000036</v>
      </c>
      <c r="H118" s="179">
        <f t="shared" si="21"/>
        <v>9780</v>
      </c>
      <c r="I118" s="179">
        <f t="shared" si="22"/>
        <v>10039.200000000001</v>
      </c>
      <c r="J118" s="178">
        <f t="shared" si="23"/>
        <v>-259.20000000000073</v>
      </c>
    </row>
    <row r="120" spans="2:10" x14ac:dyDescent="0.3">
      <c r="J120" s="173">
        <f>SUM(J102:J119)</f>
        <v>-33070.257279999991</v>
      </c>
    </row>
  </sheetData>
  <sortState xmlns:xlrd2="http://schemas.microsoft.com/office/spreadsheetml/2017/richdata2" ref="B3:J84">
    <sortCondition sortBy="cellColor" ref="C3:C84" dxfId="0"/>
  </sortState>
  <mergeCells count="1">
    <mergeCell ref="D99:G99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E539-4D49-4804-AD2A-8697033C9326}">
  <dimension ref="B1:I212"/>
  <sheetViews>
    <sheetView topLeftCell="A194" zoomScale="90" zoomScaleNormal="90" workbookViewId="0">
      <selection activeCell="A183" sqref="A183:E215"/>
    </sheetView>
  </sheetViews>
  <sheetFormatPr defaultRowHeight="14.4" x14ac:dyDescent="0.3"/>
  <cols>
    <col min="1" max="1" width="13.44140625" customWidth="1"/>
    <col min="2" max="2" width="30.77734375" customWidth="1"/>
    <col min="3" max="3" width="36.109375" customWidth="1"/>
    <col min="4" max="4" width="5.6640625" customWidth="1"/>
    <col min="7" max="7" width="18.109375" customWidth="1"/>
    <col min="8" max="8" width="35.44140625" customWidth="1"/>
    <col min="9" max="9" width="27.33203125" customWidth="1"/>
  </cols>
  <sheetData>
    <row r="1" spans="2:9" ht="35.4" customHeight="1" x14ac:dyDescent="0.3"/>
    <row r="2" spans="2:9" ht="25.8" x14ac:dyDescent="0.5">
      <c r="B2" s="506" t="s">
        <v>370</v>
      </c>
      <c r="C2" s="506"/>
      <c r="H2" s="506" t="s">
        <v>385</v>
      </c>
      <c r="I2" s="506"/>
    </row>
    <row r="4" spans="2:9" ht="18" x14ac:dyDescent="0.35">
      <c r="B4" s="507" t="s">
        <v>356</v>
      </c>
      <c r="C4" s="507"/>
      <c r="H4" s="507" t="s">
        <v>356</v>
      </c>
      <c r="I4" s="507"/>
    </row>
    <row r="5" spans="2:9" ht="18" x14ac:dyDescent="0.35">
      <c r="B5" s="181" t="s">
        <v>371</v>
      </c>
      <c r="C5" s="180">
        <v>1296929.5</v>
      </c>
      <c r="H5" s="181" t="s">
        <v>371</v>
      </c>
      <c r="I5" s="180">
        <v>387335</v>
      </c>
    </row>
    <row r="6" spans="2:9" ht="18" x14ac:dyDescent="0.35">
      <c r="B6" s="181" t="s">
        <v>357</v>
      </c>
      <c r="C6" s="180">
        <v>200</v>
      </c>
      <c r="H6" s="181" t="s">
        <v>357</v>
      </c>
      <c r="I6" s="180">
        <v>0</v>
      </c>
    </row>
    <row r="7" spans="2:9" ht="18" x14ac:dyDescent="0.35">
      <c r="B7" s="181" t="s">
        <v>358</v>
      </c>
      <c r="C7" s="180">
        <f>C5-C6</f>
        <v>1296729.5</v>
      </c>
      <c r="H7" s="181" t="s">
        <v>358</v>
      </c>
      <c r="I7" s="180">
        <f>I5-I6</f>
        <v>387335</v>
      </c>
    </row>
    <row r="8" spans="2:9" ht="18" x14ac:dyDescent="0.35">
      <c r="B8" s="158"/>
      <c r="C8" s="158"/>
      <c r="H8" s="158"/>
      <c r="I8" s="158"/>
    </row>
    <row r="9" spans="2:9" ht="18" x14ac:dyDescent="0.35">
      <c r="B9" s="507" t="s">
        <v>359</v>
      </c>
      <c r="C9" s="507"/>
      <c r="H9" s="507" t="s">
        <v>359</v>
      </c>
      <c r="I9" s="507"/>
    </row>
    <row r="10" spans="2:9" ht="18" x14ac:dyDescent="0.35">
      <c r="B10" s="181" t="s">
        <v>360</v>
      </c>
      <c r="C10" s="180">
        <v>1204941.68</v>
      </c>
      <c r="H10" s="181" t="s">
        <v>360</v>
      </c>
      <c r="I10" s="180">
        <v>342114</v>
      </c>
    </row>
    <row r="11" spans="2:9" ht="18" x14ac:dyDescent="0.35">
      <c r="B11" s="159"/>
      <c r="C11" s="158"/>
      <c r="H11" s="159"/>
      <c r="I11" s="158"/>
    </row>
    <row r="12" spans="2:9" ht="18" x14ac:dyDescent="0.35">
      <c r="B12" s="181" t="s">
        <v>361</v>
      </c>
      <c r="C12" s="180">
        <f>C7-C10</f>
        <v>91787.820000000065</v>
      </c>
      <c r="H12" s="181" t="s">
        <v>361</v>
      </c>
      <c r="I12" s="180">
        <f>I7-I10</f>
        <v>45221</v>
      </c>
    </row>
    <row r="13" spans="2:9" ht="18" x14ac:dyDescent="0.35">
      <c r="B13" s="158"/>
      <c r="C13" s="158"/>
      <c r="H13" s="158"/>
      <c r="I13" s="158"/>
    </row>
    <row r="14" spans="2:9" ht="18" x14ac:dyDescent="0.35">
      <c r="B14" s="507" t="s">
        <v>362</v>
      </c>
      <c r="C14" s="507"/>
      <c r="H14" s="507" t="s">
        <v>362</v>
      </c>
      <c r="I14" s="507"/>
    </row>
    <row r="15" spans="2:9" ht="18" x14ac:dyDescent="0.35">
      <c r="B15" s="181" t="s">
        <v>363</v>
      </c>
      <c r="C15" s="180">
        <v>9320</v>
      </c>
      <c r="H15" s="181" t="s">
        <v>363</v>
      </c>
      <c r="I15" s="180">
        <v>0</v>
      </c>
    </row>
    <row r="16" spans="2:9" ht="18" x14ac:dyDescent="0.35">
      <c r="B16" s="181" t="s">
        <v>364</v>
      </c>
      <c r="C16" s="180">
        <v>749</v>
      </c>
      <c r="H16" s="181" t="s">
        <v>364</v>
      </c>
      <c r="I16" s="180">
        <v>0</v>
      </c>
    </row>
    <row r="17" spans="2:9" ht="18" x14ac:dyDescent="0.35">
      <c r="B17" s="181" t="s">
        <v>365</v>
      </c>
      <c r="C17" s="180">
        <v>8121</v>
      </c>
      <c r="H17" s="181" t="s">
        <v>365</v>
      </c>
      <c r="I17" s="180">
        <v>206</v>
      </c>
    </row>
    <row r="18" spans="2:9" ht="18" x14ac:dyDescent="0.35">
      <c r="B18" s="181" t="s">
        <v>366</v>
      </c>
      <c r="C18" s="180">
        <v>15877</v>
      </c>
      <c r="H18" s="181" t="s">
        <v>366</v>
      </c>
      <c r="I18" s="180"/>
    </row>
    <row r="19" spans="2:9" ht="18" x14ac:dyDescent="0.35">
      <c r="B19" s="181" t="s">
        <v>367</v>
      </c>
      <c r="C19" s="180">
        <v>32912</v>
      </c>
      <c r="H19" s="181" t="s">
        <v>367</v>
      </c>
      <c r="I19" s="180">
        <v>12860</v>
      </c>
    </row>
    <row r="20" spans="2:9" ht="18" x14ac:dyDescent="0.35">
      <c r="B20" s="158"/>
      <c r="C20" s="158"/>
      <c r="H20" s="158"/>
      <c r="I20" s="158"/>
    </row>
    <row r="21" spans="2:9" ht="18" x14ac:dyDescent="0.35">
      <c r="B21" s="181" t="s">
        <v>369</v>
      </c>
      <c r="C21" s="180">
        <f>SUM(C15:C20)</f>
        <v>66979</v>
      </c>
      <c r="H21" s="181" t="s">
        <v>369</v>
      </c>
      <c r="I21" s="180">
        <f>SUM(I15:I20)</f>
        <v>13066</v>
      </c>
    </row>
    <row r="22" spans="2:9" ht="18" x14ac:dyDescent="0.35">
      <c r="B22" s="158"/>
      <c r="C22" s="158"/>
      <c r="H22" s="158"/>
      <c r="I22" s="158"/>
    </row>
    <row r="23" spans="2:9" ht="18" x14ac:dyDescent="0.35">
      <c r="B23" s="158"/>
      <c r="C23" s="158"/>
      <c r="H23" s="158"/>
      <c r="I23" s="158"/>
    </row>
    <row r="24" spans="2:9" ht="25.8" x14ac:dyDescent="0.5">
      <c r="B24" s="183" t="s">
        <v>368</v>
      </c>
      <c r="C24" s="182">
        <f>C12-C21</f>
        <v>24808.820000000065</v>
      </c>
      <c r="H24" s="183" t="s">
        <v>368</v>
      </c>
      <c r="I24" s="182">
        <f>I12-I21</f>
        <v>32155</v>
      </c>
    </row>
    <row r="29" spans="2:9" ht="25.8" x14ac:dyDescent="0.5">
      <c r="B29" s="506" t="s">
        <v>523</v>
      </c>
      <c r="C29" s="506"/>
    </row>
    <row r="30" spans="2:9" x14ac:dyDescent="0.3">
      <c r="H30" t="s">
        <v>755</v>
      </c>
    </row>
    <row r="32" spans="2:9" ht="18" x14ac:dyDescent="0.35">
      <c r="B32" s="507" t="s">
        <v>356</v>
      </c>
      <c r="C32" s="507"/>
    </row>
    <row r="33" spans="2:8" ht="18" x14ac:dyDescent="0.35">
      <c r="B33" s="181" t="s">
        <v>371</v>
      </c>
      <c r="C33" s="180">
        <f>C5+I5</f>
        <v>1684264.5</v>
      </c>
    </row>
    <row r="34" spans="2:8" ht="18" x14ac:dyDescent="0.35">
      <c r="B34" s="181" t="s">
        <v>357</v>
      </c>
      <c r="C34" s="180">
        <f>C6+I6</f>
        <v>200</v>
      </c>
      <c r="H34">
        <v>292318</v>
      </c>
    </row>
    <row r="35" spans="2:8" ht="18" x14ac:dyDescent="0.35">
      <c r="B35" s="181" t="s">
        <v>358</v>
      </c>
      <c r="C35" s="180">
        <f>C33-C34</f>
        <v>1684064.5</v>
      </c>
    </row>
    <row r="36" spans="2:8" ht="18" x14ac:dyDescent="0.35">
      <c r="B36" s="158"/>
      <c r="C36" s="158"/>
    </row>
    <row r="37" spans="2:8" ht="18" x14ac:dyDescent="0.35">
      <c r="B37" s="507" t="s">
        <v>359</v>
      </c>
      <c r="C37" s="507"/>
    </row>
    <row r="38" spans="2:8" ht="18" x14ac:dyDescent="0.35">
      <c r="B38" s="181" t="s">
        <v>360</v>
      </c>
      <c r="C38" s="180">
        <f>C10+I10</f>
        <v>1547055.68</v>
      </c>
    </row>
    <row r="39" spans="2:8" ht="18" x14ac:dyDescent="0.35">
      <c r="B39" s="159"/>
      <c r="C39" s="158"/>
    </row>
    <row r="40" spans="2:8" ht="18" x14ac:dyDescent="0.35">
      <c r="B40" s="181" t="s">
        <v>361</v>
      </c>
      <c r="C40" s="180">
        <f>C35-C38</f>
        <v>137008.82000000007</v>
      </c>
    </row>
    <row r="41" spans="2:8" ht="18" x14ac:dyDescent="0.35">
      <c r="B41" s="158"/>
      <c r="C41" s="158"/>
    </row>
    <row r="42" spans="2:8" ht="18" x14ac:dyDescent="0.35">
      <c r="B42" s="507" t="s">
        <v>362</v>
      </c>
      <c r="C42" s="507"/>
    </row>
    <row r="43" spans="2:8" ht="18" x14ac:dyDescent="0.35">
      <c r="B43" s="181" t="s">
        <v>363</v>
      </c>
      <c r="C43" s="180">
        <v>9320</v>
      </c>
    </row>
    <row r="44" spans="2:8" ht="18" x14ac:dyDescent="0.35">
      <c r="B44" s="181" t="s">
        <v>364</v>
      </c>
      <c r="C44" s="180">
        <v>749</v>
      </c>
    </row>
    <row r="45" spans="2:8" ht="18" x14ac:dyDescent="0.35">
      <c r="B45" s="181" t="s">
        <v>365</v>
      </c>
      <c r="C45" s="180">
        <f>C17+I17</f>
        <v>8327</v>
      </c>
    </row>
    <row r="46" spans="2:8" ht="18" x14ac:dyDescent="0.35">
      <c r="B46" s="181" t="s">
        <v>366</v>
      </c>
      <c r="C46" s="180">
        <v>15833</v>
      </c>
    </row>
    <row r="47" spans="2:8" ht="18" x14ac:dyDescent="0.35">
      <c r="B47" s="181" t="s">
        <v>367</v>
      </c>
      <c r="C47" s="180">
        <f>C19+I19</f>
        <v>45772</v>
      </c>
    </row>
    <row r="48" spans="2:8" ht="18" x14ac:dyDescent="0.35">
      <c r="B48" s="158"/>
      <c r="C48" s="158"/>
    </row>
    <row r="49" spans="2:3" ht="18" x14ac:dyDescent="0.35">
      <c r="B49" s="181" t="s">
        <v>369</v>
      </c>
      <c r="C49" s="180">
        <f>SUM(C43:C48)</f>
        <v>80001</v>
      </c>
    </row>
    <row r="50" spans="2:3" ht="18" x14ac:dyDescent="0.35">
      <c r="B50" s="158"/>
      <c r="C50" s="158"/>
    </row>
    <row r="51" spans="2:3" ht="18" x14ac:dyDescent="0.35">
      <c r="B51" s="158"/>
      <c r="C51" s="158"/>
    </row>
    <row r="52" spans="2:3" ht="25.8" x14ac:dyDescent="0.5">
      <c r="B52" s="183" t="s">
        <v>368</v>
      </c>
      <c r="C52" s="182">
        <f>C40-C49</f>
        <v>57007.820000000065</v>
      </c>
    </row>
    <row r="58" spans="2:3" ht="25.8" x14ac:dyDescent="0.5">
      <c r="B58" s="506" t="s">
        <v>618</v>
      </c>
      <c r="C58" s="506"/>
    </row>
    <row r="61" spans="2:3" ht="18" x14ac:dyDescent="0.35">
      <c r="B61" s="507" t="s">
        <v>356</v>
      </c>
      <c r="C61" s="507"/>
    </row>
    <row r="62" spans="2:3" ht="18" x14ac:dyDescent="0.35">
      <c r="B62" s="181" t="s">
        <v>371</v>
      </c>
      <c r="C62" s="180">
        <v>1469551</v>
      </c>
    </row>
    <row r="63" spans="2:3" ht="18" x14ac:dyDescent="0.35">
      <c r="B63" s="181" t="s">
        <v>357</v>
      </c>
      <c r="C63" s="180">
        <v>400</v>
      </c>
    </row>
    <row r="64" spans="2:3" ht="18" x14ac:dyDescent="0.35">
      <c r="B64" s="181" t="s">
        <v>358</v>
      </c>
      <c r="C64" s="180">
        <f>C62-C63</f>
        <v>1469151</v>
      </c>
    </row>
    <row r="65" spans="2:3" ht="18" x14ac:dyDescent="0.35">
      <c r="B65" s="158"/>
      <c r="C65" s="158"/>
    </row>
    <row r="66" spans="2:3" ht="18" x14ac:dyDescent="0.35">
      <c r="B66" s="507" t="s">
        <v>359</v>
      </c>
      <c r="C66" s="507"/>
    </row>
    <row r="67" spans="2:3" ht="18" x14ac:dyDescent="0.35">
      <c r="B67" s="181" t="s">
        <v>360</v>
      </c>
      <c r="C67" s="180">
        <v>1300649</v>
      </c>
    </row>
    <row r="68" spans="2:3" ht="18" x14ac:dyDescent="0.35">
      <c r="B68" s="159"/>
      <c r="C68" s="158"/>
    </row>
    <row r="69" spans="2:3" ht="18" x14ac:dyDescent="0.35">
      <c r="B69" s="181" t="s">
        <v>361</v>
      </c>
      <c r="C69" s="180">
        <f>C64-C67</f>
        <v>168502</v>
      </c>
    </row>
    <row r="70" spans="2:3" ht="18" x14ac:dyDescent="0.35">
      <c r="B70" s="158"/>
      <c r="C70" s="158"/>
    </row>
    <row r="71" spans="2:3" ht="18" x14ac:dyDescent="0.35">
      <c r="B71" s="507" t="s">
        <v>362</v>
      </c>
      <c r="C71" s="507"/>
    </row>
    <row r="72" spans="2:3" ht="18" x14ac:dyDescent="0.35">
      <c r="B72" s="181" t="s">
        <v>363</v>
      </c>
      <c r="C72" s="180">
        <v>10711</v>
      </c>
    </row>
    <row r="73" spans="2:3" ht="18" x14ac:dyDescent="0.35">
      <c r="B73" s="181" t="s">
        <v>364</v>
      </c>
      <c r="C73" s="180">
        <v>0</v>
      </c>
    </row>
    <row r="74" spans="2:3" ht="18" x14ac:dyDescent="0.35">
      <c r="B74" s="181" t="s">
        <v>365</v>
      </c>
      <c r="C74" s="180">
        <v>3331</v>
      </c>
    </row>
    <row r="75" spans="2:3" ht="18" x14ac:dyDescent="0.35">
      <c r="B75" s="181" t="s">
        <v>366</v>
      </c>
      <c r="C75" s="180">
        <v>16147</v>
      </c>
    </row>
    <row r="76" spans="2:3" ht="18" x14ac:dyDescent="0.35">
      <c r="B76" s="181" t="s">
        <v>367</v>
      </c>
      <c r="C76" s="180">
        <v>50235</v>
      </c>
    </row>
    <row r="77" spans="2:3" ht="18" x14ac:dyDescent="0.35">
      <c r="B77" s="181" t="s">
        <v>619</v>
      </c>
      <c r="C77" s="180">
        <v>127</v>
      </c>
    </row>
    <row r="78" spans="2:3" ht="18" x14ac:dyDescent="0.35">
      <c r="B78" s="181" t="s">
        <v>620</v>
      </c>
      <c r="C78" s="180">
        <v>2636.96</v>
      </c>
    </row>
    <row r="79" spans="2:3" ht="18" x14ac:dyDescent="0.35">
      <c r="B79" s="158"/>
      <c r="C79" s="158"/>
    </row>
    <row r="80" spans="2:3" ht="18" x14ac:dyDescent="0.35">
      <c r="B80" s="181" t="s">
        <v>369</v>
      </c>
      <c r="C80" s="180">
        <f>SUM(C72:C79)</f>
        <v>83187.960000000006</v>
      </c>
    </row>
    <row r="81" spans="2:3" ht="18" x14ac:dyDescent="0.35">
      <c r="B81" s="159"/>
      <c r="C81" s="259"/>
    </row>
    <row r="82" spans="2:3" ht="25.8" x14ac:dyDescent="0.5">
      <c r="B82" s="183" t="s">
        <v>368</v>
      </c>
      <c r="C82" s="182">
        <f>C69-C80</f>
        <v>85314.04</v>
      </c>
    </row>
    <row r="89" spans="2:3" ht="25.8" x14ac:dyDescent="0.5">
      <c r="B89" s="506" t="s">
        <v>746</v>
      </c>
      <c r="C89" s="506"/>
    </row>
    <row r="92" spans="2:3" ht="18" x14ac:dyDescent="0.35">
      <c r="B92" s="507" t="s">
        <v>356</v>
      </c>
      <c r="C92" s="507"/>
    </row>
    <row r="93" spans="2:3" ht="18" x14ac:dyDescent="0.35">
      <c r="B93" s="181" t="s">
        <v>371</v>
      </c>
      <c r="C93" s="180">
        <v>1284466</v>
      </c>
    </row>
    <row r="94" spans="2:3" ht="18" x14ac:dyDescent="0.35">
      <c r="B94" s="181" t="s">
        <v>357</v>
      </c>
      <c r="C94" s="180">
        <v>20</v>
      </c>
    </row>
    <row r="95" spans="2:3" ht="18" x14ac:dyDescent="0.35">
      <c r="B95" s="181" t="s">
        <v>358</v>
      </c>
      <c r="C95" s="180">
        <f>C93-C94</f>
        <v>1284446</v>
      </c>
    </row>
    <row r="96" spans="2:3" ht="18" x14ac:dyDescent="0.35">
      <c r="B96" s="158"/>
      <c r="C96" s="158"/>
    </row>
    <row r="97" spans="2:3" ht="18" x14ac:dyDescent="0.35">
      <c r="B97" s="507" t="s">
        <v>359</v>
      </c>
      <c r="C97" s="507"/>
    </row>
    <row r="98" spans="2:3" ht="18" x14ac:dyDescent="0.35">
      <c r="B98" s="181" t="s">
        <v>360</v>
      </c>
      <c r="C98" s="180">
        <v>1102012</v>
      </c>
    </row>
    <row r="99" spans="2:3" ht="18" x14ac:dyDescent="0.35">
      <c r="B99" s="159"/>
      <c r="C99" s="158"/>
    </row>
    <row r="100" spans="2:3" ht="18" x14ac:dyDescent="0.35">
      <c r="B100" s="181" t="s">
        <v>361</v>
      </c>
      <c r="C100" s="180">
        <f>C95-C98</f>
        <v>182434</v>
      </c>
    </row>
    <row r="101" spans="2:3" ht="18" x14ac:dyDescent="0.35">
      <c r="B101" s="158"/>
      <c r="C101" s="158"/>
    </row>
    <row r="102" spans="2:3" ht="18" x14ac:dyDescent="0.35">
      <c r="B102" s="507" t="s">
        <v>362</v>
      </c>
      <c r="C102" s="507"/>
    </row>
    <row r="103" spans="2:3" ht="18" x14ac:dyDescent="0.35">
      <c r="B103" s="181" t="s">
        <v>363</v>
      </c>
      <c r="C103" s="180">
        <v>9386.7999999999993</v>
      </c>
    </row>
    <row r="104" spans="2:3" ht="18" x14ac:dyDescent="0.35">
      <c r="B104" s="181" t="s">
        <v>364</v>
      </c>
      <c r="C104" s="180"/>
    </row>
    <row r="105" spans="2:3" ht="18" x14ac:dyDescent="0.35">
      <c r="B105" s="181" t="s">
        <v>365</v>
      </c>
      <c r="C105" s="180">
        <v>9951.7800000000007</v>
      </c>
    </row>
    <row r="106" spans="2:3" ht="18" x14ac:dyDescent="0.35">
      <c r="B106" s="181" t="s">
        <v>366</v>
      </c>
      <c r="C106" s="180">
        <v>16906</v>
      </c>
    </row>
    <row r="107" spans="2:3" ht="18" x14ac:dyDescent="0.35">
      <c r="B107" s="181" t="s">
        <v>367</v>
      </c>
      <c r="C107" s="180">
        <v>43000</v>
      </c>
    </row>
    <row r="108" spans="2:3" ht="18" x14ac:dyDescent="0.35">
      <c r="B108" s="181" t="s">
        <v>619</v>
      </c>
      <c r="C108" s="180"/>
    </row>
    <row r="109" spans="2:3" ht="18" x14ac:dyDescent="0.35">
      <c r="B109" s="181" t="s">
        <v>620</v>
      </c>
      <c r="C109" s="180">
        <v>4350.26</v>
      </c>
    </row>
    <row r="110" spans="2:3" ht="18" x14ac:dyDescent="0.35">
      <c r="B110" s="158"/>
      <c r="C110" s="158"/>
    </row>
    <row r="111" spans="2:3" ht="18" x14ac:dyDescent="0.35">
      <c r="B111" s="181" t="s">
        <v>369</v>
      </c>
      <c r="C111" s="180">
        <f>SUM(C103:C110)</f>
        <v>83594.84</v>
      </c>
    </row>
    <row r="112" spans="2:3" ht="18" x14ac:dyDescent="0.35">
      <c r="B112" s="159"/>
      <c r="C112" s="259"/>
    </row>
    <row r="113" spans="2:3" ht="25.8" x14ac:dyDescent="0.5">
      <c r="B113" s="183" t="s">
        <v>368</v>
      </c>
      <c r="C113" s="182">
        <f>C100-C111</f>
        <v>98839.16</v>
      </c>
    </row>
    <row r="118" spans="2:3" ht="25.8" x14ac:dyDescent="0.5">
      <c r="B118" s="506" t="s">
        <v>825</v>
      </c>
      <c r="C118" s="506"/>
    </row>
    <row r="121" spans="2:3" ht="18" x14ac:dyDescent="0.35">
      <c r="B121" s="507" t="s">
        <v>356</v>
      </c>
      <c r="C121" s="507"/>
    </row>
    <row r="122" spans="2:3" ht="18" x14ac:dyDescent="0.35">
      <c r="B122" s="181" t="s">
        <v>371</v>
      </c>
      <c r="C122" s="180">
        <v>1434081.06</v>
      </c>
    </row>
    <row r="123" spans="2:3" ht="18" x14ac:dyDescent="0.35">
      <c r="B123" s="181" t="s">
        <v>357</v>
      </c>
      <c r="C123" s="180">
        <v>10147</v>
      </c>
    </row>
    <row r="124" spans="2:3" ht="18" x14ac:dyDescent="0.35">
      <c r="B124" s="181" t="s">
        <v>358</v>
      </c>
      <c r="C124" s="180">
        <f>C122-C123</f>
        <v>1423934.06</v>
      </c>
    </row>
    <row r="125" spans="2:3" ht="18" x14ac:dyDescent="0.35">
      <c r="B125" s="158"/>
      <c r="C125" s="158"/>
    </row>
    <row r="126" spans="2:3" ht="18" x14ac:dyDescent="0.35">
      <c r="B126" s="507" t="s">
        <v>359</v>
      </c>
      <c r="C126" s="507"/>
    </row>
    <row r="127" spans="2:3" ht="18" x14ac:dyDescent="0.35">
      <c r="B127" s="181" t="s">
        <v>360</v>
      </c>
      <c r="C127" s="180">
        <v>1263187.74</v>
      </c>
    </row>
    <row r="128" spans="2:3" ht="18" x14ac:dyDescent="0.35">
      <c r="B128" s="159"/>
      <c r="C128" s="158"/>
    </row>
    <row r="129" spans="2:3" ht="18" x14ac:dyDescent="0.35">
      <c r="B129" s="181" t="s">
        <v>361</v>
      </c>
      <c r="C129" s="180">
        <f>C124-C127</f>
        <v>160746.32000000007</v>
      </c>
    </row>
    <row r="130" spans="2:3" ht="18" x14ac:dyDescent="0.35">
      <c r="B130" s="158"/>
      <c r="C130" s="158"/>
    </row>
    <row r="131" spans="2:3" ht="18" x14ac:dyDescent="0.35">
      <c r="B131" s="507" t="s">
        <v>362</v>
      </c>
      <c r="C131" s="507"/>
    </row>
    <row r="132" spans="2:3" ht="18" x14ac:dyDescent="0.35">
      <c r="B132" s="181" t="s">
        <v>363</v>
      </c>
      <c r="C132" s="180">
        <v>9612.7999999999993</v>
      </c>
    </row>
    <row r="133" spans="2:3" ht="18" x14ac:dyDescent="0.35">
      <c r="B133" s="181" t="s">
        <v>364</v>
      </c>
      <c r="C133" s="180">
        <v>13468</v>
      </c>
    </row>
    <row r="134" spans="2:3" ht="18" x14ac:dyDescent="0.35">
      <c r="B134" s="181" t="s">
        <v>365</v>
      </c>
      <c r="C134" s="180">
        <v>21692</v>
      </c>
    </row>
    <row r="135" spans="2:3" ht="18" x14ac:dyDescent="0.35">
      <c r="B135" s="181" t="s">
        <v>366</v>
      </c>
      <c r="C135" s="180">
        <v>16514</v>
      </c>
    </row>
    <row r="136" spans="2:3" ht="18" x14ac:dyDescent="0.35">
      <c r="B136" s="181" t="s">
        <v>367</v>
      </c>
      <c r="C136" s="180">
        <v>36632</v>
      </c>
    </row>
    <row r="137" spans="2:3" ht="18" x14ac:dyDescent="0.35">
      <c r="B137" s="181" t="s">
        <v>619</v>
      </c>
      <c r="C137" s="180">
        <v>10656</v>
      </c>
    </row>
    <row r="138" spans="2:3" ht="18" x14ac:dyDescent="0.35">
      <c r="B138" s="181" t="s">
        <v>620</v>
      </c>
      <c r="C138" s="180">
        <v>4352</v>
      </c>
    </row>
    <row r="139" spans="2:3" ht="18" x14ac:dyDescent="0.35">
      <c r="B139" s="158"/>
      <c r="C139" s="158"/>
    </row>
    <row r="140" spans="2:3" ht="18" x14ac:dyDescent="0.35">
      <c r="B140" s="181" t="s">
        <v>369</v>
      </c>
      <c r="C140" s="180">
        <f>SUM(C132:C139)</f>
        <v>112926.8</v>
      </c>
    </row>
    <row r="141" spans="2:3" ht="18" x14ac:dyDescent="0.35">
      <c r="B141" s="159"/>
      <c r="C141" s="259"/>
    </row>
    <row r="142" spans="2:3" ht="25.8" x14ac:dyDescent="0.5">
      <c r="B142" s="183" t="s">
        <v>368</v>
      </c>
      <c r="C142" s="182">
        <f>C129-C140</f>
        <v>47819.520000000062</v>
      </c>
    </row>
    <row r="151" spans="2:3" ht="25.8" x14ac:dyDescent="0.5">
      <c r="B151" s="506" t="s">
        <v>957</v>
      </c>
      <c r="C151" s="506"/>
    </row>
    <row r="154" spans="2:3" ht="18" x14ac:dyDescent="0.35">
      <c r="B154" s="507" t="s">
        <v>356</v>
      </c>
      <c r="C154" s="507"/>
    </row>
    <row r="155" spans="2:3" ht="18" x14ac:dyDescent="0.35">
      <c r="B155" s="181" t="s">
        <v>371</v>
      </c>
      <c r="C155" s="180">
        <v>3133155.73</v>
      </c>
    </row>
    <row r="156" spans="2:3" ht="18" x14ac:dyDescent="0.35">
      <c r="B156" s="181" t="s">
        <v>357</v>
      </c>
      <c r="C156" s="180">
        <v>1501</v>
      </c>
    </row>
    <row r="157" spans="2:3" ht="18" x14ac:dyDescent="0.35">
      <c r="B157" s="181" t="s">
        <v>358</v>
      </c>
      <c r="C157" s="180">
        <f>C155-C156</f>
        <v>3131654.73</v>
      </c>
    </row>
    <row r="158" spans="2:3" ht="18" x14ac:dyDescent="0.35">
      <c r="B158" s="158"/>
      <c r="C158" s="158"/>
    </row>
    <row r="159" spans="2:3" ht="18" x14ac:dyDescent="0.35">
      <c r="B159" s="507" t="s">
        <v>359</v>
      </c>
      <c r="C159" s="507"/>
    </row>
    <row r="160" spans="2:3" ht="18" x14ac:dyDescent="0.35">
      <c r="B160" s="181" t="s">
        <v>360</v>
      </c>
      <c r="C160" s="180">
        <v>2825955.11</v>
      </c>
    </row>
    <row r="161" spans="2:3" ht="18" x14ac:dyDescent="0.35">
      <c r="B161" s="159"/>
      <c r="C161" s="158"/>
    </row>
    <row r="162" spans="2:3" ht="18" x14ac:dyDescent="0.35">
      <c r="B162" s="181" t="s">
        <v>361</v>
      </c>
      <c r="C162" s="180">
        <f>C157-C160</f>
        <v>305699.62000000011</v>
      </c>
    </row>
    <row r="163" spans="2:3" ht="18" x14ac:dyDescent="0.35">
      <c r="B163" s="158"/>
      <c r="C163" s="158"/>
    </row>
    <row r="164" spans="2:3" ht="18" x14ac:dyDescent="0.35">
      <c r="B164" s="507" t="s">
        <v>362</v>
      </c>
      <c r="C164" s="507"/>
    </row>
    <row r="165" spans="2:3" ht="18" x14ac:dyDescent="0.35">
      <c r="B165" s="181" t="s">
        <v>363</v>
      </c>
      <c r="C165" s="180">
        <v>45414</v>
      </c>
    </row>
    <row r="166" spans="2:3" ht="18" x14ac:dyDescent="0.35">
      <c r="B166" s="181" t="s">
        <v>364</v>
      </c>
      <c r="C166" s="180">
        <v>0</v>
      </c>
    </row>
    <row r="167" spans="2:3" ht="18" x14ac:dyDescent="0.35">
      <c r="B167" s="181" t="s">
        <v>365</v>
      </c>
      <c r="C167" s="180">
        <v>3571.95</v>
      </c>
    </row>
    <row r="168" spans="2:3" ht="18" x14ac:dyDescent="0.35">
      <c r="B168" s="181" t="s">
        <v>366</v>
      </c>
      <c r="C168" s="180">
        <v>30000</v>
      </c>
    </row>
    <row r="169" spans="2:3" ht="18" x14ac:dyDescent="0.35">
      <c r="B169" s="181" t="s">
        <v>367</v>
      </c>
      <c r="C169" s="180">
        <v>13858</v>
      </c>
    </row>
    <row r="170" spans="2:3" ht="18" x14ac:dyDescent="0.35">
      <c r="B170" s="181" t="s">
        <v>619</v>
      </c>
      <c r="C170" s="180">
        <v>163</v>
      </c>
    </row>
    <row r="171" spans="2:3" ht="18" x14ac:dyDescent="0.35">
      <c r="B171" s="181"/>
      <c r="C171" s="180"/>
    </row>
    <row r="172" spans="2:3" ht="18" x14ac:dyDescent="0.35">
      <c r="B172" s="181" t="s">
        <v>958</v>
      </c>
      <c r="C172" s="259">
        <v>46911</v>
      </c>
    </row>
    <row r="173" spans="2:3" ht="18" x14ac:dyDescent="0.35">
      <c r="B173" s="159" t="s">
        <v>959</v>
      </c>
      <c r="C173" s="259">
        <v>38813</v>
      </c>
    </row>
    <row r="174" spans="2:3" ht="18" x14ac:dyDescent="0.35">
      <c r="B174" s="159" t="s">
        <v>960</v>
      </c>
      <c r="C174" s="259">
        <v>6074</v>
      </c>
    </row>
    <row r="175" spans="2:3" ht="18" x14ac:dyDescent="0.35">
      <c r="B175" s="158"/>
      <c r="C175" s="158"/>
    </row>
    <row r="176" spans="2:3" ht="18" x14ac:dyDescent="0.35">
      <c r="B176" s="181" t="s">
        <v>369</v>
      </c>
      <c r="C176" s="180">
        <f>SUM(C165:C175)</f>
        <v>184804.95</v>
      </c>
    </row>
    <row r="177" spans="2:3" ht="18" x14ac:dyDescent="0.35">
      <c r="B177" s="159"/>
      <c r="C177" s="259"/>
    </row>
    <row r="178" spans="2:3" ht="25.8" x14ac:dyDescent="0.5">
      <c r="B178" s="183" t="s">
        <v>368</v>
      </c>
      <c r="C178" s="182">
        <f>C162-C176</f>
        <v>120894.6700000001</v>
      </c>
    </row>
    <row r="185" spans="2:3" ht="25.8" x14ac:dyDescent="0.5">
      <c r="B185" s="506" t="s">
        <v>1209</v>
      </c>
      <c r="C185" s="506"/>
    </row>
    <row r="188" spans="2:3" ht="18" x14ac:dyDescent="0.35">
      <c r="B188" s="507" t="s">
        <v>356</v>
      </c>
      <c r="C188" s="507"/>
    </row>
    <row r="189" spans="2:3" ht="18" x14ac:dyDescent="0.35">
      <c r="B189" s="181" t="s">
        <v>371</v>
      </c>
      <c r="C189" s="180">
        <v>2619439.5499999998</v>
      </c>
    </row>
    <row r="190" spans="2:3" ht="18" x14ac:dyDescent="0.35">
      <c r="B190" s="181" t="s">
        <v>357</v>
      </c>
      <c r="C190" s="180">
        <v>165</v>
      </c>
    </row>
    <row r="191" spans="2:3" ht="18" x14ac:dyDescent="0.35">
      <c r="B191" s="181" t="s">
        <v>358</v>
      </c>
      <c r="C191" s="180">
        <f>C189-C190</f>
        <v>2619274.5499999998</v>
      </c>
    </row>
    <row r="192" spans="2:3" ht="18" x14ac:dyDescent="0.35">
      <c r="B192" s="158"/>
      <c r="C192" s="158"/>
    </row>
    <row r="193" spans="2:3" ht="18" x14ac:dyDescent="0.35">
      <c r="B193" s="507" t="s">
        <v>359</v>
      </c>
      <c r="C193" s="507"/>
    </row>
    <row r="194" spans="2:3" ht="18" x14ac:dyDescent="0.35">
      <c r="B194" s="181" t="s">
        <v>360</v>
      </c>
      <c r="C194" s="180">
        <v>2258212.6800000002</v>
      </c>
    </row>
    <row r="195" spans="2:3" ht="18" x14ac:dyDescent="0.35">
      <c r="B195" s="159"/>
      <c r="C195" s="158"/>
    </row>
    <row r="196" spans="2:3" ht="18" x14ac:dyDescent="0.35">
      <c r="B196" s="181" t="s">
        <v>361</v>
      </c>
      <c r="C196" s="180">
        <f>C191-C194</f>
        <v>361061.86999999965</v>
      </c>
    </row>
    <row r="197" spans="2:3" ht="18" x14ac:dyDescent="0.35">
      <c r="B197" s="158"/>
      <c r="C197" s="158"/>
    </row>
    <row r="198" spans="2:3" ht="18" x14ac:dyDescent="0.35">
      <c r="B198" s="507" t="s">
        <v>362</v>
      </c>
      <c r="C198" s="507"/>
    </row>
    <row r="199" spans="2:3" ht="18" x14ac:dyDescent="0.35">
      <c r="B199" s="181" t="s">
        <v>363</v>
      </c>
      <c r="C199" s="180">
        <v>23713</v>
      </c>
    </row>
    <row r="200" spans="2:3" ht="18" x14ac:dyDescent="0.35">
      <c r="B200" s="181" t="s">
        <v>364</v>
      </c>
      <c r="C200" s="180">
        <v>0</v>
      </c>
    </row>
    <row r="201" spans="2:3" ht="18" x14ac:dyDescent="0.35">
      <c r="B201" s="181" t="s">
        <v>365</v>
      </c>
      <c r="C201" s="180">
        <v>4377</v>
      </c>
    </row>
    <row r="202" spans="2:3" ht="18" x14ac:dyDescent="0.35">
      <c r="B202" s="181" t="s">
        <v>366</v>
      </c>
      <c r="C202" s="180">
        <v>15000</v>
      </c>
    </row>
    <row r="203" spans="2:3" ht="18" x14ac:dyDescent="0.35">
      <c r="B203" s="181"/>
      <c r="C203" s="180"/>
    </row>
    <row r="204" spans="2:3" ht="18" x14ac:dyDescent="0.35">
      <c r="B204" s="181" t="s">
        <v>619</v>
      </c>
      <c r="C204" s="180">
        <v>1575</v>
      </c>
    </row>
    <row r="205" spans="2:3" ht="18" x14ac:dyDescent="0.35">
      <c r="B205" s="181"/>
      <c r="C205" s="180"/>
    </row>
    <row r="206" spans="2:3" ht="18" x14ac:dyDescent="0.35">
      <c r="B206" s="181" t="s">
        <v>958</v>
      </c>
      <c r="C206" s="259">
        <v>36585</v>
      </c>
    </row>
    <row r="207" spans="2:3" ht="18" x14ac:dyDescent="0.35">
      <c r="B207" s="159" t="s">
        <v>959</v>
      </c>
      <c r="C207" s="259">
        <v>10787</v>
      </c>
    </row>
    <row r="208" spans="2:3" ht="18" x14ac:dyDescent="0.35">
      <c r="B208" s="159" t="s">
        <v>960</v>
      </c>
      <c r="C208" s="259">
        <v>7413.67</v>
      </c>
    </row>
    <row r="209" spans="2:3" ht="18" x14ac:dyDescent="0.35">
      <c r="B209" s="158"/>
      <c r="C209" s="158"/>
    </row>
    <row r="210" spans="2:3" ht="18" x14ac:dyDescent="0.35">
      <c r="B210" s="181" t="s">
        <v>369</v>
      </c>
      <c r="C210" s="180">
        <f>SUM(C199:C209)</f>
        <v>99450.67</v>
      </c>
    </row>
    <row r="211" spans="2:3" ht="18" x14ac:dyDescent="0.35">
      <c r="B211" s="159"/>
      <c r="C211" s="259"/>
    </row>
    <row r="212" spans="2:3" ht="25.8" x14ac:dyDescent="0.5">
      <c r="B212" s="183" t="s">
        <v>368</v>
      </c>
      <c r="C212" s="182">
        <f>C196-C210</f>
        <v>261611.19999999966</v>
      </c>
    </row>
  </sheetData>
  <mergeCells count="32">
    <mergeCell ref="B154:C154"/>
    <mergeCell ref="B159:C159"/>
    <mergeCell ref="B164:C164"/>
    <mergeCell ref="B118:C118"/>
    <mergeCell ref="B121:C121"/>
    <mergeCell ref="B126:C126"/>
    <mergeCell ref="B131:C131"/>
    <mergeCell ref="H2:I2"/>
    <mergeCell ref="H4:I4"/>
    <mergeCell ref="H9:I9"/>
    <mergeCell ref="H14:I14"/>
    <mergeCell ref="B29:C29"/>
    <mergeCell ref="B4:C4"/>
    <mergeCell ref="B9:C9"/>
    <mergeCell ref="B14:C14"/>
    <mergeCell ref="B2:C2"/>
    <mergeCell ref="B185:C185"/>
    <mergeCell ref="B188:C188"/>
    <mergeCell ref="B193:C193"/>
    <mergeCell ref="B198:C198"/>
    <mergeCell ref="B32:C32"/>
    <mergeCell ref="B37:C37"/>
    <mergeCell ref="B42:C42"/>
    <mergeCell ref="B89:C89"/>
    <mergeCell ref="B92:C92"/>
    <mergeCell ref="B97:C97"/>
    <mergeCell ref="B102:C102"/>
    <mergeCell ref="B58:C58"/>
    <mergeCell ref="B61:C61"/>
    <mergeCell ref="B66:C66"/>
    <mergeCell ref="B71:C71"/>
    <mergeCell ref="B151:C15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79"/>
  <sheetViews>
    <sheetView topLeftCell="A361" workbookViewId="0">
      <selection activeCell="C381" sqref="C381"/>
    </sheetView>
  </sheetViews>
  <sheetFormatPr defaultRowHeight="14.4" x14ac:dyDescent="0.3"/>
  <cols>
    <col min="1" max="1" width="9.33203125" customWidth="1"/>
    <col min="2" max="2" width="13.5546875" customWidth="1"/>
    <col min="3" max="3" width="40.21875" style="1" customWidth="1"/>
    <col min="4" max="4" width="34.77734375" style="1" customWidth="1"/>
    <col min="5" max="5" width="10.33203125" customWidth="1"/>
    <col min="6" max="6" width="16" customWidth="1"/>
    <col min="7" max="7" width="20.44140625" style="128" customWidth="1"/>
    <col min="8" max="8" width="18.6640625" style="128" customWidth="1"/>
    <col min="9" max="9" width="15.88671875" customWidth="1"/>
    <col min="10" max="10" width="8.88671875" customWidth="1"/>
  </cols>
  <sheetData>
    <row r="2" spans="3:5" x14ac:dyDescent="0.3">
      <c r="C2" s="396" t="s">
        <v>177</v>
      </c>
      <c r="D2" s="396" t="s">
        <v>186</v>
      </c>
      <c r="E2" s="117" t="s">
        <v>181</v>
      </c>
    </row>
    <row r="3" spans="3:5" x14ac:dyDescent="0.3">
      <c r="C3" s="396" t="s">
        <v>178</v>
      </c>
      <c r="D3" s="396" t="s">
        <v>181</v>
      </c>
    </row>
    <row r="4" spans="3:5" x14ac:dyDescent="0.3">
      <c r="C4" s="396" t="s">
        <v>180</v>
      </c>
      <c r="D4" s="396" t="s">
        <v>181</v>
      </c>
    </row>
    <row r="5" spans="3:5" x14ac:dyDescent="0.3">
      <c r="C5" s="397" t="s">
        <v>179</v>
      </c>
      <c r="D5" s="397"/>
    </row>
    <row r="9" spans="3:5" x14ac:dyDescent="0.3">
      <c r="C9" s="396" t="s">
        <v>203</v>
      </c>
      <c r="D9" s="396">
        <v>6</v>
      </c>
      <c r="E9" s="117" t="s">
        <v>181</v>
      </c>
    </row>
    <row r="10" spans="3:5" x14ac:dyDescent="0.3">
      <c r="C10" s="396" t="s">
        <v>204</v>
      </c>
      <c r="D10" s="396">
        <v>1</v>
      </c>
      <c r="E10" s="117" t="s">
        <v>181</v>
      </c>
    </row>
    <row r="11" spans="3:5" x14ac:dyDescent="0.3">
      <c r="C11" s="396" t="s">
        <v>205</v>
      </c>
      <c r="D11" s="396">
        <v>1</v>
      </c>
      <c r="E11" s="117" t="s">
        <v>181</v>
      </c>
    </row>
    <row r="13" spans="3:5" x14ac:dyDescent="0.3">
      <c r="C13" s="397" t="s">
        <v>214</v>
      </c>
    </row>
    <row r="14" spans="3:5" x14ac:dyDescent="0.3">
      <c r="C14" s="397" t="s">
        <v>215</v>
      </c>
    </row>
    <row r="21" spans="3:9" x14ac:dyDescent="0.3">
      <c r="C21" s="1" t="s">
        <v>256</v>
      </c>
    </row>
    <row r="22" spans="3:9" x14ac:dyDescent="0.3">
      <c r="D22" s="398" t="s">
        <v>225</v>
      </c>
      <c r="E22" s="131" t="s">
        <v>226</v>
      </c>
      <c r="F22" s="131" t="s">
        <v>227</v>
      </c>
      <c r="G22" s="132" t="s">
        <v>228</v>
      </c>
      <c r="H22" s="129"/>
      <c r="I22" s="130"/>
    </row>
    <row r="23" spans="3:9" x14ac:dyDescent="0.3">
      <c r="D23" s="276" t="s">
        <v>223</v>
      </c>
      <c r="E23" s="133">
        <v>173</v>
      </c>
      <c r="F23" s="133">
        <v>1045.8</v>
      </c>
      <c r="G23" s="134">
        <f>F23*E23</f>
        <v>180923.4</v>
      </c>
      <c r="I23" s="128"/>
    </row>
    <row r="24" spans="3:9" x14ac:dyDescent="0.3">
      <c r="D24" s="276" t="s">
        <v>224</v>
      </c>
      <c r="E24" s="133">
        <v>120</v>
      </c>
      <c r="F24" s="133">
        <v>1241</v>
      </c>
      <c r="G24" s="134">
        <f>F24*E24</f>
        <v>148920</v>
      </c>
      <c r="I24" s="128"/>
    </row>
    <row r="25" spans="3:9" x14ac:dyDescent="0.3">
      <c r="D25" s="276" t="s">
        <v>229</v>
      </c>
      <c r="E25" s="133">
        <v>37</v>
      </c>
      <c r="F25" s="133">
        <v>1465.8</v>
      </c>
      <c r="G25" s="134">
        <f>F25*E25</f>
        <v>54234.6</v>
      </c>
      <c r="I25" s="128"/>
    </row>
    <row r="26" spans="3:9" x14ac:dyDescent="0.3">
      <c r="D26" s="276" t="s">
        <v>230</v>
      </c>
      <c r="E26" s="133">
        <v>4</v>
      </c>
      <c r="F26" s="133">
        <v>345</v>
      </c>
      <c r="G26" s="134">
        <f t="shared" ref="G26:G51" si="0">F26*E26</f>
        <v>1380</v>
      </c>
    </row>
    <row r="27" spans="3:9" x14ac:dyDescent="0.3">
      <c r="D27" s="276" t="s">
        <v>231</v>
      </c>
      <c r="E27" s="133">
        <v>1</v>
      </c>
      <c r="F27" s="133">
        <v>4099.75</v>
      </c>
      <c r="G27" s="134">
        <f t="shared" si="0"/>
        <v>4099.75</v>
      </c>
    </row>
    <row r="28" spans="3:9" x14ac:dyDescent="0.3">
      <c r="D28" s="276" t="s">
        <v>232</v>
      </c>
      <c r="E28" s="133">
        <v>2</v>
      </c>
      <c r="F28" s="133">
        <v>4735</v>
      </c>
      <c r="G28" s="134">
        <f t="shared" si="0"/>
        <v>9470</v>
      </c>
    </row>
    <row r="29" spans="3:9" x14ac:dyDescent="0.3">
      <c r="D29" s="276" t="s">
        <v>233</v>
      </c>
      <c r="E29" s="133">
        <v>7</v>
      </c>
      <c r="F29" s="133">
        <v>5034.7700000000004</v>
      </c>
      <c r="G29" s="134">
        <f t="shared" si="0"/>
        <v>35243.39</v>
      </c>
    </row>
    <row r="30" spans="3:9" x14ac:dyDescent="0.3">
      <c r="D30" s="276" t="s">
        <v>234</v>
      </c>
      <c r="E30" s="133">
        <v>130</v>
      </c>
      <c r="F30" s="133">
        <v>288.75</v>
      </c>
      <c r="G30" s="134">
        <f t="shared" si="0"/>
        <v>37537.5</v>
      </c>
    </row>
    <row r="31" spans="3:9" x14ac:dyDescent="0.3">
      <c r="D31" s="276" t="s">
        <v>235</v>
      </c>
      <c r="E31" s="133">
        <v>10</v>
      </c>
      <c r="F31" s="133">
        <v>150.35</v>
      </c>
      <c r="G31" s="134">
        <f t="shared" si="0"/>
        <v>1503.5</v>
      </c>
    </row>
    <row r="32" spans="3:9" x14ac:dyDescent="0.3">
      <c r="D32" s="276" t="s">
        <v>236</v>
      </c>
      <c r="E32" s="133">
        <v>257</v>
      </c>
      <c r="F32" s="133">
        <v>299.45999999999998</v>
      </c>
      <c r="G32" s="134">
        <f t="shared" si="0"/>
        <v>76961.22</v>
      </c>
    </row>
    <row r="33" spans="4:7" x14ac:dyDescent="0.3">
      <c r="D33" s="276" t="s">
        <v>237</v>
      </c>
      <c r="E33" s="133">
        <v>20</v>
      </c>
      <c r="F33" s="133">
        <v>493.91</v>
      </c>
      <c r="G33" s="134">
        <f t="shared" si="0"/>
        <v>9878.2000000000007</v>
      </c>
    </row>
    <row r="34" spans="4:7" x14ac:dyDescent="0.3">
      <c r="D34" s="19" t="s">
        <v>238</v>
      </c>
      <c r="E34" s="18">
        <v>1</v>
      </c>
      <c r="F34" s="18">
        <v>673</v>
      </c>
      <c r="G34" s="135">
        <f t="shared" si="0"/>
        <v>673</v>
      </c>
    </row>
    <row r="35" spans="4:7" x14ac:dyDescent="0.3">
      <c r="D35" s="19" t="s">
        <v>239</v>
      </c>
      <c r="E35" s="18">
        <v>2</v>
      </c>
      <c r="F35" s="18">
        <v>163</v>
      </c>
      <c r="G35" s="135">
        <f t="shared" si="0"/>
        <v>326</v>
      </c>
    </row>
    <row r="36" spans="4:7" x14ac:dyDescent="0.3">
      <c r="D36" s="276" t="s">
        <v>240</v>
      </c>
      <c r="E36" s="133">
        <v>16</v>
      </c>
      <c r="F36" s="133">
        <v>3412</v>
      </c>
      <c r="G36" s="134">
        <f t="shared" si="0"/>
        <v>54592</v>
      </c>
    </row>
    <row r="37" spans="4:7" x14ac:dyDescent="0.3">
      <c r="D37" s="19" t="s">
        <v>241</v>
      </c>
      <c r="E37" s="18">
        <v>1</v>
      </c>
      <c r="F37" s="18">
        <v>174.24</v>
      </c>
      <c r="G37" s="135">
        <f t="shared" si="0"/>
        <v>174.24</v>
      </c>
    </row>
    <row r="38" spans="4:7" x14ac:dyDescent="0.3">
      <c r="D38" s="19" t="s">
        <v>242</v>
      </c>
      <c r="E38" s="18">
        <v>1</v>
      </c>
      <c r="F38" s="18">
        <v>250</v>
      </c>
      <c r="G38" s="135">
        <f t="shared" si="0"/>
        <v>250</v>
      </c>
    </row>
    <row r="39" spans="4:7" x14ac:dyDescent="0.3">
      <c r="D39" s="19" t="s">
        <v>242</v>
      </c>
      <c r="E39" s="18">
        <v>1</v>
      </c>
      <c r="F39" s="18">
        <v>241</v>
      </c>
      <c r="G39" s="135">
        <f t="shared" si="0"/>
        <v>241</v>
      </c>
    </row>
    <row r="40" spans="4:7" x14ac:dyDescent="0.3">
      <c r="D40" s="19" t="s">
        <v>243</v>
      </c>
      <c r="E40" s="18">
        <v>2</v>
      </c>
      <c r="F40" s="18">
        <v>1140</v>
      </c>
      <c r="G40" s="135">
        <f t="shared" si="0"/>
        <v>2280</v>
      </c>
    </row>
    <row r="41" spans="4:7" x14ac:dyDescent="0.3">
      <c r="D41" s="19" t="s">
        <v>244</v>
      </c>
      <c r="E41" s="18">
        <v>1</v>
      </c>
      <c r="F41" s="18">
        <v>2940</v>
      </c>
      <c r="G41" s="135">
        <f t="shared" si="0"/>
        <v>2940</v>
      </c>
    </row>
    <row r="42" spans="4:7" x14ac:dyDescent="0.3">
      <c r="D42" s="19" t="s">
        <v>245</v>
      </c>
      <c r="E42" s="18">
        <v>1</v>
      </c>
      <c r="F42" s="18">
        <v>1452</v>
      </c>
      <c r="G42" s="135">
        <f t="shared" si="0"/>
        <v>1452</v>
      </c>
    </row>
    <row r="43" spans="4:7" x14ac:dyDescent="0.3">
      <c r="D43" s="19" t="s">
        <v>246</v>
      </c>
      <c r="E43" s="18">
        <v>1</v>
      </c>
      <c r="F43" s="18">
        <v>1452</v>
      </c>
      <c r="G43" s="135">
        <f t="shared" si="0"/>
        <v>1452</v>
      </c>
    </row>
    <row r="44" spans="4:7" x14ac:dyDescent="0.3">
      <c r="D44" s="19" t="s">
        <v>247</v>
      </c>
      <c r="E44" s="18">
        <v>1</v>
      </c>
      <c r="F44" s="18">
        <v>1070</v>
      </c>
      <c r="G44" s="135">
        <f t="shared" si="0"/>
        <v>1070</v>
      </c>
    </row>
    <row r="45" spans="4:7" x14ac:dyDescent="0.3">
      <c r="D45" s="19" t="s">
        <v>248</v>
      </c>
      <c r="E45" s="18">
        <v>1</v>
      </c>
      <c r="F45" s="18">
        <v>1996</v>
      </c>
      <c r="G45" s="135">
        <f t="shared" si="0"/>
        <v>1996</v>
      </c>
    </row>
    <row r="46" spans="4:7" x14ac:dyDescent="0.3">
      <c r="D46" s="19" t="s">
        <v>249</v>
      </c>
      <c r="E46" s="18">
        <v>2</v>
      </c>
      <c r="F46" s="18">
        <v>2286</v>
      </c>
      <c r="G46" s="135">
        <f t="shared" si="0"/>
        <v>4572</v>
      </c>
    </row>
    <row r="47" spans="4:7" x14ac:dyDescent="0.3">
      <c r="D47" s="19" t="s">
        <v>250</v>
      </c>
      <c r="E47" s="18">
        <v>2</v>
      </c>
      <c r="F47" s="18">
        <v>2305</v>
      </c>
      <c r="G47" s="135">
        <f t="shared" si="0"/>
        <v>4610</v>
      </c>
    </row>
    <row r="48" spans="4:7" x14ac:dyDescent="0.3">
      <c r="D48" s="19" t="s">
        <v>251</v>
      </c>
      <c r="E48" s="18">
        <v>1</v>
      </c>
      <c r="F48" s="18">
        <v>1161</v>
      </c>
      <c r="G48" s="135">
        <f t="shared" si="0"/>
        <v>1161</v>
      </c>
    </row>
    <row r="49" spans="3:8" x14ac:dyDescent="0.3">
      <c r="D49" s="19" t="s">
        <v>252</v>
      </c>
      <c r="E49" s="18">
        <v>3</v>
      </c>
      <c r="F49" s="18">
        <v>490</v>
      </c>
      <c r="G49" s="135">
        <f t="shared" si="0"/>
        <v>1470</v>
      </c>
    </row>
    <row r="50" spans="3:8" x14ac:dyDescent="0.3">
      <c r="D50" s="19" t="s">
        <v>253</v>
      </c>
      <c r="E50" s="18">
        <v>11</v>
      </c>
      <c r="F50" s="18">
        <v>401</v>
      </c>
      <c r="G50" s="135">
        <f t="shared" si="0"/>
        <v>4411</v>
      </c>
    </row>
    <row r="51" spans="3:8" x14ac:dyDescent="0.3">
      <c r="D51" s="19" t="s">
        <v>255</v>
      </c>
      <c r="E51" s="18">
        <v>1</v>
      </c>
      <c r="F51" s="18">
        <v>205</v>
      </c>
      <c r="G51" s="135">
        <f t="shared" si="0"/>
        <v>205</v>
      </c>
    </row>
    <row r="52" spans="3:8" x14ac:dyDescent="0.3">
      <c r="D52" s="19"/>
      <c r="E52" s="18"/>
      <c r="F52" s="18"/>
      <c r="G52" s="136">
        <f>SUM(G23:G51)</f>
        <v>644026.79999999993</v>
      </c>
    </row>
    <row r="56" spans="3:8" x14ac:dyDescent="0.3">
      <c r="F56">
        <v>1653942</v>
      </c>
      <c r="G56" s="128">
        <v>1892972</v>
      </c>
      <c r="H56" s="128">
        <f>F56-G56</f>
        <v>-239030</v>
      </c>
    </row>
    <row r="58" spans="3:8" x14ac:dyDescent="0.3">
      <c r="D58" s="1">
        <v>1653942</v>
      </c>
    </row>
    <row r="63" spans="3:8" x14ac:dyDescent="0.3">
      <c r="C63" s="1" t="s">
        <v>301</v>
      </c>
    </row>
    <row r="64" spans="3:8" x14ac:dyDescent="0.3">
      <c r="C64" s="1" t="s">
        <v>298</v>
      </c>
    </row>
    <row r="65" spans="3:6" x14ac:dyDescent="0.3">
      <c r="C65" s="1" t="s">
        <v>299</v>
      </c>
    </row>
    <row r="66" spans="3:6" x14ac:dyDescent="0.3">
      <c r="C66" s="1" t="s">
        <v>300</v>
      </c>
    </row>
    <row r="68" spans="3:6" x14ac:dyDescent="0.3">
      <c r="C68" s="1" t="s">
        <v>314</v>
      </c>
      <c r="D68" s="1" t="s">
        <v>181</v>
      </c>
    </row>
    <row r="70" spans="3:6" x14ac:dyDescent="0.3">
      <c r="C70" s="1" t="s">
        <v>315</v>
      </c>
      <c r="D70" s="1" t="s">
        <v>318</v>
      </c>
    </row>
    <row r="72" spans="3:6" x14ac:dyDescent="0.3">
      <c r="C72" s="1" t="s">
        <v>316</v>
      </c>
      <c r="D72" s="1" t="s">
        <v>318</v>
      </c>
    </row>
    <row r="78" spans="3:6" x14ac:dyDescent="0.3">
      <c r="D78" s="1">
        <v>1363956</v>
      </c>
      <c r="F78">
        <v>1195290</v>
      </c>
    </row>
    <row r="81" spans="3:5" x14ac:dyDescent="0.3">
      <c r="D81" s="1">
        <f>D78-F78</f>
        <v>168666</v>
      </c>
    </row>
    <row r="86" spans="3:5" x14ac:dyDescent="0.3">
      <c r="C86" s="407" t="s">
        <v>428</v>
      </c>
    </row>
    <row r="88" spans="3:5" x14ac:dyDescent="0.3">
      <c r="C88" s="106" t="s">
        <v>504</v>
      </c>
      <c r="D88" s="106" t="s">
        <v>83</v>
      </c>
      <c r="E88" s="106"/>
    </row>
    <row r="89" spans="3:5" x14ac:dyDescent="0.3">
      <c r="C89" s="106" t="s">
        <v>429</v>
      </c>
      <c r="D89" s="106" t="s">
        <v>83</v>
      </c>
      <c r="E89" s="106"/>
    </row>
    <row r="90" spans="3:5" x14ac:dyDescent="0.3">
      <c r="C90" s="106"/>
      <c r="D90" s="106"/>
      <c r="E90" s="106"/>
    </row>
    <row r="91" spans="3:5" x14ac:dyDescent="0.3">
      <c r="C91" s="106" t="s">
        <v>503</v>
      </c>
      <c r="D91" s="106"/>
      <c r="E91" s="106"/>
    </row>
    <row r="92" spans="3:5" x14ac:dyDescent="0.3">
      <c r="C92" s="106"/>
      <c r="D92" s="106"/>
      <c r="E92" s="106"/>
    </row>
    <row r="93" spans="3:5" x14ac:dyDescent="0.3">
      <c r="C93" s="106"/>
    </row>
    <row r="96" spans="3:5" x14ac:dyDescent="0.3">
      <c r="C96" s="106" t="s">
        <v>520</v>
      </c>
      <c r="D96" s="1" t="s">
        <v>181</v>
      </c>
    </row>
    <row r="97" spans="3:7" x14ac:dyDescent="0.3">
      <c r="C97" s="1" t="s">
        <v>515</v>
      </c>
      <c r="D97" s="1" t="s">
        <v>181</v>
      </c>
    </row>
    <row r="98" spans="3:7" x14ac:dyDescent="0.3">
      <c r="C98" s="1" t="s">
        <v>516</v>
      </c>
      <c r="D98" s="1" t="s">
        <v>181</v>
      </c>
    </row>
    <row r="99" spans="3:7" x14ac:dyDescent="0.3">
      <c r="C99" s="408" t="s">
        <v>518</v>
      </c>
      <c r="D99" s="1" t="s">
        <v>517</v>
      </c>
      <c r="F99" t="s">
        <v>519</v>
      </c>
    </row>
    <row r="102" spans="3:7" x14ac:dyDescent="0.3">
      <c r="C102" s="106"/>
    </row>
    <row r="106" spans="3:7" x14ac:dyDescent="0.3">
      <c r="C106" s="1" t="s">
        <v>521</v>
      </c>
      <c r="D106" s="1" t="s">
        <v>181</v>
      </c>
    </row>
    <row r="110" spans="3:7" x14ac:dyDescent="0.3">
      <c r="C110" s="1" t="s">
        <v>605</v>
      </c>
      <c r="D110" s="1" t="s">
        <v>613</v>
      </c>
      <c r="G110" s="128" t="s">
        <v>614</v>
      </c>
    </row>
    <row r="112" spans="3:7" x14ac:dyDescent="0.3">
      <c r="C112" s="1" t="s">
        <v>606</v>
      </c>
      <c r="D112" s="1" t="s">
        <v>615</v>
      </c>
    </row>
    <row r="114" spans="3:4" x14ac:dyDescent="0.3">
      <c r="C114" s="1" t="s">
        <v>607</v>
      </c>
      <c r="D114" s="1" t="s">
        <v>181</v>
      </c>
    </row>
    <row r="118" spans="3:4" x14ac:dyDescent="0.3">
      <c r="C118" s="1" t="s">
        <v>608</v>
      </c>
    </row>
    <row r="121" spans="3:4" x14ac:dyDescent="0.3">
      <c r="C121" s="1" t="s">
        <v>616</v>
      </c>
    </row>
    <row r="126" spans="3:4" x14ac:dyDescent="0.3">
      <c r="C126" s="1" t="s">
        <v>531</v>
      </c>
      <c r="D126" s="1">
        <v>1</v>
      </c>
    </row>
    <row r="127" spans="3:4" x14ac:dyDescent="0.3">
      <c r="C127" s="1" t="s">
        <v>522</v>
      </c>
      <c r="D127" s="1">
        <v>5</v>
      </c>
    </row>
    <row r="129" spans="3:4" x14ac:dyDescent="0.3">
      <c r="C129" s="1" t="s">
        <v>416</v>
      </c>
      <c r="D129" s="1">
        <v>2</v>
      </c>
    </row>
    <row r="131" spans="3:4" x14ac:dyDescent="0.3">
      <c r="C131" s="1" t="s">
        <v>417</v>
      </c>
      <c r="D131" s="1">
        <v>16</v>
      </c>
    </row>
    <row r="132" spans="3:4" x14ac:dyDescent="0.3">
      <c r="C132" s="409"/>
    </row>
    <row r="133" spans="3:4" x14ac:dyDescent="0.3">
      <c r="C133" s="409" t="s">
        <v>418</v>
      </c>
      <c r="D133" s="1">
        <v>1</v>
      </c>
    </row>
    <row r="134" spans="3:4" x14ac:dyDescent="0.3">
      <c r="C134" s="1" t="s">
        <v>627</v>
      </c>
      <c r="D134" s="1">
        <v>1</v>
      </c>
    </row>
    <row r="136" spans="3:4" x14ac:dyDescent="0.3">
      <c r="C136" s="1" t="s">
        <v>578</v>
      </c>
      <c r="D136" s="1">
        <v>2</v>
      </c>
    </row>
    <row r="137" spans="3:4" x14ac:dyDescent="0.3">
      <c r="C137" s="1" t="s">
        <v>641</v>
      </c>
      <c r="D137" s="1">
        <v>35</v>
      </c>
    </row>
    <row r="138" spans="3:4" x14ac:dyDescent="0.3">
      <c r="C138" s="1" t="s">
        <v>628</v>
      </c>
      <c r="D138" s="1">
        <v>13</v>
      </c>
    </row>
    <row r="139" spans="3:4" x14ac:dyDescent="0.3">
      <c r="C139" s="1" t="s">
        <v>642</v>
      </c>
      <c r="D139" s="1">
        <v>13</v>
      </c>
    </row>
    <row r="141" spans="3:4" x14ac:dyDescent="0.3">
      <c r="C141" s="1" t="s">
        <v>643</v>
      </c>
      <c r="D141" s="1">
        <v>39</v>
      </c>
    </row>
    <row r="142" spans="3:4" x14ac:dyDescent="0.3">
      <c r="C142" s="410" t="s">
        <v>629</v>
      </c>
      <c r="D142" s="1">
        <v>3</v>
      </c>
    </row>
    <row r="144" spans="3:4" x14ac:dyDescent="0.3">
      <c r="C144" s="410" t="s">
        <v>631</v>
      </c>
    </row>
    <row r="145" spans="3:3" x14ac:dyDescent="0.3">
      <c r="C145" s="410" t="s">
        <v>644</v>
      </c>
    </row>
    <row r="147" spans="3:3" x14ac:dyDescent="0.3">
      <c r="C147" s="410" t="s">
        <v>633</v>
      </c>
    </row>
    <row r="148" spans="3:3" x14ac:dyDescent="0.3">
      <c r="C148" s="411" t="s">
        <v>640</v>
      </c>
    </row>
    <row r="150" spans="3:3" x14ac:dyDescent="0.3">
      <c r="C150" s="410" t="s">
        <v>632</v>
      </c>
    </row>
    <row r="151" spans="3:3" x14ac:dyDescent="0.3">
      <c r="C151" s="1" t="s">
        <v>419</v>
      </c>
    </row>
    <row r="153" spans="3:3" x14ac:dyDescent="0.3">
      <c r="C153" s="1" t="s">
        <v>645</v>
      </c>
    </row>
    <row r="164" spans="3:7" x14ac:dyDescent="0.3">
      <c r="C164" s="1" t="s">
        <v>734</v>
      </c>
      <c r="D164" s="1" t="s">
        <v>709</v>
      </c>
      <c r="G164" s="128" t="s">
        <v>710</v>
      </c>
    </row>
    <row r="165" spans="3:7" x14ac:dyDescent="0.3">
      <c r="C165" s="1" t="s">
        <v>735</v>
      </c>
    </row>
    <row r="168" spans="3:7" x14ac:dyDescent="0.3">
      <c r="C168" s="1" t="s">
        <v>707</v>
      </c>
    </row>
    <row r="169" spans="3:7" x14ac:dyDescent="0.3">
      <c r="C169" s="1" t="s">
        <v>708</v>
      </c>
    </row>
    <row r="172" spans="3:7" x14ac:dyDescent="0.3">
      <c r="C172" s="1" t="s">
        <v>711</v>
      </c>
      <c r="D172" s="1" t="s">
        <v>713</v>
      </c>
      <c r="F172" t="s">
        <v>732</v>
      </c>
    </row>
    <row r="173" spans="3:7" x14ac:dyDescent="0.3">
      <c r="C173" s="1" t="s">
        <v>712</v>
      </c>
    </row>
    <row r="175" spans="3:7" x14ac:dyDescent="0.3">
      <c r="C175" s="1" t="s">
        <v>714</v>
      </c>
    </row>
    <row r="176" spans="3:7" x14ac:dyDescent="0.3">
      <c r="C176" s="1" t="s">
        <v>715</v>
      </c>
      <c r="D176" s="1" t="s">
        <v>717</v>
      </c>
      <c r="F176" t="s">
        <v>738</v>
      </c>
    </row>
    <row r="177" spans="3:5" x14ac:dyDescent="0.3">
      <c r="C177" s="1" t="s">
        <v>716</v>
      </c>
      <c r="D177" s="1" t="s">
        <v>718</v>
      </c>
    </row>
    <row r="178" spans="3:5" x14ac:dyDescent="0.3">
      <c r="C178" s="1" t="s">
        <v>737</v>
      </c>
    </row>
    <row r="180" spans="3:5" x14ac:dyDescent="0.3">
      <c r="C180" s="1" t="s">
        <v>719</v>
      </c>
      <c r="D180" s="1" t="s">
        <v>736</v>
      </c>
    </row>
    <row r="182" spans="3:5" x14ac:dyDescent="0.3">
      <c r="C182" s="1" t="s">
        <v>720</v>
      </c>
      <c r="D182" s="1" t="s">
        <v>732</v>
      </c>
    </row>
    <row r="184" spans="3:5" x14ac:dyDescent="0.3">
      <c r="C184" s="1" t="s">
        <v>724</v>
      </c>
    </row>
    <row r="185" spans="3:5" x14ac:dyDescent="0.3">
      <c r="C185" s="1" t="s">
        <v>721</v>
      </c>
      <c r="D185" s="1" t="s">
        <v>722</v>
      </c>
      <c r="E185" t="s">
        <v>733</v>
      </c>
    </row>
    <row r="186" spans="3:5" x14ac:dyDescent="0.3">
      <c r="C186" s="1" t="s">
        <v>723</v>
      </c>
    </row>
    <row r="188" spans="3:5" x14ac:dyDescent="0.3">
      <c r="C188" s="1" t="s">
        <v>725</v>
      </c>
    </row>
    <row r="189" spans="3:5" x14ac:dyDescent="0.3">
      <c r="C189" s="1" t="s">
        <v>726</v>
      </c>
    </row>
    <row r="192" spans="3:5" x14ac:dyDescent="0.3">
      <c r="C192" s="1" t="s">
        <v>727</v>
      </c>
    </row>
    <row r="196" spans="3:4" x14ac:dyDescent="0.3">
      <c r="C196" s="1" t="s">
        <v>728</v>
      </c>
    </row>
    <row r="198" spans="3:4" x14ac:dyDescent="0.3">
      <c r="C198" s="1" t="s">
        <v>729</v>
      </c>
      <c r="D198" s="1" t="s">
        <v>305</v>
      </c>
    </row>
    <row r="200" spans="3:4" x14ac:dyDescent="0.3">
      <c r="C200" s="1" t="s">
        <v>730</v>
      </c>
    </row>
    <row r="202" spans="3:4" x14ac:dyDescent="0.3">
      <c r="C202" s="1" t="s">
        <v>731</v>
      </c>
    </row>
    <row r="206" spans="3:4" x14ac:dyDescent="0.3">
      <c r="C206" s="1" t="s">
        <v>823</v>
      </c>
      <c r="D206" s="1" t="s">
        <v>318</v>
      </c>
    </row>
    <row r="208" spans="3:4" x14ac:dyDescent="0.3">
      <c r="C208" s="1" t="s">
        <v>972</v>
      </c>
      <c r="D208" s="1">
        <v>1</v>
      </c>
    </row>
    <row r="209" spans="3:4" x14ac:dyDescent="0.3">
      <c r="C209" s="1" t="s">
        <v>970</v>
      </c>
      <c r="D209" s="1">
        <v>1</v>
      </c>
    </row>
    <row r="210" spans="3:4" x14ac:dyDescent="0.3">
      <c r="C210" s="1" t="s">
        <v>963</v>
      </c>
      <c r="D210" s="1">
        <v>10</v>
      </c>
    </row>
    <row r="211" spans="3:4" x14ac:dyDescent="0.3">
      <c r="C211" s="1" t="s">
        <v>964</v>
      </c>
      <c r="D211" s="1">
        <v>6</v>
      </c>
    </row>
    <row r="212" spans="3:4" x14ac:dyDescent="0.3">
      <c r="C212" s="1" t="s">
        <v>965</v>
      </c>
      <c r="D212" s="1">
        <v>4</v>
      </c>
    </row>
    <row r="213" spans="3:4" x14ac:dyDescent="0.3">
      <c r="C213" s="1" t="s">
        <v>971</v>
      </c>
      <c r="D213" s="1">
        <v>1</v>
      </c>
    </row>
    <row r="215" spans="3:4" x14ac:dyDescent="0.3">
      <c r="C215" s="1" t="s">
        <v>966</v>
      </c>
      <c r="D215" s="1">
        <v>4</v>
      </c>
    </row>
    <row r="216" spans="3:4" x14ac:dyDescent="0.3">
      <c r="C216" s="1" t="s">
        <v>967</v>
      </c>
      <c r="D216" s="1">
        <v>3</v>
      </c>
    </row>
    <row r="218" spans="3:4" x14ac:dyDescent="0.3">
      <c r="C218" s="1" t="s">
        <v>968</v>
      </c>
      <c r="D218" s="1">
        <v>3</v>
      </c>
    </row>
    <row r="219" spans="3:4" x14ac:dyDescent="0.3">
      <c r="C219" s="1" t="s">
        <v>969</v>
      </c>
      <c r="D219" s="1">
        <v>1</v>
      </c>
    </row>
    <row r="220" spans="3:4" x14ac:dyDescent="0.3">
      <c r="C220" s="1" t="s">
        <v>973</v>
      </c>
      <c r="D220" s="1">
        <v>1</v>
      </c>
    </row>
    <row r="221" spans="3:4" x14ac:dyDescent="0.3">
      <c r="C221" s="1" t="s">
        <v>974</v>
      </c>
      <c r="D221" s="1">
        <v>1</v>
      </c>
    </row>
    <row r="224" spans="3:4" x14ac:dyDescent="0.3">
      <c r="C224" s="1" t="s">
        <v>975</v>
      </c>
      <c r="D224" s="1">
        <v>2</v>
      </c>
    </row>
    <row r="225" spans="3:4" x14ac:dyDescent="0.3">
      <c r="C225" s="1" t="s">
        <v>976</v>
      </c>
      <c r="D225" s="1">
        <v>2</v>
      </c>
    </row>
    <row r="226" spans="3:4" x14ac:dyDescent="0.3">
      <c r="C226" s="1" t="s">
        <v>977</v>
      </c>
      <c r="D226" s="1">
        <v>1</v>
      </c>
    </row>
    <row r="227" spans="3:4" x14ac:dyDescent="0.3">
      <c r="C227" s="1" t="s">
        <v>978</v>
      </c>
    </row>
    <row r="228" spans="3:4" x14ac:dyDescent="0.3">
      <c r="C228" s="1" t="s">
        <v>979</v>
      </c>
      <c r="D228" s="1">
        <v>11</v>
      </c>
    </row>
    <row r="230" spans="3:4" x14ac:dyDescent="0.3">
      <c r="C230" s="1" t="s">
        <v>980</v>
      </c>
      <c r="D230" s="1">
        <v>1</v>
      </c>
    </row>
    <row r="235" spans="3:4" x14ac:dyDescent="0.3">
      <c r="C235" s="1" t="s">
        <v>982</v>
      </c>
    </row>
    <row r="236" spans="3:4" x14ac:dyDescent="0.3">
      <c r="C236" s="1" t="s">
        <v>981</v>
      </c>
    </row>
    <row r="241" spans="2:5" x14ac:dyDescent="0.3">
      <c r="C241" s="1" t="s">
        <v>994</v>
      </c>
      <c r="D241" s="1">
        <v>3935</v>
      </c>
    </row>
    <row r="242" spans="2:5" x14ac:dyDescent="0.3">
      <c r="C242" s="1" t="s">
        <v>995</v>
      </c>
      <c r="D242" s="1">
        <v>2450</v>
      </c>
    </row>
    <row r="243" spans="2:5" x14ac:dyDescent="0.3">
      <c r="C243" s="1" t="s">
        <v>996</v>
      </c>
    </row>
    <row r="246" spans="2:5" x14ac:dyDescent="0.3">
      <c r="B246" s="79">
        <v>45848</v>
      </c>
      <c r="C246" s="1" t="s">
        <v>1009</v>
      </c>
      <c r="E246">
        <v>5</v>
      </c>
    </row>
    <row r="247" spans="2:5" x14ac:dyDescent="0.3">
      <c r="B247" s="79">
        <v>45848</v>
      </c>
      <c r="C247" s="1" t="s">
        <v>1008</v>
      </c>
      <c r="D247" s="1">
        <v>1</v>
      </c>
    </row>
    <row r="248" spans="2:5" x14ac:dyDescent="0.3">
      <c r="B248" s="79">
        <v>45849</v>
      </c>
      <c r="C248" s="1" t="s">
        <v>1010</v>
      </c>
      <c r="E248">
        <v>5</v>
      </c>
    </row>
    <row r="249" spans="2:5" x14ac:dyDescent="0.3">
      <c r="B249" s="79">
        <v>45849</v>
      </c>
      <c r="C249" s="1" t="s">
        <v>1011</v>
      </c>
      <c r="D249" s="1">
        <v>1</v>
      </c>
    </row>
    <row r="250" spans="2:5" x14ac:dyDescent="0.3">
      <c r="B250" s="79">
        <v>45850</v>
      </c>
      <c r="C250" s="1" t="s">
        <v>1012</v>
      </c>
      <c r="D250" s="1">
        <v>1</v>
      </c>
    </row>
    <row r="251" spans="2:5" x14ac:dyDescent="0.3">
      <c r="B251" s="79">
        <v>45850</v>
      </c>
      <c r="C251" s="1" t="s">
        <v>1013</v>
      </c>
      <c r="D251" s="1">
        <v>1</v>
      </c>
    </row>
    <row r="252" spans="2:5" x14ac:dyDescent="0.3">
      <c r="B252" s="79">
        <v>45852</v>
      </c>
      <c r="C252" s="1" t="s">
        <v>1014</v>
      </c>
      <c r="D252" s="1">
        <v>1</v>
      </c>
    </row>
    <row r="253" spans="2:5" x14ac:dyDescent="0.3">
      <c r="B253" s="79">
        <v>45854</v>
      </c>
      <c r="C253" s="1" t="s">
        <v>1015</v>
      </c>
      <c r="D253" s="1">
        <v>1</v>
      </c>
    </row>
    <row r="254" spans="2:5" x14ac:dyDescent="0.3">
      <c r="B254" s="79">
        <v>45855</v>
      </c>
      <c r="C254" s="1" t="s">
        <v>1016</v>
      </c>
      <c r="D254" s="1">
        <v>1</v>
      </c>
    </row>
    <row r="255" spans="2:5" x14ac:dyDescent="0.3">
      <c r="B255" s="79">
        <v>45857</v>
      </c>
      <c r="C255" s="1" t="s">
        <v>1010</v>
      </c>
      <c r="E255">
        <v>2</v>
      </c>
    </row>
    <row r="256" spans="2:5" x14ac:dyDescent="0.3">
      <c r="B256" s="79">
        <v>45857</v>
      </c>
      <c r="C256" s="1" t="s">
        <v>1017</v>
      </c>
      <c r="D256" s="1">
        <v>1</v>
      </c>
    </row>
    <row r="257" spans="2:9" x14ac:dyDescent="0.3">
      <c r="B257" s="79">
        <v>45857</v>
      </c>
      <c r="C257" s="1" t="s">
        <v>1010</v>
      </c>
      <c r="E257">
        <v>6</v>
      </c>
    </row>
    <row r="258" spans="2:9" x14ac:dyDescent="0.3">
      <c r="B258" s="79">
        <v>45858</v>
      </c>
      <c r="C258" s="1" t="s">
        <v>1018</v>
      </c>
      <c r="D258" s="1">
        <v>1</v>
      </c>
    </row>
    <row r="259" spans="2:9" x14ac:dyDescent="0.3">
      <c r="B259" s="79">
        <v>45858</v>
      </c>
      <c r="C259" s="1" t="s">
        <v>1019</v>
      </c>
      <c r="D259" s="1">
        <v>1</v>
      </c>
    </row>
    <row r="260" spans="2:9" x14ac:dyDescent="0.3">
      <c r="B260" s="79">
        <v>45859</v>
      </c>
      <c r="C260" s="1" t="s">
        <v>1023</v>
      </c>
      <c r="D260" s="1">
        <v>1</v>
      </c>
    </row>
    <row r="261" spans="2:9" x14ac:dyDescent="0.3">
      <c r="B261" s="79">
        <v>45859</v>
      </c>
      <c r="C261" s="1" t="s">
        <v>1020</v>
      </c>
      <c r="D261" s="1">
        <v>1</v>
      </c>
    </row>
    <row r="262" spans="2:9" x14ac:dyDescent="0.3">
      <c r="B262" s="79">
        <v>45859</v>
      </c>
      <c r="C262" s="1" t="s">
        <v>1021</v>
      </c>
      <c r="D262" s="1">
        <v>1</v>
      </c>
    </row>
    <row r="263" spans="2:9" x14ac:dyDescent="0.3">
      <c r="B263" s="79">
        <v>45859</v>
      </c>
      <c r="C263" s="399" t="s">
        <v>1022</v>
      </c>
      <c r="D263" s="399">
        <v>1</v>
      </c>
    </row>
    <row r="264" spans="2:9" x14ac:dyDescent="0.3">
      <c r="B264" s="79">
        <v>45859</v>
      </c>
      <c r="C264" s="1" t="s">
        <v>1024</v>
      </c>
      <c r="D264" s="1">
        <v>3</v>
      </c>
    </row>
    <row r="265" spans="2:9" x14ac:dyDescent="0.3">
      <c r="B265" s="79">
        <v>45859</v>
      </c>
      <c r="C265" s="399" t="s">
        <v>1022</v>
      </c>
      <c r="D265" s="399">
        <v>1</v>
      </c>
    </row>
    <row r="268" spans="2:9" x14ac:dyDescent="0.3">
      <c r="B268" s="388">
        <v>45867</v>
      </c>
      <c r="C268" s="400">
        <v>2</v>
      </c>
      <c r="D268" s="400" t="s">
        <v>1025</v>
      </c>
      <c r="E268" s="389" t="s">
        <v>1038</v>
      </c>
      <c r="F268" s="390">
        <v>574</v>
      </c>
      <c r="G268" s="390">
        <f t="shared" ref="G268" si="1">(C268*F268)</f>
        <v>1148</v>
      </c>
      <c r="H268" s="389" t="s">
        <v>1039</v>
      </c>
      <c r="I268" s="389" t="s">
        <v>1039</v>
      </c>
    </row>
    <row r="271" spans="2:9" x14ac:dyDescent="0.3">
      <c r="C271" s="1" t="s">
        <v>1067</v>
      </c>
      <c r="D271" s="1">
        <v>5</v>
      </c>
    </row>
    <row r="272" spans="2:9" x14ac:dyDescent="0.3">
      <c r="C272" s="1" t="s">
        <v>1068</v>
      </c>
      <c r="D272" s="1">
        <v>78</v>
      </c>
    </row>
    <row r="273" spans="3:4" x14ac:dyDescent="0.3">
      <c r="C273" s="1" t="s">
        <v>1069</v>
      </c>
      <c r="D273" s="1">
        <v>65</v>
      </c>
    </row>
    <row r="274" spans="3:4" x14ac:dyDescent="0.3">
      <c r="C274" s="1" t="s">
        <v>1070</v>
      </c>
      <c r="D274" s="1">
        <v>13</v>
      </c>
    </row>
    <row r="275" spans="3:4" x14ac:dyDescent="0.3">
      <c r="C275" s="1" t="s">
        <v>1071</v>
      </c>
      <c r="D275" s="1">
        <v>1</v>
      </c>
    </row>
    <row r="276" spans="3:4" x14ac:dyDescent="0.3">
      <c r="C276" s="1" t="s">
        <v>1072</v>
      </c>
      <c r="D276" s="1">
        <v>8</v>
      </c>
    </row>
    <row r="277" spans="3:4" x14ac:dyDescent="0.3">
      <c r="C277" s="1" t="s">
        <v>1073</v>
      </c>
      <c r="D277" s="1">
        <v>2</v>
      </c>
    </row>
    <row r="278" spans="3:4" x14ac:dyDescent="0.3">
      <c r="C278" s="1" t="s">
        <v>1074</v>
      </c>
      <c r="D278" s="1">
        <v>9</v>
      </c>
    </row>
    <row r="279" spans="3:4" x14ac:dyDescent="0.3">
      <c r="C279" s="1" t="s">
        <v>1075</v>
      </c>
      <c r="D279" s="1">
        <v>2</v>
      </c>
    </row>
    <row r="280" spans="3:4" x14ac:dyDescent="0.3">
      <c r="C280" s="1" t="s">
        <v>1076</v>
      </c>
      <c r="D280" s="1">
        <v>31</v>
      </c>
    </row>
    <row r="281" spans="3:4" x14ac:dyDescent="0.3">
      <c r="C281" s="1" t="s">
        <v>1077</v>
      </c>
      <c r="D281" s="1">
        <v>28</v>
      </c>
    </row>
    <row r="282" spans="3:4" x14ac:dyDescent="0.3">
      <c r="C282" s="1" t="s">
        <v>1078</v>
      </c>
      <c r="D282" s="1">
        <v>5</v>
      </c>
    </row>
    <row r="283" spans="3:4" x14ac:dyDescent="0.3">
      <c r="C283" s="1" t="s">
        <v>1079</v>
      </c>
      <c r="D283" s="1">
        <v>3</v>
      </c>
    </row>
    <row r="284" spans="3:4" x14ac:dyDescent="0.3">
      <c r="C284" s="1" t="s">
        <v>1080</v>
      </c>
      <c r="D284" s="1">
        <v>1</v>
      </c>
    </row>
    <row r="285" spans="3:4" x14ac:dyDescent="0.3">
      <c r="C285" s="1" t="s">
        <v>1081</v>
      </c>
      <c r="D285" s="1">
        <v>4</v>
      </c>
    </row>
    <row r="286" spans="3:4" x14ac:dyDescent="0.3">
      <c r="C286" s="1" t="s">
        <v>1082</v>
      </c>
      <c r="D286" s="1">
        <v>1</v>
      </c>
    </row>
    <row r="287" spans="3:4" x14ac:dyDescent="0.3">
      <c r="C287" s="1" t="s">
        <v>1083</v>
      </c>
      <c r="D287" s="1">
        <v>2</v>
      </c>
    </row>
    <row r="288" spans="3:4" x14ac:dyDescent="0.3">
      <c r="C288" s="1" t="s">
        <v>1084</v>
      </c>
      <c r="D288" s="1">
        <v>6</v>
      </c>
    </row>
    <row r="289" spans="3:4" x14ac:dyDescent="0.3">
      <c r="C289" s="1" t="s">
        <v>1085</v>
      </c>
      <c r="D289" s="1">
        <v>6</v>
      </c>
    </row>
    <row r="290" spans="3:4" x14ac:dyDescent="0.3">
      <c r="C290" s="1" t="s">
        <v>1086</v>
      </c>
      <c r="D290" s="1">
        <v>1</v>
      </c>
    </row>
    <row r="291" spans="3:4" x14ac:dyDescent="0.3">
      <c r="C291" s="1" t="s">
        <v>1087</v>
      </c>
      <c r="D291" s="1">
        <v>3</v>
      </c>
    </row>
    <row r="292" spans="3:4" x14ac:dyDescent="0.3">
      <c r="C292" s="1" t="s">
        <v>1088</v>
      </c>
      <c r="D292" s="1">
        <v>3</v>
      </c>
    </row>
    <row r="293" spans="3:4" x14ac:dyDescent="0.3">
      <c r="C293" s="1" t="s">
        <v>1089</v>
      </c>
      <c r="D293" s="1">
        <v>1</v>
      </c>
    </row>
    <row r="294" spans="3:4" x14ac:dyDescent="0.3">
      <c r="C294" s="1" t="s">
        <v>1090</v>
      </c>
      <c r="D294" s="1">
        <v>1</v>
      </c>
    </row>
    <row r="295" spans="3:4" x14ac:dyDescent="0.3">
      <c r="C295" s="1" t="s">
        <v>1091</v>
      </c>
      <c r="D295" s="1">
        <v>1</v>
      </c>
    </row>
    <row r="296" spans="3:4" x14ac:dyDescent="0.3">
      <c r="C296" s="1" t="s">
        <v>1092</v>
      </c>
      <c r="D296" s="1">
        <v>4</v>
      </c>
    </row>
    <row r="297" spans="3:4" x14ac:dyDescent="0.3">
      <c r="C297" s="1" t="s">
        <v>1093</v>
      </c>
      <c r="D297" s="1">
        <v>8</v>
      </c>
    </row>
    <row r="298" spans="3:4" x14ac:dyDescent="0.3">
      <c r="C298" s="1" t="s">
        <v>1094</v>
      </c>
      <c r="D298" s="1">
        <v>1</v>
      </c>
    </row>
    <row r="299" spans="3:4" x14ac:dyDescent="0.3">
      <c r="C299" s="1" t="s">
        <v>1095</v>
      </c>
      <c r="D299" s="1">
        <v>1</v>
      </c>
    </row>
    <row r="300" spans="3:4" x14ac:dyDescent="0.3">
      <c r="C300" s="1" t="s">
        <v>1096</v>
      </c>
      <c r="D300" s="1">
        <v>1</v>
      </c>
    </row>
    <row r="301" spans="3:4" x14ac:dyDescent="0.3">
      <c r="C301" s="1" t="s">
        <v>1097</v>
      </c>
      <c r="D301" s="1">
        <v>1</v>
      </c>
    </row>
    <row r="302" spans="3:4" x14ac:dyDescent="0.3">
      <c r="C302" s="1" t="s">
        <v>1098</v>
      </c>
      <c r="D302" s="1">
        <v>1</v>
      </c>
    </row>
    <row r="303" spans="3:4" x14ac:dyDescent="0.3">
      <c r="C303" s="1" t="s">
        <v>1099</v>
      </c>
      <c r="D303" s="1">
        <v>5</v>
      </c>
    </row>
    <row r="310" spans="2:5" x14ac:dyDescent="0.3">
      <c r="B310" t="s">
        <v>1127</v>
      </c>
      <c r="C310" s="1" t="s">
        <v>250</v>
      </c>
      <c r="D310" s="1">
        <v>2</v>
      </c>
    </row>
    <row r="311" spans="2:5" x14ac:dyDescent="0.3">
      <c r="B311" t="s">
        <v>1127</v>
      </c>
      <c r="C311" s="1" t="s">
        <v>1128</v>
      </c>
      <c r="D311" s="1">
        <v>1</v>
      </c>
    </row>
    <row r="312" spans="2:5" x14ac:dyDescent="0.3">
      <c r="B312" t="s">
        <v>1129</v>
      </c>
      <c r="C312" s="1" t="s">
        <v>1128</v>
      </c>
      <c r="D312" s="1">
        <v>1</v>
      </c>
    </row>
    <row r="313" spans="2:5" ht="15" thickBot="1" x14ac:dyDescent="0.35">
      <c r="B313" t="s">
        <v>1131</v>
      </c>
      <c r="C313" s="412" t="s">
        <v>1130</v>
      </c>
      <c r="D313" s="1">
        <v>2</v>
      </c>
    </row>
    <row r="314" spans="2:5" ht="28.8" thickBot="1" x14ac:dyDescent="0.35">
      <c r="B314" t="s">
        <v>1134</v>
      </c>
      <c r="C314" s="413" t="s">
        <v>1132</v>
      </c>
      <c r="D314" s="405" t="s">
        <v>1133</v>
      </c>
      <c r="E314" s="25">
        <v>1600</v>
      </c>
    </row>
    <row r="315" spans="2:5" ht="28.8" thickBot="1" x14ac:dyDescent="0.35">
      <c r="B315" t="s">
        <v>1134</v>
      </c>
      <c r="C315" s="413" t="s">
        <v>1132</v>
      </c>
      <c r="D315" s="405" t="s">
        <v>1133</v>
      </c>
      <c r="E315" s="25">
        <v>1700</v>
      </c>
    </row>
    <row r="318" spans="2:5" x14ac:dyDescent="0.3">
      <c r="C318" s="1" t="s">
        <v>1135</v>
      </c>
      <c r="D318" s="1">
        <v>1</v>
      </c>
    </row>
    <row r="319" spans="2:5" x14ac:dyDescent="0.3">
      <c r="C319" s="1" t="s">
        <v>1136</v>
      </c>
      <c r="D319" s="1">
        <v>-1</v>
      </c>
    </row>
    <row r="329" spans="2:8" x14ac:dyDescent="0.3">
      <c r="F329" s="27" t="s">
        <v>1147</v>
      </c>
      <c r="G329" s="425" t="s">
        <v>1148</v>
      </c>
    </row>
    <row r="330" spans="2:8" x14ac:dyDescent="0.3">
      <c r="B330" s="414"/>
      <c r="C330" s="416">
        <v>351159271538620</v>
      </c>
      <c r="D330" s="417" t="s">
        <v>1137</v>
      </c>
      <c r="E330" s="417" t="s">
        <v>1138</v>
      </c>
      <c r="F330" s="24">
        <v>1250</v>
      </c>
      <c r="G330" s="135">
        <v>1230</v>
      </c>
      <c r="H330" s="135">
        <f>F330-G330</f>
        <v>20</v>
      </c>
    </row>
    <row r="331" spans="2:8" x14ac:dyDescent="0.3">
      <c r="B331" s="414"/>
      <c r="C331" s="416">
        <v>351159270835050</v>
      </c>
      <c r="D331" s="417" t="s">
        <v>1137</v>
      </c>
      <c r="E331" s="417" t="s">
        <v>1138</v>
      </c>
      <c r="F331" s="24">
        <v>1250</v>
      </c>
      <c r="G331" s="135">
        <v>1230</v>
      </c>
      <c r="H331" s="135">
        <f t="shared" ref="H331:H339" si="2">F331-G331</f>
        <v>20</v>
      </c>
    </row>
    <row r="332" spans="2:8" x14ac:dyDescent="0.3">
      <c r="B332" s="414"/>
      <c r="C332" s="416">
        <v>352302613791924</v>
      </c>
      <c r="D332" s="417" t="s">
        <v>1139</v>
      </c>
      <c r="E332" s="417" t="s">
        <v>1138</v>
      </c>
      <c r="F332" s="24">
        <v>1250</v>
      </c>
      <c r="G332" s="135">
        <v>1230</v>
      </c>
      <c r="H332" s="135">
        <f t="shared" si="2"/>
        <v>20</v>
      </c>
    </row>
    <row r="333" spans="2:8" x14ac:dyDescent="0.3">
      <c r="H333" s="135">
        <f t="shared" si="2"/>
        <v>0</v>
      </c>
    </row>
    <row r="334" spans="2:8" x14ac:dyDescent="0.3">
      <c r="B334" s="415"/>
      <c r="C334" s="418">
        <v>354737613393759</v>
      </c>
      <c r="D334" s="419" t="s">
        <v>1140</v>
      </c>
      <c r="E334" s="419" t="s">
        <v>1141</v>
      </c>
      <c r="F334" s="421">
        <v>2700</v>
      </c>
      <c r="G334" s="420">
        <v>2580</v>
      </c>
      <c r="H334" s="135">
        <f t="shared" si="2"/>
        <v>120</v>
      </c>
    </row>
    <row r="335" spans="2:8" x14ac:dyDescent="0.3">
      <c r="B335" s="415"/>
      <c r="C335" s="418">
        <v>354423239121359</v>
      </c>
      <c r="D335" s="419" t="s">
        <v>1142</v>
      </c>
      <c r="E335" s="419" t="s">
        <v>1133</v>
      </c>
      <c r="F335" s="18">
        <v>2600</v>
      </c>
      <c r="G335" s="422">
        <v>2500</v>
      </c>
      <c r="H335" s="135">
        <f t="shared" si="2"/>
        <v>100</v>
      </c>
    </row>
    <row r="336" spans="2:8" x14ac:dyDescent="0.3">
      <c r="H336" s="135">
        <f t="shared" si="2"/>
        <v>0</v>
      </c>
    </row>
    <row r="337" spans="2:8" x14ac:dyDescent="0.3">
      <c r="C337" s="423">
        <v>351895498493533</v>
      </c>
      <c r="D337" s="18" t="s">
        <v>1143</v>
      </c>
      <c r="E337" s="18" t="s">
        <v>1138</v>
      </c>
      <c r="F337" s="24">
        <v>2200</v>
      </c>
      <c r="G337" s="18">
        <v>2070</v>
      </c>
      <c r="H337" s="135">
        <f t="shared" si="2"/>
        <v>130</v>
      </c>
    </row>
    <row r="338" spans="2:8" x14ac:dyDescent="0.3">
      <c r="C338" s="424">
        <v>350328825338909</v>
      </c>
      <c r="D338" s="18" t="s">
        <v>1144</v>
      </c>
      <c r="E338" s="18" t="s">
        <v>1138</v>
      </c>
      <c r="F338" s="24">
        <v>2100</v>
      </c>
      <c r="G338" s="18">
        <v>2000</v>
      </c>
      <c r="H338" s="135">
        <f t="shared" si="2"/>
        <v>100</v>
      </c>
    </row>
    <row r="339" spans="2:8" x14ac:dyDescent="0.3">
      <c r="C339" s="423">
        <v>356706680890482</v>
      </c>
      <c r="D339" s="18" t="s">
        <v>1145</v>
      </c>
      <c r="E339" s="18" t="s">
        <v>1146</v>
      </c>
      <c r="F339" s="24">
        <v>2410</v>
      </c>
      <c r="G339" s="18">
        <v>2350</v>
      </c>
      <c r="H339" s="135">
        <f t="shared" si="2"/>
        <v>60</v>
      </c>
    </row>
    <row r="342" spans="2:8" x14ac:dyDescent="0.3">
      <c r="G342" s="128" t="s">
        <v>1149</v>
      </c>
      <c r="H342" s="128">
        <f>SUM(H330:H341)</f>
        <v>570</v>
      </c>
    </row>
    <row r="347" spans="2:8" x14ac:dyDescent="0.3">
      <c r="B347" s="106">
        <v>45862</v>
      </c>
      <c r="C347" s="1">
        <v>660000</v>
      </c>
      <c r="D347" s="1" t="s">
        <v>1150</v>
      </c>
    </row>
    <row r="348" spans="2:8" x14ac:dyDescent="0.3">
      <c r="B348" s="106">
        <v>45867</v>
      </c>
      <c r="C348" s="1">
        <v>100000</v>
      </c>
      <c r="D348" s="1" t="s">
        <v>1151</v>
      </c>
    </row>
    <row r="349" spans="2:8" x14ac:dyDescent="0.3">
      <c r="B349" s="106">
        <v>45867</v>
      </c>
      <c r="C349" s="1">
        <v>238000</v>
      </c>
      <c r="D349" s="1" t="s">
        <v>1151</v>
      </c>
    </row>
    <row r="350" spans="2:8" x14ac:dyDescent="0.3">
      <c r="B350" s="106">
        <v>45868</v>
      </c>
      <c r="C350" s="1">
        <v>94000</v>
      </c>
      <c r="D350" s="1" t="s">
        <v>1151</v>
      </c>
    </row>
    <row r="351" spans="2:8" x14ac:dyDescent="0.3">
      <c r="B351" s="106">
        <v>45868</v>
      </c>
      <c r="C351" s="1">
        <v>200000</v>
      </c>
      <c r="D351" s="1" t="s">
        <v>1152</v>
      </c>
    </row>
    <row r="352" spans="2:8" x14ac:dyDescent="0.3">
      <c r="B352" s="106">
        <v>45869</v>
      </c>
      <c r="C352" s="1">
        <v>237500</v>
      </c>
      <c r="D352" s="1" t="s">
        <v>1153</v>
      </c>
    </row>
    <row r="353" spans="2:4" x14ac:dyDescent="0.3">
      <c r="B353" s="106">
        <v>45870</v>
      </c>
      <c r="C353" s="1">
        <v>214000</v>
      </c>
      <c r="D353" s="1" t="s">
        <v>1152</v>
      </c>
    </row>
    <row r="354" spans="2:4" x14ac:dyDescent="0.3">
      <c r="B354" s="106">
        <v>45870</v>
      </c>
      <c r="C354" s="1">
        <v>100000</v>
      </c>
      <c r="D354" s="1" t="s">
        <v>1151</v>
      </c>
    </row>
    <row r="355" spans="2:4" x14ac:dyDescent="0.3">
      <c r="B355" s="106">
        <v>45882</v>
      </c>
      <c r="C355" s="1">
        <v>300000</v>
      </c>
      <c r="D355" s="1" t="s">
        <v>1151</v>
      </c>
    </row>
    <row r="356" spans="2:4" x14ac:dyDescent="0.3">
      <c r="B356" s="106">
        <v>45882</v>
      </c>
      <c r="C356" s="1">
        <v>300000</v>
      </c>
      <c r="D356" s="1" t="s">
        <v>1154</v>
      </c>
    </row>
    <row r="357" spans="2:4" x14ac:dyDescent="0.3">
      <c r="B357" s="106">
        <v>45883</v>
      </c>
      <c r="C357" s="1">
        <v>500000</v>
      </c>
      <c r="D357" s="1" t="s">
        <v>1151</v>
      </c>
    </row>
    <row r="358" spans="2:4" x14ac:dyDescent="0.3">
      <c r="B358" s="106">
        <v>45883</v>
      </c>
      <c r="C358" s="1">
        <v>250000</v>
      </c>
      <c r="D358" s="1" t="s">
        <v>1151</v>
      </c>
    </row>
    <row r="359" spans="2:4" x14ac:dyDescent="0.3">
      <c r="B359" s="106">
        <v>45884</v>
      </c>
      <c r="C359" s="1">
        <v>500000</v>
      </c>
      <c r="D359" s="1" t="s">
        <v>1151</v>
      </c>
    </row>
    <row r="360" spans="2:4" x14ac:dyDescent="0.3">
      <c r="B360" s="106">
        <v>45884</v>
      </c>
      <c r="C360" s="1">
        <v>250000</v>
      </c>
      <c r="D360" s="1" t="s">
        <v>1151</v>
      </c>
    </row>
    <row r="361" spans="2:4" x14ac:dyDescent="0.3">
      <c r="B361" s="106">
        <v>45884</v>
      </c>
      <c r="C361" s="1">
        <v>250000</v>
      </c>
      <c r="D361" s="1" t="s">
        <v>1151</v>
      </c>
    </row>
    <row r="362" spans="2:4" x14ac:dyDescent="0.3">
      <c r="B362" s="106">
        <v>45885</v>
      </c>
      <c r="C362" s="1">
        <v>500000</v>
      </c>
      <c r="D362" s="1" t="s">
        <v>1151</v>
      </c>
    </row>
    <row r="363" spans="2:4" x14ac:dyDescent="0.3">
      <c r="B363" s="106">
        <v>45887</v>
      </c>
      <c r="C363" s="1">
        <v>500000</v>
      </c>
      <c r="D363" s="1" t="s">
        <v>1151</v>
      </c>
    </row>
    <row r="367" spans="2:4" x14ac:dyDescent="0.3">
      <c r="C367" s="1" t="s">
        <v>1200</v>
      </c>
      <c r="D367" s="1" t="s">
        <v>1201</v>
      </c>
    </row>
    <row r="369" spans="2:4" x14ac:dyDescent="0.3">
      <c r="B369" s="106">
        <v>45828</v>
      </c>
      <c r="C369" s="1" t="s">
        <v>1220</v>
      </c>
      <c r="D369" s="1">
        <v>1419.71</v>
      </c>
    </row>
    <row r="370" spans="2:4" x14ac:dyDescent="0.3">
      <c r="B370" s="106">
        <v>45831</v>
      </c>
      <c r="C370" s="453" t="s">
        <v>1221</v>
      </c>
      <c r="D370" s="1">
        <v>1930.95</v>
      </c>
    </row>
    <row r="371" spans="2:4" x14ac:dyDescent="0.3">
      <c r="B371" s="106">
        <v>45832</v>
      </c>
      <c r="C371" s="1" t="s">
        <v>1222</v>
      </c>
      <c r="D371" s="1">
        <v>1864.75</v>
      </c>
    </row>
    <row r="372" spans="2:4" x14ac:dyDescent="0.3">
      <c r="B372" s="106">
        <v>45845</v>
      </c>
      <c r="C372" s="1" t="s">
        <v>1223</v>
      </c>
      <c r="D372" s="1">
        <v>1950</v>
      </c>
    </row>
    <row r="373" spans="2:4" x14ac:dyDescent="0.3">
      <c r="B373" s="106">
        <v>45841</v>
      </c>
      <c r="C373" s="1" t="s">
        <v>1224</v>
      </c>
      <c r="D373" s="1">
        <v>143.44</v>
      </c>
    </row>
    <row r="374" spans="2:4" x14ac:dyDescent="0.3">
      <c r="B374" s="1"/>
      <c r="C374" s="1" t="s">
        <v>1225</v>
      </c>
      <c r="D374" s="1">
        <v>1839</v>
      </c>
    </row>
    <row r="375" spans="2:4" x14ac:dyDescent="0.3">
      <c r="B375" s="1"/>
      <c r="C375" s="1" t="s">
        <v>1226</v>
      </c>
      <c r="D375" s="1">
        <v>1839</v>
      </c>
    </row>
    <row r="376" spans="2:4" x14ac:dyDescent="0.3">
      <c r="B376" s="1"/>
      <c r="C376" s="1" t="s">
        <v>1227</v>
      </c>
      <c r="D376" s="1">
        <v>1287.3</v>
      </c>
    </row>
    <row r="377" spans="2:4" x14ac:dyDescent="0.3">
      <c r="B377" s="1"/>
      <c r="C377" s="1" t="s">
        <v>1223</v>
      </c>
      <c r="D377" s="1">
        <v>1950</v>
      </c>
    </row>
    <row r="378" spans="2:4" x14ac:dyDescent="0.3">
      <c r="B378" s="1"/>
      <c r="C378" s="1" t="s">
        <v>1228</v>
      </c>
      <c r="D378" s="1">
        <v>12020</v>
      </c>
    </row>
    <row r="379" spans="2:4" x14ac:dyDescent="0.3">
      <c r="B379" s="106">
        <v>45889</v>
      </c>
      <c r="C379" s="1" t="s">
        <v>1229</v>
      </c>
      <c r="D379" s="1">
        <v>23218.54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FF20-CEAE-4BC4-A229-C0108D26FA4E}">
  <dimension ref="A2:F14"/>
  <sheetViews>
    <sheetView workbookViewId="0">
      <selection activeCell="F26" sqref="F26"/>
    </sheetView>
  </sheetViews>
  <sheetFormatPr defaultRowHeight="14.4" x14ac:dyDescent="0.3"/>
  <cols>
    <col min="1" max="1" width="17.33203125" customWidth="1"/>
    <col min="2" max="2" width="22.109375" customWidth="1"/>
    <col min="3" max="3" width="33.77734375" customWidth="1"/>
    <col min="4" max="4" width="14.6640625" customWidth="1"/>
    <col min="6" max="6" width="10.88671875" customWidth="1"/>
  </cols>
  <sheetData>
    <row r="2" spans="1:6" x14ac:dyDescent="0.3">
      <c r="A2" t="s">
        <v>450</v>
      </c>
      <c r="B2" t="s">
        <v>430</v>
      </c>
      <c r="C2" s="217" t="s">
        <v>433</v>
      </c>
      <c r="D2" s="216">
        <v>195000</v>
      </c>
      <c r="E2" t="s">
        <v>453</v>
      </c>
      <c r="F2" s="218">
        <v>10872.611000000001</v>
      </c>
    </row>
    <row r="3" spans="1:6" x14ac:dyDescent="0.3">
      <c r="A3" t="s">
        <v>449</v>
      </c>
      <c r="C3" s="217" t="s">
        <v>431</v>
      </c>
      <c r="E3" t="s">
        <v>453</v>
      </c>
    </row>
    <row r="4" spans="1:6" x14ac:dyDescent="0.3">
      <c r="A4" t="s">
        <v>448</v>
      </c>
      <c r="C4" s="217" t="s">
        <v>432</v>
      </c>
      <c r="E4" t="s">
        <v>453</v>
      </c>
    </row>
    <row r="5" spans="1:6" x14ac:dyDescent="0.3">
      <c r="A5" t="s">
        <v>447</v>
      </c>
      <c r="B5" t="s">
        <v>430</v>
      </c>
      <c r="C5" s="217" t="s">
        <v>434</v>
      </c>
      <c r="D5" s="216">
        <v>215000</v>
      </c>
      <c r="E5" t="s">
        <v>453</v>
      </c>
    </row>
    <row r="6" spans="1:6" x14ac:dyDescent="0.3">
      <c r="A6" t="s">
        <v>447</v>
      </c>
      <c r="C6" s="217" t="s">
        <v>435</v>
      </c>
      <c r="D6" s="216">
        <v>10000</v>
      </c>
      <c r="E6" t="s">
        <v>453</v>
      </c>
    </row>
    <row r="7" spans="1:6" x14ac:dyDescent="0.3">
      <c r="A7" t="s">
        <v>447</v>
      </c>
      <c r="C7" s="217" t="s">
        <v>436</v>
      </c>
      <c r="D7" s="216">
        <v>125000</v>
      </c>
      <c r="E7" t="s">
        <v>453</v>
      </c>
    </row>
    <row r="8" spans="1:6" x14ac:dyDescent="0.3">
      <c r="A8" t="s">
        <v>446</v>
      </c>
      <c r="C8" s="217" t="s">
        <v>436</v>
      </c>
      <c r="D8" s="216">
        <v>80000</v>
      </c>
      <c r="E8" t="s">
        <v>453</v>
      </c>
    </row>
    <row r="9" spans="1:6" x14ac:dyDescent="0.3">
      <c r="A9" t="s">
        <v>445</v>
      </c>
      <c r="B9" t="s">
        <v>437</v>
      </c>
      <c r="C9" s="217" t="s">
        <v>438</v>
      </c>
      <c r="D9" s="216">
        <v>258000</v>
      </c>
      <c r="E9" t="s">
        <v>453</v>
      </c>
    </row>
    <row r="10" spans="1:6" x14ac:dyDescent="0.3">
      <c r="A10" t="s">
        <v>444</v>
      </c>
      <c r="C10" s="217" t="s">
        <v>439</v>
      </c>
      <c r="D10" s="216">
        <v>150000</v>
      </c>
    </row>
    <row r="11" spans="1:6" x14ac:dyDescent="0.3">
      <c r="A11" t="s">
        <v>443</v>
      </c>
      <c r="C11" s="217" t="s">
        <v>439</v>
      </c>
      <c r="D11" s="216">
        <v>58000</v>
      </c>
    </row>
    <row r="12" spans="1:6" x14ac:dyDescent="0.3">
      <c r="A12" t="s">
        <v>441</v>
      </c>
      <c r="C12" s="217" t="s">
        <v>439</v>
      </c>
      <c r="D12" s="216">
        <v>50000</v>
      </c>
    </row>
    <row r="13" spans="1:6" x14ac:dyDescent="0.3">
      <c r="A13" t="s">
        <v>442</v>
      </c>
      <c r="B13" t="s">
        <v>248</v>
      </c>
      <c r="C13" s="217" t="s">
        <v>438</v>
      </c>
      <c r="D13" s="216">
        <v>185500</v>
      </c>
      <c r="E13" t="s">
        <v>453</v>
      </c>
    </row>
    <row r="14" spans="1:6" x14ac:dyDescent="0.3">
      <c r="A14" t="s">
        <v>440</v>
      </c>
      <c r="C14" s="217" t="s">
        <v>439</v>
      </c>
      <c r="D14" s="216">
        <v>185500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C7AC-B1F4-4252-B103-59F519E164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8B3-CAF4-4EC5-BD5D-8B0C08D05D2A}">
  <dimension ref="B1:F57"/>
  <sheetViews>
    <sheetView zoomScale="89" zoomScaleNormal="89" workbookViewId="0">
      <selection activeCell="I15" sqref="I15"/>
    </sheetView>
  </sheetViews>
  <sheetFormatPr defaultRowHeight="14.4" x14ac:dyDescent="0.3"/>
  <cols>
    <col min="1" max="1" width="8.21875" customWidth="1"/>
    <col min="2" max="2" width="11.6640625" style="1" customWidth="1"/>
    <col min="3" max="3" width="46.21875" style="1" customWidth="1"/>
    <col min="4" max="4" width="14.88671875" style="306" customWidth="1"/>
    <col min="5" max="5" width="16.77734375" customWidth="1"/>
  </cols>
  <sheetData>
    <row r="1" spans="2:6" x14ac:dyDescent="0.3">
      <c r="C1" s="1" t="s">
        <v>793</v>
      </c>
    </row>
    <row r="2" spans="2:6" ht="21" x14ac:dyDescent="0.4">
      <c r="B2" s="301" t="s">
        <v>1</v>
      </c>
      <c r="C2" s="301" t="s">
        <v>760</v>
      </c>
      <c r="D2" s="304" t="s">
        <v>761</v>
      </c>
      <c r="E2" s="302"/>
    </row>
    <row r="3" spans="2:6" x14ac:dyDescent="0.3">
      <c r="B3" s="82">
        <v>45574</v>
      </c>
      <c r="C3" s="81" t="s">
        <v>762</v>
      </c>
      <c r="D3" s="305">
        <v>644.74</v>
      </c>
      <c r="E3" s="18" t="s">
        <v>766</v>
      </c>
      <c r="F3" t="s">
        <v>305</v>
      </c>
    </row>
    <row r="4" spans="2:6" x14ac:dyDescent="0.3">
      <c r="B4" s="82">
        <v>45576</v>
      </c>
      <c r="C4" s="81" t="s">
        <v>763</v>
      </c>
      <c r="D4" s="305">
        <v>12.9</v>
      </c>
      <c r="E4" s="18" t="s">
        <v>766</v>
      </c>
      <c r="F4" t="s">
        <v>305</v>
      </c>
    </row>
    <row r="5" spans="2:6" x14ac:dyDescent="0.3">
      <c r="B5" s="82">
        <v>45586</v>
      </c>
      <c r="C5" s="81" t="s">
        <v>764</v>
      </c>
      <c r="D5" s="305">
        <v>1355.87</v>
      </c>
      <c r="E5" s="18" t="s">
        <v>766</v>
      </c>
      <c r="F5" t="s">
        <v>305</v>
      </c>
    </row>
    <row r="6" spans="2:6" x14ac:dyDescent="0.3">
      <c r="B6" s="82">
        <v>45631</v>
      </c>
      <c r="C6" s="81" t="s">
        <v>765</v>
      </c>
      <c r="D6" s="305">
        <v>9.01</v>
      </c>
      <c r="E6" s="18" t="s">
        <v>766</v>
      </c>
      <c r="F6" t="s">
        <v>305</v>
      </c>
    </row>
    <row r="7" spans="2:6" x14ac:dyDescent="0.3">
      <c r="B7" s="82">
        <v>45754</v>
      </c>
      <c r="C7" s="81" t="s">
        <v>770</v>
      </c>
      <c r="D7" s="305">
        <v>4967.1000000000004</v>
      </c>
      <c r="E7" s="18" t="s">
        <v>766</v>
      </c>
      <c r="F7" t="s">
        <v>305</v>
      </c>
    </row>
    <row r="8" spans="2:6" x14ac:dyDescent="0.3">
      <c r="B8" s="82">
        <v>45754</v>
      </c>
      <c r="C8" s="81" t="s">
        <v>770</v>
      </c>
      <c r="D8" s="305">
        <v>4967.1000000000004</v>
      </c>
      <c r="E8" s="18" t="s">
        <v>766</v>
      </c>
      <c r="F8" t="s">
        <v>305</v>
      </c>
    </row>
    <row r="9" spans="2:6" x14ac:dyDescent="0.3">
      <c r="B9" s="82">
        <v>45755</v>
      </c>
      <c r="C9" s="81" t="s">
        <v>771</v>
      </c>
      <c r="D9" s="305">
        <v>5235.6000000000004</v>
      </c>
      <c r="E9" s="18" t="s">
        <v>766</v>
      </c>
      <c r="F9" t="s">
        <v>305</v>
      </c>
    </row>
    <row r="10" spans="2:6" x14ac:dyDescent="0.3">
      <c r="B10" s="82">
        <v>45792</v>
      </c>
      <c r="C10" s="81" t="s">
        <v>772</v>
      </c>
      <c r="D10" s="305">
        <v>745.87</v>
      </c>
      <c r="E10" s="18" t="s">
        <v>766</v>
      </c>
      <c r="F10" t="s">
        <v>305</v>
      </c>
    </row>
    <row r="11" spans="2:6" x14ac:dyDescent="0.3">
      <c r="B11" s="19"/>
      <c r="C11" s="81"/>
      <c r="D11" s="305"/>
      <c r="E11" s="18"/>
    </row>
    <row r="12" spans="2:6" x14ac:dyDescent="0.3">
      <c r="B12" s="82">
        <v>45698</v>
      </c>
      <c r="C12" s="81" t="s">
        <v>773</v>
      </c>
      <c r="D12" s="305">
        <v>12.34</v>
      </c>
      <c r="E12" s="18" t="s">
        <v>769</v>
      </c>
      <c r="F12" t="s">
        <v>305</v>
      </c>
    </row>
    <row r="13" spans="2:6" x14ac:dyDescent="0.3">
      <c r="B13" s="82">
        <v>45698</v>
      </c>
      <c r="C13" s="81" t="s">
        <v>774</v>
      </c>
      <c r="D13" s="305">
        <v>26.74</v>
      </c>
      <c r="E13" s="18" t="s">
        <v>769</v>
      </c>
      <c r="F13" t="s">
        <v>305</v>
      </c>
    </row>
    <row r="14" spans="2:6" x14ac:dyDescent="0.3">
      <c r="B14" s="82">
        <v>45698</v>
      </c>
      <c r="C14" s="81" t="s">
        <v>775</v>
      </c>
      <c r="D14" s="305">
        <v>84.54</v>
      </c>
      <c r="E14" s="18" t="s">
        <v>769</v>
      </c>
      <c r="F14" t="s">
        <v>305</v>
      </c>
    </row>
    <row r="15" spans="2:6" x14ac:dyDescent="0.3">
      <c r="B15" s="82">
        <v>45698</v>
      </c>
      <c r="C15" s="81" t="s">
        <v>776</v>
      </c>
      <c r="D15" s="305">
        <v>513.48</v>
      </c>
      <c r="E15" s="18" t="s">
        <v>769</v>
      </c>
      <c r="F15" t="s">
        <v>305</v>
      </c>
    </row>
    <row r="16" spans="2:6" x14ac:dyDescent="0.3">
      <c r="B16" s="82">
        <v>45699</v>
      </c>
      <c r="C16" s="81" t="s">
        <v>777</v>
      </c>
      <c r="D16" s="305">
        <v>100</v>
      </c>
      <c r="E16" s="18" t="s">
        <v>769</v>
      </c>
      <c r="F16" t="s">
        <v>305</v>
      </c>
    </row>
    <row r="17" spans="2:6" x14ac:dyDescent="0.3">
      <c r="B17" s="82">
        <v>45699</v>
      </c>
      <c r="C17" s="81" t="s">
        <v>778</v>
      </c>
      <c r="D17" s="305">
        <v>59.12</v>
      </c>
      <c r="E17" s="18" t="s">
        <v>769</v>
      </c>
      <c r="F17" t="s">
        <v>305</v>
      </c>
    </row>
    <row r="18" spans="2:6" x14ac:dyDescent="0.3">
      <c r="B18" s="82">
        <v>45699</v>
      </c>
      <c r="C18" s="81" t="s">
        <v>779</v>
      </c>
      <c r="D18" s="305">
        <v>12.34</v>
      </c>
      <c r="E18" s="18" t="s">
        <v>769</v>
      </c>
      <c r="F18" t="s">
        <v>305</v>
      </c>
    </row>
    <row r="19" spans="2:6" x14ac:dyDescent="0.3">
      <c r="B19" s="82">
        <v>45699</v>
      </c>
      <c r="C19" s="81" t="s">
        <v>780</v>
      </c>
      <c r="D19" s="305">
        <v>178.93</v>
      </c>
      <c r="E19" s="18" t="s">
        <v>769</v>
      </c>
      <c r="F19" t="s">
        <v>305</v>
      </c>
    </row>
    <row r="20" spans="2:6" x14ac:dyDescent="0.3">
      <c r="B20" s="82">
        <v>45699</v>
      </c>
      <c r="C20" s="81" t="s">
        <v>781</v>
      </c>
      <c r="D20" s="305">
        <v>28.8</v>
      </c>
      <c r="E20" s="18" t="s">
        <v>769</v>
      </c>
      <c r="F20" t="s">
        <v>305</v>
      </c>
    </row>
    <row r="21" spans="2:6" x14ac:dyDescent="0.3">
      <c r="B21" s="82">
        <v>45702</v>
      </c>
      <c r="C21" s="81" t="s">
        <v>782</v>
      </c>
      <c r="D21" s="305">
        <v>950.06</v>
      </c>
      <c r="E21" s="18" t="s">
        <v>769</v>
      </c>
      <c r="F21" t="s">
        <v>305</v>
      </c>
    </row>
    <row r="22" spans="2:6" x14ac:dyDescent="0.3">
      <c r="B22" s="82">
        <v>45702</v>
      </c>
      <c r="C22" s="81" t="s">
        <v>778</v>
      </c>
      <c r="D22" s="305">
        <v>68.27</v>
      </c>
      <c r="E22" s="18" t="s">
        <v>769</v>
      </c>
      <c r="F22" t="s">
        <v>305</v>
      </c>
    </row>
    <row r="23" spans="2:6" x14ac:dyDescent="0.3">
      <c r="B23" s="82">
        <v>45705</v>
      </c>
      <c r="C23" s="81" t="s">
        <v>783</v>
      </c>
      <c r="D23" s="305">
        <v>194.17</v>
      </c>
      <c r="E23" s="18" t="s">
        <v>769</v>
      </c>
      <c r="F23" t="s">
        <v>305</v>
      </c>
    </row>
    <row r="24" spans="2:6" x14ac:dyDescent="0.3">
      <c r="B24" s="82">
        <v>45705</v>
      </c>
      <c r="C24" s="81" t="s">
        <v>784</v>
      </c>
      <c r="D24" s="305">
        <v>11.97</v>
      </c>
      <c r="E24" s="18" t="s">
        <v>769</v>
      </c>
      <c r="F24" t="s">
        <v>305</v>
      </c>
    </row>
    <row r="25" spans="2:6" x14ac:dyDescent="0.3">
      <c r="B25" s="82">
        <v>45705</v>
      </c>
      <c r="C25" s="81" t="s">
        <v>785</v>
      </c>
      <c r="D25" s="305">
        <v>2294.85</v>
      </c>
      <c r="E25" s="18" t="s">
        <v>769</v>
      </c>
      <c r="F25" t="s">
        <v>305</v>
      </c>
    </row>
    <row r="26" spans="2:6" x14ac:dyDescent="0.3">
      <c r="B26" s="82">
        <v>45706</v>
      </c>
      <c r="C26" s="81" t="s">
        <v>778</v>
      </c>
      <c r="D26" s="305">
        <v>30.32</v>
      </c>
      <c r="E26" s="18" t="s">
        <v>769</v>
      </c>
      <c r="F26" t="s">
        <v>305</v>
      </c>
    </row>
    <row r="27" spans="2:6" x14ac:dyDescent="0.3">
      <c r="B27" s="82">
        <v>45706</v>
      </c>
      <c r="C27" s="81" t="s">
        <v>778</v>
      </c>
      <c r="D27" s="305">
        <v>37.94</v>
      </c>
      <c r="E27" s="18" t="s">
        <v>769</v>
      </c>
      <c r="F27" t="s">
        <v>305</v>
      </c>
    </row>
    <row r="28" spans="2:6" x14ac:dyDescent="0.3">
      <c r="B28" s="82">
        <v>45706</v>
      </c>
      <c r="C28" s="81" t="s">
        <v>778</v>
      </c>
      <c r="D28" s="305">
        <v>182.67</v>
      </c>
      <c r="E28" s="18" t="s">
        <v>769</v>
      </c>
      <c r="F28" t="s">
        <v>305</v>
      </c>
    </row>
    <row r="29" spans="2:6" x14ac:dyDescent="0.3">
      <c r="B29" s="82">
        <v>45706</v>
      </c>
      <c r="C29" s="81" t="s">
        <v>786</v>
      </c>
      <c r="D29" s="305">
        <v>20.61</v>
      </c>
      <c r="E29" s="18" t="s">
        <v>769</v>
      </c>
      <c r="F29" t="s">
        <v>305</v>
      </c>
    </row>
    <row r="30" spans="2:6" x14ac:dyDescent="0.3">
      <c r="B30" s="82">
        <v>45706</v>
      </c>
      <c r="C30" s="81" t="s">
        <v>786</v>
      </c>
      <c r="D30" s="305">
        <v>24.68</v>
      </c>
      <c r="E30" s="18" t="s">
        <v>769</v>
      </c>
      <c r="F30" t="s">
        <v>305</v>
      </c>
    </row>
    <row r="31" spans="2:6" x14ac:dyDescent="0.3">
      <c r="B31" s="82">
        <v>45706</v>
      </c>
      <c r="C31" s="81" t="s">
        <v>786</v>
      </c>
      <c r="D31" s="305">
        <v>12.34</v>
      </c>
      <c r="E31" s="18" t="s">
        <v>769</v>
      </c>
      <c r="F31" t="s">
        <v>305</v>
      </c>
    </row>
    <row r="32" spans="2:6" x14ac:dyDescent="0.3">
      <c r="B32" s="82">
        <v>45706</v>
      </c>
      <c r="C32" s="81" t="s">
        <v>787</v>
      </c>
      <c r="D32" s="305">
        <v>59.85</v>
      </c>
      <c r="E32" s="18" t="s">
        <v>769</v>
      </c>
      <c r="F32" t="s">
        <v>305</v>
      </c>
    </row>
    <row r="33" spans="2:6" x14ac:dyDescent="0.3">
      <c r="B33" s="82">
        <v>45706</v>
      </c>
      <c r="C33" s="81" t="s">
        <v>788</v>
      </c>
      <c r="D33" s="305">
        <v>57.64</v>
      </c>
      <c r="E33" s="18" t="s">
        <v>769</v>
      </c>
      <c r="F33" t="s">
        <v>305</v>
      </c>
    </row>
    <row r="34" spans="2:6" x14ac:dyDescent="0.3">
      <c r="B34" s="82">
        <v>45707</v>
      </c>
      <c r="C34" s="81" t="s">
        <v>786</v>
      </c>
      <c r="D34" s="305">
        <v>37.1</v>
      </c>
      <c r="E34" s="18" t="s">
        <v>769</v>
      </c>
      <c r="F34" t="s">
        <v>305</v>
      </c>
    </row>
    <row r="35" spans="2:6" x14ac:dyDescent="0.3">
      <c r="B35" s="82">
        <v>45707</v>
      </c>
      <c r="C35" s="81" t="s">
        <v>789</v>
      </c>
      <c r="D35" s="305">
        <v>761.9</v>
      </c>
      <c r="E35" s="18" t="s">
        <v>769</v>
      </c>
      <c r="F35" t="s">
        <v>305</v>
      </c>
    </row>
    <row r="36" spans="2:6" x14ac:dyDescent="0.3">
      <c r="B36" s="82">
        <v>45715</v>
      </c>
      <c r="C36" s="81" t="s">
        <v>767</v>
      </c>
      <c r="D36" s="305">
        <v>206</v>
      </c>
      <c r="E36" s="18" t="s">
        <v>769</v>
      </c>
      <c r="F36" t="s">
        <v>305</v>
      </c>
    </row>
    <row r="37" spans="2:6" x14ac:dyDescent="0.3">
      <c r="B37" s="82">
        <v>45730</v>
      </c>
      <c r="C37" s="81" t="s">
        <v>768</v>
      </c>
      <c r="D37" s="305">
        <v>208.95</v>
      </c>
      <c r="E37" s="18" t="s">
        <v>769</v>
      </c>
      <c r="F37" t="s">
        <v>305</v>
      </c>
    </row>
    <row r="38" spans="2:6" x14ac:dyDescent="0.3">
      <c r="B38" s="82">
        <v>45735</v>
      </c>
      <c r="C38" s="81" t="s">
        <v>768</v>
      </c>
      <c r="D38" s="305">
        <v>208.95</v>
      </c>
      <c r="E38" s="18" t="s">
        <v>769</v>
      </c>
      <c r="F38" t="s">
        <v>305</v>
      </c>
    </row>
    <row r="39" spans="2:6" x14ac:dyDescent="0.3">
      <c r="B39" s="82">
        <v>45740</v>
      </c>
      <c r="C39" s="81" t="s">
        <v>767</v>
      </c>
      <c r="D39" s="305">
        <v>213.55</v>
      </c>
      <c r="E39" s="18" t="s">
        <v>769</v>
      </c>
      <c r="F39" t="s">
        <v>305</v>
      </c>
    </row>
    <row r="40" spans="2:6" x14ac:dyDescent="0.3">
      <c r="B40" s="82">
        <v>45786</v>
      </c>
      <c r="C40" s="81" t="s">
        <v>767</v>
      </c>
      <c r="D40" s="305">
        <v>228.13</v>
      </c>
      <c r="E40" s="18" t="s">
        <v>769</v>
      </c>
      <c r="F40" t="s">
        <v>305</v>
      </c>
    </row>
    <row r="41" spans="2:6" x14ac:dyDescent="0.3">
      <c r="B41" s="82">
        <v>45798</v>
      </c>
      <c r="C41" s="81" t="s">
        <v>768</v>
      </c>
      <c r="D41" s="305">
        <v>208.95</v>
      </c>
      <c r="E41" s="18" t="s">
        <v>769</v>
      </c>
      <c r="F41" t="s">
        <v>305</v>
      </c>
    </row>
    <row r="42" spans="2:6" x14ac:dyDescent="0.3">
      <c r="C42" s="303" t="s">
        <v>758</v>
      </c>
      <c r="D42" s="306">
        <f>SUM(D3:D41)</f>
        <v>24973.379999999997</v>
      </c>
    </row>
    <row r="48" spans="2:6" x14ac:dyDescent="0.3">
      <c r="C48" s="1" t="s">
        <v>794</v>
      </c>
    </row>
    <row r="49" spans="2:6" ht="21" x14ac:dyDescent="0.4">
      <c r="B49" s="301" t="s">
        <v>1</v>
      </c>
      <c r="C49" s="301" t="s">
        <v>760</v>
      </c>
      <c r="D49" s="304" t="s">
        <v>761</v>
      </c>
      <c r="E49" s="302"/>
    </row>
    <row r="50" spans="2:6" x14ac:dyDescent="0.3">
      <c r="B50" s="82">
        <v>45616</v>
      </c>
      <c r="C50" s="81" t="s">
        <v>768</v>
      </c>
      <c r="D50" s="305">
        <v>168.51</v>
      </c>
      <c r="E50" s="18"/>
      <c r="F50" t="s">
        <v>305</v>
      </c>
    </row>
    <row r="51" spans="2:6" x14ac:dyDescent="0.3">
      <c r="B51" s="82">
        <v>45616</v>
      </c>
      <c r="C51" s="81" t="s">
        <v>767</v>
      </c>
      <c r="D51" s="305">
        <v>272.23</v>
      </c>
      <c r="E51" s="18"/>
      <c r="F51" t="s">
        <v>305</v>
      </c>
    </row>
    <row r="52" spans="2:6" x14ac:dyDescent="0.3">
      <c r="B52" s="82">
        <v>45626</v>
      </c>
      <c r="C52" s="81" t="s">
        <v>790</v>
      </c>
      <c r="D52" s="305">
        <v>1444.82</v>
      </c>
      <c r="E52" s="18"/>
      <c r="F52" t="s">
        <v>305</v>
      </c>
    </row>
    <row r="53" spans="2:6" x14ac:dyDescent="0.3">
      <c r="B53" s="82">
        <v>45631</v>
      </c>
      <c r="C53" s="81" t="s">
        <v>791</v>
      </c>
      <c r="D53" s="305">
        <v>2576.2800000000002</v>
      </c>
      <c r="E53" s="18"/>
      <c r="F53" t="s">
        <v>305</v>
      </c>
    </row>
    <row r="54" spans="2:6" x14ac:dyDescent="0.3">
      <c r="B54" s="82">
        <v>45661</v>
      </c>
      <c r="C54" s="81" t="s">
        <v>792</v>
      </c>
      <c r="D54" s="305">
        <v>5675</v>
      </c>
      <c r="E54" s="18"/>
      <c r="F54" t="s">
        <v>305</v>
      </c>
    </row>
    <row r="55" spans="2:6" x14ac:dyDescent="0.3">
      <c r="B55" s="82">
        <v>45721</v>
      </c>
      <c r="C55" s="81" t="s">
        <v>792</v>
      </c>
      <c r="D55" s="305">
        <v>5675</v>
      </c>
      <c r="E55" s="18"/>
      <c r="F55" t="s">
        <v>305</v>
      </c>
    </row>
    <row r="56" spans="2:6" x14ac:dyDescent="0.3">
      <c r="B56" s="82">
        <v>45778</v>
      </c>
      <c r="C56" s="81" t="s">
        <v>792</v>
      </c>
      <c r="D56" s="305">
        <v>5675</v>
      </c>
      <c r="E56" s="18"/>
      <c r="F56" t="s">
        <v>305</v>
      </c>
    </row>
    <row r="57" spans="2:6" x14ac:dyDescent="0.3">
      <c r="C57" s="303" t="s">
        <v>758</v>
      </c>
      <c r="D57" s="306">
        <f>SUM(D50:D56)</f>
        <v>21486.84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Purchases</vt:lpstr>
      <vt:lpstr>Stock_Transactions</vt:lpstr>
      <vt:lpstr>Product_Master</vt:lpstr>
      <vt:lpstr>Pending_Stock</vt:lpstr>
      <vt:lpstr>GST</vt:lpstr>
      <vt:lpstr>ShipToDubai</vt:lpstr>
      <vt:lpstr>Monthly Sales</vt:lpstr>
      <vt:lpstr>Profit Report</vt:lpstr>
      <vt:lpstr>Pending Things</vt:lpstr>
      <vt:lpstr>Karachi Sale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dell5300</cp:lastModifiedBy>
  <cp:revision/>
  <cp:lastPrinted>2025-06-21T16:30:09Z</cp:lastPrinted>
  <dcterms:created xsi:type="dcterms:W3CDTF">2025-02-22T14:06:20Z</dcterms:created>
  <dcterms:modified xsi:type="dcterms:W3CDTF">2025-09-13T13:39:24Z</dcterms:modified>
  <cp:category/>
  <cp:contentStatus/>
</cp:coreProperties>
</file>